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6A8A02BA-DC0F-475D-9458-B1D356365FDA}" xr6:coauthVersionLast="47" xr6:coauthVersionMax="47" xr10:uidLastSave="{00000000-0000-0000-0000-000000000000}"/>
  <bookViews>
    <workbookView xWindow="-22695" yWindow="-21720" windowWidth="51840" windowHeight="21120"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62" i="6" l="1"/>
  <c r="B862" i="6"/>
  <c r="A862" i="6"/>
  <c r="A861" i="6"/>
  <c r="B861" i="6" s="1"/>
  <c r="C862" i="6" s="1"/>
  <c r="D862" i="6" s="1"/>
  <c r="H860" i="6"/>
  <c r="G860" i="6"/>
  <c r="F860" i="6"/>
  <c r="B860" i="6"/>
  <c r="C860" i="6" s="1"/>
  <c r="D860" i="6" s="1"/>
  <c r="A860" i="6"/>
  <c r="F859" i="6"/>
  <c r="G859" i="6" s="1"/>
  <c r="H859" i="6" s="1"/>
  <c r="B859" i="6"/>
  <c r="A859" i="6"/>
  <c r="A858" i="6"/>
  <c r="F858" i="6" s="1"/>
  <c r="G858" i="6" s="1"/>
  <c r="H858" i="6" s="1"/>
  <c r="F857" i="6"/>
  <c r="A857" i="6"/>
  <c r="B857" i="6" s="1"/>
  <c r="A856" i="6"/>
  <c r="F856" i="6" s="1"/>
  <c r="G856" i="6" s="1"/>
  <c r="H856" i="6" s="1"/>
  <c r="F855" i="6"/>
  <c r="G855" i="6" s="1"/>
  <c r="H855" i="6" s="1"/>
  <c r="B855" i="6"/>
  <c r="C855" i="6" s="1"/>
  <c r="D855" i="6" s="1"/>
  <c r="A855" i="6"/>
  <c r="F854" i="6"/>
  <c r="A854" i="6"/>
  <c r="B854" i="6" s="1"/>
  <c r="A853" i="6"/>
  <c r="A852" i="6"/>
  <c r="F852" i="6" s="1"/>
  <c r="G852" i="6" s="1"/>
  <c r="H852" i="6" s="1"/>
  <c r="F851" i="6"/>
  <c r="B851" i="6"/>
  <c r="A851" i="6"/>
  <c r="A850" i="6"/>
  <c r="F849" i="6"/>
  <c r="A849" i="6"/>
  <c r="B849" i="6" s="1"/>
  <c r="A848" i="6"/>
  <c r="F848" i="6" s="1"/>
  <c r="G847" i="6"/>
  <c r="H847" i="6" s="1"/>
  <c r="F847" i="6"/>
  <c r="I859" i="6" s="1"/>
  <c r="B847" i="6"/>
  <c r="C847" i="6" s="1"/>
  <c r="D847" i="6" s="1"/>
  <c r="A847" i="6"/>
  <c r="I846" i="6"/>
  <c r="H846" i="6"/>
  <c r="F846" i="6"/>
  <c r="G846" i="6" s="1"/>
  <c r="C846" i="6"/>
  <c r="D846" i="6" s="1"/>
  <c r="B846" i="6"/>
  <c r="A846" i="6"/>
  <c r="F845" i="6"/>
  <c r="I857" i="6" s="1"/>
  <c r="A845" i="6"/>
  <c r="B845" i="6" s="1"/>
  <c r="E857" i="6" s="1"/>
  <c r="A844" i="6"/>
  <c r="F844" i="6" s="1"/>
  <c r="F843" i="6"/>
  <c r="B843" i="6"/>
  <c r="C843" i="6" s="1"/>
  <c r="D843" i="6" s="1"/>
  <c r="A843" i="6"/>
  <c r="F842" i="6"/>
  <c r="G842" i="6" s="1"/>
  <c r="H842" i="6" s="1"/>
  <c r="B842" i="6"/>
  <c r="E854" i="6" s="1"/>
  <c r="A842" i="6"/>
  <c r="F841" i="6"/>
  <c r="A841" i="6"/>
  <c r="B841" i="6" s="1"/>
  <c r="F840" i="6"/>
  <c r="I852" i="6" s="1"/>
  <c r="A840" i="6"/>
  <c r="B840" i="6" s="1"/>
  <c r="F839" i="6"/>
  <c r="G839" i="6" s="1"/>
  <c r="H839" i="6" s="1"/>
  <c r="B839" i="6"/>
  <c r="A839" i="6"/>
  <c r="F838" i="6"/>
  <c r="B838" i="6"/>
  <c r="A838" i="6"/>
  <c r="F837" i="6"/>
  <c r="I849" i="6" s="1"/>
  <c r="A837" i="6"/>
  <c r="B837" i="6" s="1"/>
  <c r="E849" i="6" s="1"/>
  <c r="A836" i="6"/>
  <c r="F835" i="6"/>
  <c r="I847" i="6" s="1"/>
  <c r="B835" i="6"/>
  <c r="E847" i="6" s="1"/>
  <c r="A835" i="6"/>
  <c r="F834" i="6"/>
  <c r="G834" i="6" s="1"/>
  <c r="H834" i="6" s="1"/>
  <c r="B834" i="6"/>
  <c r="E846" i="6" s="1"/>
  <c r="A834" i="6"/>
  <c r="F833" i="6"/>
  <c r="I845" i="6" s="1"/>
  <c r="A833" i="6"/>
  <c r="B833" i="6" s="1"/>
  <c r="E845" i="6" s="1"/>
  <c r="H832" i="6"/>
  <c r="F832" i="6"/>
  <c r="G832" i="6" s="1"/>
  <c r="A832" i="6"/>
  <c r="B832" i="6" s="1"/>
  <c r="F831" i="6"/>
  <c r="G831" i="6" s="1"/>
  <c r="H831" i="6" s="1"/>
  <c r="D831" i="6"/>
  <c r="C831" i="6"/>
  <c r="B831" i="6"/>
  <c r="E843" i="6" s="1"/>
  <c r="A831" i="6"/>
  <c r="F830" i="6"/>
  <c r="G830" i="6" s="1"/>
  <c r="H830" i="6" s="1"/>
  <c r="B830" i="6"/>
  <c r="A830" i="6"/>
  <c r="F829" i="6"/>
  <c r="I841" i="6" s="1"/>
  <c r="A829" i="6"/>
  <c r="B829" i="6" s="1"/>
  <c r="E841" i="6" s="1"/>
  <c r="F828" i="6"/>
  <c r="G828" i="6" s="1"/>
  <c r="H828" i="6" s="1"/>
  <c r="B828" i="6"/>
  <c r="A828" i="6"/>
  <c r="F827" i="6"/>
  <c r="B827" i="6"/>
  <c r="A827" i="6"/>
  <c r="F826" i="6"/>
  <c r="I838" i="6" s="1"/>
  <c r="B826" i="6"/>
  <c r="A826" i="6"/>
  <c r="A825" i="6"/>
  <c r="F824" i="6"/>
  <c r="B824" i="6"/>
  <c r="C824" i="6" s="1"/>
  <c r="D824" i="6" s="1"/>
  <c r="A824" i="6"/>
  <c r="F823" i="6"/>
  <c r="B823" i="6"/>
  <c r="E835" i="6" s="1"/>
  <c r="A823" i="6"/>
  <c r="B822" i="6"/>
  <c r="A822" i="6"/>
  <c r="F822" i="6" s="1"/>
  <c r="E821" i="6"/>
  <c r="A821" i="6"/>
  <c r="B821" i="6" s="1"/>
  <c r="C821" i="6" s="1"/>
  <c r="D821" i="6" s="1"/>
  <c r="F820" i="6"/>
  <c r="G820" i="6" s="1"/>
  <c r="H820" i="6" s="1"/>
  <c r="B820" i="6"/>
  <c r="E832" i="6" s="1"/>
  <c r="A820" i="6"/>
  <c r="I819" i="6"/>
  <c r="F819" i="6"/>
  <c r="B819" i="6"/>
  <c r="E831" i="6" s="1"/>
  <c r="A819" i="6"/>
  <c r="A818" i="6"/>
  <c r="A817" i="6"/>
  <c r="H816" i="6"/>
  <c r="F816" i="6"/>
  <c r="G816" i="6" s="1"/>
  <c r="B816" i="6"/>
  <c r="A816" i="6"/>
  <c r="F815" i="6"/>
  <c r="I827" i="6" s="1"/>
  <c r="E815" i="6"/>
  <c r="B815" i="6"/>
  <c r="E827" i="6" s="1"/>
  <c r="A815" i="6"/>
  <c r="A814" i="6"/>
  <c r="A813" i="6"/>
  <c r="H812" i="6"/>
  <c r="G812" i="6"/>
  <c r="F812" i="6"/>
  <c r="I824" i="6" s="1"/>
  <c r="B812" i="6"/>
  <c r="A812" i="6"/>
  <c r="F811" i="6"/>
  <c r="B811" i="6"/>
  <c r="A811" i="6"/>
  <c r="A810" i="6"/>
  <c r="F809" i="6"/>
  <c r="E809" i="6"/>
  <c r="A809" i="6"/>
  <c r="B809" i="6" s="1"/>
  <c r="F808" i="6"/>
  <c r="A808" i="6"/>
  <c r="B808" i="6" s="1"/>
  <c r="F807" i="6"/>
  <c r="B807" i="6"/>
  <c r="A807" i="6"/>
  <c r="F806" i="6"/>
  <c r="B806" i="6"/>
  <c r="A806" i="6"/>
  <c r="A805" i="6"/>
  <c r="A804" i="6"/>
  <c r="I803" i="6"/>
  <c r="F803" i="6"/>
  <c r="I815" i="6" s="1"/>
  <c r="C803" i="6"/>
  <c r="D803" i="6" s="1"/>
  <c r="A803" i="6"/>
  <c r="B803" i="6" s="1"/>
  <c r="F802" i="6"/>
  <c r="B802" i="6"/>
  <c r="A802" i="6"/>
  <c r="A801" i="6"/>
  <c r="G800" i="6"/>
  <c r="H800" i="6" s="1"/>
  <c r="B800" i="6"/>
  <c r="A800" i="6"/>
  <c r="F800" i="6" s="1"/>
  <c r="I812" i="6" s="1"/>
  <c r="F799" i="6"/>
  <c r="C799" i="6"/>
  <c r="D799" i="6" s="1"/>
  <c r="A799" i="6"/>
  <c r="B799" i="6" s="1"/>
  <c r="B798" i="6"/>
  <c r="A798" i="6"/>
  <c r="F798" i="6" s="1"/>
  <c r="F797" i="6"/>
  <c r="A797" i="6"/>
  <c r="B797" i="6" s="1"/>
  <c r="F796" i="6"/>
  <c r="A796" i="6"/>
  <c r="B796" i="6" s="1"/>
  <c r="A795" i="6"/>
  <c r="C794" i="6"/>
  <c r="D794" i="6" s="1"/>
  <c r="A794" i="6"/>
  <c r="B794" i="6" s="1"/>
  <c r="E806" i="6" s="1"/>
  <c r="F793" i="6"/>
  <c r="E793" i="6"/>
  <c r="A793" i="6"/>
  <c r="B793" i="6" s="1"/>
  <c r="A792" i="6"/>
  <c r="F792" i="6" s="1"/>
  <c r="F791" i="6"/>
  <c r="G791" i="6" s="1"/>
  <c r="H791" i="6" s="1"/>
  <c r="B791" i="6"/>
  <c r="A791" i="6"/>
  <c r="F790" i="6"/>
  <c r="B790" i="6"/>
  <c r="E802" i="6" s="1"/>
  <c r="A790" i="6"/>
  <c r="A789" i="6"/>
  <c r="A788" i="6"/>
  <c r="C787" i="6"/>
  <c r="D787" i="6" s="1"/>
  <c r="A787" i="6"/>
  <c r="B787" i="6" s="1"/>
  <c r="E799" i="6" s="1"/>
  <c r="F786" i="6"/>
  <c r="B786" i="6"/>
  <c r="A786" i="6"/>
  <c r="A785" i="6"/>
  <c r="I784" i="6"/>
  <c r="B784" i="6"/>
  <c r="E796" i="6" s="1"/>
  <c r="A784" i="6"/>
  <c r="F784" i="6" s="1"/>
  <c r="I796" i="6" s="1"/>
  <c r="A783" i="6"/>
  <c r="A782" i="6"/>
  <c r="F781" i="6"/>
  <c r="A781" i="6"/>
  <c r="B781" i="6" s="1"/>
  <c r="F780" i="6"/>
  <c r="B780" i="6"/>
  <c r="A780" i="6"/>
  <c r="A779" i="6"/>
  <c r="F779" i="6" s="1"/>
  <c r="I791" i="6" s="1"/>
  <c r="F778" i="6"/>
  <c r="A778" i="6"/>
  <c r="B778" i="6" s="1"/>
  <c r="A777" i="6"/>
  <c r="F776" i="6"/>
  <c r="C776" i="6"/>
  <c r="D776" i="6" s="1"/>
  <c r="A776" i="6"/>
  <c r="B776" i="6" s="1"/>
  <c r="F775" i="6"/>
  <c r="B775" i="6"/>
  <c r="A775" i="6"/>
  <c r="F774" i="6"/>
  <c r="B774" i="6"/>
  <c r="A774" i="6"/>
  <c r="A773" i="6"/>
  <c r="F772" i="6"/>
  <c r="E772" i="6"/>
  <c r="A772" i="6"/>
  <c r="B772" i="6" s="1"/>
  <c r="E784" i="6" s="1"/>
  <c r="A771" i="6"/>
  <c r="F770" i="6"/>
  <c r="B770" i="6"/>
  <c r="A770" i="6"/>
  <c r="A769" i="6"/>
  <c r="B768" i="6"/>
  <c r="A768" i="6"/>
  <c r="F768" i="6" s="1"/>
  <c r="A767" i="6"/>
  <c r="F766" i="6"/>
  <c r="G766" i="6" s="1"/>
  <c r="H766" i="6" s="1"/>
  <c r="B766" i="6"/>
  <c r="A766" i="6"/>
  <c r="F765" i="6"/>
  <c r="E765" i="6"/>
  <c r="A765" i="6"/>
  <c r="B765" i="6" s="1"/>
  <c r="A764" i="6"/>
  <c r="A763" i="6"/>
  <c r="F763" i="6" s="1"/>
  <c r="A762" i="6"/>
  <c r="A761" i="6"/>
  <c r="I760" i="6"/>
  <c r="F760" i="6"/>
  <c r="I772" i="6" s="1"/>
  <c r="A760" i="6"/>
  <c r="B760" i="6" s="1"/>
  <c r="C760" i="6" s="1"/>
  <c r="D760" i="6" s="1"/>
  <c r="F759" i="6"/>
  <c r="E759" i="6"/>
  <c r="B759" i="6"/>
  <c r="A759" i="6"/>
  <c r="A758" i="6"/>
  <c r="A757" i="6"/>
  <c r="A756" i="6"/>
  <c r="A755" i="6"/>
  <c r="F754" i="6"/>
  <c r="I754" i="6" s="1"/>
  <c r="B754" i="6"/>
  <c r="A754" i="6"/>
  <c r="F753" i="6"/>
  <c r="A753" i="6"/>
  <c r="B753" i="6" s="1"/>
  <c r="I752" i="6"/>
  <c r="E752" i="6"/>
  <c r="C752" i="6"/>
  <c r="D752" i="6" s="1"/>
  <c r="B752" i="6"/>
  <c r="A752" i="6"/>
  <c r="F752" i="6" s="1"/>
  <c r="A751" i="6"/>
  <c r="B751" i="6" s="1"/>
  <c r="A750" i="6"/>
  <c r="F750" i="6" s="1"/>
  <c r="G750" i="6" s="1"/>
  <c r="H750" i="6" s="1"/>
  <c r="I749" i="6"/>
  <c r="C749" i="6"/>
  <c r="D749" i="6" s="1"/>
  <c r="B749" i="6"/>
  <c r="A749" i="6"/>
  <c r="F749" i="6" s="1"/>
  <c r="F748" i="6"/>
  <c r="G748" i="6" s="1"/>
  <c r="H748" i="6" s="1"/>
  <c r="C748" i="6"/>
  <c r="D748" i="6" s="1"/>
  <c r="B748" i="6"/>
  <c r="A748" i="6"/>
  <c r="G747" i="6"/>
  <c r="H747" i="6" s="1"/>
  <c r="E747" i="6"/>
  <c r="C747" i="6"/>
  <c r="D747" i="6" s="1"/>
  <c r="B747" i="6"/>
  <c r="A747" i="6"/>
  <c r="F747" i="6" s="1"/>
  <c r="B746" i="6"/>
  <c r="A746" i="6"/>
  <c r="F746" i="6" s="1"/>
  <c r="F745" i="6"/>
  <c r="E745" i="6"/>
  <c r="B745" i="6"/>
  <c r="A745" i="6"/>
  <c r="A744" i="6"/>
  <c r="I743" i="6"/>
  <c r="F743" i="6"/>
  <c r="B743" i="6"/>
  <c r="A743" i="6"/>
  <c r="F742" i="6"/>
  <c r="G743" i="6" s="1"/>
  <c r="H743" i="6" s="1"/>
  <c r="A742" i="6"/>
  <c r="B742" i="6" s="1"/>
  <c r="A741" i="6"/>
  <c r="F740" i="6"/>
  <c r="G740" i="6" s="1"/>
  <c r="H740" i="6" s="1"/>
  <c r="B740" i="6"/>
  <c r="A740" i="6"/>
  <c r="I739" i="6"/>
  <c r="H739" i="6"/>
  <c r="G739" i="6"/>
  <c r="F739" i="6"/>
  <c r="B739" i="6"/>
  <c r="A739" i="6"/>
  <c r="I738" i="6"/>
  <c r="F738" i="6"/>
  <c r="B738" i="6"/>
  <c r="A738" i="6"/>
  <c r="F737" i="6"/>
  <c r="B737" i="6"/>
  <c r="A737" i="6"/>
  <c r="A736" i="6"/>
  <c r="B736" i="6" s="1"/>
  <c r="C736" i="6" s="1"/>
  <c r="D736" i="6" s="1"/>
  <c r="F735" i="6"/>
  <c r="I747" i="6" s="1"/>
  <c r="B735" i="6"/>
  <c r="A735" i="6"/>
  <c r="F734" i="6"/>
  <c r="A734" i="6"/>
  <c r="B734" i="6" s="1"/>
  <c r="E733" i="6"/>
  <c r="B733" i="6"/>
  <c r="C733" i="6" s="1"/>
  <c r="D733" i="6" s="1"/>
  <c r="A733" i="6"/>
  <c r="F733" i="6" s="1"/>
  <c r="F732" i="6"/>
  <c r="E732" i="6"/>
  <c r="A732" i="6"/>
  <c r="B732" i="6" s="1"/>
  <c r="G731" i="6"/>
  <c r="H731" i="6" s="1"/>
  <c r="F731" i="6"/>
  <c r="B731" i="6"/>
  <c r="A731" i="6"/>
  <c r="I730" i="6"/>
  <c r="F730" i="6"/>
  <c r="I742" i="6" s="1"/>
  <c r="E730" i="6"/>
  <c r="D730" i="6"/>
  <c r="C730" i="6"/>
  <c r="B730" i="6"/>
  <c r="E742" i="6" s="1"/>
  <c r="A730" i="6"/>
  <c r="I729" i="6"/>
  <c r="F729" i="6"/>
  <c r="A729" i="6"/>
  <c r="B729" i="6" s="1"/>
  <c r="G728" i="6"/>
  <c r="H728" i="6" s="1"/>
  <c r="F728" i="6"/>
  <c r="I740" i="6" s="1"/>
  <c r="A728" i="6"/>
  <c r="B728" i="6" s="1"/>
  <c r="C729" i="6" s="1"/>
  <c r="D729" i="6" s="1"/>
  <c r="G727" i="6"/>
  <c r="H727" i="6" s="1"/>
  <c r="F727" i="6"/>
  <c r="B727" i="6"/>
  <c r="A727" i="6"/>
  <c r="A726" i="6"/>
  <c r="F726" i="6" s="1"/>
  <c r="F725" i="6"/>
  <c r="A725" i="6"/>
  <c r="B725" i="6" s="1"/>
  <c r="G724" i="6"/>
  <c r="H724" i="6" s="1"/>
  <c r="A724" i="6"/>
  <c r="F724" i="6" s="1"/>
  <c r="F723" i="6"/>
  <c r="B723" i="6"/>
  <c r="A723" i="6"/>
  <c r="B722" i="6"/>
  <c r="A722" i="6"/>
  <c r="F722" i="6" s="1"/>
  <c r="B721" i="6"/>
  <c r="C721" i="6" s="1"/>
  <c r="D721" i="6" s="1"/>
  <c r="A721" i="6"/>
  <c r="F721" i="6" s="1"/>
  <c r="F720" i="6"/>
  <c r="C720" i="6"/>
  <c r="D720" i="6" s="1"/>
  <c r="B720" i="6"/>
  <c r="A720" i="6"/>
  <c r="F719" i="6"/>
  <c r="C719" i="6"/>
  <c r="D719" i="6" s="1"/>
  <c r="B719" i="6"/>
  <c r="E731" i="6" s="1"/>
  <c r="A719" i="6"/>
  <c r="G718" i="6"/>
  <c r="H718" i="6" s="1"/>
  <c r="F718" i="6"/>
  <c r="A718" i="6"/>
  <c r="B718" i="6" s="1"/>
  <c r="I717" i="6"/>
  <c r="A717" i="6"/>
  <c r="F717" i="6" s="1"/>
  <c r="F716" i="6"/>
  <c r="B716" i="6"/>
  <c r="A716" i="6"/>
  <c r="F715" i="6"/>
  <c r="I727" i="6" s="1"/>
  <c r="B715" i="6"/>
  <c r="A715" i="6"/>
  <c r="E714" i="6"/>
  <c r="C714" i="6"/>
  <c r="D714" i="6" s="1"/>
  <c r="B714" i="6"/>
  <c r="A714" i="6"/>
  <c r="F714" i="6" s="1"/>
  <c r="F713" i="6"/>
  <c r="B713" i="6"/>
  <c r="E725" i="6" s="1"/>
  <c r="A713" i="6"/>
  <c r="A712" i="6"/>
  <c r="F711" i="6"/>
  <c r="B711" i="6"/>
  <c r="E723" i="6" s="1"/>
  <c r="A711" i="6"/>
  <c r="F710" i="6"/>
  <c r="A710" i="6"/>
  <c r="B710" i="6" s="1"/>
  <c r="A709" i="6"/>
  <c r="F709" i="6" s="1"/>
  <c r="I708" i="6"/>
  <c r="B708" i="6"/>
  <c r="A708" i="6"/>
  <c r="F708" i="6" s="1"/>
  <c r="F707" i="6"/>
  <c r="B707" i="6"/>
  <c r="A707" i="6"/>
  <c r="A706" i="6"/>
  <c r="F705" i="6"/>
  <c r="E705" i="6"/>
  <c r="A705" i="6"/>
  <c r="B705" i="6" s="1"/>
  <c r="A704" i="6"/>
  <c r="F703" i="6"/>
  <c r="B703" i="6"/>
  <c r="A703" i="6"/>
  <c r="F702" i="6"/>
  <c r="I714" i="6" s="1"/>
  <c r="B702" i="6"/>
  <c r="A702" i="6"/>
  <c r="A701" i="6"/>
  <c r="G700" i="6"/>
  <c r="H700" i="6" s="1"/>
  <c r="F700" i="6"/>
  <c r="A700" i="6"/>
  <c r="B700" i="6" s="1"/>
  <c r="F699" i="6"/>
  <c r="B699" i="6"/>
  <c r="A699" i="6"/>
  <c r="A698" i="6"/>
  <c r="F697" i="6"/>
  <c r="G697" i="6" s="1"/>
  <c r="H697" i="6" s="1"/>
  <c r="B697" i="6"/>
  <c r="A697" i="6"/>
  <c r="F696" i="6"/>
  <c r="C696" i="6"/>
  <c r="D696" i="6" s="1"/>
  <c r="B696" i="6"/>
  <c r="E708" i="6" s="1"/>
  <c r="A696" i="6"/>
  <c r="G695" i="6"/>
  <c r="H695" i="6" s="1"/>
  <c r="F695" i="6"/>
  <c r="I707" i="6" s="1"/>
  <c r="E695" i="6"/>
  <c r="B695" i="6"/>
  <c r="A695" i="6"/>
  <c r="H694" i="6"/>
  <c r="G694" i="6"/>
  <c r="B694" i="6"/>
  <c r="C694" i="6" s="1"/>
  <c r="D694" i="6" s="1"/>
  <c r="A694" i="6"/>
  <c r="F694" i="6" s="1"/>
  <c r="F693" i="6"/>
  <c r="A693" i="6"/>
  <c r="B693" i="6" s="1"/>
  <c r="A692" i="6"/>
  <c r="F692" i="6" s="1"/>
  <c r="F691" i="6"/>
  <c r="B691" i="6"/>
  <c r="E703" i="6" s="1"/>
  <c r="A691" i="6"/>
  <c r="F690" i="6"/>
  <c r="A690" i="6"/>
  <c r="B690" i="6" s="1"/>
  <c r="A689" i="6"/>
  <c r="F689" i="6" s="1"/>
  <c r="A688" i="6"/>
  <c r="F687" i="6"/>
  <c r="C687" i="6"/>
  <c r="D687" i="6" s="1"/>
  <c r="B687" i="6"/>
  <c r="A687" i="6"/>
  <c r="F686" i="6"/>
  <c r="C686" i="6"/>
  <c r="D686" i="6" s="1"/>
  <c r="A686" i="6"/>
  <c r="B686" i="6" s="1"/>
  <c r="F685" i="6"/>
  <c r="E685" i="6"/>
  <c r="A685" i="6"/>
  <c r="B685" i="6" s="1"/>
  <c r="F684" i="6"/>
  <c r="A684" i="6"/>
  <c r="B684" i="6" s="1"/>
  <c r="C684" i="6" s="1"/>
  <c r="D684" i="6" s="1"/>
  <c r="F683" i="6"/>
  <c r="I695" i="6" s="1"/>
  <c r="B683" i="6"/>
  <c r="A683" i="6"/>
  <c r="A682" i="6"/>
  <c r="A681" i="6"/>
  <c r="G680" i="6"/>
  <c r="H680" i="6" s="1"/>
  <c r="F680" i="6"/>
  <c r="C680" i="6"/>
  <c r="D680" i="6" s="1"/>
  <c r="B680" i="6"/>
  <c r="A680" i="6"/>
  <c r="F679" i="6"/>
  <c r="B679" i="6"/>
  <c r="A679" i="6"/>
  <c r="A678" i="6"/>
  <c r="A677" i="6"/>
  <c r="F677" i="6" s="1"/>
  <c r="A676" i="6"/>
  <c r="B676" i="6" s="1"/>
  <c r="F675" i="6"/>
  <c r="D675" i="6"/>
  <c r="B675" i="6"/>
  <c r="A675" i="6"/>
  <c r="A674" i="6"/>
  <c r="B674" i="6" s="1"/>
  <c r="C675" i="6" s="1"/>
  <c r="F673" i="6"/>
  <c r="A673" i="6"/>
  <c r="B673" i="6" s="1"/>
  <c r="I672" i="6"/>
  <c r="A672" i="6"/>
  <c r="F672" i="6" s="1"/>
  <c r="F671" i="6"/>
  <c r="B671" i="6"/>
  <c r="A671" i="6"/>
  <c r="G670" i="6"/>
  <c r="H670" i="6" s="1"/>
  <c r="A670" i="6"/>
  <c r="F670" i="6" s="1"/>
  <c r="F669" i="6"/>
  <c r="A669" i="6"/>
  <c r="B669" i="6" s="1"/>
  <c r="F668" i="6"/>
  <c r="B668" i="6"/>
  <c r="A668" i="6"/>
  <c r="F667" i="6"/>
  <c r="C667" i="6"/>
  <c r="D667" i="6" s="1"/>
  <c r="B667" i="6"/>
  <c r="A667" i="6"/>
  <c r="F666" i="6"/>
  <c r="B666" i="6"/>
  <c r="A666" i="6"/>
  <c r="A665" i="6"/>
  <c r="A664" i="6"/>
  <c r="I663" i="6"/>
  <c r="F663" i="6"/>
  <c r="B663" i="6"/>
  <c r="A663" i="6"/>
  <c r="A662" i="6"/>
  <c r="I661" i="6"/>
  <c r="A661" i="6"/>
  <c r="F661" i="6" s="1"/>
  <c r="F660" i="6"/>
  <c r="E660" i="6"/>
  <c r="B660" i="6"/>
  <c r="A660" i="6"/>
  <c r="A659" i="6"/>
  <c r="A658" i="6"/>
  <c r="F658" i="6" s="1"/>
  <c r="I670" i="6" s="1"/>
  <c r="A657" i="6"/>
  <c r="I656" i="6"/>
  <c r="B656" i="6"/>
  <c r="A656" i="6"/>
  <c r="F656" i="6" s="1"/>
  <c r="A655" i="6"/>
  <c r="A654" i="6"/>
  <c r="A653" i="6"/>
  <c r="F653" i="6" s="1"/>
  <c r="G652" i="6"/>
  <c r="H652" i="6" s="1"/>
  <c r="B652" i="6"/>
  <c r="C652" i="6" s="1"/>
  <c r="D652" i="6" s="1"/>
  <c r="A652" i="6"/>
  <c r="F652" i="6" s="1"/>
  <c r="F651" i="6"/>
  <c r="A651" i="6"/>
  <c r="B651" i="6" s="1"/>
  <c r="A650" i="6"/>
  <c r="G649" i="6"/>
  <c r="H649" i="6" s="1"/>
  <c r="A649" i="6"/>
  <c r="F649" i="6" s="1"/>
  <c r="B648" i="6"/>
  <c r="C648" i="6" s="1"/>
  <c r="D648" i="6" s="1"/>
  <c r="A648" i="6"/>
  <c r="F648" i="6" s="1"/>
  <c r="F647" i="6"/>
  <c r="A647" i="6"/>
  <c r="B647" i="6" s="1"/>
  <c r="A646" i="6"/>
  <c r="A645" i="6"/>
  <c r="B644" i="6"/>
  <c r="A644" i="6"/>
  <c r="F644" i="6" s="1"/>
  <c r="F643" i="6"/>
  <c r="G644" i="6" s="1"/>
  <c r="H644" i="6" s="1"/>
  <c r="A643" i="6"/>
  <c r="B643" i="6" s="1"/>
  <c r="A642" i="6"/>
  <c r="F642" i="6" s="1"/>
  <c r="G642" i="6" s="1"/>
  <c r="H642" i="6" s="1"/>
  <c r="B641" i="6"/>
  <c r="A641" i="6"/>
  <c r="F641" i="6" s="1"/>
  <c r="A640" i="6"/>
  <c r="A639" i="6"/>
  <c r="F638" i="6"/>
  <c r="G638" i="6" s="1"/>
  <c r="H638" i="6" s="1"/>
  <c r="B638" i="6"/>
  <c r="A638" i="6"/>
  <c r="B637" i="6"/>
  <c r="A637" i="6"/>
  <c r="F637" i="6" s="1"/>
  <c r="A636" i="6"/>
  <c r="G635" i="6"/>
  <c r="H635" i="6" s="1"/>
  <c r="F635" i="6"/>
  <c r="B635" i="6"/>
  <c r="A635" i="6"/>
  <c r="A634" i="6"/>
  <c r="F634" i="6" s="1"/>
  <c r="A633" i="6"/>
  <c r="A632" i="6"/>
  <c r="I631" i="6"/>
  <c r="F631" i="6"/>
  <c r="I643" i="6" s="1"/>
  <c r="B631" i="6"/>
  <c r="A631" i="6"/>
  <c r="F630" i="6"/>
  <c r="C630" i="6"/>
  <c r="D630" i="6" s="1"/>
  <c r="B630" i="6"/>
  <c r="A630" i="6"/>
  <c r="F629" i="6"/>
  <c r="I641" i="6" s="1"/>
  <c r="A629" i="6"/>
  <c r="B629" i="6" s="1"/>
  <c r="B628" i="6"/>
  <c r="A628" i="6"/>
  <c r="F628" i="6" s="1"/>
  <c r="F627" i="6"/>
  <c r="B627" i="6"/>
  <c r="A627" i="6"/>
  <c r="A626" i="6"/>
  <c r="A625" i="6"/>
  <c r="A624" i="6"/>
  <c r="A623" i="6"/>
  <c r="F622" i="6"/>
  <c r="B622" i="6"/>
  <c r="C622" i="6" s="1"/>
  <c r="D622" i="6" s="1"/>
  <c r="A622" i="6"/>
  <c r="F621" i="6"/>
  <c r="B621" i="6"/>
  <c r="A621" i="6"/>
  <c r="A620" i="6"/>
  <c r="F619" i="6"/>
  <c r="B619" i="6"/>
  <c r="A619" i="6"/>
  <c r="F618" i="6"/>
  <c r="I618" i="6" s="1"/>
  <c r="A618" i="6"/>
  <c r="B618" i="6" s="1"/>
  <c r="E630" i="6" s="1"/>
  <c r="A617" i="6"/>
  <c r="F617" i="6" s="1"/>
  <c r="A616" i="6"/>
  <c r="B615" i="6"/>
  <c r="A615" i="6"/>
  <c r="F615" i="6" s="1"/>
  <c r="F614" i="6"/>
  <c r="B614" i="6"/>
  <c r="A614" i="6"/>
  <c r="A613" i="6"/>
  <c r="B612" i="6"/>
  <c r="A612" i="6"/>
  <c r="F612" i="6" s="1"/>
  <c r="F611" i="6"/>
  <c r="E611" i="6"/>
  <c r="B611" i="6"/>
  <c r="A611" i="6"/>
  <c r="A610" i="6"/>
  <c r="B609" i="6"/>
  <c r="A609" i="6"/>
  <c r="F609" i="6" s="1"/>
  <c r="A608" i="6"/>
  <c r="A607" i="6"/>
  <c r="F606" i="6"/>
  <c r="C606" i="6"/>
  <c r="D606" i="6" s="1"/>
  <c r="B606" i="6"/>
  <c r="E618" i="6" s="1"/>
  <c r="A606" i="6"/>
  <c r="B605" i="6"/>
  <c r="A605" i="6"/>
  <c r="F605" i="6" s="1"/>
  <c r="A604" i="6"/>
  <c r="F603" i="6"/>
  <c r="B603" i="6"/>
  <c r="A603" i="6"/>
  <c r="B602" i="6"/>
  <c r="A602" i="6"/>
  <c r="F602" i="6" s="1"/>
  <c r="F601" i="6"/>
  <c r="B601" i="6"/>
  <c r="A601" i="6"/>
  <c r="A600" i="6"/>
  <c r="F599" i="6"/>
  <c r="A599" i="6"/>
  <c r="B599" i="6" s="1"/>
  <c r="C599" i="6" s="1"/>
  <c r="D599" i="6" s="1"/>
  <c r="F598" i="6"/>
  <c r="B598" i="6"/>
  <c r="A598" i="6"/>
  <c r="A597" i="6"/>
  <c r="A596" i="6"/>
  <c r="I595" i="6"/>
  <c r="F595" i="6"/>
  <c r="B595" i="6"/>
  <c r="A595" i="6"/>
  <c r="A594" i="6"/>
  <c r="B593" i="6"/>
  <c r="A593" i="6"/>
  <c r="F593" i="6" s="1"/>
  <c r="A592" i="6"/>
  <c r="E591" i="6"/>
  <c r="B591" i="6"/>
  <c r="A591" i="6"/>
  <c r="F591" i="6" s="1"/>
  <c r="I603" i="6" s="1"/>
  <c r="B590" i="6"/>
  <c r="E602" i="6" s="1"/>
  <c r="A590" i="6"/>
  <c r="F590" i="6" s="1"/>
  <c r="A589" i="6"/>
  <c r="A588" i="6"/>
  <c r="F587" i="6"/>
  <c r="A587" i="6"/>
  <c r="B587" i="6" s="1"/>
  <c r="F586" i="6"/>
  <c r="B586" i="6"/>
  <c r="A586" i="6"/>
  <c r="A585" i="6"/>
  <c r="B584" i="6"/>
  <c r="A584" i="6"/>
  <c r="F584" i="6" s="1"/>
  <c r="G583" i="6"/>
  <c r="H583" i="6" s="1"/>
  <c r="F583" i="6"/>
  <c r="G584" i="6" s="1"/>
  <c r="H584" i="6" s="1"/>
  <c r="B583" i="6"/>
  <c r="C583" i="6" s="1"/>
  <c r="D583" i="6" s="1"/>
  <c r="A583" i="6"/>
  <c r="F582" i="6"/>
  <c r="C582" i="6"/>
  <c r="D582" i="6" s="1"/>
  <c r="B582" i="6"/>
  <c r="A582" i="6"/>
  <c r="G581" i="6"/>
  <c r="H581" i="6" s="1"/>
  <c r="F581" i="6"/>
  <c r="D581" i="6"/>
  <c r="C581" i="6"/>
  <c r="B581" i="6"/>
  <c r="E593" i="6" s="1"/>
  <c r="A581" i="6"/>
  <c r="G580" i="6"/>
  <c r="H580" i="6" s="1"/>
  <c r="D580" i="6"/>
  <c r="B580" i="6"/>
  <c r="C580" i="6" s="1"/>
  <c r="A580" i="6"/>
  <c r="F580" i="6" s="1"/>
  <c r="F579" i="6"/>
  <c r="I591" i="6" s="1"/>
  <c r="B579" i="6"/>
  <c r="A579" i="6"/>
  <c r="F578" i="6"/>
  <c r="B578" i="6"/>
  <c r="A578" i="6"/>
  <c r="A577" i="6"/>
  <c r="F576" i="6"/>
  <c r="B576" i="6"/>
  <c r="A576" i="6"/>
  <c r="F575" i="6"/>
  <c r="B575" i="6"/>
  <c r="A575" i="6"/>
  <c r="A574" i="6"/>
  <c r="G573" i="6"/>
  <c r="H573" i="6" s="1"/>
  <c r="D573" i="6"/>
  <c r="C573" i="6"/>
  <c r="B573" i="6"/>
  <c r="A573" i="6"/>
  <c r="F573" i="6" s="1"/>
  <c r="F572" i="6"/>
  <c r="I584" i="6" s="1"/>
  <c r="B572" i="6"/>
  <c r="A572" i="6"/>
  <c r="A571" i="6"/>
  <c r="B570" i="6"/>
  <c r="E582" i="6" s="1"/>
  <c r="A570" i="6"/>
  <c r="F570" i="6" s="1"/>
  <c r="A569" i="6"/>
  <c r="F568" i="6"/>
  <c r="I580" i="6" s="1"/>
  <c r="B568" i="6"/>
  <c r="A568" i="6"/>
  <c r="A567" i="6"/>
  <c r="F566" i="6"/>
  <c r="I578" i="6" s="1"/>
  <c r="B566" i="6"/>
  <c r="A566" i="6"/>
  <c r="A565" i="6"/>
  <c r="F564" i="6"/>
  <c r="E564" i="6"/>
  <c r="A564" i="6"/>
  <c r="B564" i="6" s="1"/>
  <c r="F563" i="6"/>
  <c r="A563" i="6"/>
  <c r="B563" i="6" s="1"/>
  <c r="A562" i="6"/>
  <c r="A561" i="6"/>
  <c r="A560" i="6"/>
  <c r="G559" i="6"/>
  <c r="H559" i="6" s="1"/>
  <c r="F559" i="6"/>
  <c r="C559" i="6"/>
  <c r="D559" i="6" s="1"/>
  <c r="B559" i="6"/>
  <c r="A559" i="6"/>
  <c r="B558" i="6"/>
  <c r="E570" i="6" s="1"/>
  <c r="A558" i="6"/>
  <c r="F558" i="6" s="1"/>
  <c r="C557" i="6"/>
  <c r="D557" i="6" s="1"/>
  <c r="B557" i="6"/>
  <c r="A557" i="6"/>
  <c r="F557" i="6" s="1"/>
  <c r="F556" i="6"/>
  <c r="B556" i="6"/>
  <c r="A556" i="6"/>
  <c r="F555" i="6"/>
  <c r="A555" i="6"/>
  <c r="B555" i="6" s="1"/>
  <c r="A554" i="6"/>
  <c r="A553" i="6"/>
  <c r="F552" i="6"/>
  <c r="G552" i="6" s="1"/>
  <c r="H552" i="6" s="1"/>
  <c r="A552" i="6"/>
  <c r="B552" i="6" s="1"/>
  <c r="C552" i="6" s="1"/>
  <c r="D552" i="6" s="1"/>
  <c r="F551" i="6"/>
  <c r="I563" i="6" s="1"/>
  <c r="A551" i="6"/>
  <c r="B551" i="6" s="1"/>
  <c r="B550" i="6"/>
  <c r="A550" i="6"/>
  <c r="F550" i="6" s="1"/>
  <c r="A549" i="6"/>
  <c r="F548" i="6"/>
  <c r="B548" i="6"/>
  <c r="A548" i="6"/>
  <c r="A547" i="6"/>
  <c r="F546" i="6"/>
  <c r="C546" i="6"/>
  <c r="D546" i="6" s="1"/>
  <c r="B546" i="6"/>
  <c r="A546" i="6"/>
  <c r="E545" i="6"/>
  <c r="B545" i="6"/>
  <c r="A545" i="6"/>
  <c r="F545" i="6" s="1"/>
  <c r="A544" i="6"/>
  <c r="A543" i="6"/>
  <c r="A542" i="6"/>
  <c r="B541" i="6"/>
  <c r="A541" i="6"/>
  <c r="F541" i="6" s="1"/>
  <c r="A540" i="6"/>
  <c r="F539" i="6"/>
  <c r="A539" i="6"/>
  <c r="B539" i="6" s="1"/>
  <c r="A538" i="6"/>
  <c r="F538" i="6" s="1"/>
  <c r="A537" i="6"/>
  <c r="A536" i="6"/>
  <c r="G535" i="6"/>
  <c r="H535" i="6" s="1"/>
  <c r="A535" i="6"/>
  <c r="F535" i="6" s="1"/>
  <c r="F534" i="6"/>
  <c r="A534" i="6"/>
  <c r="B534" i="6" s="1"/>
  <c r="E546" i="6" s="1"/>
  <c r="G533" i="6"/>
  <c r="H533" i="6" s="1"/>
  <c r="C533" i="6"/>
  <c r="D533" i="6" s="1"/>
  <c r="B533" i="6"/>
  <c r="A533" i="6"/>
  <c r="F533" i="6" s="1"/>
  <c r="I545" i="6" s="1"/>
  <c r="F532" i="6"/>
  <c r="G532" i="6" s="1"/>
  <c r="H532" i="6" s="1"/>
  <c r="A532" i="6"/>
  <c r="B532" i="6" s="1"/>
  <c r="F531" i="6"/>
  <c r="A531" i="6"/>
  <c r="B531" i="6" s="1"/>
  <c r="F530" i="6"/>
  <c r="B530" i="6"/>
  <c r="A530" i="6"/>
  <c r="D529" i="6"/>
  <c r="C529" i="6"/>
  <c r="B529" i="6"/>
  <c r="A529" i="6"/>
  <c r="F529" i="6" s="1"/>
  <c r="B528" i="6"/>
  <c r="A528" i="6"/>
  <c r="F528" i="6" s="1"/>
  <c r="A527" i="6"/>
  <c r="A526" i="6"/>
  <c r="A525" i="6"/>
  <c r="F525" i="6" s="1"/>
  <c r="A524" i="6"/>
  <c r="A523" i="6"/>
  <c r="F523" i="6" s="1"/>
  <c r="F522" i="6"/>
  <c r="B522" i="6"/>
  <c r="A522" i="6"/>
  <c r="A521" i="6"/>
  <c r="F520" i="6"/>
  <c r="A520" i="6"/>
  <c r="B520" i="6" s="1"/>
  <c r="A519" i="6"/>
  <c r="F518" i="6"/>
  <c r="B518" i="6"/>
  <c r="A518" i="6"/>
  <c r="A517" i="6"/>
  <c r="A516" i="6"/>
  <c r="F516" i="6" s="1"/>
  <c r="A515" i="6"/>
  <c r="F514" i="6"/>
  <c r="B514" i="6"/>
  <c r="A514" i="6"/>
  <c r="A513" i="6"/>
  <c r="A512" i="6"/>
  <c r="F511" i="6"/>
  <c r="E511" i="6"/>
  <c r="A511" i="6"/>
  <c r="B511" i="6" s="1"/>
  <c r="F510" i="6"/>
  <c r="A510" i="6"/>
  <c r="B510" i="6" s="1"/>
  <c r="A509" i="6"/>
  <c r="F509" i="6" s="1"/>
  <c r="B508" i="6"/>
  <c r="A508" i="6"/>
  <c r="F508" i="6" s="1"/>
  <c r="B507" i="6"/>
  <c r="A507" i="6"/>
  <c r="F507" i="6" s="1"/>
  <c r="G507" i="6" s="1"/>
  <c r="H507" i="6" s="1"/>
  <c r="G506" i="6"/>
  <c r="H506" i="6" s="1"/>
  <c r="A506" i="6"/>
  <c r="F506" i="6" s="1"/>
  <c r="B505" i="6"/>
  <c r="A505" i="6"/>
  <c r="F505" i="6" s="1"/>
  <c r="B504" i="6"/>
  <c r="A504" i="6"/>
  <c r="F504" i="6" s="1"/>
  <c r="A503" i="6"/>
  <c r="F502" i="6"/>
  <c r="C502" i="6"/>
  <c r="D502" i="6" s="1"/>
  <c r="A502" i="6"/>
  <c r="B502" i="6" s="1"/>
  <c r="E514" i="6" s="1"/>
  <c r="I501" i="6"/>
  <c r="H501" i="6"/>
  <c r="G501" i="6"/>
  <c r="E501" i="6"/>
  <c r="B501" i="6"/>
  <c r="A501" i="6"/>
  <c r="F501" i="6" s="1"/>
  <c r="B500" i="6"/>
  <c r="A500" i="6"/>
  <c r="F500" i="6" s="1"/>
  <c r="F499" i="6"/>
  <c r="A499" i="6"/>
  <c r="B499" i="6" s="1"/>
  <c r="A498" i="6"/>
  <c r="B498" i="6" s="1"/>
  <c r="I497" i="6"/>
  <c r="A497" i="6"/>
  <c r="F497" i="6" s="1"/>
  <c r="A496" i="6"/>
  <c r="B495" i="6"/>
  <c r="A495" i="6"/>
  <c r="F495" i="6" s="1"/>
  <c r="F494" i="6"/>
  <c r="B494" i="6"/>
  <c r="A494" i="6"/>
  <c r="I493" i="6"/>
  <c r="A493" i="6"/>
  <c r="F493" i="6" s="1"/>
  <c r="F492" i="6"/>
  <c r="E492" i="6"/>
  <c r="B492" i="6"/>
  <c r="A492" i="6"/>
  <c r="A491" i="6"/>
  <c r="A490" i="6"/>
  <c r="F490" i="6" s="1"/>
  <c r="I502" i="6" s="1"/>
  <c r="G489" i="6"/>
  <c r="H489" i="6" s="1"/>
  <c r="B489" i="6"/>
  <c r="A489" i="6"/>
  <c r="F489" i="6" s="1"/>
  <c r="A488" i="6"/>
  <c r="F488" i="6" s="1"/>
  <c r="I500" i="6" s="1"/>
  <c r="A487" i="6"/>
  <c r="F486" i="6"/>
  <c r="B486" i="6"/>
  <c r="A486" i="6"/>
  <c r="I485" i="6"/>
  <c r="A485" i="6"/>
  <c r="F485" i="6" s="1"/>
  <c r="B484" i="6"/>
  <c r="A484" i="6"/>
  <c r="F484" i="6" s="1"/>
  <c r="A483" i="6"/>
  <c r="F482" i="6"/>
  <c r="B482" i="6"/>
  <c r="A482" i="6"/>
  <c r="D481" i="6"/>
  <c r="C481" i="6"/>
  <c r="B481" i="6"/>
  <c r="A481" i="6"/>
  <c r="F481" i="6" s="1"/>
  <c r="G481" i="6" s="1"/>
  <c r="H481" i="6" s="1"/>
  <c r="I480" i="6"/>
  <c r="F480" i="6"/>
  <c r="E480" i="6"/>
  <c r="A480" i="6"/>
  <c r="B480" i="6" s="1"/>
  <c r="G479" i="6"/>
  <c r="H479" i="6" s="1"/>
  <c r="F479" i="6"/>
  <c r="A479" i="6"/>
  <c r="B479" i="6" s="1"/>
  <c r="C479" i="6" s="1"/>
  <c r="D479" i="6" s="1"/>
  <c r="B478" i="6"/>
  <c r="A478" i="6"/>
  <c r="F478" i="6" s="1"/>
  <c r="A477" i="6"/>
  <c r="B476" i="6"/>
  <c r="A476" i="6"/>
  <c r="F476" i="6" s="1"/>
  <c r="F475" i="6"/>
  <c r="E475" i="6"/>
  <c r="B475" i="6"/>
  <c r="A475" i="6"/>
  <c r="A474" i="6"/>
  <c r="F473" i="6"/>
  <c r="A473" i="6"/>
  <c r="B473" i="6" s="1"/>
  <c r="A472" i="6"/>
  <c r="E471" i="6"/>
  <c r="B471" i="6"/>
  <c r="A471" i="6"/>
  <c r="F471" i="6" s="1"/>
  <c r="A470" i="6"/>
  <c r="F470" i="6" s="1"/>
  <c r="A469" i="6"/>
  <c r="B468" i="6"/>
  <c r="A468" i="6"/>
  <c r="F468" i="6" s="1"/>
  <c r="F467" i="6"/>
  <c r="I479" i="6" s="1"/>
  <c r="A467" i="6"/>
  <c r="B467" i="6" s="1"/>
  <c r="F466" i="6"/>
  <c r="B466" i="6"/>
  <c r="C466" i="6" s="1"/>
  <c r="D466" i="6" s="1"/>
  <c r="A466" i="6"/>
  <c r="F465" i="6"/>
  <c r="E465" i="6"/>
  <c r="A465" i="6"/>
  <c r="B465" i="6" s="1"/>
  <c r="I464" i="6"/>
  <c r="G464" i="6"/>
  <c r="H464" i="6" s="1"/>
  <c r="A464" i="6"/>
  <c r="F464" i="6" s="1"/>
  <c r="F463" i="6"/>
  <c r="E463" i="6"/>
  <c r="D463" i="6"/>
  <c r="B463" i="6"/>
  <c r="C463" i="6" s="1"/>
  <c r="A463" i="6"/>
  <c r="G462" i="6"/>
  <c r="H462" i="6" s="1"/>
  <c r="F462" i="6"/>
  <c r="C462" i="6"/>
  <c r="D462" i="6" s="1"/>
  <c r="A462" i="6"/>
  <c r="B462" i="6" s="1"/>
  <c r="E461" i="6"/>
  <c r="B461" i="6"/>
  <c r="E473" i="6" s="1"/>
  <c r="A461" i="6"/>
  <c r="F461" i="6" s="1"/>
  <c r="G461" i="6" s="1"/>
  <c r="H461" i="6" s="1"/>
  <c r="H460" i="6"/>
  <c r="G460" i="6"/>
  <c r="A460" i="6"/>
  <c r="F460" i="6" s="1"/>
  <c r="F459" i="6"/>
  <c r="E459" i="6"/>
  <c r="B459" i="6"/>
  <c r="A459" i="6"/>
  <c r="G458" i="6"/>
  <c r="H458" i="6" s="1"/>
  <c r="F458" i="6"/>
  <c r="I470" i="6" s="1"/>
  <c r="C458" i="6"/>
  <c r="D458" i="6" s="1"/>
  <c r="A458" i="6"/>
  <c r="B458" i="6" s="1"/>
  <c r="B457" i="6"/>
  <c r="A457" i="6"/>
  <c r="F457" i="6" s="1"/>
  <c r="G457" i="6" s="1"/>
  <c r="H457" i="6" s="1"/>
  <c r="H456" i="6"/>
  <c r="G456" i="6"/>
  <c r="A456" i="6"/>
  <c r="F456" i="6" s="1"/>
  <c r="I468" i="6" s="1"/>
  <c r="F455" i="6"/>
  <c r="E455" i="6"/>
  <c r="B455" i="6"/>
  <c r="A455" i="6"/>
  <c r="F454" i="6"/>
  <c r="A454" i="6"/>
  <c r="B454" i="6" s="1"/>
  <c r="E466" i="6" s="1"/>
  <c r="B453" i="6"/>
  <c r="A453" i="6"/>
  <c r="F453" i="6" s="1"/>
  <c r="G453" i="6" s="1"/>
  <c r="H453" i="6" s="1"/>
  <c r="G452" i="6"/>
  <c r="H452" i="6" s="1"/>
  <c r="A452" i="6"/>
  <c r="F452" i="6" s="1"/>
  <c r="F451" i="6"/>
  <c r="E451" i="6"/>
  <c r="B451" i="6"/>
  <c r="A451" i="6"/>
  <c r="F450" i="6"/>
  <c r="C450" i="6"/>
  <c r="D450" i="6" s="1"/>
  <c r="A450" i="6"/>
  <c r="B450" i="6" s="1"/>
  <c r="E462" i="6" s="1"/>
  <c r="E449" i="6"/>
  <c r="B449" i="6"/>
  <c r="A449" i="6"/>
  <c r="F449" i="6" s="1"/>
  <c r="G448" i="6"/>
  <c r="H448" i="6" s="1"/>
  <c r="A448" i="6"/>
  <c r="F448" i="6" s="1"/>
  <c r="I460" i="6" s="1"/>
  <c r="F447" i="6"/>
  <c r="E447" i="6"/>
  <c r="B447" i="6"/>
  <c r="A447" i="6"/>
  <c r="F446" i="6"/>
  <c r="A446" i="6"/>
  <c r="B446" i="6" s="1"/>
  <c r="E445" i="6"/>
  <c r="B445" i="6"/>
  <c r="E457" i="6" s="1"/>
  <c r="A445" i="6"/>
  <c r="F445" i="6" s="1"/>
  <c r="A444" i="6"/>
  <c r="F444" i="6" s="1"/>
  <c r="F443" i="6"/>
  <c r="B443" i="6"/>
  <c r="A443" i="6"/>
  <c r="A442" i="6"/>
  <c r="F442" i="6" s="1"/>
  <c r="B441" i="6"/>
  <c r="E453" i="6" s="1"/>
  <c r="A441" i="6"/>
  <c r="F441" i="6" s="1"/>
  <c r="A440" i="6"/>
  <c r="F440" i="6" s="1"/>
  <c r="I439" i="6"/>
  <c r="F439" i="6"/>
  <c r="B439" i="6"/>
  <c r="A439" i="6"/>
  <c r="E438" i="6"/>
  <c r="B438" i="6"/>
  <c r="E450" i="6" s="1"/>
  <c r="A438" i="6"/>
  <c r="F438" i="6" s="1"/>
  <c r="C437" i="6"/>
  <c r="D437" i="6" s="1"/>
  <c r="B437" i="6"/>
  <c r="A437" i="6"/>
  <c r="F437" i="6" s="1"/>
  <c r="B436" i="6"/>
  <c r="C436" i="6" s="1"/>
  <c r="D436" i="6" s="1"/>
  <c r="A436" i="6"/>
  <c r="F436" i="6" s="1"/>
  <c r="I448" i="6" s="1"/>
  <c r="F435" i="6"/>
  <c r="E435" i="6"/>
  <c r="B435" i="6"/>
  <c r="A435" i="6"/>
  <c r="G434" i="6"/>
  <c r="H434" i="6" s="1"/>
  <c r="F434" i="6"/>
  <c r="I446" i="6" s="1"/>
  <c r="E434" i="6"/>
  <c r="A434" i="6"/>
  <c r="B434" i="6" s="1"/>
  <c r="E433" i="6"/>
  <c r="B433" i="6"/>
  <c r="A433" i="6"/>
  <c r="F433" i="6" s="1"/>
  <c r="A432" i="6"/>
  <c r="I431" i="6"/>
  <c r="F431" i="6"/>
  <c r="B431" i="6"/>
  <c r="A431" i="6"/>
  <c r="G430" i="6"/>
  <c r="H430" i="6" s="1"/>
  <c r="C430" i="6"/>
  <c r="D430" i="6" s="1"/>
  <c r="B430" i="6"/>
  <c r="A430" i="6"/>
  <c r="F430" i="6" s="1"/>
  <c r="I442" i="6" s="1"/>
  <c r="B429" i="6"/>
  <c r="A429" i="6"/>
  <c r="F429" i="6" s="1"/>
  <c r="I428" i="6"/>
  <c r="E428" i="6"/>
  <c r="B428" i="6"/>
  <c r="A428" i="6"/>
  <c r="F428" i="6" s="1"/>
  <c r="F427" i="6"/>
  <c r="B427" i="6"/>
  <c r="A427" i="6"/>
  <c r="F426" i="6"/>
  <c r="A426" i="6"/>
  <c r="B426" i="6" s="1"/>
  <c r="C426" i="6" s="1"/>
  <c r="D426" i="6" s="1"/>
  <c r="B425" i="6"/>
  <c r="E425" i="6" s="1"/>
  <c r="A425" i="6"/>
  <c r="F425" i="6" s="1"/>
  <c r="A424" i="6"/>
  <c r="F424" i="6" s="1"/>
  <c r="I436" i="6" s="1"/>
  <c r="F423" i="6"/>
  <c r="E423" i="6"/>
  <c r="B423" i="6"/>
  <c r="A423" i="6"/>
  <c r="H422" i="6"/>
  <c r="G422" i="6"/>
  <c r="F422" i="6"/>
  <c r="A422" i="6"/>
  <c r="B422" i="6" s="1"/>
  <c r="C422" i="6" s="1"/>
  <c r="D422" i="6" s="1"/>
  <c r="E421" i="6"/>
  <c r="B421" i="6"/>
  <c r="A421" i="6"/>
  <c r="F421" i="6" s="1"/>
  <c r="A420" i="6"/>
  <c r="F420" i="6" s="1"/>
  <c r="G420" i="6" s="1"/>
  <c r="H420" i="6" s="1"/>
  <c r="I419" i="6"/>
  <c r="F419" i="6"/>
  <c r="B419" i="6"/>
  <c r="A419" i="6"/>
  <c r="A418" i="6"/>
  <c r="B417" i="6"/>
  <c r="E429" i="6" s="1"/>
  <c r="A417" i="6"/>
  <c r="F417" i="6" s="1"/>
  <c r="B416" i="6"/>
  <c r="C416" i="6" s="1"/>
  <c r="D416" i="6" s="1"/>
  <c r="A416" i="6"/>
  <c r="F416" i="6" s="1"/>
  <c r="G416" i="6" s="1"/>
  <c r="H416" i="6" s="1"/>
  <c r="I415" i="6"/>
  <c r="F415" i="6"/>
  <c r="B415" i="6"/>
  <c r="A415" i="6"/>
  <c r="B414" i="6"/>
  <c r="E426" i="6" s="1"/>
  <c r="A414" i="6"/>
  <c r="F414" i="6" s="1"/>
  <c r="E413" i="6"/>
  <c r="B413" i="6"/>
  <c r="A413" i="6"/>
  <c r="F413" i="6" s="1"/>
  <c r="G412" i="6"/>
  <c r="H412" i="6" s="1"/>
  <c r="B412" i="6"/>
  <c r="A412" i="6"/>
  <c r="F412" i="6" s="1"/>
  <c r="I424" i="6" s="1"/>
  <c r="F411" i="6"/>
  <c r="E411" i="6"/>
  <c r="B411" i="6"/>
  <c r="A411" i="6"/>
  <c r="A410" i="6"/>
  <c r="B409" i="6"/>
  <c r="A409" i="6"/>
  <c r="F409" i="6" s="1"/>
  <c r="A408" i="6"/>
  <c r="F407" i="6"/>
  <c r="B407" i="6"/>
  <c r="A407" i="6"/>
  <c r="A406" i="6"/>
  <c r="B405" i="6"/>
  <c r="A405" i="6"/>
  <c r="F405" i="6" s="1"/>
  <c r="A404" i="6"/>
  <c r="F403" i="6"/>
  <c r="B403" i="6"/>
  <c r="A403" i="6"/>
  <c r="F402" i="6"/>
  <c r="E402" i="6"/>
  <c r="C402" i="6"/>
  <c r="D402" i="6" s="1"/>
  <c r="A402" i="6"/>
  <c r="B402" i="6" s="1"/>
  <c r="E414" i="6" s="1"/>
  <c r="B401" i="6"/>
  <c r="A401" i="6"/>
  <c r="F401" i="6" s="1"/>
  <c r="A400" i="6"/>
  <c r="F400" i="6" s="1"/>
  <c r="I412" i="6" s="1"/>
  <c r="F399" i="6"/>
  <c r="E399" i="6"/>
  <c r="B399" i="6"/>
  <c r="A399" i="6"/>
  <c r="B398" i="6"/>
  <c r="A398" i="6"/>
  <c r="F398" i="6" s="1"/>
  <c r="A397" i="6"/>
  <c r="B396" i="6"/>
  <c r="A396" i="6"/>
  <c r="F396" i="6" s="1"/>
  <c r="F395" i="6"/>
  <c r="E395" i="6"/>
  <c r="B395" i="6"/>
  <c r="A395" i="6"/>
  <c r="F394" i="6"/>
  <c r="E394" i="6"/>
  <c r="A394" i="6"/>
  <c r="B394" i="6" s="1"/>
  <c r="A393" i="6"/>
  <c r="F393" i="6" s="1"/>
  <c r="A392" i="6"/>
  <c r="I391" i="6"/>
  <c r="F391" i="6"/>
  <c r="I403" i="6" s="1"/>
  <c r="B391" i="6"/>
  <c r="A391" i="6"/>
  <c r="A390" i="6"/>
  <c r="B390" i="6" s="1"/>
  <c r="B389" i="6"/>
  <c r="A389" i="6"/>
  <c r="F389" i="6" s="1"/>
  <c r="A388" i="6"/>
  <c r="F388" i="6" s="1"/>
  <c r="I400" i="6" s="1"/>
  <c r="G387" i="6"/>
  <c r="H387" i="6" s="1"/>
  <c r="F387" i="6"/>
  <c r="E387" i="6"/>
  <c r="B387" i="6"/>
  <c r="A387" i="6"/>
  <c r="H386" i="6"/>
  <c r="G386" i="6"/>
  <c r="B386" i="6"/>
  <c r="A386" i="6"/>
  <c r="F386" i="6" s="1"/>
  <c r="B385" i="6"/>
  <c r="A385" i="6"/>
  <c r="F385" i="6" s="1"/>
  <c r="A384" i="6"/>
  <c r="F384" i="6" s="1"/>
  <c r="I383" i="6"/>
  <c r="F383" i="6"/>
  <c r="E383" i="6"/>
  <c r="B383" i="6"/>
  <c r="A383" i="6"/>
  <c r="F382" i="6"/>
  <c r="A382" i="6"/>
  <c r="B382" i="6" s="1"/>
  <c r="A381" i="6"/>
  <c r="F381" i="6" s="1"/>
  <c r="A380" i="6"/>
  <c r="I379" i="6"/>
  <c r="F379" i="6"/>
  <c r="B379" i="6"/>
  <c r="A379" i="6"/>
  <c r="A378" i="6"/>
  <c r="B378" i="6" s="1"/>
  <c r="C378" i="6" s="1"/>
  <c r="D378" i="6" s="1"/>
  <c r="B377" i="6"/>
  <c r="A377" i="6"/>
  <c r="F377" i="6" s="1"/>
  <c r="G376" i="6"/>
  <c r="H376" i="6" s="1"/>
  <c r="A376" i="6"/>
  <c r="F376" i="6" s="1"/>
  <c r="I388" i="6" s="1"/>
  <c r="F375" i="6"/>
  <c r="E375" i="6"/>
  <c r="B375" i="6"/>
  <c r="A375" i="6"/>
  <c r="A374" i="6"/>
  <c r="A373" i="6"/>
  <c r="F373" i="6" s="1"/>
  <c r="B372" i="6"/>
  <c r="A372" i="6"/>
  <c r="F372" i="6" s="1"/>
  <c r="F371" i="6"/>
  <c r="E371" i="6"/>
  <c r="B371" i="6"/>
  <c r="A371" i="6"/>
  <c r="A370" i="6"/>
  <c r="A369" i="6"/>
  <c r="F369" i="6" s="1"/>
  <c r="A368" i="6"/>
  <c r="F367" i="6"/>
  <c r="B367" i="6"/>
  <c r="A367" i="6"/>
  <c r="A366" i="6"/>
  <c r="A365" i="6"/>
  <c r="A364" i="6"/>
  <c r="F363" i="6"/>
  <c r="E363" i="6"/>
  <c r="B363" i="6"/>
  <c r="A363" i="6"/>
  <c r="G362" i="6"/>
  <c r="H362" i="6" s="1"/>
  <c r="E362" i="6"/>
  <c r="B362" i="6"/>
  <c r="A362" i="6"/>
  <c r="F362" i="6" s="1"/>
  <c r="B361" i="6"/>
  <c r="A361" i="6"/>
  <c r="F361" i="6" s="1"/>
  <c r="A360" i="6"/>
  <c r="F360" i="6" s="1"/>
  <c r="F359" i="6"/>
  <c r="G359" i="6" s="1"/>
  <c r="H359" i="6" s="1"/>
  <c r="E359" i="6"/>
  <c r="B359" i="6"/>
  <c r="A359" i="6"/>
  <c r="F358" i="6"/>
  <c r="A358" i="6"/>
  <c r="B358" i="6" s="1"/>
  <c r="A357" i="6"/>
  <c r="F357" i="6" s="1"/>
  <c r="A356" i="6"/>
  <c r="F355" i="6"/>
  <c r="B355" i="6"/>
  <c r="A355" i="6"/>
  <c r="A354" i="6"/>
  <c r="A353" i="6"/>
  <c r="F353" i="6" s="1"/>
  <c r="A352" i="6"/>
  <c r="F351" i="6"/>
  <c r="E351" i="6"/>
  <c r="B351" i="6"/>
  <c r="A351" i="6"/>
  <c r="G350" i="6"/>
  <c r="H350" i="6" s="1"/>
  <c r="E350" i="6"/>
  <c r="C350" i="6"/>
  <c r="D350" i="6" s="1"/>
  <c r="B350" i="6"/>
  <c r="A350" i="6"/>
  <c r="F350" i="6" s="1"/>
  <c r="B349" i="6"/>
  <c r="A349" i="6"/>
  <c r="F349" i="6" s="1"/>
  <c r="A348" i="6"/>
  <c r="F348" i="6" s="1"/>
  <c r="I347" i="6"/>
  <c r="F347" i="6"/>
  <c r="E347" i="6"/>
  <c r="B347" i="6"/>
  <c r="A347" i="6"/>
  <c r="A346" i="6"/>
  <c r="A345" i="6"/>
  <c r="A344" i="6"/>
  <c r="I343" i="6"/>
  <c r="F343" i="6"/>
  <c r="B343" i="6"/>
  <c r="A343" i="6"/>
  <c r="A342" i="6"/>
  <c r="B341" i="6"/>
  <c r="A341" i="6"/>
  <c r="F341" i="6" s="1"/>
  <c r="A340" i="6"/>
  <c r="F339" i="6"/>
  <c r="B339" i="6"/>
  <c r="A339" i="6"/>
  <c r="B338" i="6"/>
  <c r="A338" i="6"/>
  <c r="F338" i="6" s="1"/>
  <c r="I350" i="6" s="1"/>
  <c r="B337" i="6"/>
  <c r="A337" i="6"/>
  <c r="F337" i="6" s="1"/>
  <c r="A336" i="6"/>
  <c r="I335" i="6"/>
  <c r="F335" i="6"/>
  <c r="G335" i="6" s="1"/>
  <c r="H335" i="6" s="1"/>
  <c r="B335" i="6"/>
  <c r="A335" i="6"/>
  <c r="F334" i="6"/>
  <c r="E334" i="6"/>
  <c r="B334" i="6"/>
  <c r="A334" i="6"/>
  <c r="A333" i="6"/>
  <c r="E332" i="6"/>
  <c r="B332" i="6"/>
  <c r="A332" i="6"/>
  <c r="F332" i="6" s="1"/>
  <c r="G332" i="6" s="1"/>
  <c r="H332" i="6" s="1"/>
  <c r="F331" i="6"/>
  <c r="B331" i="6"/>
  <c r="A331" i="6"/>
  <c r="F330" i="6"/>
  <c r="G330" i="6" s="1"/>
  <c r="H330" i="6" s="1"/>
  <c r="A330" i="6"/>
  <c r="B330" i="6" s="1"/>
  <c r="A329" i="6"/>
  <c r="F329" i="6" s="1"/>
  <c r="A328" i="6"/>
  <c r="F327" i="6"/>
  <c r="B327" i="6"/>
  <c r="A327" i="6"/>
  <c r="A326" i="6"/>
  <c r="A325" i="6"/>
  <c r="A324" i="6"/>
  <c r="I323" i="6"/>
  <c r="F323" i="6"/>
  <c r="B323" i="6"/>
  <c r="C323" i="6" s="1"/>
  <c r="D323" i="6" s="1"/>
  <c r="A323" i="6"/>
  <c r="F322" i="6"/>
  <c r="I334" i="6" s="1"/>
  <c r="B322" i="6"/>
  <c r="A322" i="6"/>
  <c r="B321" i="6"/>
  <c r="A321" i="6"/>
  <c r="F321" i="6" s="1"/>
  <c r="F320" i="6"/>
  <c r="I332" i="6" s="1"/>
  <c r="B320" i="6"/>
  <c r="A320" i="6"/>
  <c r="F319" i="6"/>
  <c r="G320" i="6" s="1"/>
  <c r="H320" i="6" s="1"/>
  <c r="B319" i="6"/>
  <c r="A319" i="6"/>
  <c r="A318" i="6"/>
  <c r="B317" i="6"/>
  <c r="A317" i="6"/>
  <c r="F317" i="6" s="1"/>
  <c r="B316" i="6"/>
  <c r="C316" i="6" s="1"/>
  <c r="D316" i="6" s="1"/>
  <c r="A316" i="6"/>
  <c r="F316" i="6" s="1"/>
  <c r="I315" i="6"/>
  <c r="F315" i="6"/>
  <c r="I327" i="6" s="1"/>
  <c r="B315" i="6"/>
  <c r="A315" i="6"/>
  <c r="F314" i="6"/>
  <c r="E314" i="6"/>
  <c r="D314" i="6"/>
  <c r="C314" i="6"/>
  <c r="B314" i="6"/>
  <c r="A314" i="6"/>
  <c r="E313" i="6"/>
  <c r="C313" i="6"/>
  <c r="D313" i="6" s="1"/>
  <c r="B313" i="6"/>
  <c r="A313" i="6"/>
  <c r="F313" i="6" s="1"/>
  <c r="H312" i="6"/>
  <c r="G312" i="6"/>
  <c r="F312" i="6"/>
  <c r="B312" i="6"/>
  <c r="A312" i="6"/>
  <c r="G311" i="6"/>
  <c r="H311" i="6" s="1"/>
  <c r="F311" i="6"/>
  <c r="B311" i="6"/>
  <c r="A311" i="6"/>
  <c r="A310" i="6"/>
  <c r="F310" i="6" s="1"/>
  <c r="I322" i="6" s="1"/>
  <c r="I309" i="6"/>
  <c r="B309" i="6"/>
  <c r="A309" i="6"/>
  <c r="F309" i="6" s="1"/>
  <c r="B308" i="6"/>
  <c r="A308" i="6"/>
  <c r="F308" i="6" s="1"/>
  <c r="F307" i="6"/>
  <c r="B307" i="6"/>
  <c r="A307" i="6"/>
  <c r="F306" i="6"/>
  <c r="E306" i="6"/>
  <c r="A306" i="6"/>
  <c r="B306" i="6" s="1"/>
  <c r="F305" i="6"/>
  <c r="A305" i="6"/>
  <c r="B305" i="6" s="1"/>
  <c r="A304" i="6"/>
  <c r="I303" i="6"/>
  <c r="F303" i="6"/>
  <c r="B303" i="6"/>
  <c r="A303" i="6"/>
  <c r="C302" i="6"/>
  <c r="D302" i="6" s="1"/>
  <c r="A302" i="6"/>
  <c r="B302" i="6" s="1"/>
  <c r="F301" i="6"/>
  <c r="E301" i="6"/>
  <c r="D301" i="6"/>
  <c r="C301" i="6"/>
  <c r="B301" i="6"/>
  <c r="A301" i="6"/>
  <c r="F300" i="6"/>
  <c r="C300" i="6"/>
  <c r="D300" i="6" s="1"/>
  <c r="B300" i="6"/>
  <c r="E312" i="6" s="1"/>
  <c r="A300" i="6"/>
  <c r="F299" i="6"/>
  <c r="I311" i="6" s="1"/>
  <c r="B299" i="6"/>
  <c r="A299" i="6"/>
  <c r="B298" i="6"/>
  <c r="A298" i="6"/>
  <c r="F298" i="6" s="1"/>
  <c r="F297" i="6"/>
  <c r="B297" i="6"/>
  <c r="E309" i="6" s="1"/>
  <c r="A297" i="6"/>
  <c r="G296" i="6"/>
  <c r="H296" i="6" s="1"/>
  <c r="A296" i="6"/>
  <c r="F296" i="6" s="1"/>
  <c r="G295" i="6"/>
  <c r="H295" i="6" s="1"/>
  <c r="F295" i="6"/>
  <c r="I307" i="6" s="1"/>
  <c r="B295" i="6"/>
  <c r="A295" i="6"/>
  <c r="F294" i="6"/>
  <c r="G294" i="6" s="1"/>
  <c r="H294" i="6" s="1"/>
  <c r="B294" i="6"/>
  <c r="A294" i="6"/>
  <c r="F293" i="6"/>
  <c r="A293" i="6"/>
  <c r="B293" i="6" s="1"/>
  <c r="A292" i="6"/>
  <c r="I291" i="6"/>
  <c r="F291" i="6"/>
  <c r="B291" i="6"/>
  <c r="A291" i="6"/>
  <c r="F290" i="6"/>
  <c r="A290" i="6"/>
  <c r="B290" i="6" s="1"/>
  <c r="C290" i="6" s="1"/>
  <c r="D290" i="6" s="1"/>
  <c r="F289" i="6"/>
  <c r="E289" i="6"/>
  <c r="A289" i="6"/>
  <c r="B289" i="6" s="1"/>
  <c r="I288" i="6"/>
  <c r="B288" i="6"/>
  <c r="A288" i="6"/>
  <c r="F288" i="6" s="1"/>
  <c r="I287" i="6"/>
  <c r="F287" i="6"/>
  <c r="E287" i="6"/>
  <c r="B287" i="6"/>
  <c r="A287" i="6"/>
  <c r="A286" i="6"/>
  <c r="A285" i="6"/>
  <c r="I284" i="6"/>
  <c r="C284" i="6"/>
  <c r="D284" i="6" s="1"/>
  <c r="B284" i="6"/>
  <c r="A284" i="6"/>
  <c r="F284" i="6" s="1"/>
  <c r="F283" i="6"/>
  <c r="I295" i="6" s="1"/>
  <c r="B283" i="6"/>
  <c r="A283" i="6"/>
  <c r="F282" i="6"/>
  <c r="G282" i="6" s="1"/>
  <c r="H282" i="6" s="1"/>
  <c r="B282" i="6"/>
  <c r="A282" i="6"/>
  <c r="B281" i="6"/>
  <c r="A281" i="6"/>
  <c r="F281" i="6" s="1"/>
  <c r="C280" i="6"/>
  <c r="D280" i="6" s="1"/>
  <c r="B280" i="6"/>
  <c r="A280" i="6"/>
  <c r="F280" i="6" s="1"/>
  <c r="G279" i="6"/>
  <c r="H279" i="6" s="1"/>
  <c r="F279" i="6"/>
  <c r="E279" i="6"/>
  <c r="B279" i="6"/>
  <c r="A279" i="6"/>
  <c r="I278" i="6"/>
  <c r="B278" i="6"/>
  <c r="A278" i="6"/>
  <c r="F278" i="6" s="1"/>
  <c r="B277" i="6"/>
  <c r="C277" i="6" s="1"/>
  <c r="D277" i="6" s="1"/>
  <c r="A277" i="6"/>
  <c r="F277" i="6" s="1"/>
  <c r="G276" i="6"/>
  <c r="H276" i="6" s="1"/>
  <c r="C276" i="6"/>
  <c r="D276" i="6" s="1"/>
  <c r="B276" i="6"/>
  <c r="E288" i="6" s="1"/>
  <c r="A276" i="6"/>
  <c r="F276" i="6" s="1"/>
  <c r="G275" i="6"/>
  <c r="H275" i="6" s="1"/>
  <c r="F275" i="6"/>
  <c r="B275" i="6"/>
  <c r="A275" i="6"/>
  <c r="B274" i="6"/>
  <c r="A274" i="6"/>
  <c r="F274" i="6" s="1"/>
  <c r="F273" i="6"/>
  <c r="B273" i="6"/>
  <c r="A273" i="6"/>
  <c r="H272" i="6"/>
  <c r="G272" i="6"/>
  <c r="A272" i="6"/>
  <c r="F272" i="6" s="1"/>
  <c r="H271" i="6"/>
  <c r="G271" i="6"/>
  <c r="F271" i="6"/>
  <c r="B271" i="6"/>
  <c r="A271" i="6"/>
  <c r="F270" i="6"/>
  <c r="E270" i="6"/>
  <c r="D270" i="6"/>
  <c r="C270" i="6"/>
  <c r="B270" i="6"/>
  <c r="A270" i="6"/>
  <c r="F269" i="6"/>
  <c r="A269" i="6"/>
  <c r="B269" i="6" s="1"/>
  <c r="A268" i="6"/>
  <c r="G267" i="6"/>
  <c r="H267" i="6" s="1"/>
  <c r="F267" i="6"/>
  <c r="B267" i="6"/>
  <c r="A267" i="6"/>
  <c r="F266" i="6"/>
  <c r="A266" i="6"/>
  <c r="B266" i="6" s="1"/>
  <c r="F265" i="6"/>
  <c r="E265" i="6"/>
  <c r="A265" i="6"/>
  <c r="B265" i="6" s="1"/>
  <c r="A264" i="6"/>
  <c r="I263" i="6"/>
  <c r="F263" i="6"/>
  <c r="B263" i="6"/>
  <c r="A263" i="6"/>
  <c r="E262" i="6"/>
  <c r="A262" i="6"/>
  <c r="B262" i="6" s="1"/>
  <c r="A261" i="6"/>
  <c r="I260" i="6"/>
  <c r="B260" i="6"/>
  <c r="C260" i="6" s="1"/>
  <c r="D260" i="6" s="1"/>
  <c r="A260" i="6"/>
  <c r="F260" i="6" s="1"/>
  <c r="F259" i="6"/>
  <c r="B259" i="6"/>
  <c r="A259" i="6"/>
  <c r="H258" i="6"/>
  <c r="G258" i="6"/>
  <c r="F258" i="6"/>
  <c r="I270" i="6" s="1"/>
  <c r="B258" i="6"/>
  <c r="A258" i="6"/>
  <c r="B257" i="6"/>
  <c r="E269" i="6" s="1"/>
  <c r="A257" i="6"/>
  <c r="F257" i="6" s="1"/>
  <c r="B256" i="6"/>
  <c r="C257" i="6" s="1"/>
  <c r="D257" i="6" s="1"/>
  <c r="A256" i="6"/>
  <c r="F256" i="6" s="1"/>
  <c r="F255" i="6"/>
  <c r="B255" i="6"/>
  <c r="A255" i="6"/>
  <c r="G254" i="6"/>
  <c r="H254" i="6" s="1"/>
  <c r="A254" i="6"/>
  <c r="F254" i="6" s="1"/>
  <c r="I266" i="6" s="1"/>
  <c r="B253" i="6"/>
  <c r="A253" i="6"/>
  <c r="F253" i="6" s="1"/>
  <c r="B252" i="6"/>
  <c r="A252" i="6"/>
  <c r="F252" i="6" s="1"/>
  <c r="G251" i="6"/>
  <c r="H251" i="6" s="1"/>
  <c r="F251" i="6"/>
  <c r="G252" i="6" s="1"/>
  <c r="H252" i="6" s="1"/>
  <c r="B251" i="6"/>
  <c r="A251" i="6"/>
  <c r="C250" i="6"/>
  <c r="D250" i="6" s="1"/>
  <c r="B250" i="6"/>
  <c r="A250" i="6"/>
  <c r="F250" i="6" s="1"/>
  <c r="F249" i="6"/>
  <c r="E249" i="6"/>
  <c r="B249" i="6"/>
  <c r="A249" i="6"/>
  <c r="A248" i="6"/>
  <c r="F248" i="6" s="1"/>
  <c r="F247" i="6"/>
  <c r="B247" i="6"/>
  <c r="A247" i="6"/>
  <c r="I246" i="6"/>
  <c r="F246" i="6"/>
  <c r="E246" i="6"/>
  <c r="B246" i="6"/>
  <c r="C246" i="6" s="1"/>
  <c r="D246" i="6" s="1"/>
  <c r="A246" i="6"/>
  <c r="F245" i="6"/>
  <c r="E245" i="6"/>
  <c r="A245" i="6"/>
  <c r="B245" i="6" s="1"/>
  <c r="A244" i="6"/>
  <c r="F243" i="6"/>
  <c r="B243" i="6"/>
  <c r="A243" i="6"/>
  <c r="F242" i="6"/>
  <c r="A242" i="6"/>
  <c r="B242" i="6" s="1"/>
  <c r="A241" i="6"/>
  <c r="A240" i="6"/>
  <c r="I239" i="6"/>
  <c r="F239" i="6"/>
  <c r="I251" i="6" s="1"/>
  <c r="B239" i="6"/>
  <c r="A239" i="6"/>
  <c r="A238" i="6"/>
  <c r="C237" i="6"/>
  <c r="D237" i="6" s="1"/>
  <c r="B237" i="6"/>
  <c r="A237" i="6"/>
  <c r="F237" i="6" s="1"/>
  <c r="F236" i="6"/>
  <c r="E236" i="6"/>
  <c r="C236" i="6"/>
  <c r="D236" i="6" s="1"/>
  <c r="B236" i="6"/>
  <c r="A236" i="6"/>
  <c r="F235" i="6"/>
  <c r="G235" i="6" s="1"/>
  <c r="H235" i="6" s="1"/>
  <c r="E235" i="6"/>
  <c r="B235" i="6"/>
  <c r="A235" i="6"/>
  <c r="F234" i="6"/>
  <c r="B234" i="6"/>
  <c r="E234" i="6" s="1"/>
  <c r="A234" i="6"/>
  <c r="A233" i="6"/>
  <c r="B233" i="6" s="1"/>
  <c r="H232" i="6"/>
  <c r="G232" i="6"/>
  <c r="B232" i="6"/>
  <c r="A232" i="6"/>
  <c r="F232" i="6" s="1"/>
  <c r="F231" i="6"/>
  <c r="E231" i="6"/>
  <c r="B231" i="6"/>
  <c r="A231" i="6"/>
  <c r="B230" i="6"/>
  <c r="A230" i="6"/>
  <c r="F230" i="6" s="1"/>
  <c r="I229" i="6"/>
  <c r="F229" i="6"/>
  <c r="B229" i="6"/>
  <c r="A229" i="6"/>
  <c r="A228" i="6"/>
  <c r="I227" i="6"/>
  <c r="F227" i="6"/>
  <c r="B227" i="6"/>
  <c r="A227" i="6"/>
  <c r="A226" i="6"/>
  <c r="B226" i="6" s="1"/>
  <c r="A225" i="6"/>
  <c r="F224" i="6"/>
  <c r="B224" i="6"/>
  <c r="E224" i="6" s="1"/>
  <c r="A224" i="6"/>
  <c r="F223" i="6"/>
  <c r="B223" i="6"/>
  <c r="C223" i="6" s="1"/>
  <c r="D223" i="6" s="1"/>
  <c r="A223" i="6"/>
  <c r="F222" i="6"/>
  <c r="B222" i="6"/>
  <c r="A222" i="6"/>
  <c r="A221" i="6"/>
  <c r="C220" i="6"/>
  <c r="D220" i="6" s="1"/>
  <c r="B220" i="6"/>
  <c r="A220" i="6"/>
  <c r="F220" i="6" s="1"/>
  <c r="F219" i="6"/>
  <c r="E219" i="6"/>
  <c r="B219" i="6"/>
  <c r="A219" i="6"/>
  <c r="F218" i="6"/>
  <c r="I230" i="6" s="1"/>
  <c r="A218" i="6"/>
  <c r="B218" i="6" s="1"/>
  <c r="F217" i="6"/>
  <c r="C217" i="6"/>
  <c r="D217" i="6" s="1"/>
  <c r="B217" i="6"/>
  <c r="A217" i="6"/>
  <c r="A216" i="6"/>
  <c r="B216" i="6" s="1"/>
  <c r="C216" i="6" s="1"/>
  <c r="D216" i="6" s="1"/>
  <c r="I215" i="6"/>
  <c r="F215" i="6"/>
  <c r="B215" i="6"/>
  <c r="E227" i="6" s="1"/>
  <c r="A215" i="6"/>
  <c r="B214" i="6"/>
  <c r="A214" i="6"/>
  <c r="F214" i="6" s="1"/>
  <c r="H213" i="6"/>
  <c r="A213" i="6"/>
  <c r="F213" i="6" s="1"/>
  <c r="G213" i="6" s="1"/>
  <c r="G212" i="6"/>
  <c r="H212" i="6" s="1"/>
  <c r="F212" i="6"/>
  <c r="E212" i="6"/>
  <c r="C212" i="6"/>
  <c r="D212" i="6" s="1"/>
  <c r="B212" i="6"/>
  <c r="A212" i="6"/>
  <c r="G211" i="6"/>
  <c r="H211" i="6" s="1"/>
  <c r="F211" i="6"/>
  <c r="I223" i="6" s="1"/>
  <c r="B211" i="6"/>
  <c r="A211" i="6"/>
  <c r="F210" i="6"/>
  <c r="B210" i="6"/>
  <c r="A210" i="6"/>
  <c r="A209" i="6"/>
  <c r="B209" i="6" s="1"/>
  <c r="A208" i="6"/>
  <c r="F207" i="6"/>
  <c r="B207" i="6"/>
  <c r="A207" i="6"/>
  <c r="I206" i="6"/>
  <c r="A206" i="6"/>
  <c r="F206" i="6" s="1"/>
  <c r="I218" i="6" s="1"/>
  <c r="F205" i="6"/>
  <c r="I205" i="6" s="1"/>
  <c r="B205" i="6"/>
  <c r="A205" i="6"/>
  <c r="A204" i="6"/>
  <c r="F204" i="6" s="1"/>
  <c r="G204" i="6" s="1"/>
  <c r="H204" i="6" s="1"/>
  <c r="I203" i="6"/>
  <c r="F203" i="6"/>
  <c r="B203" i="6"/>
  <c r="A203" i="6"/>
  <c r="F202" i="6"/>
  <c r="E202" i="6"/>
  <c r="A202" i="6"/>
  <c r="B202" i="6" s="1"/>
  <c r="A201" i="6"/>
  <c r="B201" i="6" s="1"/>
  <c r="F200" i="6"/>
  <c r="I212" i="6" s="1"/>
  <c r="B200" i="6"/>
  <c r="A200" i="6"/>
  <c r="A199" i="6"/>
  <c r="B199" i="6" s="1"/>
  <c r="I198" i="6"/>
  <c r="F198" i="6"/>
  <c r="B198" i="6"/>
  <c r="A198" i="6"/>
  <c r="A197" i="6"/>
  <c r="I196" i="6"/>
  <c r="F196" i="6"/>
  <c r="B196" i="6"/>
  <c r="A196" i="6"/>
  <c r="F195" i="6"/>
  <c r="A195" i="6"/>
  <c r="B195" i="6" s="1"/>
  <c r="E207" i="6" s="1"/>
  <c r="F194" i="6"/>
  <c r="B194" i="6"/>
  <c r="A194" i="6"/>
  <c r="A193" i="6"/>
  <c r="F193" i="6" s="1"/>
  <c r="G193" i="6" s="1"/>
  <c r="H193" i="6" s="1"/>
  <c r="I192" i="6"/>
  <c r="F192" i="6"/>
  <c r="G192" i="6" s="1"/>
  <c r="H192" i="6" s="1"/>
  <c r="E192" i="6"/>
  <c r="D192" i="6"/>
  <c r="C192" i="6"/>
  <c r="B192" i="6"/>
  <c r="A192" i="6"/>
  <c r="F191" i="6"/>
  <c r="A191" i="6"/>
  <c r="B191" i="6" s="1"/>
  <c r="F190" i="6"/>
  <c r="E190" i="6"/>
  <c r="B190" i="6"/>
  <c r="A190" i="6"/>
  <c r="A189" i="6"/>
  <c r="I188" i="6"/>
  <c r="F188" i="6"/>
  <c r="E188" i="6"/>
  <c r="B188" i="6"/>
  <c r="E200" i="6" s="1"/>
  <c r="A188" i="6"/>
  <c r="F187" i="6"/>
  <c r="B187" i="6"/>
  <c r="A187" i="6"/>
  <c r="I186" i="6"/>
  <c r="F186" i="6"/>
  <c r="B186" i="6"/>
  <c r="E198" i="6" s="1"/>
  <c r="A186" i="6"/>
  <c r="G185" i="6"/>
  <c r="H185" i="6" s="1"/>
  <c r="F185" i="6"/>
  <c r="B185" i="6"/>
  <c r="C185" i="6" s="1"/>
  <c r="D185" i="6" s="1"/>
  <c r="A185" i="6"/>
  <c r="I184" i="6"/>
  <c r="F184" i="6"/>
  <c r="B184" i="6"/>
  <c r="E196" i="6" s="1"/>
  <c r="A184" i="6"/>
  <c r="I183" i="6"/>
  <c r="F183" i="6"/>
  <c r="G183" i="6" s="1"/>
  <c r="H183" i="6" s="1"/>
  <c r="A183" i="6"/>
  <c r="B183" i="6" s="1"/>
  <c r="F182" i="6"/>
  <c r="G182" i="6" s="1"/>
  <c r="H182" i="6" s="1"/>
  <c r="B182" i="6"/>
  <c r="E194" i="6" s="1"/>
  <c r="A182" i="6"/>
  <c r="G181" i="6"/>
  <c r="H181" i="6" s="1"/>
  <c r="B181" i="6"/>
  <c r="A181" i="6"/>
  <c r="F181" i="6" s="1"/>
  <c r="I180" i="6"/>
  <c r="F180" i="6"/>
  <c r="E180" i="6"/>
  <c r="B180" i="6"/>
  <c r="A180" i="6"/>
  <c r="A179" i="6"/>
  <c r="F179" i="6" s="1"/>
  <c r="F178" i="6"/>
  <c r="B178" i="6"/>
  <c r="A178" i="6"/>
  <c r="A177" i="6"/>
  <c r="F177" i="6" s="1"/>
  <c r="I176" i="6"/>
  <c r="F176" i="6"/>
  <c r="E176" i="6"/>
  <c r="B176" i="6"/>
  <c r="A176" i="6"/>
  <c r="A175" i="6"/>
  <c r="B175" i="6" s="1"/>
  <c r="C175" i="6" s="1"/>
  <c r="D175" i="6" s="1"/>
  <c r="I174" i="6"/>
  <c r="F174" i="6"/>
  <c r="B174" i="6"/>
  <c r="E186" i="6" s="1"/>
  <c r="A174" i="6"/>
  <c r="A173" i="6"/>
  <c r="I172" i="6"/>
  <c r="F172" i="6"/>
  <c r="B172" i="6"/>
  <c r="E184" i="6" s="1"/>
  <c r="A172" i="6"/>
  <c r="I171" i="6"/>
  <c r="F171" i="6"/>
  <c r="G171" i="6" s="1"/>
  <c r="H171" i="6" s="1"/>
  <c r="A171" i="6"/>
  <c r="B171" i="6" s="1"/>
  <c r="I170" i="6"/>
  <c r="F170" i="6"/>
  <c r="B170" i="6"/>
  <c r="A170" i="6"/>
  <c r="A169" i="6"/>
  <c r="F169" i="6" s="1"/>
  <c r="I181" i="6" s="1"/>
  <c r="F168" i="6"/>
  <c r="G168" i="6" s="1"/>
  <c r="H168" i="6" s="1"/>
  <c r="E168" i="6"/>
  <c r="C168" i="6"/>
  <c r="D168" i="6" s="1"/>
  <c r="B168" i="6"/>
  <c r="A168" i="6"/>
  <c r="F167" i="6"/>
  <c r="A167" i="6"/>
  <c r="B167" i="6" s="1"/>
  <c r="F166" i="6"/>
  <c r="E166" i="6"/>
  <c r="B166" i="6"/>
  <c r="E178" i="6" s="1"/>
  <c r="A166" i="6"/>
  <c r="A165" i="6"/>
  <c r="I164" i="6"/>
  <c r="F164" i="6"/>
  <c r="E164" i="6"/>
  <c r="B164" i="6"/>
  <c r="C164" i="6" s="1"/>
  <c r="D164" i="6" s="1"/>
  <c r="A164" i="6"/>
  <c r="I163" i="6"/>
  <c r="F163" i="6"/>
  <c r="E163" i="6"/>
  <c r="B163" i="6"/>
  <c r="C163" i="6" s="1"/>
  <c r="D163" i="6" s="1"/>
  <c r="A163" i="6"/>
  <c r="I162" i="6"/>
  <c r="F162" i="6"/>
  <c r="B162" i="6"/>
  <c r="A162" i="6"/>
  <c r="F161" i="6"/>
  <c r="B161" i="6"/>
  <c r="A161" i="6"/>
  <c r="F160" i="6"/>
  <c r="B160" i="6"/>
  <c r="E172" i="6" s="1"/>
  <c r="A160" i="6"/>
  <c r="F159" i="6"/>
  <c r="G159" i="6" s="1"/>
  <c r="H159" i="6" s="1"/>
  <c r="A159" i="6"/>
  <c r="B159" i="6" s="1"/>
  <c r="F158" i="6"/>
  <c r="B158" i="6"/>
  <c r="A158" i="6"/>
  <c r="F157" i="6"/>
  <c r="B157" i="6"/>
  <c r="A157" i="6"/>
  <c r="F156" i="6"/>
  <c r="B156" i="6"/>
  <c r="A156" i="6"/>
  <c r="B155" i="6"/>
  <c r="C155" i="6" s="1"/>
  <c r="D155" i="6" s="1"/>
  <c r="A155" i="6"/>
  <c r="F155" i="6" s="1"/>
  <c r="I154" i="6"/>
  <c r="F154" i="6"/>
  <c r="E154" i="6"/>
  <c r="B154" i="6"/>
  <c r="A154" i="6"/>
  <c r="F153" i="6"/>
  <c r="B153" i="6"/>
  <c r="A153" i="6"/>
  <c r="I152" i="6"/>
  <c r="F152" i="6"/>
  <c r="C152" i="6"/>
  <c r="D152" i="6" s="1"/>
  <c r="B152" i="6"/>
  <c r="A152" i="6"/>
  <c r="G151" i="6"/>
  <c r="H151" i="6" s="1"/>
  <c r="F151" i="6"/>
  <c r="I151" i="6" s="1"/>
  <c r="B151" i="6"/>
  <c r="A151" i="6"/>
  <c r="F150" i="6"/>
  <c r="B150" i="6"/>
  <c r="A150" i="6"/>
  <c r="A149" i="6"/>
  <c r="F148" i="6"/>
  <c r="E148" i="6"/>
  <c r="B148" i="6"/>
  <c r="E160" i="6" s="1"/>
  <c r="A148" i="6"/>
  <c r="A147" i="6"/>
  <c r="F147" i="6" s="1"/>
  <c r="G147" i="6" s="1"/>
  <c r="H147" i="6" s="1"/>
  <c r="F146" i="6"/>
  <c r="B146" i="6"/>
  <c r="A146" i="6"/>
  <c r="A145" i="6"/>
  <c r="F144" i="6"/>
  <c r="B144" i="6"/>
  <c r="A144" i="6"/>
  <c r="G143" i="6"/>
  <c r="H143" i="6" s="1"/>
  <c r="F143" i="6"/>
  <c r="B143" i="6"/>
  <c r="A143" i="6"/>
  <c r="F142" i="6"/>
  <c r="B142" i="6"/>
  <c r="C142" i="6" s="1"/>
  <c r="D142" i="6" s="1"/>
  <c r="A142" i="6"/>
  <c r="F141" i="6"/>
  <c r="G141" i="6" s="1"/>
  <c r="H141" i="6" s="1"/>
  <c r="A141" i="6"/>
  <c r="B141" i="6" s="1"/>
  <c r="F140" i="6"/>
  <c r="B140" i="6"/>
  <c r="E152" i="6" s="1"/>
  <c r="A140" i="6"/>
  <c r="I139" i="6"/>
  <c r="F139" i="6"/>
  <c r="B139" i="6"/>
  <c r="A139" i="6"/>
  <c r="F138" i="6"/>
  <c r="E138" i="6"/>
  <c r="B138" i="6"/>
  <c r="A138" i="6"/>
  <c r="G137" i="6"/>
  <c r="H137" i="6" s="1"/>
  <c r="B137" i="6"/>
  <c r="A137" i="6"/>
  <c r="F137" i="6" s="1"/>
  <c r="F136" i="6"/>
  <c r="I148" i="6" s="1"/>
  <c r="B136" i="6"/>
  <c r="C136" i="6" s="1"/>
  <c r="D136" i="6" s="1"/>
  <c r="A136" i="6"/>
  <c r="F135" i="6"/>
  <c r="B135" i="6"/>
  <c r="A135" i="6"/>
  <c r="F134" i="6"/>
  <c r="B134" i="6"/>
  <c r="E146" i="6" s="1"/>
  <c r="A134" i="6"/>
  <c r="F133" i="6"/>
  <c r="B133" i="6"/>
  <c r="A133" i="6"/>
  <c r="F132" i="6"/>
  <c r="E132" i="6"/>
  <c r="C132" i="6"/>
  <c r="D132" i="6" s="1"/>
  <c r="B132" i="6"/>
  <c r="E144" i="6" s="1"/>
  <c r="A132" i="6"/>
  <c r="G131" i="6"/>
  <c r="H131" i="6" s="1"/>
  <c r="B131" i="6"/>
  <c r="C131" i="6" s="1"/>
  <c r="D131" i="6" s="1"/>
  <c r="A131" i="6"/>
  <c r="F131" i="6" s="1"/>
  <c r="I143" i="6" s="1"/>
  <c r="F130" i="6"/>
  <c r="I142" i="6" s="1"/>
  <c r="B130" i="6"/>
  <c r="A130" i="6"/>
  <c r="F129" i="6"/>
  <c r="B129" i="6"/>
  <c r="E141" i="6" s="1"/>
  <c r="A129" i="6"/>
  <c r="F128" i="6"/>
  <c r="B128" i="6"/>
  <c r="C129" i="6" s="1"/>
  <c r="D129" i="6" s="1"/>
  <c r="A128" i="6"/>
  <c r="F127" i="6"/>
  <c r="B127" i="6"/>
  <c r="A127" i="6"/>
  <c r="F126" i="6"/>
  <c r="E126" i="6"/>
  <c r="B126" i="6"/>
  <c r="A126" i="6"/>
  <c r="B125" i="6"/>
  <c r="A125" i="6"/>
  <c r="F125" i="6" s="1"/>
  <c r="I137" i="6" s="1"/>
  <c r="F124" i="6"/>
  <c r="I136" i="6" s="1"/>
  <c r="B124" i="6"/>
  <c r="A124" i="6"/>
  <c r="F123" i="6"/>
  <c r="B123" i="6"/>
  <c r="E135" i="6" s="1"/>
  <c r="A123" i="6"/>
  <c r="F122" i="6"/>
  <c r="B122" i="6"/>
  <c r="A122" i="6"/>
  <c r="F121" i="6"/>
  <c r="I133" i="6" s="1"/>
  <c r="B121" i="6"/>
  <c r="A121" i="6"/>
  <c r="F120" i="6"/>
  <c r="E120" i="6"/>
  <c r="B120" i="6"/>
  <c r="A120" i="6"/>
  <c r="G119" i="6"/>
  <c r="H119" i="6" s="1"/>
  <c r="B119" i="6"/>
  <c r="A119" i="6"/>
  <c r="F119" i="6" s="1"/>
  <c r="F118" i="6"/>
  <c r="I130" i="6" s="1"/>
  <c r="B118" i="6"/>
  <c r="A118" i="6"/>
  <c r="F117" i="6"/>
  <c r="B117" i="6"/>
  <c r="E129" i="6" s="1"/>
  <c r="A117" i="6"/>
  <c r="F116" i="6"/>
  <c r="B116" i="6"/>
  <c r="E128" i="6" s="1"/>
  <c r="A116" i="6"/>
  <c r="F115" i="6"/>
  <c r="I127" i="6" s="1"/>
  <c r="B115" i="6"/>
  <c r="A115" i="6"/>
  <c r="F114" i="6"/>
  <c r="E114" i="6"/>
  <c r="C114" i="6"/>
  <c r="D114" i="6" s="1"/>
  <c r="B114" i="6"/>
  <c r="A114" i="6"/>
  <c r="G113" i="6"/>
  <c r="H113" i="6" s="1"/>
  <c r="B113" i="6"/>
  <c r="A113" i="6"/>
  <c r="F113" i="6" s="1"/>
  <c r="F112" i="6"/>
  <c r="I124" i="6" s="1"/>
  <c r="B112" i="6"/>
  <c r="A112" i="6"/>
  <c r="F111" i="6"/>
  <c r="B111" i="6"/>
  <c r="E123" i="6" s="1"/>
  <c r="A111" i="6"/>
  <c r="F110" i="6"/>
  <c r="B110" i="6"/>
  <c r="C111" i="6" s="1"/>
  <c r="D111" i="6" s="1"/>
  <c r="A110" i="6"/>
  <c r="F109" i="6"/>
  <c r="I121" i="6" s="1"/>
  <c r="B109" i="6"/>
  <c r="A109" i="6"/>
  <c r="F108" i="6"/>
  <c r="E108" i="6"/>
  <c r="B108" i="6"/>
  <c r="A108" i="6"/>
  <c r="B107" i="6"/>
  <c r="A107" i="6"/>
  <c r="F107" i="6" s="1"/>
  <c r="I119" i="6" s="1"/>
  <c r="F106" i="6"/>
  <c r="G106" i="6" s="1"/>
  <c r="H106" i="6" s="1"/>
  <c r="B106" i="6"/>
  <c r="A106" i="6"/>
  <c r="F105" i="6"/>
  <c r="B105" i="6"/>
  <c r="E117" i="6" s="1"/>
  <c r="A105" i="6"/>
  <c r="F104" i="6"/>
  <c r="B104" i="6"/>
  <c r="A104" i="6"/>
  <c r="F103" i="6"/>
  <c r="I115" i="6" s="1"/>
  <c r="B103" i="6"/>
  <c r="A103" i="6"/>
  <c r="F102" i="6"/>
  <c r="G103" i="6" s="1"/>
  <c r="H103" i="6" s="1"/>
  <c r="B102" i="6"/>
  <c r="A102" i="6"/>
  <c r="A101" i="6"/>
  <c r="F101" i="6" s="1"/>
  <c r="I113" i="6" s="1"/>
  <c r="F100" i="6"/>
  <c r="B100" i="6"/>
  <c r="A100" i="6"/>
  <c r="G99" i="6"/>
  <c r="H99" i="6" s="1"/>
  <c r="F99" i="6"/>
  <c r="B99" i="6"/>
  <c r="E111" i="6" s="1"/>
  <c r="A99" i="6"/>
  <c r="F98" i="6"/>
  <c r="C98" i="6"/>
  <c r="D98" i="6" s="1"/>
  <c r="B98" i="6"/>
  <c r="E110" i="6" s="1"/>
  <c r="A98" i="6"/>
  <c r="F97" i="6"/>
  <c r="I109" i="6" s="1"/>
  <c r="B97" i="6"/>
  <c r="A97" i="6"/>
  <c r="F96" i="6"/>
  <c r="C96" i="6"/>
  <c r="D96" i="6" s="1"/>
  <c r="B96" i="6"/>
  <c r="A96" i="6"/>
  <c r="B95" i="6"/>
  <c r="E107" i="6" s="1"/>
  <c r="A95" i="6"/>
  <c r="F95" i="6" s="1"/>
  <c r="I107" i="6" s="1"/>
  <c r="F94" i="6"/>
  <c r="B94" i="6"/>
  <c r="A94" i="6"/>
  <c r="I93" i="6"/>
  <c r="F93" i="6"/>
  <c r="B93" i="6"/>
  <c r="A93" i="6"/>
  <c r="F92" i="6"/>
  <c r="B92" i="6"/>
  <c r="A92" i="6"/>
  <c r="F91" i="6"/>
  <c r="I103" i="6" s="1"/>
  <c r="B91" i="6"/>
  <c r="A91" i="6"/>
  <c r="F90" i="6"/>
  <c r="E90" i="6"/>
  <c r="B90" i="6"/>
  <c r="E102" i="6" s="1"/>
  <c r="A90" i="6"/>
  <c r="A89" i="6"/>
  <c r="F89" i="6" s="1"/>
  <c r="F88" i="6"/>
  <c r="B88" i="6"/>
  <c r="A88" i="6"/>
  <c r="I87" i="6"/>
  <c r="F87" i="6"/>
  <c r="B87" i="6"/>
  <c r="A87" i="6"/>
  <c r="F86" i="6"/>
  <c r="C86" i="6"/>
  <c r="D86" i="6" s="1"/>
  <c r="B86" i="6"/>
  <c r="E98" i="6" s="1"/>
  <c r="A86" i="6"/>
  <c r="F85" i="6"/>
  <c r="I97" i="6" s="1"/>
  <c r="B85" i="6"/>
  <c r="A85" i="6"/>
  <c r="F84" i="6"/>
  <c r="G84" i="6" s="1"/>
  <c r="H84" i="6" s="1"/>
  <c r="B84" i="6"/>
  <c r="E96" i="6" s="1"/>
  <c r="A84" i="6"/>
  <c r="B83" i="6"/>
  <c r="E95" i="6" s="1"/>
  <c r="A83" i="6"/>
  <c r="F83" i="6" s="1"/>
  <c r="I95" i="6" s="1"/>
  <c r="G82" i="6"/>
  <c r="H82" i="6" s="1"/>
  <c r="F82" i="6"/>
  <c r="I94" i="6" s="1"/>
  <c r="C82" i="6"/>
  <c r="D82" i="6" s="1"/>
  <c r="B82" i="6"/>
  <c r="A82" i="6"/>
  <c r="F81" i="6"/>
  <c r="B81" i="6"/>
  <c r="A81" i="6"/>
  <c r="F80" i="6"/>
  <c r="A80" i="6"/>
  <c r="B80" i="6" s="1"/>
  <c r="A79" i="6"/>
  <c r="F79" i="6" s="1"/>
  <c r="I91" i="6" s="1"/>
  <c r="I78" i="6"/>
  <c r="F78" i="6"/>
  <c r="G78" i="6" s="1"/>
  <c r="H78" i="6" s="1"/>
  <c r="B78" i="6"/>
  <c r="A78" i="6"/>
  <c r="G77" i="6"/>
  <c r="H77" i="6" s="1"/>
  <c r="F77" i="6"/>
  <c r="I89" i="6" s="1"/>
  <c r="B77" i="6"/>
  <c r="A77" i="6"/>
  <c r="I76" i="6"/>
  <c r="F76" i="6"/>
  <c r="B76" i="6"/>
  <c r="A76" i="6"/>
  <c r="H75" i="6"/>
  <c r="G75" i="6"/>
  <c r="F75" i="6"/>
  <c r="B75" i="6"/>
  <c r="A75" i="6"/>
  <c r="I74" i="6"/>
  <c r="F74" i="6"/>
  <c r="B74" i="6"/>
  <c r="E86" i="6" s="1"/>
  <c r="A74" i="6"/>
  <c r="F73" i="6"/>
  <c r="E73" i="6"/>
  <c r="A73" i="6"/>
  <c r="B73" i="6" s="1"/>
  <c r="E85" i="6" s="1"/>
  <c r="A72" i="6"/>
  <c r="F72" i="6" s="1"/>
  <c r="F71" i="6"/>
  <c r="G71" i="6" s="1"/>
  <c r="H71" i="6" s="1"/>
  <c r="B71" i="6"/>
  <c r="A71" i="6"/>
  <c r="I70" i="6"/>
  <c r="F70" i="6"/>
  <c r="I82" i="6" s="1"/>
  <c r="B70" i="6"/>
  <c r="E82" i="6" s="1"/>
  <c r="A70" i="6"/>
  <c r="F69" i="6"/>
  <c r="B69" i="6"/>
  <c r="E81" i="6" s="1"/>
  <c r="A69" i="6"/>
  <c r="F68" i="6"/>
  <c r="I80" i="6" s="1"/>
  <c r="B68" i="6"/>
  <c r="A68" i="6"/>
  <c r="F67" i="6"/>
  <c r="B67" i="6"/>
  <c r="A67" i="6"/>
  <c r="I66" i="6"/>
  <c r="F66" i="6"/>
  <c r="B66" i="6"/>
  <c r="E78" i="6" s="1"/>
  <c r="A66" i="6"/>
  <c r="I65" i="6"/>
  <c r="F65" i="6"/>
  <c r="A65" i="6"/>
  <c r="B65" i="6" s="1"/>
  <c r="F64" i="6"/>
  <c r="B64" i="6"/>
  <c r="A64" i="6"/>
  <c r="G63" i="6"/>
  <c r="H63" i="6" s="1"/>
  <c r="F63" i="6"/>
  <c r="I75" i="6" s="1"/>
  <c r="A63" i="6"/>
  <c r="B63" i="6" s="1"/>
  <c r="G62" i="6"/>
  <c r="H62" i="6" s="1"/>
  <c r="F62" i="6"/>
  <c r="B62" i="6"/>
  <c r="A62" i="6"/>
  <c r="F61" i="6"/>
  <c r="D61" i="6"/>
  <c r="B61" i="6"/>
  <c r="C61" i="6" s="1"/>
  <c r="A61" i="6"/>
  <c r="F60" i="6"/>
  <c r="G60" i="6" s="1"/>
  <c r="H60" i="6" s="1"/>
  <c r="B60" i="6"/>
  <c r="A60" i="6"/>
  <c r="A59" i="6"/>
  <c r="F59" i="6" s="1"/>
  <c r="G59" i="6" s="1"/>
  <c r="H59" i="6" s="1"/>
  <c r="G58" i="6"/>
  <c r="H58" i="6" s="1"/>
  <c r="F58" i="6"/>
  <c r="E58" i="6"/>
  <c r="B58" i="6"/>
  <c r="A58" i="6"/>
  <c r="F57" i="6"/>
  <c r="B57" i="6"/>
  <c r="C58" i="6" s="1"/>
  <c r="A57" i="6"/>
  <c r="E56" i="6"/>
  <c r="A56" i="6"/>
  <c r="B56" i="6" s="1"/>
  <c r="E68" i="6" s="1"/>
  <c r="A55" i="6"/>
  <c r="F55" i="6" s="1"/>
  <c r="G55" i="6" s="1"/>
  <c r="H55" i="6" s="1"/>
  <c r="I54" i="6"/>
  <c r="F54" i="6"/>
  <c r="E54" i="6"/>
  <c r="B54" i="6"/>
  <c r="A54" i="6"/>
  <c r="F53" i="6"/>
  <c r="G53" i="6" s="1"/>
  <c r="H53" i="6" s="1"/>
  <c r="B53" i="6"/>
  <c r="A53" i="6"/>
  <c r="F52" i="6"/>
  <c r="G52" i="6" s="1"/>
  <c r="H52" i="6" s="1"/>
  <c r="D52" i="6"/>
  <c r="B52" i="6"/>
  <c r="C52" i="6" s="1"/>
  <c r="A52" i="6"/>
  <c r="G51" i="6"/>
  <c r="H51" i="6" s="1"/>
  <c r="F51" i="6"/>
  <c r="B51" i="6"/>
  <c r="C51" i="6" s="1"/>
  <c r="A51" i="6"/>
  <c r="F50" i="6"/>
  <c r="I62" i="6" s="1"/>
  <c r="B50" i="6"/>
  <c r="A50" i="6"/>
  <c r="A49" i="6"/>
  <c r="B49" i="6" s="1"/>
  <c r="E61" i="6" s="1"/>
  <c r="A48" i="6"/>
  <c r="F48" i="6" s="1"/>
  <c r="F47" i="6"/>
  <c r="G47" i="6" s="1"/>
  <c r="H47" i="6" s="1"/>
  <c r="E47" i="6"/>
  <c r="B47" i="6"/>
  <c r="A47" i="6"/>
  <c r="F46" i="6"/>
  <c r="I58" i="6" s="1"/>
  <c r="D46" i="6"/>
  <c r="B46" i="6"/>
  <c r="A46" i="6"/>
  <c r="A45" i="6"/>
  <c r="B45" i="6" s="1"/>
  <c r="F44" i="6"/>
  <c r="B44" i="6"/>
  <c r="C44" i="6" s="1"/>
  <c r="A44" i="6"/>
  <c r="I43" i="6"/>
  <c r="G43" i="6"/>
  <c r="H43" i="6" s="1"/>
  <c r="F43" i="6"/>
  <c r="I55" i="6" s="1"/>
  <c r="B43" i="6"/>
  <c r="A43" i="6"/>
  <c r="F42" i="6"/>
  <c r="E42" i="6"/>
  <c r="D42" i="6"/>
  <c r="C42" i="6"/>
  <c r="B42" i="6"/>
  <c r="D54" i="6" s="1"/>
  <c r="A42" i="6"/>
  <c r="B41" i="6"/>
  <c r="E53" i="6" s="1"/>
  <c r="A41" i="6"/>
  <c r="F41" i="6" s="1"/>
  <c r="F40" i="6"/>
  <c r="D40" i="6"/>
  <c r="A40" i="6"/>
  <c r="B40" i="6" s="1"/>
  <c r="E52" i="6" s="1"/>
  <c r="A39" i="6"/>
  <c r="F39" i="6" s="1"/>
  <c r="I38" i="6"/>
  <c r="E38" i="6"/>
  <c r="D38" i="6"/>
  <c r="B38" i="6"/>
  <c r="E50" i="6" s="1"/>
  <c r="A38" i="6"/>
  <c r="F38" i="6" s="1"/>
  <c r="I50" i="6" s="1"/>
  <c r="F37" i="6"/>
  <c r="B37" i="6"/>
  <c r="D49" i="6" s="1"/>
  <c r="A37" i="6"/>
  <c r="A36" i="6"/>
  <c r="B36" i="6" s="1"/>
  <c r="F35" i="6"/>
  <c r="I47" i="6" s="1"/>
  <c r="E35" i="6"/>
  <c r="B35" i="6"/>
  <c r="D47" i="6" s="1"/>
  <c r="A35" i="6"/>
  <c r="B34" i="6"/>
  <c r="E46" i="6" s="1"/>
  <c r="A34" i="6"/>
  <c r="F34" i="6" s="1"/>
  <c r="I46" i="6" s="1"/>
  <c r="F33" i="6"/>
  <c r="A33" i="6"/>
  <c r="B33" i="6" s="1"/>
  <c r="A32" i="6"/>
  <c r="F31" i="6"/>
  <c r="E31" i="6"/>
  <c r="C31" i="6"/>
  <c r="B31" i="6"/>
  <c r="A31" i="6"/>
  <c r="E30" i="6"/>
  <c r="D30" i="6"/>
  <c r="C30" i="6"/>
  <c r="B30" i="6"/>
  <c r="A30" i="6"/>
  <c r="F30" i="6" s="1"/>
  <c r="I42" i="6" s="1"/>
  <c r="B29" i="6"/>
  <c r="A29" i="6"/>
  <c r="F29" i="6" s="1"/>
  <c r="F28" i="6"/>
  <c r="D28" i="6"/>
  <c r="A28" i="6"/>
  <c r="B28" i="6" s="1"/>
  <c r="E40" i="6" s="1"/>
  <c r="A27" i="6"/>
  <c r="F27" i="6" s="1"/>
  <c r="I26" i="6"/>
  <c r="E26" i="6"/>
  <c r="D26" i="6"/>
  <c r="B26" i="6"/>
  <c r="A26" i="6"/>
  <c r="F26" i="6" s="1"/>
  <c r="G26" i="6" s="1"/>
  <c r="H26" i="6" s="1"/>
  <c r="F25" i="6"/>
  <c r="I37" i="6" s="1"/>
  <c r="B25" i="6"/>
  <c r="A25" i="6"/>
  <c r="A24" i="6"/>
  <c r="B24" i="6" s="1"/>
  <c r="E36" i="6" s="1"/>
  <c r="F23" i="6"/>
  <c r="I35" i="6" s="1"/>
  <c r="E23" i="6"/>
  <c r="B23" i="6"/>
  <c r="D35" i="6" s="1"/>
  <c r="A23" i="6"/>
  <c r="B22" i="6"/>
  <c r="E34" i="6" s="1"/>
  <c r="A22" i="6"/>
  <c r="F22" i="6" s="1"/>
  <c r="I34" i="6" s="1"/>
  <c r="F21" i="6"/>
  <c r="I33" i="6" s="1"/>
  <c r="A21" i="6"/>
  <c r="B21" i="6" s="1"/>
  <c r="A20" i="6"/>
  <c r="F19" i="6"/>
  <c r="I31" i="6" s="1"/>
  <c r="C19" i="6"/>
  <c r="B19" i="6"/>
  <c r="D31" i="6" s="1"/>
  <c r="A19" i="6"/>
  <c r="E18" i="6"/>
  <c r="D18" i="6"/>
  <c r="C18" i="6"/>
  <c r="B18" i="6"/>
  <c r="A18" i="6"/>
  <c r="F18" i="6" s="1"/>
  <c r="I30" i="6" s="1"/>
  <c r="B17" i="6"/>
  <c r="A17" i="6"/>
  <c r="F17" i="6" s="1"/>
  <c r="F16" i="6"/>
  <c r="D16" i="6"/>
  <c r="A16" i="6"/>
  <c r="B16" i="6" s="1"/>
  <c r="E28" i="6" s="1"/>
  <c r="A15" i="6"/>
  <c r="F15" i="6" s="1"/>
  <c r="I14" i="6"/>
  <c r="E14" i="6"/>
  <c r="D14" i="6"/>
  <c r="B14" i="6"/>
  <c r="C14" i="6" s="1"/>
  <c r="A14" i="6"/>
  <c r="F14" i="6" s="1"/>
  <c r="G14" i="6" s="1"/>
  <c r="H14" i="6" s="1"/>
  <c r="F13" i="6"/>
  <c r="I25" i="6" s="1"/>
  <c r="B13" i="6"/>
  <c r="A13" i="6"/>
  <c r="A12" i="6"/>
  <c r="B12" i="6" s="1"/>
  <c r="E24" i="6" s="1"/>
  <c r="F11" i="6"/>
  <c r="E11" i="6"/>
  <c r="B11" i="6"/>
  <c r="A11" i="6"/>
  <c r="B10" i="6"/>
  <c r="E22" i="6" s="1"/>
  <c r="A10" i="6"/>
  <c r="F10" i="6" s="1"/>
  <c r="I22" i="6" s="1"/>
  <c r="F9" i="6"/>
  <c r="I21" i="6" s="1"/>
  <c r="A9" i="6"/>
  <c r="B9" i="6" s="1"/>
  <c r="A8" i="6"/>
  <c r="F7" i="6"/>
  <c r="E7" i="6"/>
  <c r="C7" i="6"/>
  <c r="B7" i="6"/>
  <c r="A7" i="6"/>
  <c r="E6" i="6"/>
  <c r="D6" i="6"/>
  <c r="C6" i="6"/>
  <c r="B6" i="6"/>
  <c r="A6" i="6"/>
  <c r="F6" i="6" s="1"/>
  <c r="I18" i="6" s="1"/>
  <c r="B5" i="6"/>
  <c r="A5" i="6"/>
  <c r="F5" i="6" s="1"/>
  <c r="F4" i="6"/>
  <c r="D4" i="6"/>
  <c r="C4" i="6"/>
  <c r="A4" i="6"/>
  <c r="B4" i="6" s="1"/>
  <c r="E16" i="6" s="1"/>
  <c r="E3" i="6"/>
  <c r="A3" i="6"/>
  <c r="B3" i="6" s="1"/>
  <c r="L2" i="6"/>
  <c r="K2" i="6"/>
  <c r="Y154" i="5"/>
  <c r="X154" i="5"/>
  <c r="W154" i="5"/>
  <c r="V154" i="5"/>
  <c r="U154" i="5"/>
  <c r="T154" i="5"/>
  <c r="S154" i="5"/>
  <c r="R154" i="5"/>
  <c r="Q154" i="5"/>
  <c r="P154" i="5"/>
  <c r="O154" i="5"/>
  <c r="N154" i="5"/>
  <c r="M154" i="5"/>
  <c r="L154" i="5"/>
  <c r="K154" i="5"/>
  <c r="J154" i="5"/>
  <c r="I154" i="5"/>
  <c r="H154" i="5"/>
  <c r="G154" i="5"/>
  <c r="F154" i="5"/>
  <c r="E154" i="5"/>
  <c r="D154" i="5"/>
  <c r="C154" i="5"/>
  <c r="Y153" i="5"/>
  <c r="X153" i="5"/>
  <c r="W153" i="5"/>
  <c r="V153" i="5"/>
  <c r="U153" i="5"/>
  <c r="T153" i="5"/>
  <c r="S153" i="5"/>
  <c r="R153" i="5"/>
  <c r="Q153" i="5"/>
  <c r="P153" i="5"/>
  <c r="O153" i="5"/>
  <c r="N153" i="5"/>
  <c r="M153" i="5"/>
  <c r="L153" i="5"/>
  <c r="K153" i="5"/>
  <c r="J153" i="5"/>
  <c r="I153" i="5"/>
  <c r="H153" i="5"/>
  <c r="G153" i="5"/>
  <c r="F153" i="5"/>
  <c r="E153" i="5"/>
  <c r="D153" i="5"/>
  <c r="C153" i="5"/>
  <c r="Y152" i="5"/>
  <c r="X152" i="5"/>
  <c r="W152" i="5"/>
  <c r="V152" i="5"/>
  <c r="U152" i="5"/>
  <c r="T152" i="5"/>
  <c r="S152" i="5"/>
  <c r="R152" i="5"/>
  <c r="Q152" i="5"/>
  <c r="P152" i="5"/>
  <c r="O152" i="5"/>
  <c r="N152" i="5"/>
  <c r="M152" i="5"/>
  <c r="L152" i="5"/>
  <c r="K152" i="5"/>
  <c r="J152" i="5"/>
  <c r="I152" i="5"/>
  <c r="H152" i="5"/>
  <c r="G152" i="5"/>
  <c r="F152" i="5"/>
  <c r="E152" i="5"/>
  <c r="D152" i="5"/>
  <c r="C152" i="5"/>
  <c r="Y151" i="5"/>
  <c r="X151" i="5"/>
  <c r="W151" i="5"/>
  <c r="V151" i="5"/>
  <c r="U151" i="5"/>
  <c r="T151" i="5"/>
  <c r="S151" i="5"/>
  <c r="R151" i="5"/>
  <c r="Q151" i="5"/>
  <c r="P151" i="5"/>
  <c r="O151" i="5"/>
  <c r="N151" i="5"/>
  <c r="M151" i="5"/>
  <c r="L151" i="5"/>
  <c r="K151" i="5"/>
  <c r="J151" i="5"/>
  <c r="I151" i="5"/>
  <c r="H151" i="5"/>
  <c r="G151" i="5"/>
  <c r="F151" i="5"/>
  <c r="E151" i="5"/>
  <c r="D151" i="5"/>
  <c r="C151" i="5"/>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AA6" i="5" s="1"/>
  <c r="AA7" i="5" s="1"/>
  <c r="Z94" i="5"/>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R6" i="5" s="1"/>
  <c r="R7" i="5" s="1"/>
  <c r="Q69" i="5"/>
  <c r="P69" i="5"/>
  <c r="O69" i="5"/>
  <c r="N69" i="5"/>
  <c r="M69" i="5"/>
  <c r="L69" i="5"/>
  <c r="K69" i="5"/>
  <c r="J69" i="5"/>
  <c r="I69" i="5"/>
  <c r="H69" i="5"/>
  <c r="G69" i="5"/>
  <c r="F69" i="5"/>
  <c r="F6" i="5" s="1"/>
  <c r="F7" i="5" s="1"/>
  <c r="E69" i="5"/>
  <c r="D69" i="5"/>
  <c r="C69" i="5"/>
  <c r="AA68" i="5"/>
  <c r="Z68" i="5"/>
  <c r="Y68" i="5"/>
  <c r="X68" i="5"/>
  <c r="W68" i="5"/>
  <c r="V68" i="5"/>
  <c r="U68" i="5"/>
  <c r="T68" i="5"/>
  <c r="S68" i="5"/>
  <c r="S5" i="5" s="1"/>
  <c r="R68" i="5"/>
  <c r="Q68" i="5"/>
  <c r="P68" i="5"/>
  <c r="O68" i="5"/>
  <c r="N68" i="5"/>
  <c r="M68" i="5"/>
  <c r="L68" i="5"/>
  <c r="K68" i="5"/>
  <c r="J68" i="5"/>
  <c r="I68" i="5"/>
  <c r="H68" i="5"/>
  <c r="G68" i="5"/>
  <c r="G5" i="5" s="1"/>
  <c r="F68" i="5"/>
  <c r="E68" i="5"/>
  <c r="D68" i="5"/>
  <c r="C68" i="5"/>
  <c r="AA67" i="5"/>
  <c r="Z67" i="5"/>
  <c r="Y67" i="5"/>
  <c r="X67" i="5"/>
  <c r="W67" i="5"/>
  <c r="V67" i="5"/>
  <c r="U67" i="5"/>
  <c r="T67" i="5"/>
  <c r="T4" i="5" s="1"/>
  <c r="S67" i="5"/>
  <c r="R67" i="5"/>
  <c r="Q67" i="5"/>
  <c r="P67" i="5"/>
  <c r="O67" i="5"/>
  <c r="N67" i="5"/>
  <c r="M67" i="5"/>
  <c r="L67" i="5"/>
  <c r="K67" i="5"/>
  <c r="J67" i="5"/>
  <c r="I67" i="5"/>
  <c r="H67" i="5"/>
  <c r="H4" i="5" s="1"/>
  <c r="G67" i="5"/>
  <c r="F67" i="5"/>
  <c r="E67" i="5"/>
  <c r="D67" i="5"/>
  <c r="C67" i="5"/>
  <c r="AA66" i="5"/>
  <c r="Z66" i="5"/>
  <c r="Y66" i="5"/>
  <c r="X66" i="5"/>
  <c r="W66" i="5"/>
  <c r="V66" i="5"/>
  <c r="U66" i="5"/>
  <c r="U6" i="5" s="1"/>
  <c r="U7" i="5" s="1"/>
  <c r="T66" i="5"/>
  <c r="S66" i="5"/>
  <c r="R66" i="5"/>
  <c r="Q66" i="5"/>
  <c r="P66" i="5"/>
  <c r="O66" i="5"/>
  <c r="N66" i="5"/>
  <c r="M66" i="5"/>
  <c r="L66" i="5"/>
  <c r="K66" i="5"/>
  <c r="J66" i="5"/>
  <c r="I66" i="5"/>
  <c r="I6" i="5" s="1"/>
  <c r="I7" i="5" s="1"/>
  <c r="H66" i="5"/>
  <c r="G66" i="5"/>
  <c r="F66" i="5"/>
  <c r="E66" i="5"/>
  <c r="D66" i="5"/>
  <c r="C66" i="5"/>
  <c r="AA65" i="5"/>
  <c r="Z65" i="5"/>
  <c r="Y65" i="5"/>
  <c r="X65" i="5"/>
  <c r="W65" i="5"/>
  <c r="V65" i="5"/>
  <c r="V5" i="5" s="1"/>
  <c r="U65" i="5"/>
  <c r="T65" i="5"/>
  <c r="S65" i="5"/>
  <c r="R65" i="5"/>
  <c r="Q65" i="5"/>
  <c r="P65" i="5"/>
  <c r="O65" i="5"/>
  <c r="N65" i="5"/>
  <c r="M65" i="5"/>
  <c r="L65" i="5"/>
  <c r="K65" i="5"/>
  <c r="J65" i="5"/>
  <c r="J5" i="5" s="1"/>
  <c r="I65" i="5"/>
  <c r="H65" i="5"/>
  <c r="G65" i="5"/>
  <c r="F65" i="5"/>
  <c r="E65" i="5"/>
  <c r="D65" i="5"/>
  <c r="C65" i="5"/>
  <c r="AA64" i="5"/>
  <c r="Z64" i="5"/>
  <c r="Y64" i="5"/>
  <c r="X64" i="5"/>
  <c r="W64" i="5"/>
  <c r="W4" i="5" s="1"/>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Q61" i="5"/>
  <c r="P61" i="5"/>
  <c r="O61" i="5"/>
  <c r="N61" i="5"/>
  <c r="M61" i="5"/>
  <c r="L61" i="5"/>
  <c r="K61" i="5"/>
  <c r="J61" i="5"/>
  <c r="I61" i="5"/>
  <c r="H61" i="5"/>
  <c r="G61" i="5"/>
  <c r="F61" i="5"/>
  <c r="E61" i="5"/>
  <c r="D61" i="5"/>
  <c r="C61" i="5"/>
  <c r="AA60" i="5"/>
  <c r="Z60" i="5"/>
  <c r="Y60" i="5"/>
  <c r="X60" i="5"/>
  <c r="W60" i="5"/>
  <c r="V60" i="5"/>
  <c r="U60" i="5"/>
  <c r="T60" i="5"/>
  <c r="S60" i="5"/>
  <c r="R60" i="5"/>
  <c r="Q60" i="5"/>
  <c r="P60" i="5"/>
  <c r="O60" i="5"/>
  <c r="N60" i="5"/>
  <c r="M60" i="5"/>
  <c r="L60" i="5"/>
  <c r="K60" i="5"/>
  <c r="J60" i="5"/>
  <c r="I60" i="5"/>
  <c r="H60" i="5"/>
  <c r="G60" i="5"/>
  <c r="F60" i="5"/>
  <c r="E60" i="5"/>
  <c r="D60" i="5"/>
  <c r="C60" i="5"/>
  <c r="AA59" i="5"/>
  <c r="Z59" i="5"/>
  <c r="Y59" i="5"/>
  <c r="X59" i="5"/>
  <c r="W59" i="5"/>
  <c r="V59" i="5"/>
  <c r="U59" i="5"/>
  <c r="T59" i="5"/>
  <c r="S59" i="5"/>
  <c r="R59" i="5"/>
  <c r="Q59" i="5"/>
  <c r="P59" i="5"/>
  <c r="O59" i="5"/>
  <c r="N59" i="5"/>
  <c r="M59" i="5"/>
  <c r="L59" i="5"/>
  <c r="K59" i="5"/>
  <c r="J59" i="5"/>
  <c r="I59" i="5"/>
  <c r="H59" i="5"/>
  <c r="G59" i="5"/>
  <c r="F59" i="5"/>
  <c r="E59" i="5"/>
  <c r="D59" i="5"/>
  <c r="C59" i="5"/>
  <c r="AA9" i="5"/>
  <c r="Z9" i="5"/>
  <c r="Y9" i="5"/>
  <c r="X9" i="5"/>
  <c r="W9" i="5"/>
  <c r="V9" i="5"/>
  <c r="U9" i="5"/>
  <c r="T9" i="5"/>
  <c r="S9" i="5"/>
  <c r="R9" i="5"/>
  <c r="Q9" i="5"/>
  <c r="P9" i="5"/>
  <c r="O9" i="5"/>
  <c r="M9" i="5"/>
  <c r="L9" i="5"/>
  <c r="K9" i="5"/>
  <c r="J9" i="5"/>
  <c r="I9" i="5"/>
  <c r="H9" i="5"/>
  <c r="G9" i="5"/>
  <c r="F9" i="5"/>
  <c r="E9" i="5"/>
  <c r="D9" i="5"/>
  <c r="C9" i="5"/>
  <c r="AA8" i="5"/>
  <c r="Z8" i="5"/>
  <c r="Y8" i="5"/>
  <c r="X8" i="5"/>
  <c r="W8" i="5"/>
  <c r="V8" i="5"/>
  <c r="U8" i="5"/>
  <c r="T8" i="5"/>
  <c r="S8" i="5"/>
  <c r="R8" i="5"/>
  <c r="Q8" i="5"/>
  <c r="P8" i="5"/>
  <c r="O8" i="5"/>
  <c r="M8" i="5"/>
  <c r="L8" i="5"/>
  <c r="K8" i="5"/>
  <c r="J8" i="5"/>
  <c r="I8" i="5"/>
  <c r="H8" i="5"/>
  <c r="G8" i="5"/>
  <c r="F8" i="5"/>
  <c r="E8" i="5"/>
  <c r="D8" i="5"/>
  <c r="C8" i="5"/>
  <c r="Z6" i="5"/>
  <c r="Z7" i="5" s="1"/>
  <c r="Z5" i="5"/>
  <c r="Z4" i="5"/>
  <c r="J4" i="5"/>
  <c r="Y154" i="4"/>
  <c r="X154" i="4"/>
  <c r="W154" i="4"/>
  <c r="V154" i="4"/>
  <c r="U154" i="4"/>
  <c r="T154" i="4"/>
  <c r="S154" i="4"/>
  <c r="R154" i="4"/>
  <c r="Q154" i="4"/>
  <c r="P154" i="4"/>
  <c r="O154" i="4"/>
  <c r="N154" i="4"/>
  <c r="M154" i="4"/>
  <c r="L154" i="4"/>
  <c r="K154" i="4"/>
  <c r="J154" i="4"/>
  <c r="I154" i="4"/>
  <c r="H154" i="4"/>
  <c r="G154" i="4"/>
  <c r="F154" i="4"/>
  <c r="E154" i="4"/>
  <c r="D154" i="4"/>
  <c r="C154" i="4"/>
  <c r="Y153" i="4"/>
  <c r="X153" i="4"/>
  <c r="W153" i="4"/>
  <c r="V153" i="4"/>
  <c r="U153" i="4"/>
  <c r="T153" i="4"/>
  <c r="S153" i="4"/>
  <c r="R153" i="4"/>
  <c r="Q153" i="4"/>
  <c r="P153" i="4"/>
  <c r="O153" i="4"/>
  <c r="N153" i="4"/>
  <c r="M153" i="4"/>
  <c r="L153" i="4"/>
  <c r="K153" i="4"/>
  <c r="J153" i="4"/>
  <c r="I153" i="4"/>
  <c r="H153" i="4"/>
  <c r="G153" i="4"/>
  <c r="F153" i="4"/>
  <c r="E153" i="4"/>
  <c r="D153" i="4"/>
  <c r="C153" i="4"/>
  <c r="Y152" i="4"/>
  <c r="X152" i="4"/>
  <c r="W152" i="4"/>
  <c r="V152" i="4"/>
  <c r="U152" i="4"/>
  <c r="T152" i="4"/>
  <c r="S152" i="4"/>
  <c r="R152" i="4"/>
  <c r="Q152" i="4"/>
  <c r="P152" i="4"/>
  <c r="O152" i="4"/>
  <c r="N152" i="4"/>
  <c r="M152" i="4"/>
  <c r="L152" i="4"/>
  <c r="K152" i="4"/>
  <c r="J152" i="4"/>
  <c r="I152" i="4"/>
  <c r="H152" i="4"/>
  <c r="G152" i="4"/>
  <c r="F152" i="4"/>
  <c r="E152" i="4"/>
  <c r="D152" i="4"/>
  <c r="C152" i="4"/>
  <c r="Y151" i="4"/>
  <c r="X151" i="4"/>
  <c r="W151" i="4"/>
  <c r="V151" i="4"/>
  <c r="U151" i="4"/>
  <c r="T151" i="4"/>
  <c r="S151" i="4"/>
  <c r="R151" i="4"/>
  <c r="Q151" i="4"/>
  <c r="P151" i="4"/>
  <c r="O151" i="4"/>
  <c r="N151" i="4"/>
  <c r="M151" i="4"/>
  <c r="L151" i="4"/>
  <c r="K151" i="4"/>
  <c r="J151" i="4"/>
  <c r="I151" i="4"/>
  <c r="H151" i="4"/>
  <c r="G151" i="4"/>
  <c r="F151" i="4"/>
  <c r="E151" i="4"/>
  <c r="D151" i="4"/>
  <c r="C151" i="4"/>
  <c r="Y150" i="4"/>
  <c r="X150" i="4"/>
  <c r="W150" i="4"/>
  <c r="V150" i="4"/>
  <c r="U150" i="4"/>
  <c r="T150" i="4"/>
  <c r="S150" i="4"/>
  <c r="R150" i="4"/>
  <c r="Q150" i="4"/>
  <c r="P150" i="4"/>
  <c r="O150" i="4"/>
  <c r="N150" i="4"/>
  <c r="M150" i="4"/>
  <c r="L150" i="4"/>
  <c r="K150" i="4"/>
  <c r="J150" i="4"/>
  <c r="I150" i="4"/>
  <c r="H150" i="4"/>
  <c r="G150" i="4"/>
  <c r="F150" i="4"/>
  <c r="E150" i="4"/>
  <c r="D150" i="4"/>
  <c r="C150" i="4"/>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K6" i="4" s="1"/>
  <c r="K7" i="4" s="1"/>
  <c r="J68" i="4"/>
  <c r="I68" i="4"/>
  <c r="H68" i="4"/>
  <c r="G68" i="4"/>
  <c r="F68" i="4"/>
  <c r="E68" i="4"/>
  <c r="D68" i="4"/>
  <c r="C68" i="4"/>
  <c r="AA67" i="4"/>
  <c r="Z67" i="4"/>
  <c r="Y67" i="4"/>
  <c r="X67" i="4"/>
  <c r="X6" i="4" s="1"/>
  <c r="X7" i="4" s="1"/>
  <c r="W67" i="4"/>
  <c r="W6" i="4" s="1"/>
  <c r="W7" i="4" s="1"/>
  <c r="V67" i="4"/>
  <c r="U67" i="4"/>
  <c r="T67" i="4"/>
  <c r="S67" i="4"/>
  <c r="R67" i="4"/>
  <c r="Q67" i="4"/>
  <c r="P67" i="4"/>
  <c r="O67" i="4"/>
  <c r="N67" i="4"/>
  <c r="N6" i="4" s="1"/>
  <c r="N7" i="4" s="1"/>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Y5" i="4" s="1"/>
  <c r="X65" i="4"/>
  <c r="W65" i="4"/>
  <c r="V65" i="4"/>
  <c r="U65" i="4"/>
  <c r="T65" i="4"/>
  <c r="S65" i="4"/>
  <c r="R65" i="4"/>
  <c r="Q65" i="4"/>
  <c r="P65" i="4"/>
  <c r="O65" i="4"/>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S63" i="4"/>
  <c r="R63" i="4"/>
  <c r="Q63" i="4"/>
  <c r="P63" i="4"/>
  <c r="O63" i="4"/>
  <c r="N63" i="4"/>
  <c r="M63" i="4"/>
  <c r="L63" i="4"/>
  <c r="K63" i="4"/>
  <c r="J63" i="4"/>
  <c r="I63" i="4"/>
  <c r="H63" i="4"/>
  <c r="G63" i="4"/>
  <c r="F63" i="4"/>
  <c r="E63" i="4"/>
  <c r="D63" i="4"/>
  <c r="C63" i="4"/>
  <c r="C5" i="4" s="1"/>
  <c r="AA62" i="4"/>
  <c r="Z62" i="4"/>
  <c r="Y62" i="4"/>
  <c r="X62" i="4"/>
  <c r="W62" i="4"/>
  <c r="V62" i="4"/>
  <c r="U62" i="4"/>
  <c r="T62" i="4"/>
  <c r="S62" i="4"/>
  <c r="R62" i="4"/>
  <c r="Q62" i="4"/>
  <c r="P62" i="4"/>
  <c r="O62" i="4"/>
  <c r="N62" i="4"/>
  <c r="M62" i="4"/>
  <c r="L62" i="4"/>
  <c r="K62" i="4"/>
  <c r="J62" i="4"/>
  <c r="I62" i="4"/>
  <c r="H62" i="4"/>
  <c r="G62" i="4"/>
  <c r="F62" i="4"/>
  <c r="E62" i="4"/>
  <c r="D62" i="4"/>
  <c r="C62" i="4"/>
  <c r="AA61" i="4"/>
  <c r="Z61" i="4"/>
  <c r="Y61" i="4"/>
  <c r="X61" i="4"/>
  <c r="W61" i="4"/>
  <c r="V61" i="4"/>
  <c r="U61" i="4"/>
  <c r="T61" i="4"/>
  <c r="S61" i="4"/>
  <c r="R61" i="4"/>
  <c r="Q61" i="4"/>
  <c r="P61" i="4"/>
  <c r="O61" i="4"/>
  <c r="N61" i="4"/>
  <c r="M61" i="4"/>
  <c r="L61" i="4"/>
  <c r="K61" i="4"/>
  <c r="J61" i="4"/>
  <c r="I61" i="4"/>
  <c r="H61" i="4"/>
  <c r="G61" i="4"/>
  <c r="F61" i="4"/>
  <c r="E61" i="4"/>
  <c r="D61" i="4"/>
  <c r="C61" i="4"/>
  <c r="AA60" i="4"/>
  <c r="Z60" i="4"/>
  <c r="Y60" i="4"/>
  <c r="X60" i="4"/>
  <c r="W60" i="4"/>
  <c r="V60" i="4"/>
  <c r="U60" i="4"/>
  <c r="U6" i="4" s="1"/>
  <c r="U7" i="4" s="1"/>
  <c r="T60" i="4"/>
  <c r="S60" i="4"/>
  <c r="R60" i="4"/>
  <c r="Q60" i="4"/>
  <c r="P60" i="4"/>
  <c r="O60" i="4"/>
  <c r="N60" i="4"/>
  <c r="M60" i="4"/>
  <c r="L60" i="4"/>
  <c r="K60" i="4"/>
  <c r="J60" i="4"/>
  <c r="I60" i="4"/>
  <c r="I6" i="4" s="1"/>
  <c r="I7" i="4" s="1"/>
  <c r="H60" i="4"/>
  <c r="G60" i="4"/>
  <c r="F60" i="4"/>
  <c r="E60" i="4"/>
  <c r="D60" i="4"/>
  <c r="C60" i="4"/>
  <c r="AA59" i="4"/>
  <c r="Z59" i="4"/>
  <c r="Y59" i="4"/>
  <c r="X59" i="4"/>
  <c r="W59" i="4"/>
  <c r="V59" i="4"/>
  <c r="V5" i="4" s="1"/>
  <c r="U59" i="4"/>
  <c r="T59" i="4"/>
  <c r="S59" i="4"/>
  <c r="R59" i="4"/>
  <c r="Q59" i="4"/>
  <c r="P59" i="4"/>
  <c r="O59" i="4"/>
  <c r="N59" i="4"/>
  <c r="M59" i="4"/>
  <c r="L59" i="4"/>
  <c r="K59" i="4"/>
  <c r="J59" i="4"/>
  <c r="J5" i="4" s="1"/>
  <c r="I59" i="4"/>
  <c r="H59" i="4"/>
  <c r="H6" i="4" s="1"/>
  <c r="H7" i="4" s="1"/>
  <c r="G59" i="4"/>
  <c r="F59" i="4"/>
  <c r="E59" i="4"/>
  <c r="D59" i="4"/>
  <c r="C59" i="4"/>
  <c r="AA9" i="4"/>
  <c r="Z9" i="4"/>
  <c r="Y9" i="4"/>
  <c r="X9" i="4"/>
  <c r="W9" i="4"/>
  <c r="V9" i="4"/>
  <c r="U9" i="4"/>
  <c r="T9" i="4"/>
  <c r="S9" i="4"/>
  <c r="R9" i="4"/>
  <c r="Q9" i="4"/>
  <c r="P9" i="4"/>
  <c r="O9" i="4"/>
  <c r="N9" i="4"/>
  <c r="M9" i="4"/>
  <c r="L9" i="4"/>
  <c r="K9" i="4"/>
  <c r="J9" i="4"/>
  <c r="I9" i="4"/>
  <c r="H9" i="4"/>
  <c r="G9" i="4"/>
  <c r="F9" i="4"/>
  <c r="E9" i="4"/>
  <c r="D9" i="4"/>
  <c r="C9" i="4"/>
  <c r="AA8" i="4"/>
  <c r="Z8" i="4"/>
  <c r="Y8" i="4"/>
  <c r="X8" i="4"/>
  <c r="W8" i="4"/>
  <c r="V8" i="4"/>
  <c r="U8" i="4"/>
  <c r="T8" i="4"/>
  <c r="S8" i="4"/>
  <c r="R8" i="4"/>
  <c r="Q8" i="4"/>
  <c r="P8" i="4"/>
  <c r="O8" i="4"/>
  <c r="N8" i="4"/>
  <c r="M8" i="4"/>
  <c r="L8" i="4"/>
  <c r="K8" i="4"/>
  <c r="J8" i="4"/>
  <c r="I8" i="4"/>
  <c r="H8" i="4"/>
  <c r="G8" i="4"/>
  <c r="F8" i="4"/>
  <c r="E8" i="4"/>
  <c r="D8" i="4"/>
  <c r="C8" i="4"/>
  <c r="AA6" i="4"/>
  <c r="AA7" i="4" s="1"/>
  <c r="Z6" i="4"/>
  <c r="Z7" i="4" s="1"/>
  <c r="V6" i="4"/>
  <c r="V7" i="4" s="1"/>
  <c r="L6" i="4"/>
  <c r="L7" i="4" s="1"/>
  <c r="AA5" i="4"/>
  <c r="Z5" i="4"/>
  <c r="U5" i="4"/>
  <c r="M5" i="4"/>
  <c r="L5" i="4"/>
  <c r="AA4" i="4"/>
  <c r="Z4" i="4"/>
  <c r="P4" i="4"/>
  <c r="M4" i="4"/>
  <c r="L4" i="4"/>
  <c r="T6" i="5" l="1"/>
  <c r="T7" i="5" s="1"/>
  <c r="K5" i="5"/>
  <c r="W5" i="5"/>
  <c r="I17" i="6"/>
  <c r="I5" i="6"/>
  <c r="G5" i="6"/>
  <c r="H5" i="6" s="1"/>
  <c r="B8" i="6"/>
  <c r="F8" i="6"/>
  <c r="E25" i="6"/>
  <c r="E13" i="6"/>
  <c r="C13" i="6"/>
  <c r="D25" i="6"/>
  <c r="D13" i="6"/>
  <c r="C45" i="6"/>
  <c r="E57" i="6"/>
  <c r="D57" i="6"/>
  <c r="G129" i="6"/>
  <c r="H129" i="6" s="1"/>
  <c r="I141" i="6"/>
  <c r="V4" i="4"/>
  <c r="W5" i="4"/>
  <c r="L5" i="5"/>
  <c r="X5" i="5"/>
  <c r="E21" i="6"/>
  <c r="E9" i="6"/>
  <c r="D21" i="6"/>
  <c r="D9" i="6"/>
  <c r="C10" i="6"/>
  <c r="C26" i="6"/>
  <c r="I79" i="6"/>
  <c r="G67" i="6"/>
  <c r="H67" i="6" s="1"/>
  <c r="G96" i="6"/>
  <c r="H96" i="6" s="1"/>
  <c r="I108" i="6"/>
  <c r="G97" i="6"/>
  <c r="H97" i="6" s="1"/>
  <c r="I123" i="6"/>
  <c r="G111" i="6"/>
  <c r="H111" i="6" s="1"/>
  <c r="C138" i="6"/>
  <c r="D138" i="6" s="1"/>
  <c r="C137" i="6"/>
  <c r="D137" i="6" s="1"/>
  <c r="C153" i="6"/>
  <c r="D153" i="6" s="1"/>
  <c r="E153" i="6"/>
  <c r="C161" i="6"/>
  <c r="D161" i="6" s="1"/>
  <c r="X4" i="4"/>
  <c r="X5" i="4"/>
  <c r="M6" i="5"/>
  <c r="M7" i="5" s="1"/>
  <c r="Y6" i="5"/>
  <c r="Y7" i="5" s="1"/>
  <c r="L6" i="5"/>
  <c r="L7" i="5" s="1"/>
  <c r="X6" i="5"/>
  <c r="X7" i="5" s="1"/>
  <c r="K6" i="5"/>
  <c r="K7" i="5" s="1"/>
  <c r="W6" i="5"/>
  <c r="W7" i="5" s="1"/>
  <c r="C75" i="6"/>
  <c r="D75" i="6" s="1"/>
  <c r="E87" i="6"/>
  <c r="C76" i="6"/>
  <c r="D76" i="6" s="1"/>
  <c r="E75" i="6"/>
  <c r="E131" i="6"/>
  <c r="C120" i="6"/>
  <c r="D120" i="6" s="1"/>
  <c r="C119" i="6"/>
  <c r="D119" i="6" s="1"/>
  <c r="F145" i="6"/>
  <c r="B145" i="6"/>
  <c r="Y4" i="4"/>
  <c r="N6" i="5"/>
  <c r="N7" i="5" s="1"/>
  <c r="K4" i="5"/>
  <c r="G4" i="5"/>
  <c r="S4" i="5"/>
  <c r="F5" i="5"/>
  <c r="R5" i="5"/>
  <c r="C4" i="5"/>
  <c r="O4" i="5"/>
  <c r="I51" i="6"/>
  <c r="G39" i="6"/>
  <c r="H39" i="6" s="1"/>
  <c r="C65" i="6"/>
  <c r="D65" i="6" s="1"/>
  <c r="E77" i="6"/>
  <c r="D6" i="5"/>
  <c r="D7" i="5" s="1"/>
  <c r="D5" i="5"/>
  <c r="D4" i="5"/>
  <c r="O6" i="5"/>
  <c r="O7" i="5" s="1"/>
  <c r="O5" i="5"/>
  <c r="N9" i="5"/>
  <c r="N8" i="5"/>
  <c r="N2" i="6"/>
  <c r="M2" i="6"/>
  <c r="I39" i="6"/>
  <c r="G27" i="6"/>
  <c r="H27" i="6" s="1"/>
  <c r="G72" i="6"/>
  <c r="H72" i="6" s="1"/>
  <c r="I84" i="6"/>
  <c r="G134" i="6"/>
  <c r="H134" i="6" s="1"/>
  <c r="I146" i="6"/>
  <c r="D6" i="4"/>
  <c r="D7" i="4" s="1"/>
  <c r="D5" i="4"/>
  <c r="P6" i="4"/>
  <c r="P7" i="4" s="1"/>
  <c r="P5" i="4"/>
  <c r="O6" i="4"/>
  <c r="O7" i="4" s="1"/>
  <c r="O4" i="4"/>
  <c r="N5" i="4"/>
  <c r="Y6" i="4"/>
  <c r="Y7" i="4" s="1"/>
  <c r="V4" i="5"/>
  <c r="E6" i="5"/>
  <c r="E7" i="5" s="1"/>
  <c r="Q6" i="5"/>
  <c r="Q7" i="5" s="1"/>
  <c r="E106" i="6"/>
  <c r="E94" i="6"/>
  <c r="C94" i="6"/>
  <c r="D94" i="6" s="1"/>
  <c r="G116" i="6"/>
  <c r="H116" i="6" s="1"/>
  <c r="I128" i="6"/>
  <c r="C6" i="5"/>
  <c r="C7" i="5" s="1"/>
  <c r="C5" i="5"/>
  <c r="C6" i="4"/>
  <c r="C7" i="4" s="1"/>
  <c r="C4" i="4"/>
  <c r="M6" i="4"/>
  <c r="M7" i="4" s="1"/>
  <c r="D4" i="4"/>
  <c r="I5" i="4"/>
  <c r="J6" i="4"/>
  <c r="J7" i="4" s="1"/>
  <c r="E6" i="4"/>
  <c r="E7" i="4" s="1"/>
  <c r="Q6" i="4"/>
  <c r="Q7" i="4" s="1"/>
  <c r="I27" i="6"/>
  <c r="G15" i="6"/>
  <c r="H15" i="6" s="1"/>
  <c r="G40" i="6"/>
  <c r="H40" i="6" s="1"/>
  <c r="I52" i="6"/>
  <c r="E74" i="6"/>
  <c r="C63" i="6"/>
  <c r="D63" i="6" s="1"/>
  <c r="E62" i="6"/>
  <c r="C62" i="6"/>
  <c r="D62" i="6" s="1"/>
  <c r="E136" i="6"/>
  <c r="C124" i="6"/>
  <c r="D124" i="6" s="1"/>
  <c r="P6" i="5"/>
  <c r="P7" i="5" s="1"/>
  <c r="P5" i="5"/>
  <c r="P4" i="5"/>
  <c r="J4" i="4"/>
  <c r="K5" i="4"/>
  <c r="F6" i="4"/>
  <c r="F7" i="4" s="1"/>
  <c r="F5" i="4"/>
  <c r="F4" i="4"/>
  <c r="R6" i="4"/>
  <c r="R7" i="4" s="1"/>
  <c r="R5" i="4"/>
  <c r="R4" i="4"/>
  <c r="I5" i="5"/>
  <c r="G6" i="5"/>
  <c r="G7" i="5" s="1"/>
  <c r="S6" i="5"/>
  <c r="S7" i="5" s="1"/>
  <c r="G28" i="6"/>
  <c r="H28" i="6" s="1"/>
  <c r="I40" i="6"/>
  <c r="I53" i="6"/>
  <c r="G41" i="6"/>
  <c r="H41" i="6" s="1"/>
  <c r="G42" i="6"/>
  <c r="H42" i="6" s="1"/>
  <c r="E118" i="6"/>
  <c r="C106" i="6"/>
  <c r="D106" i="6" s="1"/>
  <c r="I167" i="6"/>
  <c r="G155" i="6"/>
  <c r="H155" i="6" s="1"/>
  <c r="G6" i="4"/>
  <c r="G7" i="4" s="1"/>
  <c r="G5" i="4"/>
  <c r="G4" i="4"/>
  <c r="S6" i="4"/>
  <c r="S7" i="4" s="1"/>
  <c r="S5" i="4"/>
  <c r="S4" i="4"/>
  <c r="K4" i="4"/>
  <c r="W4" i="4"/>
  <c r="U5" i="5"/>
  <c r="H5" i="5"/>
  <c r="T5" i="5"/>
  <c r="I41" i="6"/>
  <c r="G29" i="6"/>
  <c r="H29" i="6" s="1"/>
  <c r="B32" i="6"/>
  <c r="C33" i="6" s="1"/>
  <c r="F32" i="6"/>
  <c r="C37" i="6"/>
  <c r="E49" i="6"/>
  <c r="T5" i="4"/>
  <c r="T4" i="4"/>
  <c r="G16" i="6"/>
  <c r="H16" i="6" s="1"/>
  <c r="I28" i="6"/>
  <c r="B20" i="6"/>
  <c r="F20" i="6"/>
  <c r="E37" i="6"/>
  <c r="C25" i="6"/>
  <c r="D37" i="6"/>
  <c r="E45" i="6"/>
  <c r="C34" i="6"/>
  <c r="D45" i="6"/>
  <c r="G48" i="6"/>
  <c r="H48" i="6" s="1"/>
  <c r="I60" i="6"/>
  <c r="H5" i="4"/>
  <c r="H4" i="4"/>
  <c r="N4" i="4"/>
  <c r="O5" i="4"/>
  <c r="T6" i="4"/>
  <c r="T7" i="4" s="1"/>
  <c r="I4" i="4"/>
  <c r="U4" i="4"/>
  <c r="H6" i="5"/>
  <c r="H7" i="5" s="1"/>
  <c r="J6" i="5"/>
  <c r="J7" i="5" s="1"/>
  <c r="V6" i="5"/>
  <c r="V7" i="5" s="1"/>
  <c r="I4" i="5"/>
  <c r="U4" i="5"/>
  <c r="I16" i="6"/>
  <c r="I4" i="6"/>
  <c r="I29" i="6"/>
  <c r="G17" i="6"/>
  <c r="H17" i="6" s="1"/>
  <c r="E33" i="6"/>
  <c r="C21" i="6"/>
  <c r="D33" i="6"/>
  <c r="C22" i="6"/>
  <c r="I45" i="6"/>
  <c r="C78" i="6"/>
  <c r="D78" i="6" s="1"/>
  <c r="C77" i="6"/>
  <c r="D77" i="6" s="1"/>
  <c r="E100" i="6"/>
  <c r="C88" i="6"/>
  <c r="D88" i="6" s="1"/>
  <c r="E104" i="6"/>
  <c r="C93" i="6"/>
  <c r="D93" i="6" s="1"/>
  <c r="C92" i="6"/>
  <c r="D92" i="6" s="1"/>
  <c r="G7" i="6"/>
  <c r="H7" i="6" s="1"/>
  <c r="D23" i="6"/>
  <c r="D11" i="6"/>
  <c r="G19" i="6"/>
  <c r="H19" i="6" s="1"/>
  <c r="G31" i="6"/>
  <c r="H31" i="6" s="1"/>
  <c r="G65" i="6"/>
  <c r="H65" i="6" s="1"/>
  <c r="I77" i="6"/>
  <c r="G80" i="6"/>
  <c r="H80" i="6" s="1"/>
  <c r="I92" i="6"/>
  <c r="E133" i="6"/>
  <c r="C121" i="6"/>
  <c r="D121" i="6" s="1"/>
  <c r="C139" i="6"/>
  <c r="D139" i="6" s="1"/>
  <c r="E151" i="6"/>
  <c r="E162" i="6"/>
  <c r="E170" i="6"/>
  <c r="E158" i="6"/>
  <c r="F189" i="6"/>
  <c r="B189" i="6"/>
  <c r="F228" i="6"/>
  <c r="B228" i="6"/>
  <c r="E244" i="6"/>
  <c r="C232" i="6"/>
  <c r="D232" i="6" s="1"/>
  <c r="E315" i="6"/>
  <c r="C303" i="6"/>
  <c r="D303" i="6" s="1"/>
  <c r="C372" i="6"/>
  <c r="D372" i="6" s="1"/>
  <c r="E4" i="6"/>
  <c r="C11" i="6"/>
  <c r="C23" i="6"/>
  <c r="C35" i="6"/>
  <c r="G38" i="6"/>
  <c r="H38" i="6" s="1"/>
  <c r="F45" i="6"/>
  <c r="C47" i="6"/>
  <c r="G54" i="6"/>
  <c r="H54" i="6" s="1"/>
  <c r="F56" i="6"/>
  <c r="I63" i="6"/>
  <c r="C67" i="6"/>
  <c r="D67" i="6" s="1"/>
  <c r="C69" i="6"/>
  <c r="D69" i="6" s="1"/>
  <c r="C71" i="6"/>
  <c r="D71" i="6" s="1"/>
  <c r="C84" i="6"/>
  <c r="D84" i="6" s="1"/>
  <c r="G98" i="6"/>
  <c r="H98" i="6" s="1"/>
  <c r="I110" i="6"/>
  <c r="B101" i="6"/>
  <c r="G108" i="6"/>
  <c r="H108" i="6" s="1"/>
  <c r="G109" i="6"/>
  <c r="H109" i="6" s="1"/>
  <c r="I120" i="6"/>
  <c r="C116" i="6"/>
  <c r="D116" i="6" s="1"/>
  <c r="I131" i="6"/>
  <c r="G126" i="6"/>
  <c r="H126" i="6" s="1"/>
  <c r="G127" i="6"/>
  <c r="H127" i="6" s="1"/>
  <c r="I138" i="6"/>
  <c r="C134" i="6"/>
  <c r="D134" i="6" s="1"/>
  <c r="G150" i="6"/>
  <c r="H150" i="6" s="1"/>
  <c r="C158" i="6"/>
  <c r="D158" i="6" s="1"/>
  <c r="G163" i="6"/>
  <c r="H163" i="6" s="1"/>
  <c r="I195" i="6"/>
  <c r="F240" i="6"/>
  <c r="B240" i="6"/>
  <c r="F261" i="6"/>
  <c r="B261" i="6"/>
  <c r="I9" i="6"/>
  <c r="I23" i="6"/>
  <c r="I11" i="6"/>
  <c r="E65" i="6"/>
  <c r="C64" i="6"/>
  <c r="D64" i="6" s="1"/>
  <c r="E76" i="6"/>
  <c r="I69" i="6"/>
  <c r="G69" i="6"/>
  <c r="H69" i="6" s="1"/>
  <c r="G73" i="6"/>
  <c r="H73" i="6" s="1"/>
  <c r="I85" i="6"/>
  <c r="C81" i="6"/>
  <c r="D81" i="6" s="1"/>
  <c r="E93" i="6"/>
  <c r="G94" i="6"/>
  <c r="H94" i="6" s="1"/>
  <c r="I106" i="6"/>
  <c r="G101" i="6"/>
  <c r="H101" i="6" s="1"/>
  <c r="C156" i="6"/>
  <c r="D156" i="6" s="1"/>
  <c r="G166" i="6"/>
  <c r="H166" i="6" s="1"/>
  <c r="G167" i="6"/>
  <c r="H167" i="6" s="1"/>
  <c r="I166" i="6"/>
  <c r="G169" i="6"/>
  <c r="H169" i="6" s="1"/>
  <c r="E175" i="6"/>
  <c r="G178" i="6"/>
  <c r="H178" i="6" s="1"/>
  <c r="I190" i="6"/>
  <c r="E199" i="6"/>
  <c r="C187" i="6"/>
  <c r="D187" i="6" s="1"/>
  <c r="E208" i="6"/>
  <c r="C199" i="6"/>
  <c r="D199" i="6" s="1"/>
  <c r="E211" i="6"/>
  <c r="C200" i="6"/>
  <c r="D200" i="6" s="1"/>
  <c r="C210" i="6"/>
  <c r="D210" i="6" s="1"/>
  <c r="E222" i="6"/>
  <c r="C211" i="6"/>
  <c r="D211" i="6" s="1"/>
  <c r="E210" i="6"/>
  <c r="F225" i="6"/>
  <c r="B225" i="6"/>
  <c r="C258" i="6"/>
  <c r="D258" i="6" s="1"/>
  <c r="E258" i="6"/>
  <c r="F285" i="6"/>
  <c r="B285" i="6"/>
  <c r="B304" i="6"/>
  <c r="F304" i="6"/>
  <c r="F374" i="6"/>
  <c r="B374" i="6"/>
  <c r="E823" i="6"/>
  <c r="G205" i="6"/>
  <c r="H205" i="6" s="1"/>
  <c r="I217" i="6"/>
  <c r="G206" i="6"/>
  <c r="H206" i="6" s="1"/>
  <c r="E4" i="4"/>
  <c r="Q4" i="4"/>
  <c r="E5" i="4"/>
  <c r="Q5" i="4"/>
  <c r="L4" i="5"/>
  <c r="X4" i="5"/>
  <c r="G11" i="6"/>
  <c r="H11" i="6" s="1"/>
  <c r="B15" i="6"/>
  <c r="G23" i="6"/>
  <c r="H23" i="6" s="1"/>
  <c r="B27" i="6"/>
  <c r="G35" i="6"/>
  <c r="H35" i="6" s="1"/>
  <c r="B39" i="6"/>
  <c r="F49" i="6"/>
  <c r="C53" i="6"/>
  <c r="C57" i="6"/>
  <c r="E69" i="6"/>
  <c r="B79" i="6"/>
  <c r="G86" i="6"/>
  <c r="H86" i="6" s="1"/>
  <c r="I98" i="6"/>
  <c r="G88" i="6"/>
  <c r="H88" i="6" s="1"/>
  <c r="I100" i="6"/>
  <c r="G90" i="6"/>
  <c r="H90" i="6" s="1"/>
  <c r="I102" i="6"/>
  <c r="I96" i="6"/>
  <c r="C99" i="6"/>
  <c r="D99" i="6" s="1"/>
  <c r="E116" i="6"/>
  <c r="E121" i="6"/>
  <c r="C109" i="6"/>
  <c r="D109" i="6" s="1"/>
  <c r="E134" i="6"/>
  <c r="E139" i="6"/>
  <c r="C127" i="6"/>
  <c r="D127" i="6" s="1"/>
  <c r="C151" i="6"/>
  <c r="D151" i="6" s="1"/>
  <c r="G153" i="6"/>
  <c r="H153" i="6" s="1"/>
  <c r="E156" i="6"/>
  <c r="F175" i="6"/>
  <c r="I175" i="6" s="1"/>
  <c r="E187" i="6"/>
  <c r="F199" i="6"/>
  <c r="F221" i="6"/>
  <c r="B221" i="6"/>
  <c r="E293" i="6"/>
  <c r="C281" i="6"/>
  <c r="D281" i="6" s="1"/>
  <c r="B286" i="6"/>
  <c r="F286" i="6"/>
  <c r="G287" i="6" s="1"/>
  <c r="H287" i="6" s="1"/>
  <c r="F336" i="6"/>
  <c r="B336" i="6"/>
  <c r="G423" i="6"/>
  <c r="H423" i="6" s="1"/>
  <c r="I435" i="6"/>
  <c r="G424" i="6"/>
  <c r="H424" i="6" s="1"/>
  <c r="G648" i="6"/>
  <c r="H648" i="6" s="1"/>
  <c r="E264" i="6"/>
  <c r="C252" i="6"/>
  <c r="D252" i="6" s="1"/>
  <c r="M4" i="5"/>
  <c r="Y4" i="5"/>
  <c r="D15" i="6"/>
  <c r="G6" i="6"/>
  <c r="H6" i="6" s="1"/>
  <c r="G18" i="6"/>
  <c r="H18" i="6" s="1"/>
  <c r="G30" i="6"/>
  <c r="H30" i="6" s="1"/>
  <c r="D58" i="6"/>
  <c r="C46" i="6"/>
  <c r="B55" i="6"/>
  <c r="E64" i="6"/>
  <c r="C66" i="6"/>
  <c r="D66" i="6" s="1"/>
  <c r="I67" i="6"/>
  <c r="I71" i="6"/>
  <c r="I86" i="6"/>
  <c r="G92" i="6"/>
  <c r="H92" i="6" s="1"/>
  <c r="I104" i="6"/>
  <c r="I111" i="6"/>
  <c r="C104" i="6"/>
  <c r="D104" i="6" s="1"/>
  <c r="G114" i="6"/>
  <c r="H114" i="6" s="1"/>
  <c r="G115" i="6"/>
  <c r="H115" i="6" s="1"/>
  <c r="I126" i="6"/>
  <c r="C117" i="6"/>
  <c r="D117" i="6" s="1"/>
  <c r="C122" i="6"/>
  <c r="D122" i="6" s="1"/>
  <c r="G132" i="6"/>
  <c r="H132" i="6" s="1"/>
  <c r="G133" i="6"/>
  <c r="H133" i="6" s="1"/>
  <c r="I144" i="6"/>
  <c r="C135" i="6"/>
  <c r="D135" i="6" s="1"/>
  <c r="C140" i="6"/>
  <c r="D140" i="6" s="1"/>
  <c r="I153" i="6"/>
  <c r="G156" i="6"/>
  <c r="H156" i="6" s="1"/>
  <c r="G157" i="6"/>
  <c r="H157" i="6" s="1"/>
  <c r="I168" i="6"/>
  <c r="I156" i="6"/>
  <c r="C159" i="6"/>
  <c r="D159" i="6" s="1"/>
  <c r="E171" i="6"/>
  <c r="G161" i="6"/>
  <c r="H161" i="6" s="1"/>
  <c r="E182" i="6"/>
  <c r="F173" i="6"/>
  <c r="B173" i="6"/>
  <c r="E173" i="6" s="1"/>
  <c r="I178" i="6"/>
  <c r="I199" i="6"/>
  <c r="G187" i="6"/>
  <c r="H187" i="6" s="1"/>
  <c r="I202" i="6"/>
  <c r="G190" i="6"/>
  <c r="H190" i="6" s="1"/>
  <c r="G191" i="6"/>
  <c r="H191" i="6" s="1"/>
  <c r="C203" i="6"/>
  <c r="D203" i="6" s="1"/>
  <c r="E215" i="6"/>
  <c r="C219" i="6"/>
  <c r="D219" i="6" s="1"/>
  <c r="E230" i="6"/>
  <c r="C218" i="6"/>
  <c r="D218" i="6" s="1"/>
  <c r="I242" i="6"/>
  <c r="G230" i="6"/>
  <c r="H230" i="6" s="1"/>
  <c r="C278" i="6"/>
  <c r="D278" i="6" s="1"/>
  <c r="E290" i="6"/>
  <c r="N4" i="5"/>
  <c r="M5" i="5"/>
  <c r="Y5" i="5"/>
  <c r="E17" i="6"/>
  <c r="E5" i="6"/>
  <c r="C5" i="6"/>
  <c r="I6" i="6"/>
  <c r="E29" i="6"/>
  <c r="C17" i="6"/>
  <c r="E41" i="6"/>
  <c r="C29" i="6"/>
  <c r="E48" i="6"/>
  <c r="C41" i="6"/>
  <c r="D53" i="6"/>
  <c r="C70" i="6"/>
  <c r="D70" i="6" s="1"/>
  <c r="G79" i="6"/>
  <c r="H79" i="6" s="1"/>
  <c r="I101" i="6"/>
  <c r="I90" i="6"/>
  <c r="E109" i="6"/>
  <c r="C97" i="6"/>
  <c r="D97" i="6" s="1"/>
  <c r="G104" i="6"/>
  <c r="H104" i="6" s="1"/>
  <c r="I116" i="6"/>
  <c r="E119" i="6"/>
  <c r="E124" i="6"/>
  <c r="C112" i="6"/>
  <c r="D112" i="6" s="1"/>
  <c r="I129" i="6"/>
  <c r="G122" i="6"/>
  <c r="H122" i="6" s="1"/>
  <c r="I134" i="6"/>
  <c r="E137" i="6"/>
  <c r="E142" i="6"/>
  <c r="C130" i="6"/>
  <c r="D130" i="6" s="1"/>
  <c r="I147" i="6"/>
  <c r="E150" i="6"/>
  <c r="E155" i="6"/>
  <c r="C143" i="6"/>
  <c r="D143" i="6" s="1"/>
  <c r="E167" i="6"/>
  <c r="C176" i="6"/>
  <c r="D176" i="6" s="1"/>
  <c r="I191" i="6"/>
  <c r="G179" i="6"/>
  <c r="H179" i="6" s="1"/>
  <c r="F197" i="6"/>
  <c r="B197" i="6"/>
  <c r="G215" i="6"/>
  <c r="H215" i="6" s="1"/>
  <c r="G214" i="6"/>
  <c r="H214" i="6" s="1"/>
  <c r="E242" i="6"/>
  <c r="C231" i="6"/>
  <c r="D231" i="6" s="1"/>
  <c r="C230" i="6"/>
  <c r="D230" i="6" s="1"/>
  <c r="C282" i="6"/>
  <c r="D282" i="6" s="1"/>
  <c r="E294" i="6"/>
  <c r="C322" i="6"/>
  <c r="D322" i="6" s="1"/>
  <c r="C321" i="6"/>
  <c r="D321" i="6" s="1"/>
  <c r="C338" i="6"/>
  <c r="D338" i="6" s="1"/>
  <c r="C337" i="6"/>
  <c r="D337" i="6" s="1"/>
  <c r="AA4" i="5"/>
  <c r="N5" i="5"/>
  <c r="F3" i="6"/>
  <c r="D5" i="6"/>
  <c r="D10" i="6"/>
  <c r="C12" i="6"/>
  <c r="I13" i="6"/>
  <c r="D17" i="6"/>
  <c r="D22" i="6"/>
  <c r="C24" i="6"/>
  <c r="D29" i="6"/>
  <c r="D34" i="6"/>
  <c r="C36" i="6"/>
  <c r="D41" i="6"/>
  <c r="G44" i="6"/>
  <c r="H44" i="6" s="1"/>
  <c r="B48" i="6"/>
  <c r="C49" i="6" s="1"/>
  <c r="B59" i="6"/>
  <c r="E66" i="6"/>
  <c r="C68" i="6"/>
  <c r="D68" i="6" s="1"/>
  <c r="B72" i="6"/>
  <c r="C74" i="6"/>
  <c r="D74" i="6" s="1"/>
  <c r="G81" i="6"/>
  <c r="H81" i="6" s="1"/>
  <c r="C83" i="6"/>
  <c r="D83" i="6" s="1"/>
  <c r="E97" i="6"/>
  <c r="C85" i="6"/>
  <c r="D85" i="6" s="1"/>
  <c r="E99" i="6"/>
  <c r="B89" i="6"/>
  <c r="E105" i="6"/>
  <c r="C95" i="6"/>
  <c r="D95" i="6" s="1"/>
  <c r="C107" i="6"/>
  <c r="D107" i="6" s="1"/>
  <c r="G117" i="6"/>
  <c r="H117" i="6" s="1"/>
  <c r="C125" i="6"/>
  <c r="D125" i="6" s="1"/>
  <c r="G135" i="6"/>
  <c r="H135" i="6" s="1"/>
  <c r="E143" i="6"/>
  <c r="C154" i="6"/>
  <c r="D154" i="6" s="1"/>
  <c r="E174" i="6"/>
  <c r="C162" i="6"/>
  <c r="D162" i="6" s="1"/>
  <c r="I179" i="6"/>
  <c r="C182" i="6"/>
  <c r="D182" i="6" s="1"/>
  <c r="E206" i="6"/>
  <c r="C215" i="6"/>
  <c r="D215" i="6" s="1"/>
  <c r="E226" i="6"/>
  <c r="E214" i="6"/>
  <c r="G218" i="6"/>
  <c r="H218" i="6" s="1"/>
  <c r="I234" i="6"/>
  <c r="I294" i="6"/>
  <c r="E310" i="6"/>
  <c r="C298" i="6"/>
  <c r="D298" i="6" s="1"/>
  <c r="AA5" i="5"/>
  <c r="D19" i="6"/>
  <c r="D7" i="6"/>
  <c r="E10" i="6"/>
  <c r="D12" i="6"/>
  <c r="D24" i="6"/>
  <c r="D43" i="6"/>
  <c r="E43" i="6"/>
  <c r="D36" i="6"/>
  <c r="C50" i="6"/>
  <c r="I64" i="6"/>
  <c r="E70" i="6"/>
  <c r="E88" i="6"/>
  <c r="E92" i="6"/>
  <c r="E83" i="6"/>
  <c r="C87" i="6"/>
  <c r="D87" i="6" s="1"/>
  <c r="E103" i="6"/>
  <c r="C91" i="6"/>
  <c r="D91" i="6" s="1"/>
  <c r="G102" i="6"/>
  <c r="H102" i="6" s="1"/>
  <c r="I114" i="6"/>
  <c r="G107" i="6"/>
  <c r="H107" i="6" s="1"/>
  <c r="E122" i="6"/>
  <c r="E127" i="6"/>
  <c r="C115" i="6"/>
  <c r="D115" i="6" s="1"/>
  <c r="G125" i="6"/>
  <c r="H125" i="6" s="1"/>
  <c r="E140" i="6"/>
  <c r="C133" i="6"/>
  <c r="D133" i="6" s="1"/>
  <c r="E145" i="6"/>
  <c r="I155" i="6"/>
  <c r="F149" i="6"/>
  <c r="B149" i="6"/>
  <c r="C150" i="6" s="1"/>
  <c r="D150" i="6" s="1"/>
  <c r="C157" i="6"/>
  <c r="D157" i="6" s="1"/>
  <c r="I159" i="6"/>
  <c r="I197" i="6"/>
  <c r="E197" i="6"/>
  <c r="I222" i="6"/>
  <c r="B238" i="6"/>
  <c r="F238" i="6"/>
  <c r="F264" i="6"/>
  <c r="B264" i="6"/>
  <c r="E4" i="5"/>
  <c r="Q4" i="5"/>
  <c r="G10" i="6"/>
  <c r="H10" i="6" s="1"/>
  <c r="E12" i="6"/>
  <c r="G22" i="6"/>
  <c r="H22" i="6" s="1"/>
  <c r="G34" i="6"/>
  <c r="H34" i="6" s="1"/>
  <c r="D55" i="6"/>
  <c r="D50" i="6"/>
  <c r="G66" i="6"/>
  <c r="H66" i="6" s="1"/>
  <c r="G68" i="6"/>
  <c r="H68" i="6" s="1"/>
  <c r="I81" i="6"/>
  <c r="G83" i="6"/>
  <c r="H83" i="6" s="1"/>
  <c r="I99" i="6"/>
  <c r="I105" i="6"/>
  <c r="G95" i="6"/>
  <c r="H95" i="6" s="1"/>
  <c r="E112" i="6"/>
  <c r="C100" i="6"/>
  <c r="D100" i="6" s="1"/>
  <c r="C105" i="6"/>
  <c r="D105" i="6" s="1"/>
  <c r="C110" i="6"/>
  <c r="D110" i="6" s="1"/>
  <c r="I125" i="6"/>
  <c r="G120" i="6"/>
  <c r="H120" i="6" s="1"/>
  <c r="G121" i="6"/>
  <c r="H121" i="6" s="1"/>
  <c r="I132" i="6"/>
  <c r="C123" i="6"/>
  <c r="D123" i="6" s="1"/>
  <c r="C128" i="6"/>
  <c r="D128" i="6" s="1"/>
  <c r="I145" i="6"/>
  <c r="G138" i="6"/>
  <c r="H138" i="6" s="1"/>
  <c r="G139" i="6"/>
  <c r="H139" i="6" s="1"/>
  <c r="I150" i="6"/>
  <c r="C141" i="6"/>
  <c r="D141" i="6" s="1"/>
  <c r="G146" i="6"/>
  <c r="H146" i="6" s="1"/>
  <c r="I158" i="6"/>
  <c r="F165" i="6"/>
  <c r="I165" i="6" s="1"/>
  <c r="B165" i="6"/>
  <c r="E165" i="6" s="1"/>
  <c r="C171" i="6"/>
  <c r="D171" i="6" s="1"/>
  <c r="E183" i="6"/>
  <c r="C201" i="6"/>
  <c r="D201" i="6" s="1"/>
  <c r="C295" i="6"/>
  <c r="D295" i="6" s="1"/>
  <c r="E307" i="6"/>
  <c r="C317" i="6"/>
  <c r="D317" i="6" s="1"/>
  <c r="E329" i="6"/>
  <c r="E346" i="6"/>
  <c r="E349" i="6"/>
  <c r="G395" i="6"/>
  <c r="H395" i="6" s="1"/>
  <c r="I407" i="6"/>
  <c r="F4" i="5"/>
  <c r="R4" i="5"/>
  <c r="E5" i="5"/>
  <c r="Q5" i="5"/>
  <c r="I10" i="6"/>
  <c r="F12" i="6"/>
  <c r="E19" i="6"/>
  <c r="F24" i="6"/>
  <c r="F36" i="6"/>
  <c r="C38" i="6"/>
  <c r="C43" i="6"/>
  <c r="C56" i="6"/>
  <c r="I73" i="6"/>
  <c r="E63" i="6"/>
  <c r="G70" i="6"/>
  <c r="H70" i="6" s="1"/>
  <c r="I72" i="6"/>
  <c r="G74" i="6"/>
  <c r="H74" i="6" s="1"/>
  <c r="I83" i="6"/>
  <c r="G85" i="6"/>
  <c r="H85" i="6" s="1"/>
  <c r="G87" i="6"/>
  <c r="H87" i="6" s="1"/>
  <c r="G89" i="6"/>
  <c r="H89" i="6" s="1"/>
  <c r="G93" i="6"/>
  <c r="H93" i="6" s="1"/>
  <c r="G100" i="6"/>
  <c r="H100" i="6" s="1"/>
  <c r="I112" i="6"/>
  <c r="I117" i="6"/>
  <c r="G110" i="6"/>
  <c r="H110" i="6" s="1"/>
  <c r="I122" i="6"/>
  <c r="E125" i="6"/>
  <c r="E130" i="6"/>
  <c r="C118" i="6"/>
  <c r="D118" i="6" s="1"/>
  <c r="I135" i="6"/>
  <c r="G128" i="6"/>
  <c r="H128" i="6" s="1"/>
  <c r="I140" i="6"/>
  <c r="I189" i="6"/>
  <c r="G177" i="6"/>
  <c r="H177" i="6" s="1"/>
  <c r="C195" i="6"/>
  <c r="D195" i="6" s="1"/>
  <c r="E195" i="6"/>
  <c r="G207" i="6"/>
  <c r="H207" i="6" s="1"/>
  <c r="I219" i="6"/>
  <c r="E319" i="6"/>
  <c r="C307" i="6"/>
  <c r="D307" i="6" s="1"/>
  <c r="F345" i="6"/>
  <c r="B345" i="6"/>
  <c r="B354" i="6"/>
  <c r="F354" i="6"/>
  <c r="I19" i="6"/>
  <c r="I7" i="6"/>
  <c r="C54" i="6"/>
  <c r="D56" i="6"/>
  <c r="I59" i="6"/>
  <c r="G61" i="6"/>
  <c r="H61" i="6" s="1"/>
  <c r="G76" i="6"/>
  <c r="H76" i="6" s="1"/>
  <c r="I88" i="6"/>
  <c r="E80" i="6"/>
  <c r="G91" i="6"/>
  <c r="H91" i="6" s="1"/>
  <c r="E115" i="6"/>
  <c r="C103" i="6"/>
  <c r="D103" i="6" s="1"/>
  <c r="G105" i="6"/>
  <c r="H105" i="6" s="1"/>
  <c r="C108" i="6"/>
  <c r="D108" i="6" s="1"/>
  <c r="C113" i="6"/>
  <c r="D113" i="6" s="1"/>
  <c r="G123" i="6"/>
  <c r="H123" i="6" s="1"/>
  <c r="C126" i="6"/>
  <c r="D126" i="6" s="1"/>
  <c r="B177" i="6"/>
  <c r="I207" i="6"/>
  <c r="G195" i="6"/>
  <c r="H195" i="6" s="1"/>
  <c r="F201" i="6"/>
  <c r="F208" i="6"/>
  <c r="B208" i="6"/>
  <c r="G64" i="6"/>
  <c r="H64" i="6" s="1"/>
  <c r="I118" i="6"/>
  <c r="G154" i="6"/>
  <c r="H154" i="6" s="1"/>
  <c r="G164" i="6"/>
  <c r="H164" i="6" s="1"/>
  <c r="G188" i="6"/>
  <c r="H188" i="6" s="1"/>
  <c r="I255" i="6"/>
  <c r="C267" i="6"/>
  <c r="D267" i="6" s="1"/>
  <c r="E267" i="6"/>
  <c r="C405" i="6"/>
  <c r="D405" i="6" s="1"/>
  <c r="E417" i="6"/>
  <c r="C226" i="6"/>
  <c r="D226" i="6" s="1"/>
  <c r="C233" i="6"/>
  <c r="D233" i="6" s="1"/>
  <c r="B241" i="6"/>
  <c r="F241" i="6"/>
  <c r="C247" i="6"/>
  <c r="D247" i="6" s="1"/>
  <c r="E259" i="6"/>
  <c r="G256" i="6"/>
  <c r="H256" i="6" s="1"/>
  <c r="I267" i="6"/>
  <c r="F268" i="6"/>
  <c r="B268" i="6"/>
  <c r="E268" i="6" s="1"/>
  <c r="I282" i="6"/>
  <c r="F318" i="6"/>
  <c r="B318" i="6"/>
  <c r="F325" i="6"/>
  <c r="B325" i="6"/>
  <c r="I855" i="6"/>
  <c r="G843" i="6"/>
  <c r="H843" i="6" s="1"/>
  <c r="G148" i="6"/>
  <c r="H148" i="6" s="1"/>
  <c r="G180" i="6"/>
  <c r="H180" i="6" s="1"/>
  <c r="I235" i="6"/>
  <c r="G223" i="6"/>
  <c r="H223" i="6" s="1"/>
  <c r="E238" i="6"/>
  <c r="I259" i="6"/>
  <c r="G248" i="6"/>
  <c r="H248" i="6" s="1"/>
  <c r="G250" i="6"/>
  <c r="H250" i="6" s="1"/>
  <c r="I265" i="6"/>
  <c r="G253" i="6"/>
  <c r="H253" i="6" s="1"/>
  <c r="G255" i="6"/>
  <c r="H255" i="6" s="1"/>
  <c r="C294" i="6"/>
  <c r="D294" i="6" s="1"/>
  <c r="E305" i="6"/>
  <c r="C308" i="6"/>
  <c r="D308" i="6" s="1"/>
  <c r="E320" i="6"/>
  <c r="E324" i="6"/>
  <c r="F326" i="6"/>
  <c r="B326" i="6"/>
  <c r="F397" i="6"/>
  <c r="B397" i="6"/>
  <c r="G140" i="6"/>
  <c r="H140" i="6" s="1"/>
  <c r="B147" i="6"/>
  <c r="G158" i="6"/>
  <c r="H158" i="6" s="1"/>
  <c r="C160" i="6"/>
  <c r="D160" i="6" s="1"/>
  <c r="C167" i="6"/>
  <c r="D167" i="6" s="1"/>
  <c r="G170" i="6"/>
  <c r="H170" i="6" s="1"/>
  <c r="C172" i="6"/>
  <c r="D172" i="6" s="1"/>
  <c r="B179" i="6"/>
  <c r="C184" i="6"/>
  <c r="D184" i="6" s="1"/>
  <c r="E203" i="6"/>
  <c r="C191" i="6"/>
  <c r="D191" i="6" s="1"/>
  <c r="G194" i="6"/>
  <c r="H194" i="6" s="1"/>
  <c r="C196" i="6"/>
  <c r="D196" i="6" s="1"/>
  <c r="C202" i="6"/>
  <c r="D202" i="6" s="1"/>
  <c r="B204" i="6"/>
  <c r="B206" i="6"/>
  <c r="F226" i="6"/>
  <c r="C245" i="6"/>
  <c r="D245" i="6" s="1"/>
  <c r="E257" i="6"/>
  <c r="G247" i="6"/>
  <c r="H247" i="6" s="1"/>
  <c r="C253" i="6"/>
  <c r="D253" i="6" s="1"/>
  <c r="E295" i="6"/>
  <c r="B370" i="6"/>
  <c r="F370" i="6"/>
  <c r="G371" i="6" s="1"/>
  <c r="H371" i="6" s="1"/>
  <c r="I399" i="6"/>
  <c r="G388" i="6"/>
  <c r="H388" i="6" s="1"/>
  <c r="C412" i="6"/>
  <c r="D412" i="6" s="1"/>
  <c r="C413" i="6"/>
  <c r="D413" i="6" s="1"/>
  <c r="C242" i="6"/>
  <c r="D242" i="6" s="1"/>
  <c r="E254" i="6"/>
  <c r="E278" i="6"/>
  <c r="C271" i="6"/>
  <c r="D271" i="6" s="1"/>
  <c r="E283" i="6"/>
  <c r="G274" i="6"/>
  <c r="H274" i="6" s="1"/>
  <c r="I286" i="6"/>
  <c r="G283" i="6"/>
  <c r="H283" i="6" s="1"/>
  <c r="G305" i="6"/>
  <c r="H305" i="6" s="1"/>
  <c r="I317" i="6"/>
  <c r="G306" i="6"/>
  <c r="H306" i="6" s="1"/>
  <c r="C327" i="6"/>
  <c r="D327" i="6" s="1"/>
  <c r="E373" i="6"/>
  <c r="C144" i="6"/>
  <c r="D144" i="6" s="1"/>
  <c r="B169" i="6"/>
  <c r="I193" i="6"/>
  <c r="C186" i="6"/>
  <c r="D186" i="6" s="1"/>
  <c r="B193" i="6"/>
  <c r="E193" i="6" s="1"/>
  <c r="I194" i="6"/>
  <c r="G203" i="6"/>
  <c r="H203" i="6" s="1"/>
  <c r="I214" i="6"/>
  <c r="E223" i="6"/>
  <c r="E229" i="6"/>
  <c r="E217" i="6"/>
  <c r="C234" i="6"/>
  <c r="D234" i="6" s="1"/>
  <c r="G242" i="6"/>
  <c r="H242" i="6" s="1"/>
  <c r="G243" i="6"/>
  <c r="H243" i="6" s="1"/>
  <c r="I254" i="6"/>
  <c r="I247" i="6"/>
  <c r="C256" i="6"/>
  <c r="D256" i="6" s="1"/>
  <c r="C266" i="6"/>
  <c r="D266" i="6" s="1"/>
  <c r="E286" i="6"/>
  <c r="I289" i="6"/>
  <c r="G277" i="6"/>
  <c r="H277" i="6" s="1"/>
  <c r="I299" i="6"/>
  <c r="G290" i="6"/>
  <c r="H290" i="6" s="1"/>
  <c r="G291" i="6"/>
  <c r="H291" i="6" s="1"/>
  <c r="G299" i="6"/>
  <c r="H299" i="6" s="1"/>
  <c r="C315" i="6"/>
  <c r="D315" i="6" s="1"/>
  <c r="E327" i="6"/>
  <c r="C361" i="6"/>
  <c r="D361" i="6" s="1"/>
  <c r="F365" i="6"/>
  <c r="B365" i="6"/>
  <c r="G142" i="6"/>
  <c r="H142" i="6" s="1"/>
  <c r="G160" i="6"/>
  <c r="H160" i="6" s="1"/>
  <c r="G172" i="6"/>
  <c r="H172" i="6" s="1"/>
  <c r="I182" i="6"/>
  <c r="G184" i="6"/>
  <c r="H184" i="6" s="1"/>
  <c r="G196" i="6"/>
  <c r="H196" i="6" s="1"/>
  <c r="C209" i="6"/>
  <c r="D209" i="6" s="1"/>
  <c r="I231" i="6"/>
  <c r="G219" i="6"/>
  <c r="H219" i="6" s="1"/>
  <c r="C224" i="6"/>
  <c r="D224" i="6" s="1"/>
  <c r="E251" i="6"/>
  <c r="I257" i="6"/>
  <c r="E271" i="6"/>
  <c r="E296" i="6"/>
  <c r="I331" i="6"/>
  <c r="G319" i="6"/>
  <c r="H319" i="6" s="1"/>
  <c r="E335" i="6"/>
  <c r="E397" i="6"/>
  <c r="G508" i="6"/>
  <c r="H508" i="6" s="1"/>
  <c r="I520" i="6"/>
  <c r="G152" i="6"/>
  <c r="H152" i="6" s="1"/>
  <c r="I169" i="6"/>
  <c r="I160" i="6"/>
  <c r="G162" i="6"/>
  <c r="H162" i="6" s="1"/>
  <c r="C181" i="6"/>
  <c r="D181" i="6" s="1"/>
  <c r="C183" i="6"/>
  <c r="D183" i="6" s="1"/>
  <c r="G186" i="6"/>
  <c r="H186" i="6" s="1"/>
  <c r="C188" i="6"/>
  <c r="D188" i="6" s="1"/>
  <c r="B213" i="6"/>
  <c r="G220" i="6"/>
  <c r="H220" i="6" s="1"/>
  <c r="I232" i="6"/>
  <c r="E239" i="6"/>
  <c r="G231" i="6"/>
  <c r="H231" i="6" s="1"/>
  <c r="I243" i="6"/>
  <c r="I248" i="6"/>
  <c r="G236" i="6"/>
  <c r="H236" i="6" s="1"/>
  <c r="B254" i="6"/>
  <c r="G259" i="6"/>
  <c r="H259" i="6" s="1"/>
  <c r="I271" i="6"/>
  <c r="C263" i="6"/>
  <c r="D263" i="6" s="1"/>
  <c r="E275" i="6"/>
  <c r="E302" i="6"/>
  <c r="B310" i="6"/>
  <c r="E339" i="6"/>
  <c r="F418" i="6"/>
  <c r="B418" i="6"/>
  <c r="G112" i="6"/>
  <c r="H112" i="6" s="1"/>
  <c r="G118" i="6"/>
  <c r="H118" i="6" s="1"/>
  <c r="G124" i="6"/>
  <c r="H124" i="6" s="1"/>
  <c r="G130" i="6"/>
  <c r="H130" i="6" s="1"/>
  <c r="G136" i="6"/>
  <c r="H136" i="6" s="1"/>
  <c r="G144" i="6"/>
  <c r="H144" i="6" s="1"/>
  <c r="G174" i="6"/>
  <c r="H174" i="6" s="1"/>
  <c r="G198" i="6"/>
  <c r="H198" i="6" s="1"/>
  <c r="I210" i="6"/>
  <c r="I200" i="6"/>
  <c r="G200" i="6"/>
  <c r="H200" i="6" s="1"/>
  <c r="F209" i="6"/>
  <c r="E232" i="6"/>
  <c r="G224" i="6"/>
  <c r="H224" i="6" s="1"/>
  <c r="C227" i="6"/>
  <c r="D227" i="6" s="1"/>
  <c r="G234" i="6"/>
  <c r="H234" i="6" s="1"/>
  <c r="I236" i="6"/>
  <c r="C243" i="6"/>
  <c r="D243" i="6" s="1"/>
  <c r="E243" i="6"/>
  <c r="E255" i="6"/>
  <c r="E263" i="6"/>
  <c r="G310" i="6"/>
  <c r="H310" i="6" s="1"/>
  <c r="I411" i="6"/>
  <c r="G399" i="6"/>
  <c r="H399" i="6" s="1"/>
  <c r="G400" i="6"/>
  <c r="H400" i="6" s="1"/>
  <c r="C438" i="6"/>
  <c r="D438" i="6" s="1"/>
  <c r="G443" i="6"/>
  <c r="H443" i="6" s="1"/>
  <c r="I455" i="6"/>
  <c r="I443" i="6"/>
  <c r="I277" i="6"/>
  <c r="G265" i="6"/>
  <c r="H265" i="6" s="1"/>
  <c r="E282" i="6"/>
  <c r="I296" i="6"/>
  <c r="G284" i="6"/>
  <c r="H284" i="6" s="1"/>
  <c r="I301" i="6"/>
  <c r="G289" i="6"/>
  <c r="H289" i="6" s="1"/>
  <c r="F292" i="6"/>
  <c r="B292" i="6"/>
  <c r="I318" i="6"/>
  <c r="C309" i="6"/>
  <c r="D309" i="6" s="1"/>
  <c r="I324" i="6"/>
  <c r="F333" i="6"/>
  <c r="B333" i="6"/>
  <c r="E333" i="6" s="1"/>
  <c r="B346" i="6"/>
  <c r="F346" i="6"/>
  <c r="E361" i="6"/>
  <c r="I371" i="6"/>
  <c r="F380" i="6"/>
  <c r="B380" i="6"/>
  <c r="C415" i="6"/>
  <c r="D415" i="6" s="1"/>
  <c r="E427" i="6"/>
  <c r="C441" i="6"/>
  <c r="D441" i="6" s="1"/>
  <c r="C473" i="6"/>
  <c r="D473" i="6" s="1"/>
  <c r="C274" i="6"/>
  <c r="D274" i="6" s="1"/>
  <c r="C287" i="6"/>
  <c r="D287" i="6" s="1"/>
  <c r="E299" i="6"/>
  <c r="I359" i="6"/>
  <c r="I375" i="6"/>
  <c r="G363" i="6"/>
  <c r="H363" i="6" s="1"/>
  <c r="I384" i="6"/>
  <c r="G372" i="6"/>
  <c r="H372" i="6" s="1"/>
  <c r="C427" i="6"/>
  <c r="D427" i="6" s="1"/>
  <c r="E439" i="6"/>
  <c r="I458" i="6"/>
  <c r="G446" i="6"/>
  <c r="H446" i="6" s="1"/>
  <c r="I466" i="6"/>
  <c r="G454" i="6"/>
  <c r="H454" i="6" s="1"/>
  <c r="I504" i="6"/>
  <c r="I492" i="6"/>
  <c r="E532" i="6"/>
  <c r="I249" i="6"/>
  <c r="G237" i="6"/>
  <c r="H237" i="6" s="1"/>
  <c r="I269" i="6"/>
  <c r="G257" i="6"/>
  <c r="H257" i="6" s="1"/>
  <c r="G266" i="6"/>
  <c r="H266" i="6" s="1"/>
  <c r="E281" i="6"/>
  <c r="G280" i="6"/>
  <c r="H280" i="6" s="1"/>
  <c r="G288" i="6"/>
  <c r="H288" i="6" s="1"/>
  <c r="I300" i="6"/>
  <c r="C306" i="6"/>
  <c r="D306" i="6" s="1"/>
  <c r="E317" i="6"/>
  <c r="C305" i="6"/>
  <c r="D305" i="6" s="1"/>
  <c r="E311" i="6"/>
  <c r="E323" i="6"/>
  <c r="C311" i="6"/>
  <c r="D311" i="6" s="1"/>
  <c r="E321" i="6"/>
  <c r="C331" i="6"/>
  <c r="D331" i="6" s="1"/>
  <c r="E343" i="6"/>
  <c r="I355" i="6"/>
  <c r="E370" i="6"/>
  <c r="E401" i="6"/>
  <c r="C390" i="6"/>
  <c r="D390" i="6" s="1"/>
  <c r="F404" i="6"/>
  <c r="B404" i="6"/>
  <c r="I429" i="6"/>
  <c r="G417" i="6"/>
  <c r="H417" i="6" s="1"/>
  <c r="G435" i="6"/>
  <c r="H435" i="6" s="1"/>
  <c r="I447" i="6"/>
  <c r="G436" i="6"/>
  <c r="H436" i="6" s="1"/>
  <c r="I522" i="6"/>
  <c r="G510" i="6"/>
  <c r="H510" i="6" s="1"/>
  <c r="G511" i="6"/>
  <c r="H511" i="6" s="1"/>
  <c r="I528" i="6"/>
  <c r="C586" i="6"/>
  <c r="D586" i="6" s="1"/>
  <c r="E598" i="6"/>
  <c r="C235" i="6"/>
  <c r="D235" i="6" s="1"/>
  <c r="E247" i="6"/>
  <c r="F244" i="6"/>
  <c r="G245" i="6" s="1"/>
  <c r="H245" i="6" s="1"/>
  <c r="B244" i="6"/>
  <c r="C262" i="6"/>
  <c r="D262" i="6" s="1"/>
  <c r="E274" i="6"/>
  <c r="I290" i="6"/>
  <c r="E300" i="6"/>
  <c r="C288" i="6"/>
  <c r="D288" i="6" s="1"/>
  <c r="E303" i="6"/>
  <c r="C291" i="6"/>
  <c r="D291" i="6" s="1"/>
  <c r="E291" i="6"/>
  <c r="I305" i="6"/>
  <c r="I310" i="6"/>
  <c r="G298" i="6"/>
  <c r="H298" i="6" s="1"/>
  <c r="I320" i="6"/>
  <c r="G308" i="6"/>
  <c r="H308" i="6" s="1"/>
  <c r="G316" i="6"/>
  <c r="H316" i="6" s="1"/>
  <c r="I328" i="6"/>
  <c r="F324" i="6"/>
  <c r="B324" i="6"/>
  <c r="F328" i="6"/>
  <c r="B328" i="6"/>
  <c r="I370" i="6"/>
  <c r="G358" i="6"/>
  <c r="H358" i="6" s="1"/>
  <c r="E374" i="6"/>
  <c r="C362" i="6"/>
  <c r="D362" i="6" s="1"/>
  <c r="I394" i="6"/>
  <c r="G382" i="6"/>
  <c r="H382" i="6" s="1"/>
  <c r="C389" i="6"/>
  <c r="D389" i="6" s="1"/>
  <c r="I483" i="6"/>
  <c r="G471" i="6"/>
  <c r="H471" i="6" s="1"/>
  <c r="E517" i="6"/>
  <c r="F233" i="6"/>
  <c r="G246" i="6"/>
  <c r="H246" i="6" s="1"/>
  <c r="F262" i="6"/>
  <c r="I262" i="6" s="1"/>
  <c r="I283" i="6"/>
  <c r="G300" i="6"/>
  <c r="H300" i="6" s="1"/>
  <c r="I312" i="6"/>
  <c r="I341" i="6"/>
  <c r="G329" i="6"/>
  <c r="H329" i="6" s="1"/>
  <c r="I360" i="6"/>
  <c r="G348" i="6"/>
  <c r="H348" i="6" s="1"/>
  <c r="C355" i="6"/>
  <c r="D355" i="6" s="1"/>
  <c r="E367" i="6"/>
  <c r="F406" i="6"/>
  <c r="B406" i="6"/>
  <c r="B410" i="6"/>
  <c r="E410" i="6" s="1"/>
  <c r="F410" i="6"/>
  <c r="I426" i="6"/>
  <c r="G414" i="6"/>
  <c r="H414" i="6" s="1"/>
  <c r="I457" i="6"/>
  <c r="G445" i="6"/>
  <c r="H445" i="6" s="1"/>
  <c r="B491" i="6"/>
  <c r="E491" i="6" s="1"/>
  <c r="F491" i="6"/>
  <c r="G492" i="6" s="1"/>
  <c r="H492" i="6" s="1"/>
  <c r="C505" i="6"/>
  <c r="D505" i="6" s="1"/>
  <c r="I224" i="6"/>
  <c r="F216" i="6"/>
  <c r="I216" i="6" s="1"/>
  <c r="G260" i="6"/>
  <c r="H260" i="6" s="1"/>
  <c r="I272" i="6"/>
  <c r="C265" i="6"/>
  <c r="D265" i="6" s="1"/>
  <c r="E277" i="6"/>
  <c r="I279" i="6"/>
  <c r="I281" i="6"/>
  <c r="G269" i="6"/>
  <c r="H269" i="6" s="1"/>
  <c r="G278" i="6"/>
  <c r="H278" i="6" s="1"/>
  <c r="I293" i="6"/>
  <c r="G281" i="6"/>
  <c r="H281" i="6" s="1"/>
  <c r="C289" i="6"/>
  <c r="D289" i="6" s="1"/>
  <c r="I308" i="6"/>
  <c r="B329" i="6"/>
  <c r="C332" i="6"/>
  <c r="D332" i="6" s="1"/>
  <c r="E344" i="6"/>
  <c r="B348" i="6"/>
  <c r="C367" i="6"/>
  <c r="D367" i="6" s="1"/>
  <c r="E379" i="6"/>
  <c r="E390" i="6"/>
  <c r="B472" i="6"/>
  <c r="F472" i="6"/>
  <c r="I363" i="6"/>
  <c r="G351" i="6"/>
  <c r="H351" i="6" s="1"/>
  <c r="I395" i="6"/>
  <c r="I438" i="6"/>
  <c r="G426" i="6"/>
  <c r="H426" i="6" s="1"/>
  <c r="E469" i="6"/>
  <c r="G239" i="6"/>
  <c r="H239" i="6" s="1"/>
  <c r="G270" i="6"/>
  <c r="H270" i="6" s="1"/>
  <c r="B272" i="6"/>
  <c r="I306" i="6"/>
  <c r="G315" i="6"/>
  <c r="H315" i="6" s="1"/>
  <c r="G322" i="6"/>
  <c r="H322" i="6" s="1"/>
  <c r="I353" i="6"/>
  <c r="E355" i="6"/>
  <c r="G347" i="6"/>
  <c r="H347" i="6" s="1"/>
  <c r="I362" i="6"/>
  <c r="F364" i="6"/>
  <c r="B364" i="6"/>
  <c r="I389" i="6"/>
  <c r="G377" i="6"/>
  <c r="H377" i="6" s="1"/>
  <c r="B384" i="6"/>
  <c r="E384" i="6" s="1"/>
  <c r="C414" i="6"/>
  <c r="D414" i="6" s="1"/>
  <c r="C417" i="6"/>
  <c r="D417" i="6" s="1"/>
  <c r="C429" i="6"/>
  <c r="D429" i="6" s="1"/>
  <c r="E441" i="6"/>
  <c r="E437" i="6"/>
  <c r="B440" i="6"/>
  <c r="G465" i="6"/>
  <c r="H465" i="6" s="1"/>
  <c r="G466" i="6"/>
  <c r="H466" i="6" s="1"/>
  <c r="I477" i="6"/>
  <c r="F487" i="6"/>
  <c r="B487" i="6"/>
  <c r="F519" i="6"/>
  <c r="B519" i="6"/>
  <c r="G564" i="6"/>
  <c r="H564" i="6" s="1"/>
  <c r="I576" i="6"/>
  <c r="C283" i="6"/>
  <c r="D283" i="6" s="1"/>
  <c r="C312" i="6"/>
  <c r="D312" i="6" s="1"/>
  <c r="I333" i="6"/>
  <c r="G321" i="6"/>
  <c r="H321" i="6" s="1"/>
  <c r="I349" i="6"/>
  <c r="G337" i="6"/>
  <c r="H337" i="6" s="1"/>
  <c r="F352" i="6"/>
  <c r="G353" i="6" s="1"/>
  <c r="H353" i="6" s="1"/>
  <c r="B352" i="6"/>
  <c r="I374" i="6"/>
  <c r="E389" i="6"/>
  <c r="G385" i="6"/>
  <c r="H385" i="6" s="1"/>
  <c r="C403" i="6"/>
  <c r="D403" i="6" s="1"/>
  <c r="I433" i="6"/>
  <c r="G421" i="6"/>
  <c r="H421" i="6" s="1"/>
  <c r="I450" i="6"/>
  <c r="G438" i="6"/>
  <c r="H438" i="6" s="1"/>
  <c r="I453" i="6"/>
  <c r="G441" i="6"/>
  <c r="H441" i="6" s="1"/>
  <c r="G444" i="6"/>
  <c r="H444" i="6" s="1"/>
  <c r="E467" i="6"/>
  <c r="C455" i="6"/>
  <c r="D455" i="6" s="1"/>
  <c r="I488" i="6"/>
  <c r="G476" i="6"/>
  <c r="H476" i="6" s="1"/>
  <c r="B483" i="6"/>
  <c r="C484" i="6" s="1"/>
  <c r="D484" i="6" s="1"/>
  <c r="F483" i="6"/>
  <c r="C492" i="6"/>
  <c r="D492" i="6" s="1"/>
  <c r="E504" i="6"/>
  <c r="C510" i="6"/>
  <c r="D510" i="6" s="1"/>
  <c r="E522" i="6"/>
  <c r="C511" i="6"/>
  <c r="D511" i="6" s="1"/>
  <c r="I564" i="6"/>
  <c r="I204" i="6"/>
  <c r="I261" i="6"/>
  <c r="G249" i="6"/>
  <c r="H249" i="6" s="1"/>
  <c r="C251" i="6"/>
  <c r="D251" i="6" s="1"/>
  <c r="I258" i="6"/>
  <c r="I275" i="6"/>
  <c r="G297" i="6"/>
  <c r="H297" i="6" s="1"/>
  <c r="C299" i="6"/>
  <c r="D299" i="6" s="1"/>
  <c r="F302" i="6"/>
  <c r="G307" i="6"/>
  <c r="H307" i="6" s="1"/>
  <c r="I326" i="6"/>
  <c r="I319" i="6"/>
  <c r="I321" i="6"/>
  <c r="G331" i="6"/>
  <c r="H331" i="6" s="1"/>
  <c r="I351" i="6"/>
  <c r="B342" i="6"/>
  <c r="C343" i="6" s="1"/>
  <c r="D343" i="6" s="1"/>
  <c r="F342" i="6"/>
  <c r="F344" i="6"/>
  <c r="B344" i="6"/>
  <c r="I365" i="6"/>
  <c r="G355" i="6"/>
  <c r="H355" i="6" s="1"/>
  <c r="I372" i="6"/>
  <c r="G360" i="6"/>
  <c r="H360" i="6" s="1"/>
  <c r="I385" i="6"/>
  <c r="G373" i="6"/>
  <c r="H373" i="6" s="1"/>
  <c r="E415" i="6"/>
  <c r="I454" i="6"/>
  <c r="G442" i="6"/>
  <c r="H442" i="6" s="1"/>
  <c r="G447" i="6"/>
  <c r="H447" i="6" s="1"/>
  <c r="I459" i="6"/>
  <c r="I462" i="6"/>
  <c r="G473" i="6"/>
  <c r="H473" i="6" s="1"/>
  <c r="F477" i="6"/>
  <c r="B477" i="6"/>
  <c r="C530" i="6"/>
  <c r="D530" i="6" s="1"/>
  <c r="B248" i="6"/>
  <c r="C279" i="6"/>
  <c r="D279" i="6" s="1"/>
  <c r="B296" i="6"/>
  <c r="I325" i="6"/>
  <c r="G313" i="6"/>
  <c r="H313" i="6" s="1"/>
  <c r="G314" i="6"/>
  <c r="H314" i="6" s="1"/>
  <c r="I339" i="6"/>
  <c r="G339" i="6"/>
  <c r="H339" i="6" s="1"/>
  <c r="B353" i="6"/>
  <c r="E353" i="6" s="1"/>
  <c r="C358" i="6"/>
  <c r="D358" i="6" s="1"/>
  <c r="B360" i="6"/>
  <c r="I367" i="6"/>
  <c r="B373" i="6"/>
  <c r="I387" i="6"/>
  <c r="I398" i="6"/>
  <c r="C419" i="6"/>
  <c r="D419" i="6" s="1"/>
  <c r="E431" i="6"/>
  <c r="E419" i="6"/>
  <c r="C439" i="6"/>
  <c r="D439" i="6" s="1"/>
  <c r="B442" i="6"/>
  <c r="G450" i="6"/>
  <c r="H450" i="6" s="1"/>
  <c r="C459" i="6"/>
  <c r="D459" i="6" s="1"/>
  <c r="F474" i="6"/>
  <c r="B474" i="6"/>
  <c r="F517" i="6"/>
  <c r="B517" i="6"/>
  <c r="I542" i="6"/>
  <c r="G530" i="6"/>
  <c r="H530" i="6" s="1"/>
  <c r="C541" i="6"/>
  <c r="D541" i="6" s="1"/>
  <c r="I558" i="6"/>
  <c r="G546" i="6"/>
  <c r="H546" i="6" s="1"/>
  <c r="E641" i="6"/>
  <c r="C259" i="6"/>
  <c r="D259" i="6" s="1"/>
  <c r="C320" i="6"/>
  <c r="D320" i="6" s="1"/>
  <c r="G323" i="6"/>
  <c r="H323" i="6" s="1"/>
  <c r="I361" i="6"/>
  <c r="G349" i="6"/>
  <c r="H349" i="6" s="1"/>
  <c r="F368" i="6"/>
  <c r="B368" i="6"/>
  <c r="E398" i="6"/>
  <c r="C386" i="6"/>
  <c r="D386" i="6" s="1"/>
  <c r="C391" i="6"/>
  <c r="D391" i="6" s="1"/>
  <c r="E403" i="6"/>
  <c r="E406" i="6"/>
  <c r="G396" i="6"/>
  <c r="H396" i="6" s="1"/>
  <c r="G419" i="6"/>
  <c r="H419" i="6" s="1"/>
  <c r="I434" i="6"/>
  <c r="I440" i="6"/>
  <c r="G428" i="6"/>
  <c r="H428" i="6" s="1"/>
  <c r="E446" i="6"/>
  <c r="C434" i="6"/>
  <c r="D434" i="6" s="1"/>
  <c r="E448" i="6"/>
  <c r="E474" i="6"/>
  <c r="E490" i="6"/>
  <c r="C478" i="6"/>
  <c r="D478" i="6" s="1"/>
  <c r="E478" i="6"/>
  <c r="E506" i="6"/>
  <c r="C494" i="6"/>
  <c r="D494" i="6" s="1"/>
  <c r="I511" i="6"/>
  <c r="G499" i="6"/>
  <c r="H499" i="6" s="1"/>
  <c r="E543" i="6"/>
  <c r="C531" i="6"/>
  <c r="D531" i="6" s="1"/>
  <c r="F340" i="6"/>
  <c r="G341" i="6" s="1"/>
  <c r="H341" i="6" s="1"/>
  <c r="B340" i="6"/>
  <c r="F356" i="6"/>
  <c r="B356" i="6"/>
  <c r="I373" i="6"/>
  <c r="G361" i="6"/>
  <c r="H361" i="6" s="1"/>
  <c r="B366" i="6"/>
  <c r="F366" i="6"/>
  <c r="G367" i="6" s="1"/>
  <c r="H367" i="6" s="1"/>
  <c r="G383" i="6"/>
  <c r="H383" i="6" s="1"/>
  <c r="I401" i="6"/>
  <c r="G389" i="6"/>
  <c r="H389" i="6" s="1"/>
  <c r="C396" i="6"/>
  <c r="D396" i="6" s="1"/>
  <c r="E408" i="6"/>
  <c r="I417" i="6"/>
  <c r="G405" i="6"/>
  <c r="H405" i="6" s="1"/>
  <c r="F408" i="6"/>
  <c r="B408" i="6"/>
  <c r="C428" i="6"/>
  <c r="D428" i="6" s="1"/>
  <c r="E440" i="6"/>
  <c r="C451" i="6"/>
  <c r="D451" i="6" s="1"/>
  <c r="E519" i="6"/>
  <c r="F513" i="6"/>
  <c r="G514" i="6" s="1"/>
  <c r="H514" i="6" s="1"/>
  <c r="B513" i="6"/>
  <c r="F547" i="6"/>
  <c r="B547" i="6"/>
  <c r="C443" i="6"/>
  <c r="D443" i="6" s="1"/>
  <c r="E443" i="6"/>
  <c r="E458" i="6"/>
  <c r="C446" i="6"/>
  <c r="D446" i="6" s="1"/>
  <c r="C454" i="6"/>
  <c r="D454" i="6" s="1"/>
  <c r="I474" i="6"/>
  <c r="G467" i="6"/>
  <c r="H467" i="6" s="1"/>
  <c r="I491" i="6"/>
  <c r="G480" i="6"/>
  <c r="H480" i="6" s="1"/>
  <c r="I507" i="6"/>
  <c r="G495" i="6"/>
  <c r="H495" i="6" s="1"/>
  <c r="F554" i="6"/>
  <c r="B554" i="6"/>
  <c r="E507" i="6"/>
  <c r="C495" i="6"/>
  <c r="D495" i="6" s="1"/>
  <c r="C508" i="6"/>
  <c r="D508" i="6" s="1"/>
  <c r="E520" i="6"/>
  <c r="G523" i="6"/>
  <c r="H523" i="6" s="1"/>
  <c r="I535" i="6"/>
  <c r="I523" i="6"/>
  <c r="I241" i="6"/>
  <c r="G229" i="6"/>
  <c r="H229" i="6" s="1"/>
  <c r="I285" i="6"/>
  <c r="G273" i="6"/>
  <c r="H273" i="6" s="1"/>
  <c r="C275" i="6"/>
  <c r="D275" i="6" s="1"/>
  <c r="G301" i="6"/>
  <c r="H301" i="6" s="1"/>
  <c r="I313" i="6"/>
  <c r="E331" i="6"/>
  <c r="I346" i="6"/>
  <c r="G338" i="6"/>
  <c r="H338" i="6" s="1"/>
  <c r="C379" i="6"/>
  <c r="D379" i="6" s="1"/>
  <c r="E391" i="6"/>
  <c r="I396" i="6"/>
  <c r="G384" i="6"/>
  <c r="H384" i="6" s="1"/>
  <c r="F392" i="6"/>
  <c r="B392" i="6"/>
  <c r="G394" i="6"/>
  <c r="H394" i="6" s="1"/>
  <c r="I414" i="6"/>
  <c r="G402" i="6"/>
  <c r="H402" i="6" s="1"/>
  <c r="I423" i="6"/>
  <c r="I441" i="6"/>
  <c r="G429" i="6"/>
  <c r="H429" i="6" s="1"/>
  <c r="F432" i="6"/>
  <c r="B432" i="6"/>
  <c r="G440" i="6"/>
  <c r="H440" i="6" s="1"/>
  <c r="I452" i="6"/>
  <c r="G486" i="6"/>
  <c r="H486" i="6" s="1"/>
  <c r="B496" i="6"/>
  <c r="F496" i="6"/>
  <c r="I496" i="6" s="1"/>
  <c r="B523" i="6"/>
  <c r="C339" i="6"/>
  <c r="D339" i="6" s="1"/>
  <c r="C351" i="6"/>
  <c r="D351" i="6" s="1"/>
  <c r="C363" i="6"/>
  <c r="D363" i="6" s="1"/>
  <c r="C375" i="6"/>
  <c r="D375" i="6" s="1"/>
  <c r="F378" i="6"/>
  <c r="C387" i="6"/>
  <c r="D387" i="6" s="1"/>
  <c r="F390" i="6"/>
  <c r="C399" i="6"/>
  <c r="D399" i="6" s="1"/>
  <c r="G415" i="6"/>
  <c r="H415" i="6" s="1"/>
  <c r="G439" i="6"/>
  <c r="H439" i="6" s="1"/>
  <c r="I456" i="6"/>
  <c r="B469" i="6"/>
  <c r="F469" i="6"/>
  <c r="C476" i="6"/>
  <c r="D476" i="6" s="1"/>
  <c r="C522" i="6"/>
  <c r="D522" i="6" s="1"/>
  <c r="F536" i="6"/>
  <c r="B536" i="6"/>
  <c r="B540" i="6"/>
  <c r="F540" i="6"/>
  <c r="I557" i="6"/>
  <c r="G557" i="6"/>
  <c r="H557" i="6" s="1"/>
  <c r="E584" i="6"/>
  <c r="C584" i="6"/>
  <c r="D584" i="6" s="1"/>
  <c r="G628" i="6"/>
  <c r="H628" i="6" s="1"/>
  <c r="G629" i="6"/>
  <c r="H629" i="6" s="1"/>
  <c r="I413" i="6"/>
  <c r="G401" i="6"/>
  <c r="H401" i="6" s="1"/>
  <c r="C423" i="6"/>
  <c r="D423" i="6" s="1"/>
  <c r="I437" i="6"/>
  <c r="G425" i="6"/>
  <c r="H425" i="6" s="1"/>
  <c r="C447" i="6"/>
  <c r="D447" i="6" s="1"/>
  <c r="I461" i="6"/>
  <c r="G449" i="6"/>
  <c r="H449" i="6" s="1"/>
  <c r="C467" i="6"/>
  <c r="D467" i="6" s="1"/>
  <c r="E479" i="6"/>
  <c r="I473" i="6"/>
  <c r="G484" i="6"/>
  <c r="H484" i="6" s="1"/>
  <c r="I534" i="6"/>
  <c r="E569" i="6"/>
  <c r="I593" i="6"/>
  <c r="G582" i="6"/>
  <c r="H582" i="6" s="1"/>
  <c r="C591" i="6"/>
  <c r="D591" i="6" s="1"/>
  <c r="E603" i="6"/>
  <c r="C628" i="6"/>
  <c r="D628" i="6" s="1"/>
  <c r="I369" i="6"/>
  <c r="I381" i="6"/>
  <c r="G369" i="6"/>
  <c r="H369" i="6" s="1"/>
  <c r="I393" i="6"/>
  <c r="G381" i="6"/>
  <c r="H381" i="6" s="1"/>
  <c r="I405" i="6"/>
  <c r="G393" i="6"/>
  <c r="H393" i="6" s="1"/>
  <c r="C407" i="6"/>
  <c r="D407" i="6" s="1"/>
  <c r="I421" i="6"/>
  <c r="G409" i="6"/>
  <c r="H409" i="6" s="1"/>
  <c r="C431" i="6"/>
  <c r="D431" i="6" s="1"/>
  <c r="I445" i="6"/>
  <c r="G433" i="6"/>
  <c r="H433" i="6" s="1"/>
  <c r="G451" i="6"/>
  <c r="H451" i="6" s="1"/>
  <c r="G455" i="6"/>
  <c r="H455" i="6" s="1"/>
  <c r="I471" i="6"/>
  <c r="G459" i="6"/>
  <c r="H459" i="6" s="1"/>
  <c r="I475" i="6"/>
  <c r="G463" i="6"/>
  <c r="H463" i="6" s="1"/>
  <c r="I465" i="6"/>
  <c r="I467" i="6"/>
  <c r="I469" i="6"/>
  <c r="C482" i="6"/>
  <c r="D482" i="6" s="1"/>
  <c r="E494" i="6"/>
  <c r="G485" i="6"/>
  <c r="H485" i="6" s="1"/>
  <c r="E498" i="6"/>
  <c r="E510" i="6"/>
  <c r="I532" i="6"/>
  <c r="I540" i="6"/>
  <c r="I550" i="6"/>
  <c r="G538" i="6"/>
  <c r="H538" i="6" s="1"/>
  <c r="G539" i="6"/>
  <c r="H539" i="6" s="1"/>
  <c r="I544" i="6"/>
  <c r="G551" i="6"/>
  <c r="H551" i="6" s="1"/>
  <c r="C558" i="6"/>
  <c r="D558" i="6" s="1"/>
  <c r="F561" i="6"/>
  <c r="B561" i="6"/>
  <c r="G309" i="6"/>
  <c r="H309" i="6" s="1"/>
  <c r="B357" i="6"/>
  <c r="B369" i="6"/>
  <c r="B381" i="6"/>
  <c r="B393" i="6"/>
  <c r="G403" i="6"/>
  <c r="H403" i="6" s="1"/>
  <c r="B420" i="6"/>
  <c r="G427" i="6"/>
  <c r="H427" i="6" s="1"/>
  <c r="B444" i="6"/>
  <c r="I451" i="6"/>
  <c r="I463" i="6"/>
  <c r="G468" i="6"/>
  <c r="H468" i="6" s="1"/>
  <c r="B485" i="6"/>
  <c r="G493" i="6"/>
  <c r="H493" i="6" s="1"/>
  <c r="F503" i="6"/>
  <c r="B503" i="6"/>
  <c r="C504" i="6" s="1"/>
  <c r="D504" i="6" s="1"/>
  <c r="I505" i="6"/>
  <c r="G509" i="6"/>
  <c r="H509" i="6" s="1"/>
  <c r="B524" i="6"/>
  <c r="F524" i="6"/>
  <c r="G525" i="6" s="1"/>
  <c r="H525" i="6" s="1"/>
  <c r="C534" i="6"/>
  <c r="D534" i="6" s="1"/>
  <c r="B538" i="6"/>
  <c r="I599" i="6"/>
  <c r="I587" i="6"/>
  <c r="C602" i="6"/>
  <c r="D602" i="6" s="1"/>
  <c r="E614" i="6"/>
  <c r="F607" i="6"/>
  <c r="B607" i="6"/>
  <c r="E407" i="6"/>
  <c r="I425" i="6"/>
  <c r="G413" i="6"/>
  <c r="H413" i="6" s="1"/>
  <c r="C435" i="6"/>
  <c r="D435" i="6" s="1"/>
  <c r="I449" i="6"/>
  <c r="G437" i="6"/>
  <c r="H437" i="6" s="1"/>
  <c r="I476" i="6"/>
  <c r="E487" i="6"/>
  <c r="C475" i="6"/>
  <c r="D475" i="6" s="1"/>
  <c r="E485" i="6"/>
  <c r="G490" i="6"/>
  <c r="H490" i="6" s="1"/>
  <c r="B493" i="6"/>
  <c r="F498" i="6"/>
  <c r="I518" i="6"/>
  <c r="B509" i="6"/>
  <c r="F512" i="6"/>
  <c r="B512" i="6"/>
  <c r="F515" i="6"/>
  <c r="G516" i="6" s="1"/>
  <c r="H516" i="6" s="1"/>
  <c r="B515" i="6"/>
  <c r="I537" i="6"/>
  <c r="G531" i="6"/>
  <c r="H531" i="6" s="1"/>
  <c r="E534" i="6"/>
  <c r="I551" i="6"/>
  <c r="B562" i="6"/>
  <c r="F562" i="6"/>
  <c r="G576" i="6"/>
  <c r="H576" i="6" s="1"/>
  <c r="G587" i="6"/>
  <c r="H587" i="6" s="1"/>
  <c r="F636" i="6"/>
  <c r="B636" i="6"/>
  <c r="I329" i="6"/>
  <c r="G317" i="6"/>
  <c r="H317" i="6" s="1"/>
  <c r="C335" i="6"/>
  <c r="D335" i="6" s="1"/>
  <c r="C347" i="6"/>
  <c r="D347" i="6" s="1"/>
  <c r="C359" i="6"/>
  <c r="D359" i="6" s="1"/>
  <c r="C371" i="6"/>
  <c r="D371" i="6" s="1"/>
  <c r="B376" i="6"/>
  <c r="C383" i="6"/>
  <c r="D383" i="6" s="1"/>
  <c r="B388" i="6"/>
  <c r="G391" i="6"/>
  <c r="H391" i="6" s="1"/>
  <c r="C395" i="6"/>
  <c r="D395" i="6" s="1"/>
  <c r="B400" i="6"/>
  <c r="G407" i="6"/>
  <c r="H407" i="6" s="1"/>
  <c r="B424" i="6"/>
  <c r="I427" i="6"/>
  <c r="G431" i="6"/>
  <c r="H431" i="6" s="1"/>
  <c r="B448" i="6"/>
  <c r="B452" i="6"/>
  <c r="B456" i="6"/>
  <c r="B460" i="6"/>
  <c r="B464" i="6"/>
  <c r="C468" i="6"/>
  <c r="D468" i="6" s="1"/>
  <c r="I490" i="6"/>
  <c r="G478" i="6"/>
  <c r="H478" i="6" s="1"/>
  <c r="I494" i="6"/>
  <c r="G482" i="6"/>
  <c r="H482" i="6" s="1"/>
  <c r="B488" i="6"/>
  <c r="C501" i="6"/>
  <c r="D501" i="6" s="1"/>
  <c r="E513" i="6"/>
  <c r="B506" i="6"/>
  <c r="C507" i="6" s="1"/>
  <c r="D507" i="6" s="1"/>
  <c r="I509" i="6"/>
  <c r="F521" i="6"/>
  <c r="I521" i="6" s="1"/>
  <c r="B521" i="6"/>
  <c r="B525" i="6"/>
  <c r="I546" i="6"/>
  <c r="G534" i="6"/>
  <c r="H534" i="6" s="1"/>
  <c r="E541" i="6"/>
  <c r="C539" i="6"/>
  <c r="D539" i="6" s="1"/>
  <c r="E551" i="6"/>
  <c r="C556" i="6"/>
  <c r="D556" i="6" s="1"/>
  <c r="E568" i="6"/>
  <c r="B574" i="6"/>
  <c r="F574" i="6"/>
  <c r="I487" i="6"/>
  <c r="G475" i="6"/>
  <c r="H475" i="6" s="1"/>
  <c r="I516" i="6"/>
  <c r="G504" i="6"/>
  <c r="H504" i="6" s="1"/>
  <c r="G505" i="6"/>
  <c r="H505" i="6" s="1"/>
  <c r="I530" i="6"/>
  <c r="B526" i="6"/>
  <c r="F526" i="6"/>
  <c r="I526" i="6" s="1"/>
  <c r="B567" i="6"/>
  <c r="F567" i="6"/>
  <c r="F549" i="6"/>
  <c r="B549" i="6"/>
  <c r="C550" i="6" s="1"/>
  <c r="D550" i="6" s="1"/>
  <c r="E590" i="6"/>
  <c r="I478" i="6"/>
  <c r="G500" i="6"/>
  <c r="H500" i="6" s="1"/>
  <c r="B543" i="6"/>
  <c r="F543" i="6"/>
  <c r="I543" i="6" s="1"/>
  <c r="C564" i="6"/>
  <c r="D564" i="6" s="1"/>
  <c r="E576" i="6"/>
  <c r="E578" i="6"/>
  <c r="B610" i="6"/>
  <c r="F610" i="6"/>
  <c r="G618" i="6"/>
  <c r="H618" i="6" s="1"/>
  <c r="G630" i="6"/>
  <c r="H630" i="6" s="1"/>
  <c r="I642" i="6"/>
  <c r="F646" i="6"/>
  <c r="B646" i="6"/>
  <c r="F678" i="6"/>
  <c r="B678" i="6"/>
  <c r="I506" i="6"/>
  <c r="G494" i="6"/>
  <c r="H494" i="6" s="1"/>
  <c r="C500" i="6"/>
  <c r="D500" i="6" s="1"/>
  <c r="E512" i="6"/>
  <c r="C532" i="6"/>
  <c r="D532" i="6" s="1"/>
  <c r="I553" i="6"/>
  <c r="G541" i="6"/>
  <c r="H541" i="6" s="1"/>
  <c r="G556" i="6"/>
  <c r="H556" i="6" s="1"/>
  <c r="I568" i="6"/>
  <c r="E571" i="6"/>
  <c r="C576" i="6"/>
  <c r="D576" i="6" s="1"/>
  <c r="I590" i="6"/>
  <c r="I598" i="6"/>
  <c r="B594" i="6"/>
  <c r="F594" i="6"/>
  <c r="I630" i="6"/>
  <c r="B664" i="6"/>
  <c r="F664" i="6"/>
  <c r="I482" i="6"/>
  <c r="I514" i="6"/>
  <c r="F537" i="6"/>
  <c r="B537" i="6"/>
  <c r="F565" i="6"/>
  <c r="B565" i="6"/>
  <c r="G611" i="6"/>
  <c r="H611" i="6" s="1"/>
  <c r="I623" i="6"/>
  <c r="G619" i="6"/>
  <c r="H619" i="6" s="1"/>
  <c r="F654" i="6"/>
  <c r="I654" i="6" s="1"/>
  <c r="B654" i="6"/>
  <c r="B470" i="6"/>
  <c r="C480" i="6"/>
  <c r="D480" i="6" s="1"/>
  <c r="B490" i="6"/>
  <c r="B497" i="6"/>
  <c r="C499" i="6"/>
  <c r="D499" i="6" s="1"/>
  <c r="G502" i="6"/>
  <c r="H502" i="6" s="1"/>
  <c r="B516" i="6"/>
  <c r="E530" i="6"/>
  <c r="B535" i="6"/>
  <c r="I541" i="6"/>
  <c r="F544" i="6"/>
  <c r="B544" i="6"/>
  <c r="E558" i="6"/>
  <c r="I567" i="6"/>
  <c r="G579" i="6"/>
  <c r="H579" i="6" s="1"/>
  <c r="E594" i="6"/>
  <c r="I611" i="6"/>
  <c r="F632" i="6"/>
  <c r="B632" i="6"/>
  <c r="C637" i="6"/>
  <c r="D637" i="6" s="1"/>
  <c r="B542" i="6"/>
  <c r="F542" i="6"/>
  <c r="E544" i="6"/>
  <c r="C551" i="6"/>
  <c r="D551" i="6" s="1"/>
  <c r="E563" i="6"/>
  <c r="I570" i="6"/>
  <c r="G558" i="6"/>
  <c r="H558" i="6" s="1"/>
  <c r="F560" i="6"/>
  <c r="B560" i="6"/>
  <c r="F625" i="6"/>
  <c r="B625" i="6"/>
  <c r="C563" i="6"/>
  <c r="D563" i="6" s="1"/>
  <c r="E575" i="6"/>
  <c r="I582" i="6"/>
  <c r="F596" i="6"/>
  <c r="B596" i="6"/>
  <c r="F600" i="6"/>
  <c r="B600" i="6"/>
  <c r="I615" i="6"/>
  <c r="G603" i="6"/>
  <c r="H603" i="6" s="1"/>
  <c r="G563" i="6"/>
  <c r="H563" i="6" s="1"/>
  <c r="I575" i="6"/>
  <c r="B571" i="6"/>
  <c r="F571" i="6"/>
  <c r="B589" i="6"/>
  <c r="C590" i="6" s="1"/>
  <c r="D590" i="6" s="1"/>
  <c r="F589" i="6"/>
  <c r="B613" i="6"/>
  <c r="F613" i="6"/>
  <c r="I646" i="6"/>
  <c r="I634" i="6"/>
  <c r="G568" i="6"/>
  <c r="H568" i="6" s="1"/>
  <c r="G590" i="6"/>
  <c r="H590" i="6" s="1"/>
  <c r="I602" i="6"/>
  <c r="E605" i="6"/>
  <c r="I617" i="6"/>
  <c r="G605" i="6"/>
  <c r="H605" i="6" s="1"/>
  <c r="B634" i="6"/>
  <c r="F639" i="6"/>
  <c r="B639" i="6"/>
  <c r="F645" i="6"/>
  <c r="B645" i="6"/>
  <c r="F657" i="6"/>
  <c r="B657" i="6"/>
  <c r="E626" i="6"/>
  <c r="E634" i="6"/>
  <c r="G529" i="6"/>
  <c r="H529" i="6" s="1"/>
  <c r="E557" i="6"/>
  <c r="F588" i="6"/>
  <c r="B588" i="6"/>
  <c r="E588" i="6" s="1"/>
  <c r="I605" i="6"/>
  <c r="E595" i="6"/>
  <c r="E642" i="6"/>
  <c r="G685" i="6"/>
  <c r="H685" i="6" s="1"/>
  <c r="I697" i="6"/>
  <c r="I702" i="6"/>
  <c r="G690" i="6"/>
  <c r="H690" i="6" s="1"/>
  <c r="F569" i="6"/>
  <c r="I569" i="6" s="1"/>
  <c r="B569" i="6"/>
  <c r="C570" i="6" s="1"/>
  <c r="D570" i="6" s="1"/>
  <c r="C603" i="6"/>
  <c r="D603" i="6" s="1"/>
  <c r="E615" i="6"/>
  <c r="F608" i="6"/>
  <c r="B608" i="6"/>
  <c r="C619" i="6"/>
  <c r="D619" i="6" s="1"/>
  <c r="E631" i="6"/>
  <c r="G627" i="6"/>
  <c r="H627" i="6" s="1"/>
  <c r="C644" i="6"/>
  <c r="D644" i="6" s="1"/>
  <c r="E656" i="6"/>
  <c r="B659" i="6"/>
  <c r="C660" i="6" s="1"/>
  <c r="D660" i="6" s="1"/>
  <c r="F659" i="6"/>
  <c r="I659" i="6" s="1"/>
  <c r="B527" i="6"/>
  <c r="F527" i="6"/>
  <c r="F553" i="6"/>
  <c r="B553" i="6"/>
  <c r="E553" i="6" s="1"/>
  <c r="G591" i="6"/>
  <c r="H591" i="6" s="1"/>
  <c r="F620" i="6"/>
  <c r="B620" i="6"/>
  <c r="C631" i="6"/>
  <c r="D631" i="6" s="1"/>
  <c r="E643" i="6"/>
  <c r="E650" i="6"/>
  <c r="E680" i="6"/>
  <c r="C668" i="6"/>
  <c r="D668" i="6" s="1"/>
  <c r="G709" i="6"/>
  <c r="H709" i="6" s="1"/>
  <c r="I721" i="6"/>
  <c r="C575" i="6"/>
  <c r="D575" i="6" s="1"/>
  <c r="E587" i="6"/>
  <c r="F604" i="6"/>
  <c r="B604" i="6"/>
  <c r="B626" i="6"/>
  <c r="C627" i="6" s="1"/>
  <c r="D627" i="6" s="1"/>
  <c r="F626" i="6"/>
  <c r="C638" i="6"/>
  <c r="D638" i="6" s="1"/>
  <c r="B642" i="6"/>
  <c r="C643" i="6" s="1"/>
  <c r="D643" i="6" s="1"/>
  <c r="B655" i="6"/>
  <c r="F655" i="6"/>
  <c r="I680" i="6"/>
  <c r="I668" i="6"/>
  <c r="G668" i="6"/>
  <c r="H668" i="6" s="1"/>
  <c r="B709" i="6"/>
  <c r="E580" i="6"/>
  <c r="F577" i="6"/>
  <c r="G578" i="6" s="1"/>
  <c r="H578" i="6" s="1"/>
  <c r="B577" i="6"/>
  <c r="C587" i="6"/>
  <c r="D587" i="6" s="1"/>
  <c r="E599" i="6"/>
  <c r="G599" i="6"/>
  <c r="H599" i="6" s="1"/>
  <c r="C612" i="6"/>
  <c r="D612" i="6" s="1"/>
  <c r="E624" i="6"/>
  <c r="G615" i="6"/>
  <c r="H615" i="6" s="1"/>
  <c r="I627" i="6"/>
  <c r="C635" i="6"/>
  <c r="D635" i="6" s="1"/>
  <c r="E647" i="6"/>
  <c r="I699" i="6"/>
  <c r="G687" i="6"/>
  <c r="H687" i="6" s="1"/>
  <c r="I687" i="6"/>
  <c r="F585" i="6"/>
  <c r="G586" i="6" s="1"/>
  <c r="H586" i="6" s="1"/>
  <c r="B585" i="6"/>
  <c r="B597" i="6"/>
  <c r="F597" i="6"/>
  <c r="G598" i="6" s="1"/>
  <c r="H598" i="6" s="1"/>
  <c r="G602" i="6"/>
  <c r="H602" i="6" s="1"/>
  <c r="I614" i="6"/>
  <c r="C615" i="6"/>
  <c r="D615" i="6" s="1"/>
  <c r="E627" i="6"/>
  <c r="C618" i="6"/>
  <c r="D618" i="6" s="1"/>
  <c r="F623" i="6"/>
  <c r="B623" i="6"/>
  <c r="E668" i="6"/>
  <c r="C656" i="6"/>
  <c r="D656" i="6" s="1"/>
  <c r="E607" i="6"/>
  <c r="F633" i="6"/>
  <c r="I633" i="6" s="1"/>
  <c r="B633" i="6"/>
  <c r="F640" i="6"/>
  <c r="B640" i="6"/>
  <c r="I678" i="6"/>
  <c r="C579" i="6"/>
  <c r="D579" i="6" s="1"/>
  <c r="G606" i="6"/>
  <c r="H606" i="6" s="1"/>
  <c r="G631" i="6"/>
  <c r="H631" i="6" s="1"/>
  <c r="I647" i="6"/>
  <c r="G643" i="6"/>
  <c r="H643" i="6" s="1"/>
  <c r="I660" i="6"/>
  <c r="G661" i="6"/>
  <c r="H661" i="6" s="1"/>
  <c r="I675" i="6"/>
  <c r="B677" i="6"/>
  <c r="G679" i="6"/>
  <c r="H679" i="6" s="1"/>
  <c r="E697" i="6"/>
  <c r="E702" i="6"/>
  <c r="F701" i="6"/>
  <c r="B701" i="6"/>
  <c r="F704" i="6"/>
  <c r="B704" i="6"/>
  <c r="E720" i="6"/>
  <c r="C708" i="6"/>
  <c r="D708" i="6" s="1"/>
  <c r="G711" i="6"/>
  <c r="H711" i="6" s="1"/>
  <c r="I723" i="6"/>
  <c r="G722" i="6"/>
  <c r="H722" i="6" s="1"/>
  <c r="I734" i="6"/>
  <c r="I722" i="6"/>
  <c r="I732" i="6"/>
  <c r="G732" i="6"/>
  <c r="H732" i="6" s="1"/>
  <c r="B661" i="6"/>
  <c r="E678" i="6"/>
  <c r="C685" i="6"/>
  <c r="D685" i="6" s="1"/>
  <c r="C693" i="6"/>
  <c r="D693" i="6" s="1"/>
  <c r="B712" i="6"/>
  <c r="F712" i="6"/>
  <c r="I712" i="6" s="1"/>
  <c r="E734" i="6"/>
  <c r="C722" i="6"/>
  <c r="D722" i="6" s="1"/>
  <c r="C611" i="6"/>
  <c r="D611" i="6" s="1"/>
  <c r="E623" i="6"/>
  <c r="I629" i="6"/>
  <c r="G617" i="6"/>
  <c r="H617" i="6" s="1"/>
  <c r="E663" i="6"/>
  <c r="C651" i="6"/>
  <c r="D651" i="6" s="1"/>
  <c r="B662" i="6"/>
  <c r="F662" i="6"/>
  <c r="E664" i="6"/>
  <c r="I692" i="6"/>
  <c r="C702" i="6"/>
  <c r="D702" i="6" s="1"/>
  <c r="B777" i="6"/>
  <c r="F777" i="6"/>
  <c r="G778" i="6" s="1"/>
  <c r="H778" i="6" s="1"/>
  <c r="C839" i="6"/>
  <c r="D839" i="6" s="1"/>
  <c r="E851" i="6"/>
  <c r="B617" i="6"/>
  <c r="B653" i="6"/>
  <c r="G666" i="6"/>
  <c r="H666" i="6" s="1"/>
  <c r="G673" i="6"/>
  <c r="H673" i="6" s="1"/>
  <c r="C683" i="6"/>
  <c r="D683" i="6" s="1"/>
  <c r="I685" i="6"/>
  <c r="E711" i="6"/>
  <c r="F706" i="6"/>
  <c r="B706" i="6"/>
  <c r="E728" i="6"/>
  <c r="C716" i="6"/>
  <c r="D716" i="6" s="1"/>
  <c r="B767" i="6"/>
  <c r="F767" i="6"/>
  <c r="C647" i="6"/>
  <c r="D647" i="6" s="1"/>
  <c r="E659" i="6"/>
  <c r="B649" i="6"/>
  <c r="E649" i="6" s="1"/>
  <c r="I673" i="6"/>
  <c r="C691" i="6"/>
  <c r="D691" i="6" s="1"/>
  <c r="E696" i="6"/>
  <c r="I711" i="6"/>
  <c r="G716" i="6"/>
  <c r="H716" i="6" s="1"/>
  <c r="I728" i="6"/>
  <c r="B681" i="6"/>
  <c r="F681" i="6"/>
  <c r="I701" i="6"/>
  <c r="G710" i="6"/>
  <c r="H710" i="6" s="1"/>
  <c r="F592" i="6"/>
  <c r="B592" i="6"/>
  <c r="E592" i="6" s="1"/>
  <c r="E621" i="6"/>
  <c r="C629" i="6"/>
  <c r="D629" i="6" s="1"/>
  <c r="I649" i="6"/>
  <c r="G653" i="6"/>
  <c r="H653" i="6" s="1"/>
  <c r="B658" i="6"/>
  <c r="F665" i="6"/>
  <c r="B665" i="6"/>
  <c r="E679" i="6"/>
  <c r="C674" i="6"/>
  <c r="D674" i="6" s="1"/>
  <c r="C676" i="6"/>
  <c r="D676" i="6" s="1"/>
  <c r="E686" i="6"/>
  <c r="B689" i="6"/>
  <c r="I691" i="6"/>
  <c r="C703" i="6"/>
  <c r="D703" i="6" s="1"/>
  <c r="E715" i="6"/>
  <c r="E726" i="6"/>
  <c r="C743" i="6"/>
  <c r="D743" i="6" s="1"/>
  <c r="G669" i="6"/>
  <c r="H669" i="6" s="1"/>
  <c r="I681" i="6"/>
  <c r="G686" i="6"/>
  <c r="H686" i="6" s="1"/>
  <c r="G692" i="6"/>
  <c r="H692" i="6" s="1"/>
  <c r="C697" i="6"/>
  <c r="D697" i="6" s="1"/>
  <c r="G703" i="6"/>
  <c r="H703" i="6" s="1"/>
  <c r="I715" i="6"/>
  <c r="I624" i="6"/>
  <c r="G612" i="6"/>
  <c r="H612" i="6" s="1"/>
  <c r="F616" i="6"/>
  <c r="B616" i="6"/>
  <c r="G660" i="6"/>
  <c r="H660" i="6" s="1"/>
  <c r="G667" i="6"/>
  <c r="H667" i="6" s="1"/>
  <c r="I679" i="6"/>
  <c r="G672" i="6"/>
  <c r="H672" i="6" s="1"/>
  <c r="I684" i="6"/>
  <c r="F674" i="6"/>
  <c r="F676" i="6"/>
  <c r="E691" i="6"/>
  <c r="C679" i="6"/>
  <c r="D679" i="6" s="1"/>
  <c r="F682" i="6"/>
  <c r="B682" i="6"/>
  <c r="G684" i="6"/>
  <c r="H684" i="6" s="1"/>
  <c r="I696" i="6"/>
  <c r="B692" i="6"/>
  <c r="F650" i="6"/>
  <c r="B650" i="6"/>
  <c r="G658" i="6"/>
  <c r="H658" i="6" s="1"/>
  <c r="E675" i="6"/>
  <c r="B672" i="6"/>
  <c r="E672" i="6" s="1"/>
  <c r="G677" i="6"/>
  <c r="H677" i="6" s="1"/>
  <c r="I689" i="6"/>
  <c r="I703" i="6"/>
  <c r="C737" i="6"/>
  <c r="D737" i="6" s="1"/>
  <c r="E737" i="6"/>
  <c r="E749" i="6"/>
  <c r="E699" i="6"/>
  <c r="B698" i="6"/>
  <c r="F698" i="6"/>
  <c r="G705" i="6"/>
  <c r="H705" i="6" s="1"/>
  <c r="I726" i="6"/>
  <c r="G714" i="6"/>
  <c r="H714" i="6" s="1"/>
  <c r="G719" i="6"/>
  <c r="H719" i="6" s="1"/>
  <c r="I731" i="6"/>
  <c r="E746" i="6"/>
  <c r="C734" i="6"/>
  <c r="D734" i="6" s="1"/>
  <c r="I621" i="6"/>
  <c r="F624" i="6"/>
  <c r="B624" i="6"/>
  <c r="I653" i="6"/>
  <c r="C669" i="6"/>
  <c r="D669" i="6" s="1"/>
  <c r="E683" i="6"/>
  <c r="E681" i="6"/>
  <c r="B688" i="6"/>
  <c r="F688" i="6"/>
  <c r="G689" i="6" s="1"/>
  <c r="H689" i="6" s="1"/>
  <c r="E719" i="6"/>
  <c r="C707" i="6"/>
  <c r="D707" i="6" s="1"/>
  <c r="I709" i="6"/>
  <c r="G734" i="6"/>
  <c r="H734" i="6" s="1"/>
  <c r="G735" i="6"/>
  <c r="H735" i="6" s="1"/>
  <c r="I746" i="6"/>
  <c r="B756" i="6"/>
  <c r="F756" i="6"/>
  <c r="I775" i="6"/>
  <c r="G797" i="6"/>
  <c r="H797" i="6" s="1"/>
  <c r="I809" i="6"/>
  <c r="G798" i="6"/>
  <c r="H798" i="6" s="1"/>
  <c r="E722" i="6"/>
  <c r="E735" i="6"/>
  <c r="C723" i="6"/>
  <c r="D723" i="6" s="1"/>
  <c r="B763" i="6"/>
  <c r="G622" i="6"/>
  <c r="H622" i="6" s="1"/>
  <c r="E707" i="6"/>
  <c r="B741" i="6"/>
  <c r="F741" i="6"/>
  <c r="E757" i="6"/>
  <c r="C745" i="6"/>
  <c r="D745" i="6" s="1"/>
  <c r="B764" i="6"/>
  <c r="F764" i="6"/>
  <c r="I719" i="6"/>
  <c r="I798" i="6"/>
  <c r="G693" i="6"/>
  <c r="H693" i="6" s="1"/>
  <c r="I705" i="6"/>
  <c r="I720" i="6"/>
  <c r="G708" i="6"/>
  <c r="H708" i="6" s="1"/>
  <c r="G715" i="6"/>
  <c r="H715" i="6" s="1"/>
  <c r="C718" i="6"/>
  <c r="D718" i="6" s="1"/>
  <c r="G721" i="6"/>
  <c r="H721" i="6" s="1"/>
  <c r="I733" i="6"/>
  <c r="I757" i="6"/>
  <c r="G746" i="6"/>
  <c r="H746" i="6" s="1"/>
  <c r="C739" i="6"/>
  <c r="D739" i="6" s="1"/>
  <c r="E751" i="6"/>
  <c r="C740" i="6"/>
  <c r="D740" i="6" s="1"/>
  <c r="I683" i="6"/>
  <c r="G691" i="6"/>
  <c r="H691" i="6" s="1"/>
  <c r="E712" i="6"/>
  <c r="C710" i="6"/>
  <c r="D710" i="6" s="1"/>
  <c r="B717" i="6"/>
  <c r="G720" i="6"/>
  <c r="H720" i="6" s="1"/>
  <c r="B724" i="6"/>
  <c r="G726" i="6"/>
  <c r="H726" i="6" s="1"/>
  <c r="F736" i="6"/>
  <c r="G749" i="6"/>
  <c r="H749" i="6" s="1"/>
  <c r="I764" i="6"/>
  <c r="F762" i="6"/>
  <c r="B762" i="6"/>
  <c r="E778" i="6"/>
  <c r="C766" i="6"/>
  <c r="D766" i="6" s="1"/>
  <c r="I664" i="6"/>
  <c r="B670" i="6"/>
  <c r="C671" i="6" s="1"/>
  <c r="D671" i="6" s="1"/>
  <c r="G671" i="6"/>
  <c r="H671" i="6" s="1"/>
  <c r="E687" i="6"/>
  <c r="C695" i="6"/>
  <c r="D695" i="6" s="1"/>
  <c r="C700" i="6"/>
  <c r="D700" i="6" s="1"/>
  <c r="G713" i="6"/>
  <c r="H713" i="6" s="1"/>
  <c r="C728" i="6"/>
  <c r="D728" i="6" s="1"/>
  <c r="C732" i="6"/>
  <c r="D732" i="6" s="1"/>
  <c r="E740" i="6"/>
  <c r="E761" i="6"/>
  <c r="F755" i="6"/>
  <c r="B755" i="6"/>
  <c r="E755" i="6" s="1"/>
  <c r="I762" i="6"/>
  <c r="G776" i="6"/>
  <c r="H776" i="6" s="1"/>
  <c r="B801" i="6"/>
  <c r="F801" i="6"/>
  <c r="G759" i="6"/>
  <c r="H759" i="6" s="1"/>
  <c r="I790" i="6"/>
  <c r="C807" i="6"/>
  <c r="D807" i="6" s="1"/>
  <c r="E819" i="6"/>
  <c r="C735" i="6"/>
  <c r="D735" i="6" s="1"/>
  <c r="E739" i="6"/>
  <c r="B750" i="6"/>
  <c r="E777" i="6"/>
  <c r="I780" i="6"/>
  <c r="B771" i="6"/>
  <c r="F771" i="6"/>
  <c r="I778" i="6"/>
  <c r="E743" i="6"/>
  <c r="C731" i="6"/>
  <c r="D731" i="6" s="1"/>
  <c r="I751" i="6"/>
  <c r="I765" i="6"/>
  <c r="G753" i="6"/>
  <c r="H753" i="6" s="1"/>
  <c r="C809" i="6"/>
  <c r="D809" i="6" s="1"/>
  <c r="C808" i="6"/>
  <c r="D808" i="6" s="1"/>
  <c r="E820" i="6"/>
  <c r="E839" i="6"/>
  <c r="C711" i="6"/>
  <c r="D711" i="6" s="1"/>
  <c r="E758" i="6"/>
  <c r="C746" i="6"/>
  <c r="D746" i="6" s="1"/>
  <c r="E760" i="6"/>
  <c r="I750" i="6"/>
  <c r="B757" i="6"/>
  <c r="F757" i="6"/>
  <c r="G760" i="6"/>
  <c r="H760" i="6" s="1"/>
  <c r="G723" i="6"/>
  <c r="H723" i="6" s="1"/>
  <c r="I735" i="6"/>
  <c r="G725" i="6"/>
  <c r="H725" i="6" s="1"/>
  <c r="I737" i="6"/>
  <c r="G729" i="6"/>
  <c r="H729" i="6" s="1"/>
  <c r="I741" i="6"/>
  <c r="E763" i="6"/>
  <c r="C780" i="6"/>
  <c r="D780" i="6" s="1"/>
  <c r="E792" i="6"/>
  <c r="C781" i="6"/>
  <c r="D781" i="6" s="1"/>
  <c r="F744" i="6"/>
  <c r="B744" i="6"/>
  <c r="E748" i="6"/>
  <c r="E766" i="6"/>
  <c r="C754" i="6"/>
  <c r="D754" i="6" s="1"/>
  <c r="G775" i="6"/>
  <c r="H775" i="6" s="1"/>
  <c r="I787" i="6"/>
  <c r="I792" i="6"/>
  <c r="G780" i="6"/>
  <c r="H780" i="6" s="1"/>
  <c r="G823" i="6"/>
  <c r="H823" i="6" s="1"/>
  <c r="I835" i="6"/>
  <c r="I823" i="6"/>
  <c r="G696" i="6"/>
  <c r="H696" i="6" s="1"/>
  <c r="C715" i="6"/>
  <c r="D715" i="6" s="1"/>
  <c r="E727" i="6"/>
  <c r="G717" i="6"/>
  <c r="H717" i="6" s="1"/>
  <c r="I736" i="6"/>
  <c r="I725" i="6"/>
  <c r="C738" i="6"/>
  <c r="D738" i="6" s="1"/>
  <c r="F751" i="6"/>
  <c r="G754" i="6"/>
  <c r="H754" i="6" s="1"/>
  <c r="I766" i="6"/>
  <c r="B758" i="6"/>
  <c r="F758" i="6"/>
  <c r="B785" i="6"/>
  <c r="F785" i="6"/>
  <c r="G738" i="6"/>
  <c r="H738" i="6" s="1"/>
  <c r="I759" i="6"/>
  <c r="B779" i="6"/>
  <c r="F818" i="6"/>
  <c r="B818" i="6"/>
  <c r="E818" i="6" s="1"/>
  <c r="B726" i="6"/>
  <c r="C727" i="6" s="1"/>
  <c r="D727" i="6" s="1"/>
  <c r="G730" i="6"/>
  <c r="H730" i="6" s="1"/>
  <c r="E754" i="6"/>
  <c r="B769" i="6"/>
  <c r="C770" i="6" s="1"/>
  <c r="D770" i="6" s="1"/>
  <c r="F769" i="6"/>
  <c r="G779" i="6"/>
  <c r="H779" i="6" s="1"/>
  <c r="B783" i="6"/>
  <c r="F783" i="6"/>
  <c r="E798" i="6"/>
  <c r="C786" i="6"/>
  <c r="D786" i="6" s="1"/>
  <c r="I808" i="6"/>
  <c r="G796" i="6"/>
  <c r="H796" i="6" s="1"/>
  <c r="B761" i="6"/>
  <c r="F761" i="6"/>
  <c r="I761" i="6" s="1"/>
  <c r="C798" i="6"/>
  <c r="D798" i="6" s="1"/>
  <c r="G765" i="6"/>
  <c r="H765" i="6" s="1"/>
  <c r="E782" i="6"/>
  <c r="C784" i="6"/>
  <c r="D784" i="6" s="1"/>
  <c r="I820" i="6"/>
  <c r="G808" i="6"/>
  <c r="H808" i="6" s="1"/>
  <c r="G809" i="6"/>
  <c r="H809" i="6" s="1"/>
  <c r="C841" i="6"/>
  <c r="D841" i="6" s="1"/>
  <c r="C840" i="6"/>
  <c r="D840" i="6" s="1"/>
  <c r="G733" i="6"/>
  <c r="H733" i="6" s="1"/>
  <c r="I745" i="6"/>
  <c r="E780" i="6"/>
  <c r="G784" i="6"/>
  <c r="H784" i="6" s="1"/>
  <c r="F788" i="6"/>
  <c r="B788" i="6"/>
  <c r="E788" i="6" s="1"/>
  <c r="E803" i="6"/>
  <c r="C791" i="6"/>
  <c r="D791" i="6" s="1"/>
  <c r="F794" i="6"/>
  <c r="G770" i="6"/>
  <c r="H770" i="6" s="1"/>
  <c r="B773" i="6"/>
  <c r="F773" i="6"/>
  <c r="F795" i="6"/>
  <c r="B795" i="6"/>
  <c r="C796" i="6" s="1"/>
  <c r="D796" i="6" s="1"/>
  <c r="E811" i="6"/>
  <c r="G802" i="6"/>
  <c r="H802" i="6" s="1"/>
  <c r="I814" i="6"/>
  <c r="G803" i="6"/>
  <c r="H803" i="6" s="1"/>
  <c r="B813" i="6"/>
  <c r="F813" i="6"/>
  <c r="F850" i="6"/>
  <c r="B850" i="6"/>
  <c r="I804" i="6"/>
  <c r="G792" i="6"/>
  <c r="H792" i="6" s="1"/>
  <c r="E808" i="6"/>
  <c r="C797" i="6"/>
  <c r="D797" i="6" s="1"/>
  <c r="G807" i="6"/>
  <c r="H807" i="6" s="1"/>
  <c r="I832" i="6"/>
  <c r="F782" i="6"/>
  <c r="I782" i="6" s="1"/>
  <c r="B782" i="6"/>
  <c r="B792" i="6"/>
  <c r="F787" i="6"/>
  <c r="G793" i="6"/>
  <c r="H793" i="6" s="1"/>
  <c r="F804" i="6"/>
  <c r="B804" i="6"/>
  <c r="E844" i="6"/>
  <c r="C833" i="6"/>
  <c r="D833" i="6" s="1"/>
  <c r="G838" i="6"/>
  <c r="H838" i="6" s="1"/>
  <c r="E771" i="6"/>
  <c r="E787" i="6"/>
  <c r="C775" i="6"/>
  <c r="D775" i="6" s="1"/>
  <c r="G781" i="6"/>
  <c r="H781" i="6" s="1"/>
  <c r="I793" i="6"/>
  <c r="C800" i="6"/>
  <c r="D800" i="6" s="1"/>
  <c r="E814" i="6"/>
  <c r="C832" i="6"/>
  <c r="D832" i="6" s="1"/>
  <c r="E790" i="6"/>
  <c r="I802" i="6"/>
  <c r="B805" i="6"/>
  <c r="E805" i="6" s="1"/>
  <c r="F805" i="6"/>
  <c r="I805" i="6" s="1"/>
  <c r="G827" i="6"/>
  <c r="H827" i="6" s="1"/>
  <c r="I839" i="6"/>
  <c r="F836" i="6"/>
  <c r="B836" i="6"/>
  <c r="G844" i="6"/>
  <c r="H844" i="6" s="1"/>
  <c r="I856" i="6"/>
  <c r="C753" i="6"/>
  <c r="D753" i="6" s="1"/>
  <c r="C772" i="6"/>
  <c r="D772" i="6" s="1"/>
  <c r="E786" i="6"/>
  <c r="C778" i="6"/>
  <c r="D778" i="6" s="1"/>
  <c r="F814" i="6"/>
  <c r="B814" i="6"/>
  <c r="G824" i="6"/>
  <c r="H824" i="6" s="1"/>
  <c r="I836" i="6"/>
  <c r="G840" i="6"/>
  <c r="H840" i="6" s="1"/>
  <c r="B856" i="6"/>
  <c r="C856" i="6" s="1"/>
  <c r="D856" i="6" s="1"/>
  <c r="C816" i="6"/>
  <c r="D816" i="6" s="1"/>
  <c r="E828" i="6"/>
  <c r="B825" i="6"/>
  <c r="F825" i="6"/>
  <c r="E840" i="6"/>
  <c r="C857" i="6"/>
  <c r="D857" i="6" s="1"/>
  <c r="I786" i="6"/>
  <c r="B789" i="6"/>
  <c r="C790" i="6" s="1"/>
  <c r="D790" i="6" s="1"/>
  <c r="F789" i="6"/>
  <c r="I834" i="6"/>
  <c r="C828" i="6"/>
  <c r="D828" i="6" s="1"/>
  <c r="G848" i="6"/>
  <c r="H848" i="6" s="1"/>
  <c r="I860" i="6"/>
  <c r="G857" i="6"/>
  <c r="H857" i="6" s="1"/>
  <c r="E834" i="6"/>
  <c r="C822" i="6"/>
  <c r="D822" i="6" s="1"/>
  <c r="C823" i="6"/>
  <c r="D823" i="6" s="1"/>
  <c r="G837" i="6"/>
  <c r="H837" i="6" s="1"/>
  <c r="I811" i="6"/>
  <c r="G799" i="6"/>
  <c r="H799" i="6" s="1"/>
  <c r="C812" i="6"/>
  <c r="D812" i="6" s="1"/>
  <c r="E824" i="6"/>
  <c r="B853" i="6"/>
  <c r="C853" i="6" s="1"/>
  <c r="D853" i="6" s="1"/>
  <c r="F853" i="6"/>
  <c r="G853" i="6" s="1"/>
  <c r="H853" i="6" s="1"/>
  <c r="F810" i="6"/>
  <c r="B810" i="6"/>
  <c r="C811" i="6" s="1"/>
  <c r="D811" i="6" s="1"/>
  <c r="E812" i="6"/>
  <c r="B817" i="6"/>
  <c r="F817" i="6"/>
  <c r="E838" i="6"/>
  <c r="C827" i="6"/>
  <c r="D827" i="6" s="1"/>
  <c r="C829" i="6"/>
  <c r="D829" i="6" s="1"/>
  <c r="C842" i="6"/>
  <c r="D842" i="6" s="1"/>
  <c r="C849" i="6"/>
  <c r="D849" i="6" s="1"/>
  <c r="C854" i="6"/>
  <c r="D854" i="6" s="1"/>
  <c r="I844" i="6"/>
  <c r="I861" i="6"/>
  <c r="G849" i="6"/>
  <c r="H849" i="6" s="1"/>
  <c r="I858" i="6"/>
  <c r="C820" i="6"/>
  <c r="D820" i="6" s="1"/>
  <c r="G829" i="6"/>
  <c r="H829" i="6" s="1"/>
  <c r="C834" i="6"/>
  <c r="D834" i="6" s="1"/>
  <c r="G835" i="6"/>
  <c r="H835" i="6" s="1"/>
  <c r="B848" i="6"/>
  <c r="I843" i="6"/>
  <c r="E842" i="6"/>
  <c r="I840" i="6"/>
  <c r="G845" i="6"/>
  <c r="H845" i="6" s="1"/>
  <c r="I854" i="6"/>
  <c r="E859" i="6"/>
  <c r="C830" i="6"/>
  <c r="D830" i="6" s="1"/>
  <c r="E836" i="6"/>
  <c r="B844" i="6"/>
  <c r="I851" i="6"/>
  <c r="B858" i="6"/>
  <c r="C858" i="6" s="1"/>
  <c r="D858" i="6" s="1"/>
  <c r="C861" i="6"/>
  <c r="D861" i="6" s="1"/>
  <c r="I831" i="6"/>
  <c r="E833" i="6"/>
  <c r="E850" i="6"/>
  <c r="E861" i="6"/>
  <c r="I828" i="6"/>
  <c r="G833" i="6"/>
  <c r="H833" i="6" s="1"/>
  <c r="C838" i="6"/>
  <c r="D838" i="6" s="1"/>
  <c r="I842" i="6"/>
  <c r="B852" i="6"/>
  <c r="C852" i="6" s="1"/>
  <c r="D852" i="6" s="1"/>
  <c r="F861" i="6"/>
  <c r="G861" i="6" s="1"/>
  <c r="H861" i="6" s="1"/>
  <c r="C835" i="6"/>
  <c r="D835" i="6" s="1"/>
  <c r="G841" i="6"/>
  <c r="H841" i="6" s="1"/>
  <c r="I850" i="6"/>
  <c r="E855" i="6"/>
  <c r="F821" i="6"/>
  <c r="I821" i="6" s="1"/>
  <c r="G862" i="6"/>
  <c r="H862" i="6" s="1"/>
  <c r="I767" i="6" l="1"/>
  <c r="G755" i="6"/>
  <c r="H755" i="6" s="1"/>
  <c r="I755" i="6"/>
  <c r="C764" i="6"/>
  <c r="D764" i="6" s="1"/>
  <c r="E776" i="6"/>
  <c r="C765" i="6"/>
  <c r="D765" i="6" s="1"/>
  <c r="E764" i="6"/>
  <c r="E704" i="6"/>
  <c r="C692" i="6"/>
  <c r="D692" i="6" s="1"/>
  <c r="E724" i="6"/>
  <c r="C713" i="6"/>
  <c r="D713" i="6" s="1"/>
  <c r="C712" i="6"/>
  <c r="D712" i="6" s="1"/>
  <c r="E689" i="6"/>
  <c r="C677" i="6"/>
  <c r="D677" i="6" s="1"/>
  <c r="C604" i="6"/>
  <c r="D604" i="6" s="1"/>
  <c r="E616" i="6"/>
  <c r="I600" i="6"/>
  <c r="G588" i="6"/>
  <c r="H588" i="6" s="1"/>
  <c r="I657" i="6"/>
  <c r="G645" i="6"/>
  <c r="H645" i="6" s="1"/>
  <c r="I637" i="6"/>
  <c r="G625" i="6"/>
  <c r="H625" i="6" s="1"/>
  <c r="E644" i="6"/>
  <c r="C632" i="6"/>
  <c r="D632" i="6" s="1"/>
  <c r="E547" i="6"/>
  <c r="C535" i="6"/>
  <c r="D535" i="6" s="1"/>
  <c r="I676" i="6"/>
  <c r="G664" i="6"/>
  <c r="H664" i="6" s="1"/>
  <c r="E658" i="6"/>
  <c r="C646" i="6"/>
  <c r="D646" i="6" s="1"/>
  <c r="C488" i="6"/>
  <c r="D488" i="6" s="1"/>
  <c r="E500" i="6"/>
  <c r="C489" i="6"/>
  <c r="D489" i="6" s="1"/>
  <c r="C607" i="6"/>
  <c r="D607" i="6" s="1"/>
  <c r="E619" i="6"/>
  <c r="C536" i="6"/>
  <c r="D536" i="6" s="1"/>
  <c r="E548" i="6"/>
  <c r="C392" i="6"/>
  <c r="D392" i="6" s="1"/>
  <c r="E404" i="6"/>
  <c r="E566" i="6"/>
  <c r="C554" i="6"/>
  <c r="D554" i="6" s="1"/>
  <c r="I368" i="6"/>
  <c r="G356" i="6"/>
  <c r="H356" i="6" s="1"/>
  <c r="E454" i="6"/>
  <c r="C442" i="6"/>
  <c r="D442" i="6" s="1"/>
  <c r="I314" i="6"/>
  <c r="G302" i="6"/>
  <c r="H302" i="6" s="1"/>
  <c r="G303" i="6"/>
  <c r="H303" i="6" s="1"/>
  <c r="C555" i="6"/>
  <c r="D555" i="6" s="1"/>
  <c r="C328" i="6"/>
  <c r="D328" i="6" s="1"/>
  <c r="E340" i="6"/>
  <c r="I345" i="6"/>
  <c r="G333" i="6"/>
  <c r="H333" i="6" s="1"/>
  <c r="C397" i="6"/>
  <c r="D397" i="6" s="1"/>
  <c r="E409" i="6"/>
  <c r="E337" i="6"/>
  <c r="C325" i="6"/>
  <c r="D325" i="6" s="1"/>
  <c r="E253" i="6"/>
  <c r="C241" i="6"/>
  <c r="D241" i="6" s="1"/>
  <c r="E241" i="6"/>
  <c r="E250" i="6"/>
  <c r="C238" i="6"/>
  <c r="D238" i="6" s="1"/>
  <c r="C221" i="6"/>
  <c r="D221" i="6" s="1"/>
  <c r="C222" i="6"/>
  <c r="D222" i="6" s="1"/>
  <c r="E233" i="6"/>
  <c r="C79" i="6"/>
  <c r="D79" i="6" s="1"/>
  <c r="E91" i="6"/>
  <c r="C80" i="6"/>
  <c r="D80" i="6" s="1"/>
  <c r="E386" i="6"/>
  <c r="C374" i="6"/>
  <c r="D374" i="6" s="1"/>
  <c r="I830" i="6"/>
  <c r="G818" i="6"/>
  <c r="H818" i="6" s="1"/>
  <c r="C665" i="6"/>
  <c r="D665" i="6" s="1"/>
  <c r="E677" i="6"/>
  <c r="C666" i="6"/>
  <c r="D666" i="6" s="1"/>
  <c r="G662" i="6"/>
  <c r="H662" i="6" s="1"/>
  <c r="I674" i="6"/>
  <c r="G663" i="6"/>
  <c r="H663" i="6" s="1"/>
  <c r="E652" i="6"/>
  <c r="C640" i="6"/>
  <c r="D640" i="6" s="1"/>
  <c r="E721" i="6"/>
  <c r="C709" i="6"/>
  <c r="D709" i="6" s="1"/>
  <c r="I616" i="6"/>
  <c r="G604" i="6"/>
  <c r="H604" i="6" s="1"/>
  <c r="E632" i="6"/>
  <c r="C620" i="6"/>
  <c r="D620" i="6" s="1"/>
  <c r="C639" i="6"/>
  <c r="D639" i="6" s="1"/>
  <c r="E651" i="6"/>
  <c r="I625" i="6"/>
  <c r="G613" i="6"/>
  <c r="H613" i="6" s="1"/>
  <c r="E612" i="6"/>
  <c r="C600" i="6"/>
  <c r="D600" i="6" s="1"/>
  <c r="C560" i="6"/>
  <c r="D560" i="6" s="1"/>
  <c r="E572" i="6"/>
  <c r="I644" i="6"/>
  <c r="G632" i="6"/>
  <c r="H632" i="6" s="1"/>
  <c r="C664" i="6"/>
  <c r="D664" i="6" s="1"/>
  <c r="E676" i="6"/>
  <c r="G646" i="6"/>
  <c r="H646" i="6" s="1"/>
  <c r="I658" i="6"/>
  <c r="C424" i="6"/>
  <c r="D424" i="6" s="1"/>
  <c r="E436" i="6"/>
  <c r="C425" i="6"/>
  <c r="D425" i="6" s="1"/>
  <c r="E424" i="6"/>
  <c r="I619" i="6"/>
  <c r="G607" i="6"/>
  <c r="H607" i="6" s="1"/>
  <c r="C420" i="6"/>
  <c r="D420" i="6" s="1"/>
  <c r="E432" i="6"/>
  <c r="C421" i="6"/>
  <c r="D421" i="6" s="1"/>
  <c r="E640" i="6"/>
  <c r="I548" i="6"/>
  <c r="G536" i="6"/>
  <c r="H536" i="6" s="1"/>
  <c r="I390" i="6"/>
  <c r="G378" i="6"/>
  <c r="H378" i="6" s="1"/>
  <c r="I404" i="6"/>
  <c r="G392" i="6"/>
  <c r="H392" i="6" s="1"/>
  <c r="I566" i="6"/>
  <c r="G555" i="6"/>
  <c r="H555" i="6" s="1"/>
  <c r="G554" i="6"/>
  <c r="H554" i="6" s="1"/>
  <c r="E559" i="6"/>
  <c r="C547" i="6"/>
  <c r="D547" i="6" s="1"/>
  <c r="C340" i="6"/>
  <c r="D340" i="6" s="1"/>
  <c r="C341" i="6"/>
  <c r="D341" i="6" s="1"/>
  <c r="E352" i="6"/>
  <c r="C352" i="6"/>
  <c r="D352" i="6" s="1"/>
  <c r="E364" i="6"/>
  <c r="E531" i="6"/>
  <c r="C519" i="6"/>
  <c r="D519" i="6" s="1"/>
  <c r="I340" i="6"/>
  <c r="G328" i="6"/>
  <c r="H328" i="6" s="1"/>
  <c r="C404" i="6"/>
  <c r="D404" i="6" s="1"/>
  <c r="E416" i="6"/>
  <c r="E225" i="6"/>
  <c r="C213" i="6"/>
  <c r="D213" i="6" s="1"/>
  <c r="C174" i="6"/>
  <c r="D174" i="6" s="1"/>
  <c r="I409" i="6"/>
  <c r="G397" i="6"/>
  <c r="H397" i="6" s="1"/>
  <c r="G398" i="6"/>
  <c r="H398" i="6" s="1"/>
  <c r="I337" i="6"/>
  <c r="G325" i="6"/>
  <c r="H325" i="6" s="1"/>
  <c r="I366" i="6"/>
  <c r="G354" i="6"/>
  <c r="H354" i="6" s="1"/>
  <c r="G36" i="6"/>
  <c r="H36" i="6" s="1"/>
  <c r="I48" i="6"/>
  <c r="C214" i="6"/>
  <c r="D214" i="6" s="1"/>
  <c r="C59" i="6"/>
  <c r="D59" i="6" s="1"/>
  <c r="E71" i="6"/>
  <c r="C60" i="6"/>
  <c r="D60" i="6" s="1"/>
  <c r="G263" i="6"/>
  <c r="H263" i="6" s="1"/>
  <c r="G37" i="6"/>
  <c r="H37" i="6" s="1"/>
  <c r="G647" i="6"/>
  <c r="H647" i="6" s="1"/>
  <c r="G221" i="6"/>
  <c r="H221" i="6" s="1"/>
  <c r="I233" i="6"/>
  <c r="I386" i="6"/>
  <c r="G375" i="6"/>
  <c r="H375" i="6" s="1"/>
  <c r="G374" i="6"/>
  <c r="H374" i="6" s="1"/>
  <c r="E837" i="6"/>
  <c r="C825" i="6"/>
  <c r="D825" i="6" s="1"/>
  <c r="C688" i="6"/>
  <c r="D688" i="6" s="1"/>
  <c r="E700" i="6"/>
  <c r="C653" i="6"/>
  <c r="D653" i="6" s="1"/>
  <c r="E665" i="6"/>
  <c r="I651" i="6"/>
  <c r="G639" i="6"/>
  <c r="H639" i="6" s="1"/>
  <c r="I639" i="6"/>
  <c r="C516" i="6"/>
  <c r="D516" i="6" s="1"/>
  <c r="E528" i="6"/>
  <c r="C432" i="6"/>
  <c r="D432" i="6" s="1"/>
  <c r="E444" i="6"/>
  <c r="C433" i="6"/>
  <c r="D433" i="6" s="1"/>
  <c r="I559" i="6"/>
  <c r="G547" i="6"/>
  <c r="H547" i="6" s="1"/>
  <c r="I547" i="6"/>
  <c r="I352" i="6"/>
  <c r="G340" i="6"/>
  <c r="H340" i="6" s="1"/>
  <c r="C368" i="6"/>
  <c r="D368" i="6" s="1"/>
  <c r="E380" i="6"/>
  <c r="C344" i="6"/>
  <c r="D344" i="6" s="1"/>
  <c r="E356" i="6"/>
  <c r="E516" i="6"/>
  <c r="I364" i="6"/>
  <c r="G352" i="6"/>
  <c r="H352" i="6" s="1"/>
  <c r="I531" i="6"/>
  <c r="G519" i="6"/>
  <c r="H519" i="6" s="1"/>
  <c r="I519" i="6"/>
  <c r="C384" i="6"/>
  <c r="D384" i="6" s="1"/>
  <c r="E396" i="6"/>
  <c r="C385" i="6"/>
  <c r="D385" i="6" s="1"/>
  <c r="C324" i="6"/>
  <c r="D324" i="6" s="1"/>
  <c r="E336" i="6"/>
  <c r="I416" i="6"/>
  <c r="G404" i="6"/>
  <c r="H404" i="6" s="1"/>
  <c r="I302" i="6"/>
  <c r="E181" i="6"/>
  <c r="C169" i="6"/>
  <c r="D169" i="6" s="1"/>
  <c r="C170" i="6"/>
  <c r="D170" i="6" s="1"/>
  <c r="C326" i="6"/>
  <c r="D326" i="6" s="1"/>
  <c r="E338" i="6"/>
  <c r="E318" i="6"/>
  <c r="C318" i="6"/>
  <c r="D318" i="6" s="1"/>
  <c r="E330" i="6"/>
  <c r="E220" i="6"/>
  <c r="C208" i="6"/>
  <c r="D208" i="6" s="1"/>
  <c r="E366" i="6"/>
  <c r="C354" i="6"/>
  <c r="D354" i="6" s="1"/>
  <c r="G24" i="6"/>
  <c r="H24" i="6" s="1"/>
  <c r="I36" i="6"/>
  <c r="C48" i="6"/>
  <c r="E60" i="6"/>
  <c r="I211" i="6"/>
  <c r="G199" i="6"/>
  <c r="H199" i="6" s="1"/>
  <c r="G304" i="6"/>
  <c r="H304" i="6" s="1"/>
  <c r="I316" i="6"/>
  <c r="E113" i="6"/>
  <c r="C102" i="6"/>
  <c r="D102" i="6" s="1"/>
  <c r="C101" i="6"/>
  <c r="D101" i="6" s="1"/>
  <c r="G825" i="6"/>
  <c r="H825" i="6" s="1"/>
  <c r="I837" i="6"/>
  <c r="G826" i="6"/>
  <c r="H826" i="6" s="1"/>
  <c r="I818" i="6"/>
  <c r="G751" i="6"/>
  <c r="H751" i="6" s="1"/>
  <c r="I763" i="6"/>
  <c r="I853" i="6"/>
  <c r="I800" i="6"/>
  <c r="G788" i="6"/>
  <c r="H788" i="6" s="1"/>
  <c r="E774" i="6"/>
  <c r="C762" i="6"/>
  <c r="D762" i="6" s="1"/>
  <c r="E628" i="6"/>
  <c r="C616" i="6"/>
  <c r="D616" i="6" s="1"/>
  <c r="G665" i="6"/>
  <c r="H665" i="6" s="1"/>
  <c r="I677" i="6"/>
  <c r="G681" i="6"/>
  <c r="H681" i="6" s="1"/>
  <c r="I693" i="6"/>
  <c r="I779" i="6"/>
  <c r="G767" i="6"/>
  <c r="H767" i="6" s="1"/>
  <c r="G768" i="6"/>
  <c r="H768" i="6" s="1"/>
  <c r="E674" i="6"/>
  <c r="C662" i="6"/>
  <c r="D662" i="6" s="1"/>
  <c r="G640" i="6"/>
  <c r="H640" i="6" s="1"/>
  <c r="G641" i="6"/>
  <c r="H641" i="6" s="1"/>
  <c r="I652" i="6"/>
  <c r="I613" i="6"/>
  <c r="I632" i="6"/>
  <c r="G620" i="6"/>
  <c r="H620" i="6" s="1"/>
  <c r="C613" i="6"/>
  <c r="D613" i="6" s="1"/>
  <c r="E613" i="6"/>
  <c r="E625" i="6"/>
  <c r="G601" i="6"/>
  <c r="H601" i="6" s="1"/>
  <c r="G600" i="6"/>
  <c r="H600" i="6" s="1"/>
  <c r="I612" i="6"/>
  <c r="G560" i="6"/>
  <c r="H560" i="6" s="1"/>
  <c r="I572" i="6"/>
  <c r="I560" i="6"/>
  <c r="E858" i="6"/>
  <c r="E860" i="6"/>
  <c r="C848" i="6"/>
  <c r="D848" i="6" s="1"/>
  <c r="I777" i="6"/>
  <c r="I795" i="6"/>
  <c r="G783" i="6"/>
  <c r="H783" i="6" s="1"/>
  <c r="G752" i="6"/>
  <c r="H752" i="6" s="1"/>
  <c r="I774" i="6"/>
  <c r="G762" i="6"/>
  <c r="H762" i="6" s="1"/>
  <c r="G741" i="6"/>
  <c r="H741" i="6" s="1"/>
  <c r="I753" i="6"/>
  <c r="G742" i="6"/>
  <c r="H742" i="6" s="1"/>
  <c r="G763" i="6"/>
  <c r="H763" i="6" s="1"/>
  <c r="C682" i="6"/>
  <c r="D682" i="6" s="1"/>
  <c r="E694" i="6"/>
  <c r="I628" i="6"/>
  <c r="G616" i="6"/>
  <c r="H616" i="6" s="1"/>
  <c r="C658" i="6"/>
  <c r="D658" i="6" s="1"/>
  <c r="E670" i="6"/>
  <c r="E693" i="6"/>
  <c r="C681" i="6"/>
  <c r="D681" i="6" s="1"/>
  <c r="E779" i="6"/>
  <c r="C768" i="6"/>
  <c r="D768" i="6" s="1"/>
  <c r="C767" i="6"/>
  <c r="D767" i="6" s="1"/>
  <c r="E629" i="6"/>
  <c r="C617" i="6"/>
  <c r="D617" i="6" s="1"/>
  <c r="E645" i="6"/>
  <c r="C633" i="6"/>
  <c r="D633" i="6" s="1"/>
  <c r="G614" i="6"/>
  <c r="H614" i="6" s="1"/>
  <c r="E646" i="6"/>
  <c r="C634" i="6"/>
  <c r="D634" i="6" s="1"/>
  <c r="I601" i="6"/>
  <c r="G589" i="6"/>
  <c r="H589" i="6" s="1"/>
  <c r="C596" i="6"/>
  <c r="D596" i="6" s="1"/>
  <c r="E608" i="6"/>
  <c r="C565" i="6"/>
  <c r="D565" i="6" s="1"/>
  <c r="E577" i="6"/>
  <c r="I606" i="6"/>
  <c r="G594" i="6"/>
  <c r="H594" i="6" s="1"/>
  <c r="G595" i="6"/>
  <c r="H595" i="6" s="1"/>
  <c r="C400" i="6"/>
  <c r="D400" i="6" s="1"/>
  <c r="E412" i="6"/>
  <c r="E648" i="6"/>
  <c r="C636" i="6"/>
  <c r="D636" i="6" s="1"/>
  <c r="E405" i="6"/>
  <c r="C393" i="6"/>
  <c r="D393" i="6" s="1"/>
  <c r="C394" i="6"/>
  <c r="D394" i="6" s="1"/>
  <c r="I640" i="6"/>
  <c r="E488" i="6"/>
  <c r="G432" i="6"/>
  <c r="H432" i="6" s="1"/>
  <c r="I432" i="6"/>
  <c r="I444" i="6"/>
  <c r="C514" i="6"/>
  <c r="D514" i="6" s="1"/>
  <c r="C513" i="6"/>
  <c r="D513" i="6" s="1"/>
  <c r="E525" i="6"/>
  <c r="I380" i="6"/>
  <c r="G368" i="6"/>
  <c r="H368" i="6" s="1"/>
  <c r="G344" i="6"/>
  <c r="H344" i="6" s="1"/>
  <c r="I356" i="6"/>
  <c r="I344" i="6"/>
  <c r="E499" i="6"/>
  <c r="C487" i="6"/>
  <c r="D487" i="6" s="1"/>
  <c r="G379" i="6"/>
  <c r="H379" i="6" s="1"/>
  <c r="C398" i="6"/>
  <c r="D398" i="6" s="1"/>
  <c r="C348" i="6"/>
  <c r="D348" i="6" s="1"/>
  <c r="E360" i="6"/>
  <c r="C349" i="6"/>
  <c r="D349" i="6" s="1"/>
  <c r="E326" i="6"/>
  <c r="I336" i="6"/>
  <c r="G324" i="6"/>
  <c r="H324" i="6" s="1"/>
  <c r="I338" i="6"/>
  <c r="G327" i="6"/>
  <c r="H327" i="6" s="1"/>
  <c r="G326" i="6"/>
  <c r="H326" i="6" s="1"/>
  <c r="I330" i="6"/>
  <c r="G318" i="6"/>
  <c r="H318" i="6" s="1"/>
  <c r="I208" i="6"/>
  <c r="G208" i="6"/>
  <c r="H208" i="6" s="1"/>
  <c r="I220" i="6"/>
  <c r="C345" i="6"/>
  <c r="D345" i="6" s="1"/>
  <c r="E357" i="6"/>
  <c r="C194" i="6"/>
  <c r="D194" i="6" s="1"/>
  <c r="E101" i="6"/>
  <c r="C89" i="6"/>
  <c r="D89" i="6" s="1"/>
  <c r="C90" i="6"/>
  <c r="D90" i="6" s="1"/>
  <c r="I15" i="6"/>
  <c r="I3" i="6"/>
  <c r="G3" i="6"/>
  <c r="H3" i="6" s="1"/>
  <c r="G25" i="6"/>
  <c r="H25" i="6" s="1"/>
  <c r="C304" i="6"/>
  <c r="D304" i="6" s="1"/>
  <c r="E316" i="6"/>
  <c r="G45" i="6"/>
  <c r="H45" i="6" s="1"/>
  <c r="I57" i="6"/>
  <c r="G46" i="6"/>
  <c r="H46" i="6" s="1"/>
  <c r="I44" i="6"/>
  <c r="G32" i="6"/>
  <c r="H32" i="6" s="1"/>
  <c r="E620" i="6"/>
  <c r="C608" i="6"/>
  <c r="D608" i="6" s="1"/>
  <c r="E561" i="6"/>
  <c r="C549" i="6"/>
  <c r="D549" i="6" s="1"/>
  <c r="E515" i="6"/>
  <c r="C503" i="6"/>
  <c r="D503" i="6" s="1"/>
  <c r="C381" i="6"/>
  <c r="D381" i="6" s="1"/>
  <c r="E393" i="6"/>
  <c r="I525" i="6"/>
  <c r="G513" i="6"/>
  <c r="H513" i="6" s="1"/>
  <c r="I513" i="6"/>
  <c r="I354" i="6"/>
  <c r="G342" i="6"/>
  <c r="H342" i="6" s="1"/>
  <c r="I499" i="6"/>
  <c r="G488" i="6"/>
  <c r="H488" i="6" s="1"/>
  <c r="G487" i="6"/>
  <c r="H487" i="6" s="1"/>
  <c r="I422" i="6"/>
  <c r="G410" i="6"/>
  <c r="H410" i="6" s="1"/>
  <c r="E304" i="6"/>
  <c r="C292" i="6"/>
  <c r="D292" i="6" s="1"/>
  <c r="C179" i="6"/>
  <c r="D179" i="6" s="1"/>
  <c r="E191" i="6"/>
  <c r="E179" i="6"/>
  <c r="C180" i="6"/>
  <c r="D180" i="6" s="1"/>
  <c r="G201" i="6"/>
  <c r="H201" i="6" s="1"/>
  <c r="G202" i="6"/>
  <c r="H202" i="6" s="1"/>
  <c r="I213" i="6"/>
  <c r="I357" i="6"/>
  <c r="G345" i="6"/>
  <c r="H345" i="6" s="1"/>
  <c r="G12" i="6"/>
  <c r="H12" i="6" s="1"/>
  <c r="I24" i="6"/>
  <c r="I12" i="6"/>
  <c r="E185" i="6"/>
  <c r="C173" i="6"/>
  <c r="D173" i="6" s="1"/>
  <c r="I187" i="6"/>
  <c r="G175" i="6"/>
  <c r="H175" i="6" s="1"/>
  <c r="G49" i="6"/>
  <c r="H49" i="6" s="1"/>
  <c r="G50" i="6"/>
  <c r="H50" i="6" s="1"/>
  <c r="I61" i="6"/>
  <c r="C285" i="6"/>
  <c r="D285" i="6" s="1"/>
  <c r="E297" i="6"/>
  <c r="E44" i="6"/>
  <c r="D44" i="6"/>
  <c r="C32" i="6"/>
  <c r="G8" i="6"/>
  <c r="H8" i="6" s="1"/>
  <c r="I20" i="6"/>
  <c r="I8" i="6"/>
  <c r="C805" i="6"/>
  <c r="D805" i="6" s="1"/>
  <c r="E817" i="6"/>
  <c r="C788" i="6"/>
  <c r="D788" i="6" s="1"/>
  <c r="E800" i="6"/>
  <c r="C806" i="6"/>
  <c r="D806" i="6" s="1"/>
  <c r="E716" i="6"/>
  <c r="C704" i="6"/>
  <c r="D704" i="6" s="1"/>
  <c r="I608" i="6"/>
  <c r="G596" i="6"/>
  <c r="H596" i="6" s="1"/>
  <c r="I596" i="6"/>
  <c r="G636" i="6"/>
  <c r="H636" i="6" s="1"/>
  <c r="I648" i="6"/>
  <c r="G637" i="6"/>
  <c r="H637" i="6" s="1"/>
  <c r="C826" i="6"/>
  <c r="D826" i="6" s="1"/>
  <c r="G822" i="6"/>
  <c r="H822" i="6" s="1"/>
  <c r="I807" i="6"/>
  <c r="G795" i="6"/>
  <c r="H795" i="6" s="1"/>
  <c r="E673" i="6"/>
  <c r="C661" i="6"/>
  <c r="D661" i="6" s="1"/>
  <c r="G655" i="6"/>
  <c r="H655" i="6" s="1"/>
  <c r="G656" i="6"/>
  <c r="H656" i="6" s="1"/>
  <c r="I667" i="6"/>
  <c r="I620" i="6"/>
  <c r="G609" i="6"/>
  <c r="H609" i="6" s="1"/>
  <c r="G608" i="6"/>
  <c r="H608" i="6" s="1"/>
  <c r="C614" i="6"/>
  <c r="D614" i="6" s="1"/>
  <c r="E509" i="6"/>
  <c r="C497" i="6"/>
  <c r="D497" i="6" s="1"/>
  <c r="C525" i="6"/>
  <c r="D525" i="6" s="1"/>
  <c r="E537" i="6"/>
  <c r="I515" i="6"/>
  <c r="G503" i="6"/>
  <c r="H503" i="6" s="1"/>
  <c r="C296" i="6"/>
  <c r="D296" i="6" s="1"/>
  <c r="E308" i="6"/>
  <c r="C297" i="6"/>
  <c r="D297" i="6" s="1"/>
  <c r="E422" i="6"/>
  <c r="C410" i="6"/>
  <c r="D410" i="6" s="1"/>
  <c r="C380" i="6"/>
  <c r="D380" i="6" s="1"/>
  <c r="E392" i="6"/>
  <c r="C254" i="6"/>
  <c r="D254" i="6" s="1"/>
  <c r="E266" i="6"/>
  <c r="G227" i="6"/>
  <c r="H227" i="6" s="1"/>
  <c r="I238" i="6"/>
  <c r="G226" i="6"/>
  <c r="H226" i="6" s="1"/>
  <c r="C268" i="6"/>
  <c r="D268" i="6" s="1"/>
  <c r="E280" i="6"/>
  <c r="C269" i="6"/>
  <c r="D269" i="6" s="1"/>
  <c r="I185" i="6"/>
  <c r="G173" i="6"/>
  <c r="H173" i="6" s="1"/>
  <c r="G13" i="6"/>
  <c r="H13" i="6" s="1"/>
  <c r="I173" i="6"/>
  <c r="D51" i="6"/>
  <c r="C40" i="6"/>
  <c r="C39" i="6"/>
  <c r="E51" i="6"/>
  <c r="I297" i="6"/>
  <c r="G285" i="6"/>
  <c r="H285" i="6" s="1"/>
  <c r="E20" i="6"/>
  <c r="E8" i="6"/>
  <c r="D20" i="6"/>
  <c r="D8" i="6"/>
  <c r="C8" i="6"/>
  <c r="I822" i="6"/>
  <c r="G811" i="6"/>
  <c r="H811" i="6" s="1"/>
  <c r="G810" i="6"/>
  <c r="H810" i="6" s="1"/>
  <c r="I810" i="6"/>
  <c r="I700" i="6"/>
  <c r="G688" i="6"/>
  <c r="H688" i="6" s="1"/>
  <c r="E795" i="6"/>
  <c r="C783" i="6"/>
  <c r="D783" i="6" s="1"/>
  <c r="E753" i="6"/>
  <c r="C742" i="6"/>
  <c r="D742" i="6" s="1"/>
  <c r="C741" i="6"/>
  <c r="D741" i="6" s="1"/>
  <c r="G854" i="6"/>
  <c r="H854" i="6" s="1"/>
  <c r="C589" i="6"/>
  <c r="D589" i="6" s="1"/>
  <c r="E601" i="6"/>
  <c r="E606" i="6"/>
  <c r="C594" i="6"/>
  <c r="D594" i="6" s="1"/>
  <c r="C515" i="6"/>
  <c r="D515" i="6" s="1"/>
  <c r="E527" i="6"/>
  <c r="I816" i="6"/>
  <c r="G804" i="6"/>
  <c r="H804" i="6" s="1"/>
  <c r="E783" i="6"/>
  <c r="C771" i="6"/>
  <c r="D771" i="6" s="1"/>
  <c r="I768" i="6"/>
  <c r="G756" i="6"/>
  <c r="H756" i="6" s="1"/>
  <c r="E684" i="6"/>
  <c r="C672" i="6"/>
  <c r="D672" i="6" s="1"/>
  <c r="I716" i="6"/>
  <c r="G704" i="6"/>
  <c r="H704" i="6" s="1"/>
  <c r="E609" i="6"/>
  <c r="C597" i="6"/>
  <c r="D597" i="6" s="1"/>
  <c r="C598" i="6"/>
  <c r="D598" i="6" s="1"/>
  <c r="C553" i="6"/>
  <c r="D553" i="6" s="1"/>
  <c r="E565" i="6"/>
  <c r="E639" i="6"/>
  <c r="G571" i="6"/>
  <c r="H571" i="6" s="1"/>
  <c r="I583" i="6"/>
  <c r="G572" i="6"/>
  <c r="H572" i="6" s="1"/>
  <c r="I571" i="6"/>
  <c r="E560" i="6"/>
  <c r="G610" i="6"/>
  <c r="H610" i="6" s="1"/>
  <c r="I622" i="6"/>
  <c r="I561" i="6"/>
  <c r="G549" i="6"/>
  <c r="H549" i="6" s="1"/>
  <c r="G515" i="6"/>
  <c r="H515" i="6" s="1"/>
  <c r="I527" i="6"/>
  <c r="C369" i="6"/>
  <c r="D369" i="6" s="1"/>
  <c r="E381" i="6"/>
  <c r="I481" i="6"/>
  <c r="G470" i="6"/>
  <c r="H470" i="6" s="1"/>
  <c r="G469" i="6"/>
  <c r="H469" i="6" s="1"/>
  <c r="E342" i="6"/>
  <c r="C342" i="6"/>
  <c r="D342" i="6" s="1"/>
  <c r="E354" i="6"/>
  <c r="E292" i="6"/>
  <c r="C520" i="6"/>
  <c r="D520" i="6" s="1"/>
  <c r="I304" i="6"/>
  <c r="G292" i="6"/>
  <c r="H292" i="6" s="1"/>
  <c r="I292" i="6"/>
  <c r="C844" i="6"/>
  <c r="D844" i="6" s="1"/>
  <c r="E856" i="6"/>
  <c r="C845" i="6"/>
  <c r="D845" i="6" s="1"/>
  <c r="I785" i="6"/>
  <c r="G774" i="6"/>
  <c r="H774" i="6" s="1"/>
  <c r="G773" i="6"/>
  <c r="H773" i="6" s="1"/>
  <c r="E810" i="6"/>
  <c r="G769" i="6"/>
  <c r="H769" i="6" s="1"/>
  <c r="I781" i="6"/>
  <c r="I813" i="6"/>
  <c r="G801" i="6"/>
  <c r="H801" i="6" s="1"/>
  <c r="E768" i="6"/>
  <c r="C756" i="6"/>
  <c r="D756" i="6" s="1"/>
  <c r="C663" i="6"/>
  <c r="D663" i="6" s="1"/>
  <c r="E718" i="6"/>
  <c r="C706" i="6"/>
  <c r="D706" i="6" s="1"/>
  <c r="E706" i="6"/>
  <c r="C701" i="6"/>
  <c r="D701" i="6" s="1"/>
  <c r="E713" i="6"/>
  <c r="C595" i="6"/>
  <c r="D595" i="6" s="1"/>
  <c r="E585" i="6"/>
  <c r="C585" i="6"/>
  <c r="D585" i="6" s="1"/>
  <c r="E597" i="6"/>
  <c r="C655" i="6"/>
  <c r="D655" i="6" s="1"/>
  <c r="E667" i="6"/>
  <c r="E655" i="6"/>
  <c r="I565" i="6"/>
  <c r="G553" i="6"/>
  <c r="H553" i="6" s="1"/>
  <c r="E617" i="6"/>
  <c r="E583" i="6"/>
  <c r="C571" i="6"/>
  <c r="D571" i="6" s="1"/>
  <c r="I594" i="6"/>
  <c r="C490" i="6"/>
  <c r="D490" i="6" s="1"/>
  <c r="E502" i="6"/>
  <c r="C548" i="6"/>
  <c r="D548" i="6" s="1"/>
  <c r="E610" i="6"/>
  <c r="E622" i="6"/>
  <c r="C610" i="6"/>
  <c r="D610" i="6" s="1"/>
  <c r="G567" i="6"/>
  <c r="H567" i="6" s="1"/>
  <c r="I579" i="6"/>
  <c r="I610" i="6"/>
  <c r="C521" i="6"/>
  <c r="D521" i="6" s="1"/>
  <c r="E533" i="6"/>
  <c r="C464" i="6"/>
  <c r="D464" i="6" s="1"/>
  <c r="C465" i="6"/>
  <c r="D465" i="6" s="1"/>
  <c r="E476" i="6"/>
  <c r="C388" i="6"/>
  <c r="D388" i="6" s="1"/>
  <c r="E400" i="6"/>
  <c r="C512" i="6"/>
  <c r="D512" i="6" s="1"/>
  <c r="E524" i="6"/>
  <c r="C538" i="6"/>
  <c r="D538" i="6" s="1"/>
  <c r="E550" i="6"/>
  <c r="E369" i="6"/>
  <c r="C357" i="6"/>
  <c r="D357" i="6" s="1"/>
  <c r="C572" i="6"/>
  <c r="D572" i="6" s="1"/>
  <c r="E596" i="6"/>
  <c r="C469" i="6"/>
  <c r="D469" i="6" s="1"/>
  <c r="E481" i="6"/>
  <c r="C523" i="6"/>
  <c r="D523" i="6" s="1"/>
  <c r="E535" i="6"/>
  <c r="E523" i="6"/>
  <c r="C517" i="6"/>
  <c r="D517" i="6" s="1"/>
  <c r="E529" i="6"/>
  <c r="C518" i="6"/>
  <c r="D518" i="6" s="1"/>
  <c r="G483" i="6"/>
  <c r="H483" i="6" s="1"/>
  <c r="I495" i="6"/>
  <c r="C330" i="6"/>
  <c r="D330" i="6" s="1"/>
  <c r="E341" i="6"/>
  <c r="C329" i="6"/>
  <c r="D329" i="6" s="1"/>
  <c r="E418" i="6"/>
  <c r="C406" i="6"/>
  <c r="D406" i="6" s="1"/>
  <c r="G380" i="6"/>
  <c r="H380" i="6" s="1"/>
  <c r="I392" i="6"/>
  <c r="I280" i="6"/>
  <c r="I268" i="6"/>
  <c r="G268" i="6"/>
  <c r="H268" i="6" s="1"/>
  <c r="D48" i="6"/>
  <c r="C336" i="6"/>
  <c r="D336" i="6" s="1"/>
  <c r="E348" i="6"/>
  <c r="I49" i="6"/>
  <c r="G33" i="6"/>
  <c r="H33" i="6" s="1"/>
  <c r="E240" i="6"/>
  <c r="C228" i="6"/>
  <c r="D228" i="6" s="1"/>
  <c r="C229" i="6"/>
  <c r="D229" i="6" s="1"/>
  <c r="E228" i="6"/>
  <c r="E816" i="6"/>
  <c r="C804" i="6"/>
  <c r="D804" i="6" s="1"/>
  <c r="I609" i="6"/>
  <c r="G597" i="6"/>
  <c r="H597" i="6" s="1"/>
  <c r="I801" i="6"/>
  <c r="G789" i="6"/>
  <c r="H789" i="6" s="1"/>
  <c r="E756" i="6"/>
  <c r="C744" i="6"/>
  <c r="D744" i="6" s="1"/>
  <c r="E744" i="6"/>
  <c r="I748" i="6"/>
  <c r="G736" i="6"/>
  <c r="H736" i="6" s="1"/>
  <c r="G699" i="6"/>
  <c r="H699" i="6" s="1"/>
  <c r="I710" i="6"/>
  <c r="I698" i="6"/>
  <c r="G698" i="6"/>
  <c r="H698" i="6" s="1"/>
  <c r="G706" i="6"/>
  <c r="H706" i="6" s="1"/>
  <c r="I718" i="6"/>
  <c r="E654" i="6"/>
  <c r="C642" i="6"/>
  <c r="D642" i="6" s="1"/>
  <c r="C537" i="6"/>
  <c r="D537" i="6" s="1"/>
  <c r="E549" i="6"/>
  <c r="E579" i="6"/>
  <c r="C567" i="6"/>
  <c r="D567" i="6" s="1"/>
  <c r="E567" i="6"/>
  <c r="I586" i="6"/>
  <c r="G575" i="6"/>
  <c r="H575" i="6" s="1"/>
  <c r="G574" i="6"/>
  <c r="H574" i="6" s="1"/>
  <c r="I533" i="6"/>
  <c r="G521" i="6"/>
  <c r="H521" i="6" s="1"/>
  <c r="C460" i="6"/>
  <c r="D460" i="6" s="1"/>
  <c r="E472" i="6"/>
  <c r="C461" i="6"/>
  <c r="D461" i="6" s="1"/>
  <c r="I588" i="6"/>
  <c r="G512" i="6"/>
  <c r="H512" i="6" s="1"/>
  <c r="I524" i="6"/>
  <c r="C485" i="6"/>
  <c r="D485" i="6" s="1"/>
  <c r="C486" i="6"/>
  <c r="D486" i="6" s="1"/>
  <c r="E497" i="6"/>
  <c r="C498" i="6"/>
  <c r="D498" i="6" s="1"/>
  <c r="G496" i="6"/>
  <c r="H496" i="6" s="1"/>
  <c r="I508" i="6"/>
  <c r="G411" i="6"/>
  <c r="H411" i="6" s="1"/>
  <c r="I378" i="6"/>
  <c r="G366" i="6"/>
  <c r="H366" i="6" s="1"/>
  <c r="I529" i="6"/>
  <c r="I517" i="6"/>
  <c r="G517" i="6"/>
  <c r="H517" i="6" s="1"/>
  <c r="C373" i="6"/>
  <c r="D373" i="6" s="1"/>
  <c r="E385" i="6"/>
  <c r="C248" i="6"/>
  <c r="D248" i="6" s="1"/>
  <c r="E260" i="6"/>
  <c r="E248" i="6"/>
  <c r="C249" i="6"/>
  <c r="D249" i="6" s="1"/>
  <c r="C483" i="6"/>
  <c r="D483" i="6" s="1"/>
  <c r="E495" i="6"/>
  <c r="E483" i="6"/>
  <c r="C364" i="6"/>
  <c r="D364" i="6" s="1"/>
  <c r="E376" i="6"/>
  <c r="E284" i="6"/>
  <c r="C272" i="6"/>
  <c r="D272" i="6" s="1"/>
  <c r="C273" i="6"/>
  <c r="D273" i="6" s="1"/>
  <c r="E272" i="6"/>
  <c r="I228" i="6"/>
  <c r="G216" i="6"/>
  <c r="H216" i="6" s="1"/>
  <c r="I418" i="6"/>
  <c r="G406" i="6"/>
  <c r="H406" i="6" s="1"/>
  <c r="G262" i="6"/>
  <c r="H262" i="6" s="1"/>
  <c r="I274" i="6"/>
  <c r="G343" i="6"/>
  <c r="H343" i="6" s="1"/>
  <c r="G209" i="6"/>
  <c r="H209" i="6" s="1"/>
  <c r="I221" i="6"/>
  <c r="C418" i="6"/>
  <c r="D418" i="6" s="1"/>
  <c r="E430" i="6"/>
  <c r="G210" i="6"/>
  <c r="H210" i="6" s="1"/>
  <c r="E189" i="6"/>
  <c r="C177" i="6"/>
  <c r="D177" i="6" s="1"/>
  <c r="C178" i="6"/>
  <c r="D178" i="6" s="1"/>
  <c r="E213" i="6"/>
  <c r="E169" i="6"/>
  <c r="I226" i="6"/>
  <c r="I348" i="6"/>
  <c r="G336" i="6"/>
  <c r="H336" i="6" s="1"/>
  <c r="G228" i="6"/>
  <c r="H228" i="6" s="1"/>
  <c r="I240" i="6"/>
  <c r="G20" i="6"/>
  <c r="H20" i="6" s="1"/>
  <c r="I32" i="6"/>
  <c r="E79" i="6"/>
  <c r="I577" i="6"/>
  <c r="G565" i="6"/>
  <c r="H565" i="6" s="1"/>
  <c r="C836" i="6"/>
  <c r="D836" i="6" s="1"/>
  <c r="C837" i="6"/>
  <c r="D837" i="6" s="1"/>
  <c r="E848" i="6"/>
  <c r="E785" i="6"/>
  <c r="C773" i="6"/>
  <c r="D773" i="6" s="1"/>
  <c r="C774" i="6"/>
  <c r="D774" i="6" s="1"/>
  <c r="G785" i="6"/>
  <c r="H785" i="6" s="1"/>
  <c r="I797" i="6"/>
  <c r="I789" i="6"/>
  <c r="G777" i="6"/>
  <c r="H777" i="6" s="1"/>
  <c r="G806" i="6"/>
  <c r="H806" i="6" s="1"/>
  <c r="C785" i="6"/>
  <c r="D785" i="6" s="1"/>
  <c r="E797" i="6"/>
  <c r="E762" i="6"/>
  <c r="C750" i="6"/>
  <c r="D750" i="6" s="1"/>
  <c r="C751" i="6"/>
  <c r="D751" i="6" s="1"/>
  <c r="E775" i="6"/>
  <c r="C763" i="6"/>
  <c r="D763" i="6" s="1"/>
  <c r="E698" i="6"/>
  <c r="E710" i="6"/>
  <c r="C698" i="6"/>
  <c r="D698" i="6" s="1"/>
  <c r="C777" i="6"/>
  <c r="D777" i="6" s="1"/>
  <c r="E789" i="6"/>
  <c r="I607" i="6"/>
  <c r="E482" i="6"/>
  <c r="C470" i="6"/>
  <c r="D470" i="6" s="1"/>
  <c r="C471" i="6"/>
  <c r="D471" i="6" s="1"/>
  <c r="I538" i="6"/>
  <c r="G526" i="6"/>
  <c r="H526" i="6" s="1"/>
  <c r="E586" i="6"/>
  <c r="C574" i="6"/>
  <c r="D574" i="6" s="1"/>
  <c r="C376" i="6"/>
  <c r="D376" i="6" s="1"/>
  <c r="E388" i="6"/>
  <c r="C377" i="6"/>
  <c r="D377" i="6" s="1"/>
  <c r="C566" i="6"/>
  <c r="D566" i="6" s="1"/>
  <c r="C509" i="6"/>
  <c r="D509" i="6" s="1"/>
  <c r="E521" i="6"/>
  <c r="E573" i="6"/>
  <c r="C561" i="6"/>
  <c r="D561" i="6" s="1"/>
  <c r="G550" i="6"/>
  <c r="H550" i="6" s="1"/>
  <c r="C496" i="6"/>
  <c r="D496" i="6" s="1"/>
  <c r="E508" i="6"/>
  <c r="I342" i="6"/>
  <c r="E378" i="6"/>
  <c r="C366" i="6"/>
  <c r="D366" i="6" s="1"/>
  <c r="C474" i="6"/>
  <c r="D474" i="6" s="1"/>
  <c r="E486" i="6"/>
  <c r="G217" i="6"/>
  <c r="H217" i="6" s="1"/>
  <c r="C440" i="6"/>
  <c r="D440" i="6" s="1"/>
  <c r="E452" i="6"/>
  <c r="I376" i="6"/>
  <c r="G364" i="6"/>
  <c r="H364" i="6" s="1"/>
  <c r="G472" i="6"/>
  <c r="H472" i="6" s="1"/>
  <c r="I484" i="6"/>
  <c r="I472" i="6"/>
  <c r="C401" i="6"/>
  <c r="D401" i="6" s="1"/>
  <c r="E328" i="6"/>
  <c r="I430" i="6"/>
  <c r="G418" i="6"/>
  <c r="H418" i="6" s="1"/>
  <c r="E377" i="6"/>
  <c r="C365" i="6"/>
  <c r="D365" i="6" s="1"/>
  <c r="E218" i="6"/>
  <c r="C206" i="6"/>
  <c r="D206" i="6" s="1"/>
  <c r="C207" i="6"/>
  <c r="D207" i="6" s="1"/>
  <c r="C382" i="6"/>
  <c r="D382" i="6" s="1"/>
  <c r="C149" i="6"/>
  <c r="D149" i="6" s="1"/>
  <c r="E161" i="6"/>
  <c r="G222" i="6"/>
  <c r="H222" i="6" s="1"/>
  <c r="E209" i="6"/>
  <c r="C198" i="6"/>
  <c r="D198" i="6" s="1"/>
  <c r="C197" i="6"/>
  <c r="D197" i="6" s="1"/>
  <c r="I298" i="6"/>
  <c r="G286" i="6"/>
  <c r="H286" i="6" s="1"/>
  <c r="D39" i="6"/>
  <c r="C28" i="6"/>
  <c r="E39" i="6"/>
  <c r="C27" i="6"/>
  <c r="E237" i="6"/>
  <c r="C225" i="6"/>
  <c r="D225" i="6" s="1"/>
  <c r="C261" i="6"/>
  <c r="D261" i="6" s="1"/>
  <c r="E273" i="6"/>
  <c r="E261" i="6"/>
  <c r="G21" i="6"/>
  <c r="H21" i="6" s="1"/>
  <c r="E221" i="6"/>
  <c r="E32" i="6"/>
  <c r="D32" i="6"/>
  <c r="C20" i="6"/>
  <c r="G772" i="6"/>
  <c r="H772" i="6" s="1"/>
  <c r="G771" i="6"/>
  <c r="H771" i="6" s="1"/>
  <c r="I783" i="6"/>
  <c r="I645" i="6"/>
  <c r="G633" i="6"/>
  <c r="H633" i="6" s="1"/>
  <c r="G819" i="6"/>
  <c r="H819" i="6" s="1"/>
  <c r="I799" i="6"/>
  <c r="G787" i="6"/>
  <c r="H787" i="6" s="1"/>
  <c r="I773" i="6"/>
  <c r="G761" i="6"/>
  <c r="H761" i="6" s="1"/>
  <c r="C769" i="6"/>
  <c r="D769" i="6" s="1"/>
  <c r="E781" i="6"/>
  <c r="E813" i="6"/>
  <c r="C801" i="6"/>
  <c r="D801" i="6" s="1"/>
  <c r="C802" i="6"/>
  <c r="D802" i="6" s="1"/>
  <c r="G786" i="6"/>
  <c r="H786" i="6" s="1"/>
  <c r="I688" i="6"/>
  <c r="G676" i="6"/>
  <c r="H676" i="6" s="1"/>
  <c r="I713" i="6"/>
  <c r="G701" i="6"/>
  <c r="H701" i="6" s="1"/>
  <c r="G702" i="6"/>
  <c r="H702" i="6" s="1"/>
  <c r="I597" i="6"/>
  <c r="G585" i="6"/>
  <c r="H585" i="6" s="1"/>
  <c r="I539" i="6"/>
  <c r="G528" i="6"/>
  <c r="H528" i="6" s="1"/>
  <c r="G527" i="6"/>
  <c r="H527" i="6" s="1"/>
  <c r="G621" i="6"/>
  <c r="H621" i="6" s="1"/>
  <c r="C605" i="6"/>
  <c r="D605" i="6" s="1"/>
  <c r="G817" i="6"/>
  <c r="H817" i="6" s="1"/>
  <c r="I829" i="6"/>
  <c r="E801" i="6"/>
  <c r="C789" i="6"/>
  <c r="D789" i="6" s="1"/>
  <c r="G836" i="6"/>
  <c r="H836" i="6" s="1"/>
  <c r="I848" i="6"/>
  <c r="E862" i="6"/>
  <c r="C850" i="6"/>
  <c r="D850" i="6" s="1"/>
  <c r="C851" i="6"/>
  <c r="D851" i="6" s="1"/>
  <c r="C761" i="6"/>
  <c r="D761" i="6" s="1"/>
  <c r="E773" i="6"/>
  <c r="I756" i="6"/>
  <c r="G744" i="6"/>
  <c r="H744" i="6" s="1"/>
  <c r="G707" i="6"/>
  <c r="H707" i="6" s="1"/>
  <c r="E636" i="6"/>
  <c r="C624" i="6"/>
  <c r="D624" i="6" s="1"/>
  <c r="I686" i="6"/>
  <c r="G674" i="6"/>
  <c r="H674" i="6" s="1"/>
  <c r="G675" i="6"/>
  <c r="H675" i="6" s="1"/>
  <c r="C689" i="6"/>
  <c r="D689" i="6" s="1"/>
  <c r="E701" i="6"/>
  <c r="C592" i="6"/>
  <c r="D592" i="6" s="1"/>
  <c r="E604" i="6"/>
  <c r="C699" i="6"/>
  <c r="D699" i="6" s="1"/>
  <c r="I744" i="6"/>
  <c r="C527" i="6"/>
  <c r="D527" i="6" s="1"/>
  <c r="E539" i="6"/>
  <c r="C657" i="6"/>
  <c r="D657" i="6" s="1"/>
  <c r="E669" i="6"/>
  <c r="I554" i="6"/>
  <c r="G542" i="6"/>
  <c r="H542" i="6" s="1"/>
  <c r="G537" i="6"/>
  <c r="H537" i="6" s="1"/>
  <c r="I549" i="6"/>
  <c r="C456" i="6"/>
  <c r="D456" i="6" s="1"/>
  <c r="C457" i="6"/>
  <c r="D457" i="6" s="1"/>
  <c r="E468" i="6"/>
  <c r="C817" i="6"/>
  <c r="D817" i="6" s="1"/>
  <c r="E829" i="6"/>
  <c r="E826" i="6"/>
  <c r="C815" i="6"/>
  <c r="D815" i="6" s="1"/>
  <c r="C814" i="6"/>
  <c r="D814" i="6" s="1"/>
  <c r="C793" i="6"/>
  <c r="D793" i="6" s="1"/>
  <c r="C792" i="6"/>
  <c r="D792" i="6" s="1"/>
  <c r="E804" i="6"/>
  <c r="I862" i="6"/>
  <c r="G850" i="6"/>
  <c r="H850" i="6" s="1"/>
  <c r="G851" i="6"/>
  <c r="H851" i="6" s="1"/>
  <c r="E852" i="6"/>
  <c r="G737" i="6"/>
  <c r="H737" i="6" s="1"/>
  <c r="I770" i="6"/>
  <c r="G758" i="6"/>
  <c r="H758" i="6" s="1"/>
  <c r="I758" i="6"/>
  <c r="E750" i="6"/>
  <c r="G757" i="6"/>
  <c r="H757" i="6" s="1"/>
  <c r="I769" i="6"/>
  <c r="I771" i="6"/>
  <c r="I788" i="6"/>
  <c r="E736" i="6"/>
  <c r="C725" i="6"/>
  <c r="D725" i="6" s="1"/>
  <c r="C724" i="6"/>
  <c r="D724" i="6" s="1"/>
  <c r="G745" i="6"/>
  <c r="H745" i="6" s="1"/>
  <c r="G624" i="6"/>
  <c r="H624" i="6" s="1"/>
  <c r="I636" i="6"/>
  <c r="I706" i="6"/>
  <c r="E662" i="6"/>
  <c r="C650" i="6"/>
  <c r="D650" i="6" s="1"/>
  <c r="E709" i="6"/>
  <c r="I604" i="6"/>
  <c r="G592" i="6"/>
  <c r="H592" i="6" s="1"/>
  <c r="I592" i="6"/>
  <c r="G593" i="6"/>
  <c r="H593" i="6" s="1"/>
  <c r="C690" i="6"/>
  <c r="D690" i="6" s="1"/>
  <c r="C601" i="6"/>
  <c r="D601" i="6" s="1"/>
  <c r="C623" i="6"/>
  <c r="D623" i="6" s="1"/>
  <c r="E635" i="6"/>
  <c r="E589" i="6"/>
  <c r="C577" i="6"/>
  <c r="D577" i="6" s="1"/>
  <c r="C578" i="6"/>
  <c r="D578" i="6" s="1"/>
  <c r="I638" i="6"/>
  <c r="G626" i="6"/>
  <c r="H626" i="6" s="1"/>
  <c r="I626" i="6"/>
  <c r="I671" i="6"/>
  <c r="G659" i="6"/>
  <c r="H659" i="6" s="1"/>
  <c r="C593" i="6"/>
  <c r="D593" i="6" s="1"/>
  <c r="I669" i="6"/>
  <c r="G657" i="6"/>
  <c r="H657" i="6" s="1"/>
  <c r="E633" i="6"/>
  <c r="G520" i="6"/>
  <c r="H520" i="6" s="1"/>
  <c r="C542" i="6"/>
  <c r="D542" i="6" s="1"/>
  <c r="E554" i="6"/>
  <c r="C544" i="6"/>
  <c r="D544" i="6" s="1"/>
  <c r="C545" i="6"/>
  <c r="D545" i="6" s="1"/>
  <c r="E556" i="6"/>
  <c r="E692" i="6"/>
  <c r="E538" i="6"/>
  <c r="E526" i="6"/>
  <c r="C526" i="6"/>
  <c r="D526" i="6" s="1"/>
  <c r="E518" i="6"/>
  <c r="C506" i="6"/>
  <c r="D506" i="6" s="1"/>
  <c r="C452" i="6"/>
  <c r="D452" i="6" s="1"/>
  <c r="C453" i="6"/>
  <c r="D453" i="6" s="1"/>
  <c r="E464" i="6"/>
  <c r="I574" i="6"/>
  <c r="G562" i="6"/>
  <c r="H562" i="6" s="1"/>
  <c r="C528" i="6"/>
  <c r="D528" i="6" s="1"/>
  <c r="I573" i="6"/>
  <c r="G561" i="6"/>
  <c r="H561" i="6" s="1"/>
  <c r="I562" i="6"/>
  <c r="E653" i="6"/>
  <c r="I486" i="6"/>
  <c r="G474" i="6"/>
  <c r="H474" i="6" s="1"/>
  <c r="C360" i="6"/>
  <c r="D360" i="6" s="1"/>
  <c r="E372" i="6"/>
  <c r="E542" i="6"/>
  <c r="C255" i="6"/>
  <c r="D255" i="6" s="1"/>
  <c r="E484" i="6"/>
  <c r="C472" i="6"/>
  <c r="D472" i="6" s="1"/>
  <c r="I245" i="6"/>
  <c r="G233" i="6"/>
  <c r="H233" i="6" s="1"/>
  <c r="C244" i="6"/>
  <c r="D244" i="6" s="1"/>
  <c r="E256" i="6"/>
  <c r="E285" i="6"/>
  <c r="I358" i="6"/>
  <c r="G346" i="6"/>
  <c r="H346" i="6" s="1"/>
  <c r="C239" i="6"/>
  <c r="D239" i="6" s="1"/>
  <c r="I377" i="6"/>
  <c r="G365" i="6"/>
  <c r="H365" i="6" s="1"/>
  <c r="E216" i="6"/>
  <c r="C204" i="6"/>
  <c r="D204" i="6" s="1"/>
  <c r="E204" i="6"/>
  <c r="C205" i="6"/>
  <c r="D205" i="6" s="1"/>
  <c r="C293" i="6"/>
  <c r="D293" i="6" s="1"/>
  <c r="G176" i="6"/>
  <c r="H176" i="6" s="1"/>
  <c r="C264" i="6"/>
  <c r="D264" i="6" s="1"/>
  <c r="E276" i="6"/>
  <c r="I161" i="6"/>
  <c r="I149" i="6"/>
  <c r="G149" i="6"/>
  <c r="H149" i="6" s="1"/>
  <c r="I209" i="6"/>
  <c r="G197" i="6"/>
  <c r="H197" i="6" s="1"/>
  <c r="E298" i="6"/>
  <c r="C286" i="6"/>
  <c r="D286" i="6" s="1"/>
  <c r="G225" i="6"/>
  <c r="H225" i="6" s="1"/>
  <c r="I237" i="6"/>
  <c r="I225" i="6"/>
  <c r="I273" i="6"/>
  <c r="G261" i="6"/>
  <c r="H261" i="6" s="1"/>
  <c r="E201" i="6"/>
  <c r="C189" i="6"/>
  <c r="D189" i="6" s="1"/>
  <c r="C190" i="6"/>
  <c r="D190" i="6" s="1"/>
  <c r="G4" i="6"/>
  <c r="H4" i="6" s="1"/>
  <c r="E807" i="6"/>
  <c r="C795" i="6"/>
  <c r="D795" i="6" s="1"/>
  <c r="E688" i="6"/>
  <c r="I826" i="6"/>
  <c r="G814" i="6"/>
  <c r="H814" i="6" s="1"/>
  <c r="G815" i="6"/>
  <c r="H815" i="6" s="1"/>
  <c r="E794" i="6"/>
  <c r="C782" i="6"/>
  <c r="D782" i="6" s="1"/>
  <c r="G813" i="6"/>
  <c r="H813" i="6" s="1"/>
  <c r="I825" i="6"/>
  <c r="I806" i="6"/>
  <c r="G794" i="6"/>
  <c r="H794" i="6" s="1"/>
  <c r="C859" i="6"/>
  <c r="D859" i="6" s="1"/>
  <c r="E738" i="6"/>
  <c r="C726" i="6"/>
  <c r="D726" i="6" s="1"/>
  <c r="E770" i="6"/>
  <c r="C758" i="6"/>
  <c r="D758" i="6" s="1"/>
  <c r="C759" i="6"/>
  <c r="D759" i="6" s="1"/>
  <c r="E769" i="6"/>
  <c r="C757" i="6"/>
  <c r="D757" i="6" s="1"/>
  <c r="E682" i="6"/>
  <c r="C670" i="6"/>
  <c r="D670" i="6" s="1"/>
  <c r="C705" i="6"/>
  <c r="D705" i="6" s="1"/>
  <c r="G650" i="6"/>
  <c r="H650" i="6" s="1"/>
  <c r="I662" i="6"/>
  <c r="I650" i="6"/>
  <c r="I635" i="6"/>
  <c r="G623" i="6"/>
  <c r="H623" i="6" s="1"/>
  <c r="I589" i="6"/>
  <c r="G577" i="6"/>
  <c r="H577" i="6" s="1"/>
  <c r="E638" i="6"/>
  <c r="C626" i="6"/>
  <c r="D626" i="6" s="1"/>
  <c r="C659" i="6"/>
  <c r="D659" i="6" s="1"/>
  <c r="E671" i="6"/>
  <c r="E581" i="6"/>
  <c r="C569" i="6"/>
  <c r="D569" i="6" s="1"/>
  <c r="G651" i="6"/>
  <c r="H651" i="6" s="1"/>
  <c r="C621" i="6"/>
  <c r="D621" i="6" s="1"/>
  <c r="I512" i="6"/>
  <c r="I556" i="6"/>
  <c r="G544" i="6"/>
  <c r="H544" i="6" s="1"/>
  <c r="G545" i="6"/>
  <c r="H545" i="6" s="1"/>
  <c r="C654" i="6"/>
  <c r="D654" i="6" s="1"/>
  <c r="E666" i="6"/>
  <c r="G497" i="6"/>
  <c r="H497" i="6" s="1"/>
  <c r="C678" i="6"/>
  <c r="D678" i="6" s="1"/>
  <c r="E690" i="6"/>
  <c r="I555" i="6"/>
  <c r="G543" i="6"/>
  <c r="H543" i="6" s="1"/>
  <c r="G518" i="6"/>
  <c r="H518" i="6" s="1"/>
  <c r="C448" i="6"/>
  <c r="D448" i="6" s="1"/>
  <c r="E460" i="6"/>
  <c r="C449" i="6"/>
  <c r="D449" i="6" s="1"/>
  <c r="C562" i="6"/>
  <c r="D562" i="6" s="1"/>
  <c r="E574" i="6"/>
  <c r="I510" i="6"/>
  <c r="G498" i="6"/>
  <c r="H498" i="6" s="1"/>
  <c r="C411" i="6"/>
  <c r="D411" i="6" s="1"/>
  <c r="G524" i="6"/>
  <c r="H524" i="6" s="1"/>
  <c r="I536" i="6"/>
  <c r="G357" i="6"/>
  <c r="H357" i="6" s="1"/>
  <c r="G522" i="6"/>
  <c r="H522" i="6" s="1"/>
  <c r="G540" i="6"/>
  <c r="H540" i="6" s="1"/>
  <c r="I552" i="6"/>
  <c r="C408" i="6"/>
  <c r="D408" i="6" s="1"/>
  <c r="E420" i="6"/>
  <c r="C409" i="6"/>
  <c r="D409" i="6" s="1"/>
  <c r="C477" i="6"/>
  <c r="D477" i="6" s="1"/>
  <c r="E489" i="6"/>
  <c r="E477" i="6"/>
  <c r="E470" i="6"/>
  <c r="I397" i="6"/>
  <c r="E442" i="6"/>
  <c r="G491" i="6"/>
  <c r="H491" i="6" s="1"/>
  <c r="I503" i="6"/>
  <c r="G244" i="6"/>
  <c r="H244" i="6" s="1"/>
  <c r="I256" i="6"/>
  <c r="I244" i="6"/>
  <c r="E358" i="6"/>
  <c r="C346" i="6"/>
  <c r="D346" i="6" s="1"/>
  <c r="E325" i="6"/>
  <c r="C193" i="6"/>
  <c r="D193" i="6" s="1"/>
  <c r="E205" i="6"/>
  <c r="I382" i="6"/>
  <c r="G370" i="6"/>
  <c r="H370" i="6" s="1"/>
  <c r="C147" i="6"/>
  <c r="D147" i="6" s="1"/>
  <c r="E159" i="6"/>
  <c r="C148" i="6"/>
  <c r="D148" i="6" s="1"/>
  <c r="E147" i="6"/>
  <c r="E177" i="6"/>
  <c r="C165" i="6"/>
  <c r="D165" i="6" s="1"/>
  <c r="C166" i="6"/>
  <c r="D166" i="6" s="1"/>
  <c r="I276" i="6"/>
  <c r="I264" i="6"/>
  <c r="G264" i="6"/>
  <c r="H264" i="6" s="1"/>
  <c r="C72" i="6"/>
  <c r="D72" i="6" s="1"/>
  <c r="C73" i="6"/>
  <c r="D73" i="6" s="1"/>
  <c r="E84" i="6"/>
  <c r="C55" i="6"/>
  <c r="E67" i="6"/>
  <c r="E55" i="6"/>
  <c r="D27" i="6"/>
  <c r="C16" i="6"/>
  <c r="E27" i="6"/>
  <c r="E15" i="6"/>
  <c r="C15" i="6"/>
  <c r="C240" i="6"/>
  <c r="D240" i="6" s="1"/>
  <c r="E252" i="6"/>
  <c r="E72" i="6"/>
  <c r="G9" i="6"/>
  <c r="H9" i="6" s="1"/>
  <c r="G189" i="6"/>
  <c r="H189" i="6" s="1"/>
  <c r="I201" i="6"/>
  <c r="E89" i="6"/>
  <c r="C146" i="6"/>
  <c r="D146" i="6" s="1"/>
  <c r="E157" i="6"/>
  <c r="C145" i="6"/>
  <c r="D145" i="6" s="1"/>
  <c r="E149" i="6"/>
  <c r="C9" i="6"/>
  <c r="E791" i="6"/>
  <c r="C779" i="6"/>
  <c r="D779" i="6" s="1"/>
  <c r="I694" i="6"/>
  <c r="G682" i="6"/>
  <c r="H682" i="6" s="1"/>
  <c r="G683" i="6"/>
  <c r="H683" i="6" s="1"/>
  <c r="I682" i="6"/>
  <c r="G821" i="6"/>
  <c r="H821" i="6" s="1"/>
  <c r="I833" i="6"/>
  <c r="E822" i="6"/>
  <c r="C810" i="6"/>
  <c r="D810" i="6" s="1"/>
  <c r="E853" i="6"/>
  <c r="G790" i="6"/>
  <c r="H790" i="6" s="1"/>
  <c r="I817" i="6"/>
  <c r="G805" i="6"/>
  <c r="H805" i="6" s="1"/>
  <c r="I794" i="6"/>
  <c r="G782" i="6"/>
  <c r="H782" i="6" s="1"/>
  <c r="C813" i="6"/>
  <c r="D813" i="6" s="1"/>
  <c r="E825" i="6"/>
  <c r="E830" i="6"/>
  <c r="C818" i="6"/>
  <c r="D818" i="6" s="1"/>
  <c r="C819" i="6"/>
  <c r="D819" i="6" s="1"/>
  <c r="E741" i="6"/>
  <c r="E767" i="6"/>
  <c r="C755" i="6"/>
  <c r="D755" i="6" s="1"/>
  <c r="E729" i="6"/>
  <c r="C717" i="6"/>
  <c r="D717" i="6" s="1"/>
  <c r="E717" i="6"/>
  <c r="I776" i="6"/>
  <c r="G764" i="6"/>
  <c r="H764" i="6" s="1"/>
  <c r="I655" i="6"/>
  <c r="I704" i="6"/>
  <c r="C649" i="6"/>
  <c r="D649" i="6" s="1"/>
  <c r="E661" i="6"/>
  <c r="C673" i="6"/>
  <c r="D673" i="6" s="1"/>
  <c r="G712" i="6"/>
  <c r="H712" i="6" s="1"/>
  <c r="I724" i="6"/>
  <c r="I585" i="6"/>
  <c r="C568" i="6"/>
  <c r="D568" i="6" s="1"/>
  <c r="C609" i="6"/>
  <c r="D609" i="6" s="1"/>
  <c r="I581" i="6"/>
  <c r="G570" i="6"/>
  <c r="H570" i="6" s="1"/>
  <c r="G569" i="6"/>
  <c r="H569" i="6" s="1"/>
  <c r="E600" i="6"/>
  <c r="C588" i="6"/>
  <c r="D588" i="6" s="1"/>
  <c r="C645" i="6"/>
  <c r="D645" i="6" s="1"/>
  <c r="E657" i="6"/>
  <c r="G634" i="6"/>
  <c r="H634" i="6" s="1"/>
  <c r="E637" i="6"/>
  <c r="C625" i="6"/>
  <c r="D625" i="6" s="1"/>
  <c r="I666" i="6"/>
  <c r="G654" i="6"/>
  <c r="H654" i="6" s="1"/>
  <c r="G566" i="6"/>
  <c r="H566" i="6" s="1"/>
  <c r="I690" i="6"/>
  <c r="G678" i="6"/>
  <c r="H678" i="6" s="1"/>
  <c r="E555" i="6"/>
  <c r="C543" i="6"/>
  <c r="D543" i="6" s="1"/>
  <c r="G548" i="6"/>
  <c r="H548" i="6" s="1"/>
  <c r="C493" i="6"/>
  <c r="D493" i="6" s="1"/>
  <c r="E505" i="6"/>
  <c r="E493" i="6"/>
  <c r="C524" i="6"/>
  <c r="D524" i="6" s="1"/>
  <c r="E536" i="6"/>
  <c r="C444" i="6"/>
  <c r="D444" i="6" s="1"/>
  <c r="C445" i="6"/>
  <c r="D445" i="6" s="1"/>
  <c r="E456" i="6"/>
  <c r="C540" i="6"/>
  <c r="D540" i="6" s="1"/>
  <c r="E552" i="6"/>
  <c r="E540" i="6"/>
  <c r="I402" i="6"/>
  <c r="G390" i="6"/>
  <c r="H390" i="6" s="1"/>
  <c r="I498" i="6"/>
  <c r="I406" i="6"/>
  <c r="I408" i="6"/>
  <c r="I420" i="6"/>
  <c r="G408" i="6"/>
  <c r="H408" i="6" s="1"/>
  <c r="C356" i="6"/>
  <c r="D356" i="6" s="1"/>
  <c r="E368" i="6"/>
  <c r="C641" i="6"/>
  <c r="D641" i="6" s="1"/>
  <c r="E365" i="6"/>
  <c r="C353" i="6"/>
  <c r="D353" i="6" s="1"/>
  <c r="G477" i="6"/>
  <c r="H477" i="6" s="1"/>
  <c r="I489" i="6"/>
  <c r="I410" i="6"/>
  <c r="E503" i="6"/>
  <c r="C491" i="6"/>
  <c r="D491" i="6" s="1"/>
  <c r="E496" i="6"/>
  <c r="G334" i="6"/>
  <c r="H334" i="6" s="1"/>
  <c r="G293" i="6"/>
  <c r="H293" i="6" s="1"/>
  <c r="C319" i="6"/>
  <c r="D319" i="6" s="1"/>
  <c r="E562" i="6"/>
  <c r="C334" i="6"/>
  <c r="D334" i="6" s="1"/>
  <c r="E345" i="6"/>
  <c r="C333" i="6"/>
  <c r="D333" i="6" s="1"/>
  <c r="C310" i="6"/>
  <c r="D310" i="6" s="1"/>
  <c r="E322" i="6"/>
  <c r="E382" i="6"/>
  <c r="C370" i="6"/>
  <c r="D370" i="6" s="1"/>
  <c r="I253" i="6"/>
  <c r="G241" i="6"/>
  <c r="H241" i="6" s="1"/>
  <c r="I177" i="6"/>
  <c r="G165" i="6"/>
  <c r="H165" i="6" s="1"/>
  <c r="I250" i="6"/>
  <c r="G238" i="6"/>
  <c r="H238" i="6" s="1"/>
  <c r="I665" i="6"/>
  <c r="G240" i="6"/>
  <c r="H240" i="6" s="1"/>
  <c r="I252" i="6"/>
  <c r="G56" i="6"/>
  <c r="H56" i="6" s="1"/>
  <c r="I68" i="6"/>
  <c r="G57" i="6"/>
  <c r="H57" i="6" s="1"/>
  <c r="I56" i="6"/>
  <c r="E59" i="6"/>
  <c r="I157" i="6"/>
  <c r="G145" i="6"/>
  <c r="H145"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<sst xmlns="http://schemas.openxmlformats.org/spreadsheetml/2006/main" count="792" uniqueCount="563">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</sst>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0">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164" fontId="0" fillId="2" borderId="0" xfId="0" applyNumberFormat="1" applyFill="1" applyAlignment="1">
      <alignment horizontal="left" vertical="center" wrapText="1"/>
    </xf>
    <xf numFmtId="0" fontId="0" fillId="2" borderId="0" xfId="0" applyFill="1"/>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xf numFmtId="0" fontId="0" fillId="2" borderId="0" xfId="0" applyFill="1" applyAlignment="1">
      <alignment wrapText="1"/>
    </xf>
    <xf numFmtId="164" fontId="13" fillId="2" borderId="0" xfId="0" applyNumberFormat="1" applyFont="1" applyFill="1" applyAlignment="1">
      <alignment horizontal="left" vertical="center" wrapText="1"/>
    </xf>
  </cellXfs>
  <cellStyles count="4">
    <cellStyle name="Hyperlink" xfId="1" builtinId="8"/>
    <cellStyle name="Normal" xfId="0" builtinId="0"/>
    <cellStyle name="Normal 2" xfId="3" xr:uid="{00000000-0005-0000-0000-000003000000}"/>
    <cellStyle name="Per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Japan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Country!$E$707:$E$950</c:f>
              <c:numCache>
                <c:formatCode>0.00%</c:formatCode>
                <c:ptCount val="244"/>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pt idx="115">
                  <c:v>3.8797284190107248E-3</c:v>
                </c:pt>
                <c:pt idx="116">
                  <c:v>2.9239766081872454E-3</c:v>
                </c:pt>
                <c:pt idx="117">
                  <c:v>1.9493177387914509E-3</c:v>
                </c:pt>
                <c:pt idx="118">
                  <c:v>1.953124999999889E-3</c:v>
                </c:pt>
                <c:pt idx="119">
                  <c:v>4.8875855327468231E-3</c:v>
                </c:pt>
                <c:pt idx="120">
                  <c:v>4.8828125E-3</c:v>
                </c:pt>
                <c:pt idx="121">
                  <c:v>2.9268292682926552E-3</c:v>
                </c:pt>
                <c:pt idx="122">
                  <c:v>9.7276264591447984E-4</c:v>
                </c:pt>
                <c:pt idx="123">
                  <c:v>0</c:v>
                </c:pt>
                <c:pt idx="124">
                  <c:v>-1.9417475728155617E-3</c:v>
                </c:pt>
                <c:pt idx="125">
                  <c:v>-1.9398642095052245E-3</c:v>
                </c:pt>
                <c:pt idx="126">
                  <c:v>-3.8797284190105869E-3</c:v>
                </c:pt>
                <c:pt idx="127">
                  <c:v>-4.830917874396135E-3</c:v>
                </c:pt>
                <c:pt idx="128">
                  <c:v>-5.8309037900875459E-3</c:v>
                </c:pt>
                <c:pt idx="129">
                  <c:v>-2.9182879377431629E-3</c:v>
                </c:pt>
                <c:pt idx="130">
                  <c:v>-1.9493177387913123E-3</c:v>
                </c:pt>
                <c:pt idx="131">
                  <c:v>-1.9455252918288216E-3</c:v>
                </c:pt>
                <c:pt idx="132">
                  <c:v>3.8872691933915593E-3</c:v>
                </c:pt>
                <c:pt idx="133">
                  <c:v>5.8365758754864647E-3</c:v>
                </c:pt>
                <c:pt idx="134">
                  <c:v>7.7745383867832566E-3</c:v>
                </c:pt>
                <c:pt idx="135">
                  <c:v>1.0679611650485381E-2</c:v>
                </c:pt>
                <c:pt idx="136">
                  <c:v>1.2645914396887132E-2</c:v>
                </c:pt>
                <c:pt idx="137">
                  <c:v>1.263362487852281E-2</c:v>
                </c:pt>
                <c:pt idx="138">
                  <c:v>1.9474196689386561E-2</c:v>
                </c:pt>
                <c:pt idx="139">
                  <c:v>2.0388349514563052E-2</c:v>
                </c:pt>
                <c:pt idx="140">
                  <c:v>2.5415444770283565E-2</c:v>
                </c:pt>
                <c:pt idx="141">
                  <c:v>3.0243902439024334E-2</c:v>
                </c:pt>
                <c:pt idx="142">
                  <c:v>3.7109374999999972E-2</c:v>
                </c:pt>
                <c:pt idx="143">
                  <c:v>3.8986354775828465E-2</c:v>
                </c:pt>
                <c:pt idx="144">
                  <c:v>4.8402710551790899E-2</c:v>
                </c:pt>
                <c:pt idx="145">
                  <c:v>5.7059961315280378E-2</c:v>
                </c:pt>
                <c:pt idx="146">
                  <c:v>6.4609450337512087E-2</c:v>
                </c:pt>
                <c:pt idx="147">
                  <c:v>5.9558117195004832E-2</c:v>
                </c:pt>
                <c:pt idx="148">
                  <c:v>6.8203650336215269E-2</c:v>
                </c:pt>
                <c:pt idx="149">
                  <c:v>7.9654510556621858E-2</c:v>
                </c:pt>
                <c:pt idx="150">
                  <c:v>7.9274116523400162E-2</c:v>
                </c:pt>
                <c:pt idx="151">
                  <c:v>8.3729781160799349E-2</c:v>
                </c:pt>
                <c:pt idx="152">
                  <c:v>8.8655862726406062E-2</c:v>
                </c:pt>
                <c:pt idx="153">
                  <c:v>0.11837121212121213</c:v>
                </c:pt>
                <c:pt idx="154">
                  <c:v>0.11770244821092278</c:v>
                </c:pt>
                <c:pt idx="155">
                  <c:v>0.11632270168855541</c:v>
                </c:pt>
              </c:numCache>
            </c:numRef>
          </c:val>
          <c:extLst>
            <c:ext xmlns:c16="http://schemas.microsoft.com/office/drawing/2014/chart" uri="{C3380CC4-5D6E-409C-BE32-E72D297353CC}">
              <c16:uniqueId val="{00000000-0C03-4CB7-96CC-D1E7A2E22371}"/>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Japan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Country!$I$707:$I$950</c:f>
              <c:numCache>
                <c:formatCode>0.00%</c:formatCode>
                <c:ptCount val="244"/>
                <c:pt idx="0">
                  <c:v>1.5879345942332739E-2</c:v>
                </c:pt>
                <c:pt idx="1">
                  <c:v>1.4643302413344272E-2</c:v>
                </c:pt>
                <c:pt idx="2">
                  <c:v>1.5922949617188664E-2</c:v>
                </c:pt>
                <c:pt idx="3">
                  <c:v>1.6026079935344547E-2</c:v>
                </c:pt>
                <c:pt idx="4">
                  <c:v>1.3732541287143981E-2</c:v>
                </c:pt>
                <c:pt idx="5">
                  <c:v>1.5063942711973102E-2</c:v>
                </c:pt>
                <c:pt idx="6">
                  <c:v>1.7104509742074593E-2</c:v>
                </c:pt>
                <c:pt idx="7">
                  <c:v>1.6650406595093585E-2</c:v>
                </c:pt>
                <c:pt idx="8">
                  <c:v>1.5737976492850352E-2</c:v>
                </c:pt>
                <c:pt idx="9">
                  <c:v>1.592052766186566E-2</c:v>
                </c:pt>
                <c:pt idx="10">
                  <c:v>1.6359512471001151E-2</c:v>
                </c:pt>
                <c:pt idx="11">
                  <c:v>1.5716862367412997E-2</c:v>
                </c:pt>
                <c:pt idx="12">
                  <c:v>1.5907944931542337E-2</c:v>
                </c:pt>
                <c:pt idx="13">
                  <c:v>1.7342184756049248E-2</c:v>
                </c:pt>
                <c:pt idx="14">
                  <c:v>1.7541701528346776E-2</c:v>
                </c:pt>
                <c:pt idx="15">
                  <c:v>1.8720310819587308E-2</c:v>
                </c:pt>
                <c:pt idx="16">
                  <c:v>1.8469103139506275E-2</c:v>
                </c:pt>
                <c:pt idx="17">
                  <c:v>2.0181199515532561E-2</c:v>
                </c:pt>
                <c:pt idx="18">
                  <c:v>1.9426868185887205E-2</c:v>
                </c:pt>
                <c:pt idx="19">
                  <c:v>1.9634742701700264E-2</c:v>
                </c:pt>
                <c:pt idx="20">
                  <c:v>2.2353166647260874E-2</c:v>
                </c:pt>
                <c:pt idx="21">
                  <c:v>2.4881249833052257E-2</c:v>
                </c:pt>
                <c:pt idx="22">
                  <c:v>2.2218615114735205E-2</c:v>
                </c:pt>
                <c:pt idx="23">
                  <c:v>2.2833283189793711E-2</c:v>
                </c:pt>
                <c:pt idx="24">
                  <c:v>2.0060536738790845E-2</c:v>
                </c:pt>
                <c:pt idx="25">
                  <c:v>2.0079288631903534E-2</c:v>
                </c:pt>
                <c:pt idx="26">
                  <c:v>2.1696104292642165E-2</c:v>
                </c:pt>
                <c:pt idx="27">
                  <c:v>2.1060178207954198E-2</c:v>
                </c:pt>
                <c:pt idx="28">
                  <c:v>2.1058295249925443E-2</c:v>
                </c:pt>
                <c:pt idx="29">
                  <c:v>2.1896136446455064E-2</c:v>
                </c:pt>
                <c:pt idx="30">
                  <c:v>2.2130600494482257E-2</c:v>
                </c:pt>
                <c:pt idx="31">
                  <c:v>2.1549066398218533E-2</c:v>
                </c:pt>
                <c:pt idx="32">
                  <c:v>1.8209168199909403E-2</c:v>
                </c:pt>
                <c:pt idx="33">
                  <c:v>1.29748974642626E-2</c:v>
                </c:pt>
                <c:pt idx="34">
                  <c:v>1.4718538070155666E-2</c:v>
                </c:pt>
                <c:pt idx="35">
                  <c:v>1.4000181887727706E-2</c:v>
                </c:pt>
                <c:pt idx="36">
                  <c:v>1.6019832637769522E-2</c:v>
                </c:pt>
                <c:pt idx="37">
                  <c:v>1.4150516173377306E-2</c:v>
                </c:pt>
                <c:pt idx="38">
                  <c:v>1.2230318808222803E-2</c:v>
                </c:pt>
                <c:pt idx="39">
                  <c:v>1.0687770337433641E-2</c:v>
                </c:pt>
                <c:pt idx="40">
                  <c:v>1.1624346312669884E-2</c:v>
                </c:pt>
                <c:pt idx="41">
                  <c:v>1.0954249411977542E-2</c:v>
                </c:pt>
                <c:pt idx="42">
                  <c:v>9.7551490918596356E-3</c:v>
                </c:pt>
                <c:pt idx="43">
                  <c:v>1.1920701622969742E-2</c:v>
                </c:pt>
                <c:pt idx="44">
                  <c:v>1.1826553676698536E-2</c:v>
                </c:pt>
                <c:pt idx="45">
                  <c:v>1.1655685422791778E-2</c:v>
                </c:pt>
                <c:pt idx="46">
                  <c:v>1.0126437532838307E-2</c:v>
                </c:pt>
                <c:pt idx="47">
                  <c:v>8.0487773272279045E-3</c:v>
                </c:pt>
                <c:pt idx="48">
                  <c:v>8.7923724924463161E-3</c:v>
                </c:pt>
                <c:pt idx="49">
                  <c:v>8.4018372468740946E-3</c:v>
                </c:pt>
                <c:pt idx="50">
                  <c:v>8.4630619281956393E-3</c:v>
                </c:pt>
                <c:pt idx="51">
                  <c:v>1.0030872499844216E-2</c:v>
                </c:pt>
                <c:pt idx="52">
                  <c:v>7.836886929148669E-3</c:v>
                </c:pt>
                <c:pt idx="53">
                  <c:v>6.5900362821426171E-3</c:v>
                </c:pt>
                <c:pt idx="54">
                  <c:v>6.0303792902788953E-3</c:v>
                </c:pt>
                <c:pt idx="55">
                  <c:v>4.0413244894719116E-3</c:v>
                </c:pt>
                <c:pt idx="56">
                  <c:v>3.0547141402420559E-3</c:v>
                </c:pt>
                <c:pt idx="57">
                  <c:v>3.8541908989663705E-3</c:v>
                </c:pt>
                <c:pt idx="58">
                  <c:v>4.7360857861939495E-3</c:v>
                </c:pt>
                <c:pt idx="59">
                  <c:v>6.4367616910246386E-3</c:v>
                </c:pt>
                <c:pt idx="60">
                  <c:v>3.3354266098987728E-3</c:v>
                </c:pt>
                <c:pt idx="61">
                  <c:v>6.7860189932100919E-3</c:v>
                </c:pt>
                <c:pt idx="62">
                  <c:v>3.9241405463350696E-3</c:v>
                </c:pt>
                <c:pt idx="63">
                  <c:v>4.2935367307835419E-3</c:v>
                </c:pt>
                <c:pt idx="64">
                  <c:v>5.8647732337337426E-3</c:v>
                </c:pt>
                <c:pt idx="65">
                  <c:v>7.1706114431146547E-3</c:v>
                </c:pt>
                <c:pt idx="66">
                  <c:v>7.240111028083732E-3</c:v>
                </c:pt>
                <c:pt idx="67">
                  <c:v>8.2727573372878872E-3</c:v>
                </c:pt>
                <c:pt idx="68">
                  <c:v>8.6881603829459027E-3</c:v>
                </c:pt>
                <c:pt idx="69">
                  <c:v>9.1816077495237985E-3</c:v>
                </c:pt>
                <c:pt idx="70">
                  <c:v>6.2605929619901704E-3</c:v>
                </c:pt>
                <c:pt idx="71">
                  <c:v>5.3636222286543821E-3</c:v>
                </c:pt>
                <c:pt idx="72">
                  <c:v>7.6209710002497454E-3</c:v>
                </c:pt>
                <c:pt idx="73">
                  <c:v>3.0715959616165176E-3</c:v>
                </c:pt>
                <c:pt idx="74">
                  <c:v>6.560191056784433E-3</c:v>
                </c:pt>
                <c:pt idx="75">
                  <c:v>3.5057445556788132E-3</c:v>
                </c:pt>
                <c:pt idx="76">
                  <c:v>5.9188354053427679E-3</c:v>
                </c:pt>
                <c:pt idx="77">
                  <c:v>3.5741062987134625E-3</c:v>
                </c:pt>
                <c:pt idx="78">
                  <c:v>6.0097375485531962E-3</c:v>
                </c:pt>
                <c:pt idx="79">
                  <c:v>4.7279165409593801E-3</c:v>
                </c:pt>
                <c:pt idx="80">
                  <c:v>4.9924236382486459E-3</c:v>
                </c:pt>
                <c:pt idx="81">
                  <c:v>2.1538262294592088E-3</c:v>
                </c:pt>
                <c:pt idx="82">
                  <c:v>4.6214390907948211E-3</c:v>
                </c:pt>
                <c:pt idx="83">
                  <c:v>7.033014302613088E-3</c:v>
                </c:pt>
                <c:pt idx="84">
                  <c:v>5.2966716063603172E-3</c:v>
                </c:pt>
                <c:pt idx="85">
                  <c:v>7.7296575038224603E-3</c:v>
                </c:pt>
                <c:pt idx="86">
                  <c:v>7.3777013718130885E-3</c:v>
                </c:pt>
                <c:pt idx="87">
                  <c:v>1.2380260987668481E-2</c:v>
                </c:pt>
                <c:pt idx="88">
                  <c:v>7.4159402427414079E-3</c:v>
                </c:pt>
                <c:pt idx="89">
                  <c:v>8.7054790500471942E-3</c:v>
                </c:pt>
                <c:pt idx="90">
                  <c:v>8.6512165092231391E-3</c:v>
                </c:pt>
                <c:pt idx="91">
                  <c:v>9.0636470313988533E-3</c:v>
                </c:pt>
                <c:pt idx="92">
                  <c:v>7.6825561833418305E-3</c:v>
                </c:pt>
                <c:pt idx="93">
                  <c:v>4.1433182531659821E-3</c:v>
                </c:pt>
                <c:pt idx="94">
                  <c:v>2.8680716928202602E-3</c:v>
                </c:pt>
                <c:pt idx="95">
                  <c:v>4.1026231954169497E-3</c:v>
                </c:pt>
                <c:pt idx="96">
                  <c:v>3.9388914805557097E-3</c:v>
                </c:pt>
                <c:pt idx="97">
                  <c:v>4.09590965355143E-3</c:v>
                </c:pt>
                <c:pt idx="98">
                  <c:v>5.8985765918080496E-3</c:v>
                </c:pt>
                <c:pt idx="99">
                  <c:v>3.1421729849954111E-3</c:v>
                </c:pt>
                <c:pt idx="100">
                  <c:v>6.6464439401929176E-3</c:v>
                </c:pt>
                <c:pt idx="101">
                  <c:v>7.1806150022682676E-3</c:v>
                </c:pt>
                <c:pt idx="102">
                  <c:v>5.4973814277283865E-3</c:v>
                </c:pt>
                <c:pt idx="103">
                  <c:v>7.5628541111149973E-3</c:v>
                </c:pt>
                <c:pt idx="104">
                  <c:v>6.5244376019443799E-3</c:v>
                </c:pt>
                <c:pt idx="105">
                  <c:v>7.8039846553643599E-3</c:v>
                </c:pt>
                <c:pt idx="106">
                  <c:v>8.3499835982463952E-3</c:v>
                </c:pt>
                <c:pt idx="107">
                  <c:v>5.0672584074246624E-3</c:v>
                </c:pt>
                <c:pt idx="108">
                  <c:v>5.8167933032074754E-3</c:v>
                </c:pt>
                <c:pt idx="109">
                  <c:v>4.4343879762984827E-3</c:v>
                </c:pt>
                <c:pt idx="110">
                  <c:v>4.3211439504476697E-3</c:v>
                </c:pt>
                <c:pt idx="111">
                  <c:v>7.5578523798348635E-3</c:v>
                </c:pt>
                <c:pt idx="112">
                  <c:v>4.226776516425907E-3</c:v>
                </c:pt>
                <c:pt idx="113">
                  <c:v>5.1926001286645741E-3</c:v>
                </c:pt>
                <c:pt idx="114">
                  <c:v>5.4194692650948607E-3</c:v>
                </c:pt>
                <c:pt idx="115">
                  <c:v>5.3201308075989922E-3</c:v>
                </c:pt>
                <c:pt idx="116">
                  <c:v>5.5550067921693747E-3</c:v>
                </c:pt>
                <c:pt idx="117">
                  <c:v>6.7052518251330823E-3</c:v>
                </c:pt>
                <c:pt idx="118">
                  <c:v>6.6956496022240828E-3</c:v>
                </c:pt>
                <c:pt idx="119">
                  <c:v>7.4670866451755913E-3</c:v>
                </c:pt>
                <c:pt idx="120">
                  <c:v>7.7611087579664232E-3</c:v>
                </c:pt>
                <c:pt idx="121">
                  <c:v>7.2486823040152012E-3</c:v>
                </c:pt>
                <c:pt idx="122">
                  <c:v>5.7210404210340949E-3</c:v>
                </c:pt>
                <c:pt idx="123">
                  <c:v>5.3425175517587669E-3</c:v>
                </c:pt>
                <c:pt idx="124">
                  <c:v>6.9225073796449514E-3</c:v>
                </c:pt>
                <c:pt idx="125">
                  <c:v>6.4243437330745497E-3</c:v>
                </c:pt>
                <c:pt idx="126">
                  <c:v>3.5358686677352405E-3</c:v>
                </c:pt>
                <c:pt idx="127">
                  <c:v>2.7358630966760893E-3</c:v>
                </c:pt>
                <c:pt idx="128">
                  <c:v>1.0387276170245577E-3</c:v>
                </c:pt>
                <c:pt idx="129">
                  <c:v>3.2746766793451372E-3</c:v>
                </c:pt>
                <c:pt idx="130">
                  <c:v>4.4272225714906991E-3</c:v>
                </c:pt>
                <c:pt idx="131">
                  <c:v>4.7210044640457844E-3</c:v>
                </c:pt>
                <c:pt idx="132">
                  <c:v>9.1616498984917697E-3</c:v>
                </c:pt>
                <c:pt idx="133">
                  <c:v>1.0408007995478124E-2</c:v>
                </c:pt>
                <c:pt idx="134">
                  <c:v>9.3803616174758693E-3</c:v>
                </c:pt>
                <c:pt idx="135">
                  <c:v>4.4203608022566022E-3</c:v>
                </c:pt>
                <c:pt idx="136">
                  <c:v>3.4903269052983781E-3</c:v>
                </c:pt>
                <c:pt idx="137">
                  <c:v>3.1060078845559554E-3</c:v>
                </c:pt>
                <c:pt idx="138">
                  <c:v>6.2705088617642582E-3</c:v>
                </c:pt>
                <c:pt idx="139">
                  <c:v>4.8342095498769815E-3</c:v>
                </c:pt>
                <c:pt idx="140">
                  <c:v>9.9247120959068524E-3</c:v>
                </c:pt>
                <c:pt idx="141">
                  <c:v>1.0189750921522207E-2</c:v>
                </c:pt>
                <c:pt idx="142">
                  <c:v>1.1872832584091076E-2</c:v>
                </c:pt>
                <c:pt idx="143">
                  <c:v>1.2653365657178532E-2</c:v>
                </c:pt>
                <c:pt idx="144">
                  <c:v>1.3420608615302327E-2</c:v>
                </c:pt>
                <c:pt idx="145">
                  <c:v>1.4115082833198293E-2</c:v>
                </c:pt>
                <c:pt idx="146">
                  <c:v>1.6185048181175211E-2</c:v>
                </c:pt>
                <c:pt idx="147">
                  <c:v>1.9658350624909549E-2</c:v>
                </c:pt>
                <c:pt idx="148">
                  <c:v>2.5425178863682708E-2</c:v>
                </c:pt>
                <c:pt idx="149">
                  <c:v>2.9963294891389929E-2</c:v>
                </c:pt>
                <c:pt idx="150">
                  <c:v>3.2472142274483196E-2</c:v>
                </c:pt>
                <c:pt idx="151">
                  <c:v>3.4813225515311887E-2</c:v>
                </c:pt>
                <c:pt idx="152">
                  <c:v>3.8833475714406727E-2</c:v>
                </c:pt>
                <c:pt idx="153">
                  <c:v>4.0634775149301985E-2</c:v>
                </c:pt>
                <c:pt idx="154">
                  <c:v>4.1408408093028065E-2</c:v>
                </c:pt>
                <c:pt idx="155">
                  <c:v>4.4694652640069971E-2</c:v>
                </c:pt>
              </c:numCache>
            </c:numRef>
          </c:val>
          <c:smooth val="0"/>
          <c:extLst>
            <c:ext xmlns:c16="http://schemas.microsoft.com/office/drawing/2014/chart" uri="{C3380CC4-5D6E-409C-BE32-E72D297353CC}">
              <c16:uniqueId val="{00000000-D609-403F-93BF-93283BD29222}"/>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411841</xdr:colOff>
      <xdr:row>798</xdr:row>
      <xdr:rowOff>132443</xdr:rowOff>
    </xdr:from>
    <xdr:to>
      <xdr:col>25</xdr:col>
      <xdr:colOff>142875</xdr:colOff>
      <xdr:row>831</xdr:row>
      <xdr:rowOff>31750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66674</xdr:rowOff>
    </xdr:from>
    <xdr:to>
      <xdr:col>25</xdr:col>
      <xdr:colOff>190500</xdr:colOff>
      <xdr:row>865</xdr:row>
      <xdr:rowOff>111125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62" totalsRowShown="0" headerRowDxfId="11" dataDxfId="9" headerRowBorderDxfId="10">
  <autoFilter ref="A2:I862" xr:uid="{00000000-0009-0000-0100-000001000000}"/>
  <tableColumns count="9">
    <tableColumn id="1" xr3:uid="{00000000-0010-0000-0000-000001000000}" name="Date" dataDxfId="8">
      <calculatedColumnFormula>IF(Data!A30="",#N/A,Data!A30)</calculatedColumnFormula>
    </tableColumn>
    <tableColumn id="2" xr3:uid="{00000000-0010-0000-0000-000002000000}" name="JPN"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tabSelected="1" zoomScale="120" zoomScaleNormal="120" workbookViewId="0">
      <selection activeCell="G41" sqref="G41"/>
    </sheetView>
  </sheetViews>
  <sheetFormatPr defaultColWidth="9.1796875" defaultRowHeight="14.5" x14ac:dyDescent="0.35"/>
  <cols>
    <col min="1" max="1" width="9.1796875" style="72" customWidth="1"/>
    <col min="2" max="10" width="12.81640625" style="72" customWidth="1"/>
    <col min="11" max="14" width="9.1796875" style="72" customWidth="1"/>
    <col min="15" max="16" width="19.1796875" style="72" customWidth="1"/>
    <col min="17" max="40" width="9.1796875" style="72" customWidth="1"/>
    <col min="41" max="16384" width="9.1796875" style="72"/>
  </cols>
  <sheetData>
    <row r="1" spans="2:16" x14ac:dyDescent="0.35">
      <c r="B1" s="78"/>
      <c r="C1" s="77"/>
      <c r="D1" s="77"/>
      <c r="E1" s="77"/>
      <c r="F1" s="77"/>
      <c r="G1" s="77"/>
      <c r="H1" s="77"/>
      <c r="I1" s="77"/>
      <c r="J1" s="77"/>
    </row>
    <row r="2" spans="2:16" ht="16" customHeight="1" thickBot="1" x14ac:dyDescent="0.4">
      <c r="B2" s="79"/>
      <c r="C2" s="79"/>
      <c r="D2" s="79"/>
      <c r="E2" s="79"/>
      <c r="F2" s="79"/>
      <c r="G2" s="79"/>
      <c r="H2" s="79"/>
      <c r="I2" s="79"/>
      <c r="J2" s="79"/>
    </row>
    <row r="3" spans="2:16" ht="16" customHeight="1" thickBot="1" x14ac:dyDescent="0.4">
      <c r="B3" s="80" t="s">
        <v>0</v>
      </c>
      <c r="C3" s="81"/>
      <c r="D3" s="81"/>
      <c r="E3" s="81"/>
      <c r="F3" s="81"/>
      <c r="G3" s="81"/>
      <c r="H3" s="81"/>
      <c r="I3" s="81"/>
      <c r="J3" s="82"/>
    </row>
    <row r="5" spans="2:16" x14ac:dyDescent="0.35">
      <c r="B5" s="83" t="s">
        <v>1</v>
      </c>
      <c r="C5" s="84"/>
      <c r="D5" s="84"/>
      <c r="E5" s="84"/>
      <c r="F5" s="84"/>
      <c r="G5" s="84"/>
      <c r="H5" s="84"/>
      <c r="I5" s="84"/>
      <c r="J5" s="85"/>
    </row>
    <row r="7" spans="2:16" ht="139.5" customHeight="1" x14ac:dyDescent="0.35">
      <c r="B7" s="86" t="s">
        <v>2</v>
      </c>
      <c r="C7" s="77"/>
      <c r="D7" s="77"/>
      <c r="E7" s="77"/>
      <c r="F7" s="77"/>
      <c r="G7" s="77"/>
      <c r="H7" s="77"/>
      <c r="I7" s="77"/>
      <c r="J7" s="77"/>
    </row>
    <row r="8" spans="2:16" ht="33.75" customHeight="1" x14ac:dyDescent="0.35">
      <c r="B8" s="87" t="s">
        <v>3</v>
      </c>
      <c r="C8" s="77"/>
      <c r="D8" s="77"/>
      <c r="E8" s="77"/>
      <c r="F8" s="77"/>
      <c r="G8" s="77"/>
      <c r="H8" s="77"/>
      <c r="I8" s="77"/>
      <c r="J8" s="77"/>
    </row>
    <row r="9" spans="2:16" x14ac:dyDescent="0.35">
      <c r="B9" s="66"/>
      <c r="C9" s="66"/>
      <c r="D9" s="66"/>
      <c r="E9" s="66"/>
    </row>
    <row r="10" spans="2:16" x14ac:dyDescent="0.35">
      <c r="B10" s="83" t="s">
        <v>4</v>
      </c>
      <c r="C10" s="84"/>
      <c r="D10" s="84"/>
      <c r="E10" s="84"/>
      <c r="F10" s="84"/>
      <c r="G10" s="84"/>
      <c r="H10" s="84"/>
      <c r="I10" s="84"/>
      <c r="J10" s="85"/>
    </row>
    <row r="12" spans="2:16" x14ac:dyDescent="0.35">
      <c r="B12" s="83" t="s">
        <v>5</v>
      </c>
      <c r="C12" s="84"/>
      <c r="D12" s="84"/>
      <c r="E12" s="84"/>
      <c r="F12" s="85"/>
      <c r="G12" s="83" t="s">
        <v>6</v>
      </c>
      <c r="H12" s="84"/>
      <c r="I12" s="84"/>
      <c r="J12" s="85"/>
      <c r="O12" s="73" t="s">
        <v>7</v>
      </c>
      <c r="P12" s="73" t="s">
        <v>8</v>
      </c>
    </row>
    <row r="13" spans="2:16" x14ac:dyDescent="0.35">
      <c r="O13" s="69" t="s">
        <v>9</v>
      </c>
      <c r="P13" s="69" t="s">
        <v>10</v>
      </c>
    </row>
    <row r="14" spans="2:16" x14ac:dyDescent="0.35">
      <c r="B14" s="74" t="s">
        <v>3</v>
      </c>
      <c r="G14" s="77" t="s">
        <v>11</v>
      </c>
      <c r="H14" s="77"/>
      <c r="I14" s="77"/>
      <c r="J14" s="77"/>
      <c r="O14" s="69" t="s">
        <v>12</v>
      </c>
      <c r="P14" s="69" t="s">
        <v>13</v>
      </c>
    </row>
    <row r="15" spans="2:16" x14ac:dyDescent="0.35">
      <c r="B15" s="72" t="s">
        <v>14</v>
      </c>
      <c r="G15" s="77" t="s">
        <v>15</v>
      </c>
      <c r="H15" s="77"/>
      <c r="I15" s="77"/>
      <c r="J15" s="77"/>
      <c r="O15" s="69" t="s">
        <v>16</v>
      </c>
      <c r="P15" s="69" t="s">
        <v>17</v>
      </c>
    </row>
    <row r="16" spans="2:16" ht="15.75" customHeight="1" x14ac:dyDescent="0.35">
      <c r="B16" s="72" t="s">
        <v>18</v>
      </c>
      <c r="G16" s="76" t="s">
        <v>19</v>
      </c>
      <c r="H16" s="77"/>
      <c r="I16" s="77"/>
      <c r="J16" s="77"/>
      <c r="O16" s="69" t="s">
        <v>20</v>
      </c>
      <c r="P16" s="69" t="s">
        <v>21</v>
      </c>
    </row>
    <row r="17" spans="2:16" ht="15.75" customHeight="1" x14ac:dyDescent="0.35">
      <c r="B17" s="72" t="s">
        <v>22</v>
      </c>
      <c r="G17" s="76"/>
      <c r="H17" s="77"/>
      <c r="I17" s="77"/>
      <c r="J17" s="77"/>
      <c r="O17" s="69" t="s">
        <v>23</v>
      </c>
      <c r="P17" s="69" t="s">
        <v>24</v>
      </c>
    </row>
    <row r="18" spans="2:16" ht="15.75" customHeight="1" x14ac:dyDescent="0.35">
      <c r="B18" s="72" t="s">
        <v>25</v>
      </c>
      <c r="G18" s="89"/>
      <c r="H18" s="77"/>
      <c r="I18" s="77"/>
      <c r="J18" s="77"/>
      <c r="O18" s="69" t="s">
        <v>26</v>
      </c>
      <c r="P18" s="69" t="s">
        <v>27</v>
      </c>
    </row>
    <row r="19" spans="2:16" ht="15.75" customHeight="1" x14ac:dyDescent="0.35">
      <c r="B19" s="72" t="s">
        <v>28</v>
      </c>
      <c r="G19" s="76"/>
      <c r="H19" s="77"/>
      <c r="I19" s="77"/>
      <c r="J19" s="77"/>
      <c r="O19" s="69" t="s">
        <v>29</v>
      </c>
      <c r="P19" s="69" t="s">
        <v>30</v>
      </c>
    </row>
    <row r="20" spans="2:16" ht="15.75" customHeight="1" x14ac:dyDescent="0.35">
      <c r="G20" s="76"/>
      <c r="H20" s="77"/>
      <c r="I20" s="77"/>
      <c r="J20" s="77"/>
      <c r="O20" s="69" t="s">
        <v>31</v>
      </c>
      <c r="P20" s="69" t="s">
        <v>32</v>
      </c>
    </row>
    <row r="21" spans="2:16" ht="15.75" customHeight="1" x14ac:dyDescent="0.35">
      <c r="B21" s="74" t="s">
        <v>3</v>
      </c>
      <c r="G21" s="76" t="s">
        <v>33</v>
      </c>
      <c r="H21" s="77"/>
      <c r="I21" s="77"/>
      <c r="J21" s="77"/>
      <c r="O21" s="69" t="s">
        <v>34</v>
      </c>
      <c r="P21" s="69" t="s">
        <v>35</v>
      </c>
    </row>
    <row r="22" spans="2:16" ht="15.75" customHeight="1" x14ac:dyDescent="0.35">
      <c r="B22" s="72" t="s">
        <v>36</v>
      </c>
      <c r="G22" s="76" t="s">
        <v>37</v>
      </c>
      <c r="H22" s="77"/>
      <c r="I22" s="77"/>
      <c r="J22" s="77"/>
      <c r="O22" s="69" t="s">
        <v>38</v>
      </c>
      <c r="P22" s="69" t="s">
        <v>39</v>
      </c>
    </row>
    <row r="23" spans="2:16" ht="15.75" customHeight="1" x14ac:dyDescent="0.35">
      <c r="B23" s="72" t="s">
        <v>18</v>
      </c>
      <c r="G23" s="76" t="s">
        <v>19</v>
      </c>
      <c r="H23" s="77"/>
      <c r="I23" s="77"/>
      <c r="J23" s="77"/>
      <c r="O23" s="69" t="s">
        <v>40</v>
      </c>
      <c r="P23" s="69" t="s">
        <v>41</v>
      </c>
    </row>
    <row r="24" spans="2:16" ht="15.75" customHeight="1" x14ac:dyDescent="0.35">
      <c r="B24" s="72" t="s">
        <v>22</v>
      </c>
      <c r="G24" s="76"/>
      <c r="H24" s="77"/>
      <c r="I24" s="77"/>
      <c r="J24" s="77"/>
      <c r="O24" s="69" t="s">
        <v>42</v>
      </c>
      <c r="P24" s="69" t="s">
        <v>43</v>
      </c>
    </row>
    <row r="25" spans="2:16" ht="15.75" customHeight="1" x14ac:dyDescent="0.35">
      <c r="B25" s="72" t="s">
        <v>25</v>
      </c>
      <c r="G25" s="76"/>
      <c r="H25" s="77"/>
      <c r="I25" s="77"/>
      <c r="J25" s="77"/>
      <c r="O25" s="69" t="s">
        <v>44</v>
      </c>
      <c r="P25" s="69" t="s">
        <v>45</v>
      </c>
    </row>
    <row r="26" spans="2:16" ht="15.75" customHeight="1" x14ac:dyDescent="0.35">
      <c r="B26" s="72" t="s">
        <v>46</v>
      </c>
      <c r="G26" s="76"/>
      <c r="H26" s="77"/>
      <c r="I26" s="77"/>
      <c r="J26" s="77"/>
      <c r="O26" s="69" t="s">
        <v>47</v>
      </c>
      <c r="P26" s="69" t="s">
        <v>48</v>
      </c>
    </row>
    <row r="27" spans="2:16" ht="15.75" customHeight="1" x14ac:dyDescent="0.35">
      <c r="B27" s="77"/>
      <c r="C27" s="77"/>
      <c r="D27" s="77"/>
      <c r="E27" s="77"/>
      <c r="F27" s="77"/>
      <c r="G27" s="76"/>
      <c r="H27" s="77"/>
      <c r="I27" s="77"/>
      <c r="J27" s="77"/>
      <c r="O27" s="69" t="s">
        <v>49</v>
      </c>
      <c r="P27" s="69" t="s">
        <v>50</v>
      </c>
    </row>
    <row r="28" spans="2:16" x14ac:dyDescent="0.35">
      <c r="O28" s="69" t="s">
        <v>51</v>
      </c>
      <c r="P28" s="69" t="s">
        <v>52</v>
      </c>
    </row>
    <row r="29" spans="2:16" x14ac:dyDescent="0.35">
      <c r="O29" s="69" t="s">
        <v>53</v>
      </c>
      <c r="P29" s="69" t="s">
        <v>54</v>
      </c>
    </row>
    <row r="30" spans="2:16" x14ac:dyDescent="0.35">
      <c r="B30" s="67"/>
      <c r="O30" s="69" t="s">
        <v>55</v>
      </c>
      <c r="P30" s="69" t="s">
        <v>56</v>
      </c>
    </row>
    <row r="31" spans="2:16" ht="33.75" customHeight="1" x14ac:dyDescent="0.35">
      <c r="B31" s="88"/>
      <c r="C31" s="77"/>
      <c r="D31" s="77"/>
      <c r="E31" s="77"/>
      <c r="F31" s="77"/>
      <c r="G31" s="77"/>
      <c r="H31" s="77"/>
      <c r="I31" s="77"/>
      <c r="J31" s="77"/>
      <c r="O31" s="69" t="s">
        <v>57</v>
      </c>
      <c r="P31" s="69" t="s">
        <v>58</v>
      </c>
    </row>
    <row r="32" spans="2:16" x14ac:dyDescent="0.35">
      <c r="B32" s="68"/>
      <c r="O32" s="69" t="s">
        <v>59</v>
      </c>
      <c r="P32" s="69" t="s">
        <v>60</v>
      </c>
    </row>
    <row r="33" spans="15:16" x14ac:dyDescent="0.35">
      <c r="O33" s="69" t="s">
        <v>61</v>
      </c>
      <c r="P33" s="69" t="s">
        <v>62</v>
      </c>
    </row>
    <row r="34" spans="15:16" x14ac:dyDescent="0.35">
      <c r="O34" s="69" t="s">
        <v>63</v>
      </c>
      <c r="P34" s="69" t="s">
        <v>64</v>
      </c>
    </row>
    <row r="35" spans="15:16" x14ac:dyDescent="0.35">
      <c r="O35" s="69" t="s">
        <v>65</v>
      </c>
      <c r="P35" s="69" t="s">
        <v>66</v>
      </c>
    </row>
    <row r="36" spans="15:16" x14ac:dyDescent="0.35">
      <c r="O36" s="69" t="s">
        <v>67</v>
      </c>
      <c r="P36" s="69" t="s">
        <v>68</v>
      </c>
    </row>
    <row r="37" spans="15:16" x14ac:dyDescent="0.35">
      <c r="O37" s="69" t="s">
        <v>69</v>
      </c>
      <c r="P37" s="69" t="s">
        <v>70</v>
      </c>
    </row>
    <row r="38" spans="15:16" x14ac:dyDescent="0.35">
      <c r="O38" s="69" t="s">
        <v>71</v>
      </c>
      <c r="P38" s="69" t="s">
        <v>72</v>
      </c>
    </row>
    <row r="39" spans="15:16" x14ac:dyDescent="0.35">
      <c r="O39" s="69" t="s">
        <v>73</v>
      </c>
      <c r="P39" s="69" t="s">
        <v>74</v>
      </c>
    </row>
    <row r="40" spans="15:16" x14ac:dyDescent="0.35">
      <c r="O40" s="69" t="s">
        <v>75</v>
      </c>
      <c r="P40" s="69" t="s">
        <v>76</v>
      </c>
    </row>
    <row r="41" spans="15:16" x14ac:dyDescent="0.35">
      <c r="O41" s="69" t="s">
        <v>77</v>
      </c>
      <c r="P41" s="69" t="s">
        <v>78</v>
      </c>
    </row>
    <row r="42" spans="15:16" x14ac:dyDescent="0.35">
      <c r="O42" s="69" t="s">
        <v>79</v>
      </c>
      <c r="P42" s="69" t="s">
        <v>80</v>
      </c>
    </row>
    <row r="43" spans="15:16" x14ac:dyDescent="0.35">
      <c r="O43" s="69" t="s">
        <v>81</v>
      </c>
      <c r="P43" s="69" t="s">
        <v>82</v>
      </c>
    </row>
    <row r="44" spans="15:16" x14ac:dyDescent="0.35">
      <c r="O44" s="69" t="s">
        <v>83</v>
      </c>
      <c r="P44" s="69" t="s">
        <v>84</v>
      </c>
    </row>
    <row r="45" spans="15:16" x14ac:dyDescent="0.35">
      <c r="O45" s="69" t="s">
        <v>85</v>
      </c>
      <c r="P45" s="69" t="s">
        <v>86</v>
      </c>
    </row>
    <row r="46" spans="15:16" x14ac:dyDescent="0.35">
      <c r="O46" s="69" t="s">
        <v>87</v>
      </c>
      <c r="P46" s="69" t="s">
        <v>88</v>
      </c>
    </row>
    <row r="47" spans="15:16" x14ac:dyDescent="0.35">
      <c r="O47" s="69" t="s">
        <v>89</v>
      </c>
      <c r="P47" s="69" t="s">
        <v>90</v>
      </c>
    </row>
    <row r="48" spans="15:16" x14ac:dyDescent="0.35">
      <c r="O48" s="69" t="s">
        <v>91</v>
      </c>
      <c r="P48" s="69" t="s">
        <v>92</v>
      </c>
    </row>
    <row r="49" spans="15:16" x14ac:dyDescent="0.35">
      <c r="O49" s="69" t="s">
        <v>93</v>
      </c>
      <c r="P49" s="69" t="s">
        <v>94</v>
      </c>
    </row>
    <row r="50" spans="15:16" x14ac:dyDescent="0.35">
      <c r="O50" s="69" t="s">
        <v>95</v>
      </c>
      <c r="P50" s="69" t="s">
        <v>96</v>
      </c>
    </row>
    <row r="51" spans="15:16" x14ac:dyDescent="0.35">
      <c r="O51" s="69" t="s">
        <v>97</v>
      </c>
      <c r="P51" s="69" t="s">
        <v>98</v>
      </c>
    </row>
    <row r="52" spans="15:16" x14ac:dyDescent="0.35">
      <c r="O52" s="69" t="s">
        <v>99</v>
      </c>
      <c r="P52" s="69" t="s">
        <v>100</v>
      </c>
    </row>
    <row r="53" spans="15:16" x14ac:dyDescent="0.35">
      <c r="O53" s="69" t="s">
        <v>101</v>
      </c>
      <c r="P53" s="69" t="s">
        <v>102</v>
      </c>
    </row>
    <row r="54" spans="15:16" x14ac:dyDescent="0.35">
      <c r="O54" s="69" t="s">
        <v>103</v>
      </c>
      <c r="P54" s="69" t="s">
        <v>104</v>
      </c>
    </row>
    <row r="55" spans="15:16" x14ac:dyDescent="0.35">
      <c r="O55" s="69" t="s">
        <v>105</v>
      </c>
      <c r="P55" s="69" t="s">
        <v>106</v>
      </c>
    </row>
    <row r="56" spans="15:16" x14ac:dyDescent="0.35">
      <c r="O56" s="69" t="s">
        <v>107</v>
      </c>
      <c r="P56" s="69" t="s">
        <v>108</v>
      </c>
    </row>
    <row r="57" spans="15:16" x14ac:dyDescent="0.35">
      <c r="O57" s="69" t="s">
        <v>109</v>
      </c>
      <c r="P57" s="69" t="s">
        <v>110</v>
      </c>
    </row>
    <row r="58" spans="15:16" x14ac:dyDescent="0.35">
      <c r="O58" s="69" t="s">
        <v>111</v>
      </c>
      <c r="P58" s="69" t="s">
        <v>112</v>
      </c>
    </row>
    <row r="59" spans="15:16" x14ac:dyDescent="0.35">
      <c r="O59" s="69" t="s">
        <v>113</v>
      </c>
      <c r="P59" s="69" t="s">
        <v>114</v>
      </c>
    </row>
    <row r="60" spans="15:16" x14ac:dyDescent="0.35">
      <c r="O60" s="69" t="s">
        <v>115</v>
      </c>
      <c r="P60" s="69" t="s">
        <v>116</v>
      </c>
    </row>
    <row r="61" spans="15:16" x14ac:dyDescent="0.35">
      <c r="O61" s="69" t="s">
        <v>117</v>
      </c>
      <c r="P61" s="69" t="s">
        <v>118</v>
      </c>
    </row>
    <row r="62" spans="15:16" x14ac:dyDescent="0.35">
      <c r="O62" s="69" t="s">
        <v>119</v>
      </c>
      <c r="P62" s="69" t="s">
        <v>120</v>
      </c>
    </row>
    <row r="63" spans="15:16" x14ac:dyDescent="0.35">
      <c r="O63" s="69" t="s">
        <v>121</v>
      </c>
      <c r="P63" s="69" t="s">
        <v>122</v>
      </c>
    </row>
    <row r="64" spans="15:16" x14ac:dyDescent="0.35">
      <c r="O64" s="69" t="s">
        <v>123</v>
      </c>
      <c r="P64" s="69" t="s">
        <v>124</v>
      </c>
    </row>
    <row r="65" spans="15:16" x14ac:dyDescent="0.35">
      <c r="O65" s="69" t="s">
        <v>125</v>
      </c>
      <c r="P65" s="69" t="s">
        <v>126</v>
      </c>
    </row>
    <row r="66" spans="15:16" x14ac:dyDescent="0.35">
      <c r="O66" s="69" t="s">
        <v>127</v>
      </c>
      <c r="P66" s="69" t="s">
        <v>128</v>
      </c>
    </row>
    <row r="67" spans="15:16" x14ac:dyDescent="0.35">
      <c r="O67" s="69" t="s">
        <v>129</v>
      </c>
      <c r="P67" s="69" t="s">
        <v>130</v>
      </c>
    </row>
    <row r="68" spans="15:16" x14ac:dyDescent="0.35">
      <c r="O68" s="69" t="s">
        <v>131</v>
      </c>
      <c r="P68" s="69" t="s">
        <v>132</v>
      </c>
    </row>
    <row r="69" spans="15:16" x14ac:dyDescent="0.35">
      <c r="O69" s="69" t="s">
        <v>133</v>
      </c>
      <c r="P69" s="69" t="s">
        <v>134</v>
      </c>
    </row>
    <row r="70" spans="15:16" x14ac:dyDescent="0.35">
      <c r="O70" s="69" t="s">
        <v>135</v>
      </c>
      <c r="P70" s="69" t="s">
        <v>136</v>
      </c>
    </row>
    <row r="71" spans="15:16" x14ac:dyDescent="0.35">
      <c r="O71" s="69" t="s">
        <v>137</v>
      </c>
      <c r="P71" s="69" t="s">
        <v>138</v>
      </c>
    </row>
    <row r="72" spans="15:16" x14ac:dyDescent="0.35">
      <c r="O72" s="69" t="s">
        <v>139</v>
      </c>
      <c r="P72" s="69" t="s">
        <v>140</v>
      </c>
    </row>
    <row r="73" spans="15:16" x14ac:dyDescent="0.35">
      <c r="O73" s="69" t="s">
        <v>141</v>
      </c>
      <c r="P73" s="69" t="s">
        <v>142</v>
      </c>
    </row>
    <row r="74" spans="15:16" x14ac:dyDescent="0.35">
      <c r="O74" s="69" t="s">
        <v>143</v>
      </c>
      <c r="P74" s="69" t="s">
        <v>144</v>
      </c>
    </row>
    <row r="75" spans="15:16" x14ac:dyDescent="0.35">
      <c r="O75" s="69" t="s">
        <v>145</v>
      </c>
      <c r="P75" s="69" t="s">
        <v>146</v>
      </c>
    </row>
    <row r="76" spans="15:16" x14ac:dyDescent="0.35">
      <c r="O76" s="69" t="s">
        <v>147</v>
      </c>
      <c r="P76" s="69" t="s">
        <v>148</v>
      </c>
    </row>
    <row r="77" spans="15:16" x14ac:dyDescent="0.35">
      <c r="O77" s="69" t="s">
        <v>149</v>
      </c>
      <c r="P77" s="69" t="s">
        <v>150</v>
      </c>
    </row>
    <row r="78" spans="15:16" x14ac:dyDescent="0.35">
      <c r="O78" s="69" t="s">
        <v>151</v>
      </c>
      <c r="P78" s="69" t="s">
        <v>152</v>
      </c>
    </row>
    <row r="79" spans="15:16" x14ac:dyDescent="0.35">
      <c r="O79" s="69" t="s">
        <v>153</v>
      </c>
      <c r="P79" s="69" t="s">
        <v>154</v>
      </c>
    </row>
    <row r="80" spans="15:16" x14ac:dyDescent="0.35">
      <c r="O80" s="69" t="s">
        <v>155</v>
      </c>
      <c r="P80" s="69" t="s">
        <v>156</v>
      </c>
    </row>
    <row r="81" spans="15:16" x14ac:dyDescent="0.35">
      <c r="O81" s="69" t="s">
        <v>157</v>
      </c>
      <c r="P81" s="69" t="s">
        <v>158</v>
      </c>
    </row>
    <row r="82" spans="15:16" x14ac:dyDescent="0.35">
      <c r="O82" s="69" t="s">
        <v>159</v>
      </c>
      <c r="P82" s="69" t="s">
        <v>160</v>
      </c>
    </row>
    <row r="83" spans="15:16" x14ac:dyDescent="0.35">
      <c r="O83" s="69" t="s">
        <v>161</v>
      </c>
      <c r="P83" s="69" t="s">
        <v>162</v>
      </c>
    </row>
    <row r="84" spans="15:16" x14ac:dyDescent="0.35">
      <c r="O84" s="69" t="s">
        <v>163</v>
      </c>
      <c r="P84" s="69" t="s">
        <v>164</v>
      </c>
    </row>
    <row r="85" spans="15:16" x14ac:dyDescent="0.35">
      <c r="O85" s="69" t="s">
        <v>165</v>
      </c>
      <c r="P85" s="69" t="s">
        <v>166</v>
      </c>
    </row>
    <row r="86" spans="15:16" x14ac:dyDescent="0.35">
      <c r="O86" s="69" t="s">
        <v>167</v>
      </c>
      <c r="P86" s="69" t="s">
        <v>168</v>
      </c>
    </row>
    <row r="87" spans="15:16" x14ac:dyDescent="0.35">
      <c r="O87" s="69" t="s">
        <v>169</v>
      </c>
      <c r="P87" s="69" t="s">
        <v>170</v>
      </c>
    </row>
    <row r="88" spans="15:16" x14ac:dyDescent="0.35">
      <c r="O88" s="69" t="s">
        <v>171</v>
      </c>
      <c r="P88" s="69" t="s">
        <v>172</v>
      </c>
    </row>
    <row r="89" spans="15:16" x14ac:dyDescent="0.35">
      <c r="O89" s="69" t="s">
        <v>173</v>
      </c>
      <c r="P89" s="69" t="s">
        <v>174</v>
      </c>
    </row>
    <row r="90" spans="15:16" x14ac:dyDescent="0.35">
      <c r="O90" s="69" t="s">
        <v>175</v>
      </c>
      <c r="P90" s="69" t="s">
        <v>176</v>
      </c>
    </row>
    <row r="91" spans="15:16" x14ac:dyDescent="0.35">
      <c r="O91" s="69" t="s">
        <v>177</v>
      </c>
      <c r="P91" s="69" t="s">
        <v>178</v>
      </c>
    </row>
    <row r="92" spans="15:16" x14ac:dyDescent="0.35">
      <c r="O92" s="69" t="s">
        <v>179</v>
      </c>
      <c r="P92" s="69" t="s">
        <v>180</v>
      </c>
    </row>
    <row r="93" spans="15:16" x14ac:dyDescent="0.35">
      <c r="O93" s="69" t="s">
        <v>181</v>
      </c>
      <c r="P93" s="69" t="s">
        <v>182</v>
      </c>
    </row>
    <row r="94" spans="15:16" x14ac:dyDescent="0.35">
      <c r="O94" s="69" t="s">
        <v>183</v>
      </c>
      <c r="P94" s="69" t="s">
        <v>184</v>
      </c>
    </row>
    <row r="95" spans="15:16" x14ac:dyDescent="0.35">
      <c r="O95" s="69" t="s">
        <v>185</v>
      </c>
      <c r="P95" s="69" t="s">
        <v>186</v>
      </c>
    </row>
    <row r="96" spans="15:16" x14ac:dyDescent="0.35">
      <c r="O96" s="69" t="s">
        <v>187</v>
      </c>
      <c r="P96" s="69" t="s">
        <v>188</v>
      </c>
    </row>
    <row r="97" spans="15:16" x14ac:dyDescent="0.35">
      <c r="O97" s="69" t="s">
        <v>189</v>
      </c>
      <c r="P97" s="69" t="s">
        <v>190</v>
      </c>
    </row>
    <row r="98" spans="15:16" x14ac:dyDescent="0.35">
      <c r="O98" s="69" t="s">
        <v>191</v>
      </c>
      <c r="P98" s="69" t="s">
        <v>192</v>
      </c>
    </row>
    <row r="99" spans="15:16" x14ac:dyDescent="0.35">
      <c r="O99" s="69" t="s">
        <v>193</v>
      </c>
      <c r="P99" s="69" t="s">
        <v>194</v>
      </c>
    </row>
    <row r="100" spans="15:16" x14ac:dyDescent="0.35">
      <c r="O100" s="69" t="s">
        <v>195</v>
      </c>
      <c r="P100" s="69" t="s">
        <v>196</v>
      </c>
    </row>
    <row r="101" spans="15:16" x14ac:dyDescent="0.35">
      <c r="O101" s="69" t="s">
        <v>197</v>
      </c>
      <c r="P101" s="69" t="s">
        <v>198</v>
      </c>
    </row>
    <row r="102" spans="15:16" x14ac:dyDescent="0.35">
      <c r="O102" s="69" t="s">
        <v>199</v>
      </c>
      <c r="P102" s="69" t="s">
        <v>200</v>
      </c>
    </row>
    <row r="103" spans="15:16" x14ac:dyDescent="0.35">
      <c r="O103" s="69" t="s">
        <v>201</v>
      </c>
      <c r="P103" s="69" t="s">
        <v>202</v>
      </c>
    </row>
    <row r="104" spans="15:16" x14ac:dyDescent="0.35">
      <c r="O104" s="69" t="s">
        <v>203</v>
      </c>
      <c r="P104" s="69" t="s">
        <v>204</v>
      </c>
    </row>
    <row r="105" spans="15:16" x14ac:dyDescent="0.35">
      <c r="O105" s="69" t="s">
        <v>205</v>
      </c>
      <c r="P105" s="69" t="s">
        <v>206</v>
      </c>
    </row>
    <row r="106" spans="15:16" x14ac:dyDescent="0.35">
      <c r="O106" s="69" t="s">
        <v>207</v>
      </c>
      <c r="P106" s="69" t="s">
        <v>208</v>
      </c>
    </row>
    <row r="107" spans="15:16" x14ac:dyDescent="0.35">
      <c r="O107" s="69" t="s">
        <v>209</v>
      </c>
      <c r="P107" s="69" t="s">
        <v>210</v>
      </c>
    </row>
    <row r="108" spans="15:16" x14ac:dyDescent="0.35">
      <c r="O108" s="69" t="s">
        <v>211</v>
      </c>
      <c r="P108" s="69" t="s">
        <v>212</v>
      </c>
    </row>
    <row r="109" spans="15:16" x14ac:dyDescent="0.35">
      <c r="O109" s="69" t="s">
        <v>213</v>
      </c>
      <c r="P109" s="69" t="s">
        <v>214</v>
      </c>
    </row>
    <row r="110" spans="15:16" x14ac:dyDescent="0.35">
      <c r="O110" s="69" t="s">
        <v>215</v>
      </c>
      <c r="P110" s="69" t="s">
        <v>216</v>
      </c>
    </row>
    <row r="111" spans="15:16" x14ac:dyDescent="0.35">
      <c r="O111" s="69" t="s">
        <v>217</v>
      </c>
      <c r="P111" s="69" t="s">
        <v>218</v>
      </c>
    </row>
    <row r="112" spans="15:16" x14ac:dyDescent="0.35">
      <c r="O112" s="69" t="s">
        <v>219</v>
      </c>
      <c r="P112" s="69" t="s">
        <v>220</v>
      </c>
    </row>
    <row r="113" spans="15:16" x14ac:dyDescent="0.35">
      <c r="O113" s="69" t="s">
        <v>221</v>
      </c>
      <c r="P113" s="69" t="s">
        <v>222</v>
      </c>
    </row>
    <row r="114" spans="15:16" x14ac:dyDescent="0.35">
      <c r="O114" s="69" t="s">
        <v>223</v>
      </c>
      <c r="P114" s="69" t="s">
        <v>224</v>
      </c>
    </row>
    <row r="115" spans="15:16" x14ac:dyDescent="0.35">
      <c r="O115" s="69" t="s">
        <v>225</v>
      </c>
      <c r="P115" s="69" t="s">
        <v>226</v>
      </c>
    </row>
    <row r="116" spans="15:16" x14ac:dyDescent="0.35">
      <c r="O116" s="69" t="s">
        <v>227</v>
      </c>
      <c r="P116" s="69" t="s">
        <v>228</v>
      </c>
    </row>
    <row r="117" spans="15:16" x14ac:dyDescent="0.35">
      <c r="O117" s="69" t="s">
        <v>229</v>
      </c>
      <c r="P117" s="69" t="s">
        <v>230</v>
      </c>
    </row>
    <row r="118" spans="15:16" x14ac:dyDescent="0.35">
      <c r="O118" s="69" t="s">
        <v>231</v>
      </c>
      <c r="P118" s="69" t="s">
        <v>232</v>
      </c>
    </row>
    <row r="119" spans="15:16" x14ac:dyDescent="0.35">
      <c r="O119" s="69" t="s">
        <v>233</v>
      </c>
      <c r="P119" s="69" t="s">
        <v>234</v>
      </c>
    </row>
    <row r="120" spans="15:16" x14ac:dyDescent="0.35">
      <c r="O120" s="69" t="s">
        <v>235</v>
      </c>
      <c r="P120" s="69" t="s">
        <v>236</v>
      </c>
    </row>
    <row r="121" spans="15:16" x14ac:dyDescent="0.35">
      <c r="O121" s="69" t="s">
        <v>237</v>
      </c>
      <c r="P121" s="69" t="s">
        <v>238</v>
      </c>
    </row>
    <row r="122" spans="15:16" x14ac:dyDescent="0.35">
      <c r="O122" s="69" t="s">
        <v>239</v>
      </c>
      <c r="P122" s="69" t="s">
        <v>240</v>
      </c>
    </row>
    <row r="123" spans="15:16" x14ac:dyDescent="0.35">
      <c r="O123" s="69" t="s">
        <v>241</v>
      </c>
      <c r="P123" s="69" t="s">
        <v>242</v>
      </c>
    </row>
    <row r="124" spans="15:16" x14ac:dyDescent="0.35">
      <c r="O124" s="69" t="s">
        <v>243</v>
      </c>
      <c r="P124" s="69" t="s">
        <v>244</v>
      </c>
    </row>
    <row r="125" spans="15:16" x14ac:dyDescent="0.35">
      <c r="O125" s="69" t="s">
        <v>245</v>
      </c>
      <c r="P125" s="69" t="s">
        <v>246</v>
      </c>
    </row>
    <row r="126" spans="15:16" x14ac:dyDescent="0.35">
      <c r="O126" s="69" t="s">
        <v>247</v>
      </c>
      <c r="P126" s="69" t="s">
        <v>248</v>
      </c>
    </row>
    <row r="127" spans="15:16" x14ac:dyDescent="0.35">
      <c r="O127" s="69" t="s">
        <v>249</v>
      </c>
      <c r="P127" s="69" t="s">
        <v>250</v>
      </c>
    </row>
    <row r="128" spans="15:16" x14ac:dyDescent="0.35">
      <c r="O128" s="69" t="s">
        <v>251</v>
      </c>
      <c r="P128" s="69" t="s">
        <v>252</v>
      </c>
    </row>
    <row r="129" spans="15:16" x14ac:dyDescent="0.35">
      <c r="O129" s="69" t="s">
        <v>253</v>
      </c>
      <c r="P129" s="69" t="s">
        <v>254</v>
      </c>
    </row>
    <row r="130" spans="15:16" x14ac:dyDescent="0.35">
      <c r="O130" s="69" t="s">
        <v>255</v>
      </c>
      <c r="P130" s="69" t="s">
        <v>256</v>
      </c>
    </row>
    <row r="131" spans="15:16" x14ac:dyDescent="0.35">
      <c r="O131" s="69" t="s">
        <v>257</v>
      </c>
      <c r="P131" s="69" t="s">
        <v>258</v>
      </c>
    </row>
    <row r="132" spans="15:16" x14ac:dyDescent="0.35">
      <c r="O132" s="69" t="s">
        <v>259</v>
      </c>
      <c r="P132" s="69" t="s">
        <v>260</v>
      </c>
    </row>
    <row r="133" spans="15:16" x14ac:dyDescent="0.35">
      <c r="O133" s="69" t="s">
        <v>261</v>
      </c>
      <c r="P133" s="69" t="s">
        <v>262</v>
      </c>
    </row>
    <row r="134" spans="15:16" x14ac:dyDescent="0.35">
      <c r="O134" s="69" t="s">
        <v>263</v>
      </c>
      <c r="P134" s="69" t="s">
        <v>264</v>
      </c>
    </row>
    <row r="135" spans="15:16" x14ac:dyDescent="0.35">
      <c r="O135" s="69" t="s">
        <v>265</v>
      </c>
      <c r="P135" s="69" t="s">
        <v>266</v>
      </c>
    </row>
    <row r="136" spans="15:16" x14ac:dyDescent="0.35">
      <c r="O136" s="69" t="s">
        <v>267</v>
      </c>
      <c r="P136" s="69" t="s">
        <v>268</v>
      </c>
    </row>
    <row r="137" spans="15:16" x14ac:dyDescent="0.35">
      <c r="O137" s="69" t="s">
        <v>269</v>
      </c>
      <c r="P137" s="69" t="s">
        <v>270</v>
      </c>
    </row>
    <row r="138" spans="15:16" x14ac:dyDescent="0.35">
      <c r="O138" s="69" t="s">
        <v>271</v>
      </c>
      <c r="P138" s="69" t="s">
        <v>272</v>
      </c>
    </row>
    <row r="139" spans="15:16" x14ac:dyDescent="0.35">
      <c r="O139" s="69" t="s">
        <v>273</v>
      </c>
      <c r="P139" s="69" t="s">
        <v>274</v>
      </c>
    </row>
    <row r="140" spans="15:16" x14ac:dyDescent="0.35">
      <c r="O140" s="69" t="s">
        <v>275</v>
      </c>
      <c r="P140" s="69" t="s">
        <v>276</v>
      </c>
    </row>
    <row r="141" spans="15:16" x14ac:dyDescent="0.35">
      <c r="O141" s="69" t="s">
        <v>277</v>
      </c>
      <c r="P141" s="69" t="s">
        <v>278</v>
      </c>
    </row>
    <row r="142" spans="15:16" x14ac:dyDescent="0.35">
      <c r="O142" s="69" t="s">
        <v>279</v>
      </c>
      <c r="P142" s="69" t="s">
        <v>280</v>
      </c>
    </row>
    <row r="143" spans="15:16" x14ac:dyDescent="0.35">
      <c r="O143" s="69" t="s">
        <v>281</v>
      </c>
      <c r="P143" s="69" t="s">
        <v>282</v>
      </c>
    </row>
    <row r="144" spans="15:16" x14ac:dyDescent="0.35">
      <c r="O144" s="69" t="s">
        <v>283</v>
      </c>
      <c r="P144" s="69" t="s">
        <v>284</v>
      </c>
    </row>
    <row r="145" spans="15:16" x14ac:dyDescent="0.35">
      <c r="O145" s="69" t="s">
        <v>285</v>
      </c>
      <c r="P145" s="69" t="s">
        <v>286</v>
      </c>
    </row>
    <row r="146" spans="15:16" x14ac:dyDescent="0.35">
      <c r="O146" s="69" t="s">
        <v>287</v>
      </c>
      <c r="P146" s="69" t="s">
        <v>288</v>
      </c>
    </row>
    <row r="147" spans="15:16" x14ac:dyDescent="0.35">
      <c r="O147" s="69" t="s">
        <v>289</v>
      </c>
      <c r="P147" s="69" t="s">
        <v>290</v>
      </c>
    </row>
    <row r="148" spans="15:16" x14ac:dyDescent="0.35">
      <c r="O148" s="69" t="s">
        <v>291</v>
      </c>
      <c r="P148" s="69" t="s">
        <v>292</v>
      </c>
    </row>
    <row r="149" spans="15:16" x14ac:dyDescent="0.35">
      <c r="O149" s="69" t="s">
        <v>293</v>
      </c>
      <c r="P149" s="69" t="s">
        <v>294</v>
      </c>
    </row>
    <row r="150" spans="15:16" x14ac:dyDescent="0.35">
      <c r="O150" s="69" t="s">
        <v>295</v>
      </c>
      <c r="P150" s="69" t="s">
        <v>296</v>
      </c>
    </row>
    <row r="151" spans="15:16" x14ac:dyDescent="0.35">
      <c r="O151" s="69" t="s">
        <v>297</v>
      </c>
      <c r="P151" s="69" t="s">
        <v>298</v>
      </c>
    </row>
    <row r="152" spans="15:16" x14ac:dyDescent="0.35">
      <c r="O152" s="69" t="s">
        <v>299</v>
      </c>
      <c r="P152" s="69" t="s">
        <v>300</v>
      </c>
    </row>
    <row r="153" spans="15:16" x14ac:dyDescent="0.35">
      <c r="O153" s="69" t="s">
        <v>301</v>
      </c>
      <c r="P153" s="69" t="s">
        <v>302</v>
      </c>
    </row>
    <row r="154" spans="15:16" x14ac:dyDescent="0.35">
      <c r="O154" s="69" t="s">
        <v>303</v>
      </c>
      <c r="P154" s="69" t="s">
        <v>304</v>
      </c>
    </row>
    <row r="155" spans="15:16" x14ac:dyDescent="0.35">
      <c r="O155" s="69" t="s">
        <v>305</v>
      </c>
      <c r="P155" s="69" t="s">
        <v>306</v>
      </c>
    </row>
    <row r="156" spans="15:16" x14ac:dyDescent="0.35">
      <c r="O156" s="69" t="s">
        <v>307</v>
      </c>
      <c r="P156" s="69" t="s">
        <v>308</v>
      </c>
    </row>
    <row r="157" spans="15:16" x14ac:dyDescent="0.35">
      <c r="O157" s="69" t="s">
        <v>309</v>
      </c>
      <c r="P157" s="69" t="s">
        <v>310</v>
      </c>
    </row>
    <row r="158" spans="15:16" x14ac:dyDescent="0.35">
      <c r="O158" s="69" t="s">
        <v>311</v>
      </c>
      <c r="P158" s="69" t="s">
        <v>312</v>
      </c>
    </row>
    <row r="159" spans="15:16" x14ac:dyDescent="0.35">
      <c r="O159" s="69" t="s">
        <v>313</v>
      </c>
      <c r="P159" s="69" t="s">
        <v>314</v>
      </c>
    </row>
    <row r="160" spans="15:16" x14ac:dyDescent="0.35">
      <c r="O160" s="69" t="s">
        <v>315</v>
      </c>
      <c r="P160" s="69" t="s">
        <v>316</v>
      </c>
    </row>
    <row r="161" spans="15:16" x14ac:dyDescent="0.35">
      <c r="O161" s="69" t="s">
        <v>317</v>
      </c>
      <c r="P161" s="69" t="s">
        <v>318</v>
      </c>
    </row>
    <row r="162" spans="15:16" x14ac:dyDescent="0.35">
      <c r="O162" s="69" t="s">
        <v>319</v>
      </c>
      <c r="P162" s="69" t="s">
        <v>320</v>
      </c>
    </row>
    <row r="163" spans="15:16" x14ac:dyDescent="0.35">
      <c r="O163" s="69" t="s">
        <v>321</v>
      </c>
      <c r="P163" s="69" t="s">
        <v>322</v>
      </c>
    </row>
    <row r="164" spans="15:16" x14ac:dyDescent="0.35">
      <c r="O164" s="69" t="s">
        <v>323</v>
      </c>
      <c r="P164" s="69" t="s">
        <v>324</v>
      </c>
    </row>
    <row r="165" spans="15:16" x14ac:dyDescent="0.35">
      <c r="O165" s="69" t="s">
        <v>325</v>
      </c>
      <c r="P165" s="69" t="s">
        <v>326</v>
      </c>
    </row>
    <row r="166" spans="15:16" x14ac:dyDescent="0.35">
      <c r="O166" s="69" t="s">
        <v>327</v>
      </c>
      <c r="P166" s="69" t="s">
        <v>328</v>
      </c>
    </row>
    <row r="167" spans="15:16" x14ac:dyDescent="0.35">
      <c r="O167" s="69" t="s">
        <v>329</v>
      </c>
      <c r="P167" s="69" t="s">
        <v>330</v>
      </c>
    </row>
    <row r="168" spans="15:16" x14ac:dyDescent="0.35">
      <c r="O168" s="69" t="s">
        <v>331</v>
      </c>
      <c r="P168" s="69" t="s">
        <v>332</v>
      </c>
    </row>
    <row r="169" spans="15:16" x14ac:dyDescent="0.35">
      <c r="O169" s="69" t="s">
        <v>333</v>
      </c>
      <c r="P169" s="69" t="s">
        <v>334</v>
      </c>
    </row>
    <row r="170" spans="15:16" x14ac:dyDescent="0.35">
      <c r="O170" s="69" t="s">
        <v>335</v>
      </c>
      <c r="P170" s="69" t="s">
        <v>336</v>
      </c>
    </row>
    <row r="171" spans="15:16" x14ac:dyDescent="0.35">
      <c r="O171" s="69" t="s">
        <v>337</v>
      </c>
      <c r="P171" s="69" t="s">
        <v>338</v>
      </c>
    </row>
    <row r="172" spans="15:16" x14ac:dyDescent="0.35">
      <c r="O172" s="69" t="s">
        <v>339</v>
      </c>
      <c r="P172" s="69" t="s">
        <v>340</v>
      </c>
    </row>
    <row r="173" spans="15:16" x14ac:dyDescent="0.35">
      <c r="O173" s="69" t="s">
        <v>341</v>
      </c>
      <c r="P173" s="69" t="s">
        <v>342</v>
      </c>
    </row>
    <row r="174" spans="15:16" x14ac:dyDescent="0.35">
      <c r="O174" s="69" t="s">
        <v>343</v>
      </c>
      <c r="P174" s="69" t="s">
        <v>344</v>
      </c>
    </row>
    <row r="175" spans="15:16" x14ac:dyDescent="0.35">
      <c r="O175" s="69" t="s">
        <v>345</v>
      </c>
      <c r="P175" s="69" t="s">
        <v>346</v>
      </c>
    </row>
    <row r="176" spans="15:16" x14ac:dyDescent="0.35">
      <c r="O176" s="69" t="s">
        <v>347</v>
      </c>
      <c r="P176" s="69" t="s">
        <v>348</v>
      </c>
    </row>
    <row r="177" spans="15:16" x14ac:dyDescent="0.35">
      <c r="O177" s="69" t="s">
        <v>349</v>
      </c>
      <c r="P177" s="69" t="s">
        <v>350</v>
      </c>
    </row>
    <row r="178" spans="15:16" x14ac:dyDescent="0.35">
      <c r="O178" s="69" t="s">
        <v>351</v>
      </c>
      <c r="P178" s="69" t="s">
        <v>352</v>
      </c>
    </row>
    <row r="179" spans="15:16" x14ac:dyDescent="0.35">
      <c r="O179" s="69" t="s">
        <v>353</v>
      </c>
      <c r="P179" s="69" t="s">
        <v>354</v>
      </c>
    </row>
    <row r="180" spans="15:16" x14ac:dyDescent="0.35">
      <c r="O180" s="69" t="s">
        <v>355</v>
      </c>
      <c r="P180" s="69" t="s">
        <v>356</v>
      </c>
    </row>
    <row r="181" spans="15:16" x14ac:dyDescent="0.35">
      <c r="O181" s="69" t="s">
        <v>357</v>
      </c>
      <c r="P181" s="69" t="s">
        <v>358</v>
      </c>
    </row>
    <row r="182" spans="15:16" x14ac:dyDescent="0.35">
      <c r="O182" s="69" t="s">
        <v>359</v>
      </c>
      <c r="P182" s="69" t="s">
        <v>360</v>
      </c>
    </row>
    <row r="183" spans="15:16" x14ac:dyDescent="0.35">
      <c r="O183" s="69" t="s">
        <v>361</v>
      </c>
      <c r="P183" s="69" t="s">
        <v>362</v>
      </c>
    </row>
    <row r="184" spans="15:16" x14ac:dyDescent="0.35">
      <c r="O184" s="69" t="s">
        <v>363</v>
      </c>
      <c r="P184" s="69" t="s">
        <v>364</v>
      </c>
    </row>
    <row r="185" spans="15:16" x14ac:dyDescent="0.35">
      <c r="O185" s="69" t="s">
        <v>365</v>
      </c>
      <c r="P185" s="69" t="s">
        <v>366</v>
      </c>
    </row>
    <row r="186" spans="15:16" x14ac:dyDescent="0.35">
      <c r="O186" s="69" t="s">
        <v>367</v>
      </c>
      <c r="P186" s="69" t="s">
        <v>368</v>
      </c>
    </row>
    <row r="187" spans="15:16" x14ac:dyDescent="0.35">
      <c r="O187" s="69" t="s">
        <v>369</v>
      </c>
      <c r="P187" s="69" t="s">
        <v>370</v>
      </c>
    </row>
    <row r="188" spans="15:16" x14ac:dyDescent="0.35">
      <c r="O188" s="69" t="s">
        <v>371</v>
      </c>
      <c r="P188" s="69" t="s">
        <v>372</v>
      </c>
    </row>
    <row r="189" spans="15:16" x14ac:dyDescent="0.35">
      <c r="O189" s="69" t="s">
        <v>373</v>
      </c>
      <c r="P189" s="69" t="s">
        <v>374</v>
      </c>
    </row>
    <row r="190" spans="15:16" x14ac:dyDescent="0.35">
      <c r="O190" s="69" t="s">
        <v>375</v>
      </c>
      <c r="P190" s="69" t="s">
        <v>376</v>
      </c>
    </row>
    <row r="191" spans="15:16" x14ac:dyDescent="0.35">
      <c r="O191" s="69" t="s">
        <v>377</v>
      </c>
      <c r="P191" s="69" t="s">
        <v>378</v>
      </c>
    </row>
    <row r="192" spans="15:16" x14ac:dyDescent="0.35">
      <c r="O192" s="69" t="s">
        <v>379</v>
      </c>
      <c r="P192" s="69" t="s">
        <v>380</v>
      </c>
    </row>
    <row r="193" spans="15:16" x14ac:dyDescent="0.35">
      <c r="O193" s="69" t="s">
        <v>381</v>
      </c>
      <c r="P193" s="69" t="s">
        <v>382</v>
      </c>
    </row>
    <row r="194" spans="15:16" x14ac:dyDescent="0.35">
      <c r="O194" s="69" t="s">
        <v>383</v>
      </c>
      <c r="P194" s="69" t="s">
        <v>384</v>
      </c>
    </row>
    <row r="195" spans="15:16" x14ac:dyDescent="0.35">
      <c r="O195" s="69" t="s">
        <v>385</v>
      </c>
      <c r="P195" s="69" t="s">
        <v>386</v>
      </c>
    </row>
    <row r="196" spans="15:16" x14ac:dyDescent="0.35">
      <c r="O196" s="69" t="s">
        <v>387</v>
      </c>
      <c r="P196" s="69" t="s">
        <v>388</v>
      </c>
    </row>
    <row r="197" spans="15:16" x14ac:dyDescent="0.35">
      <c r="O197" s="69" t="s">
        <v>389</v>
      </c>
      <c r="P197" s="69" t="s">
        <v>390</v>
      </c>
    </row>
    <row r="198" spans="15:16" x14ac:dyDescent="0.35">
      <c r="O198" s="69" t="s">
        <v>391</v>
      </c>
      <c r="P198" s="69" t="s">
        <v>392</v>
      </c>
    </row>
    <row r="199" spans="15:16" x14ac:dyDescent="0.35">
      <c r="O199" s="69" t="s">
        <v>393</v>
      </c>
      <c r="P199" s="69" t="s">
        <v>394</v>
      </c>
    </row>
    <row r="200" spans="15:16" x14ac:dyDescent="0.35">
      <c r="O200" s="69" t="s">
        <v>395</v>
      </c>
      <c r="P200" s="69" t="s">
        <v>396</v>
      </c>
    </row>
    <row r="201" spans="15:16" x14ac:dyDescent="0.35">
      <c r="O201" s="69" t="s">
        <v>397</v>
      </c>
      <c r="P201" s="69" t="s">
        <v>398</v>
      </c>
    </row>
    <row r="202" spans="15:16" x14ac:dyDescent="0.35">
      <c r="O202" s="69" t="s">
        <v>399</v>
      </c>
      <c r="P202" s="69" t="s">
        <v>400</v>
      </c>
    </row>
    <row r="203" spans="15:16" x14ac:dyDescent="0.35">
      <c r="O203" s="69" t="s">
        <v>401</v>
      </c>
      <c r="P203" s="69" t="s">
        <v>402</v>
      </c>
    </row>
    <row r="204" spans="15:16" x14ac:dyDescent="0.35">
      <c r="O204" s="69" t="s">
        <v>403</v>
      </c>
      <c r="P204" s="69" t="s">
        <v>404</v>
      </c>
    </row>
    <row r="205" spans="15:16" x14ac:dyDescent="0.35">
      <c r="O205" s="69" t="s">
        <v>405</v>
      </c>
      <c r="P205" s="69" t="s">
        <v>406</v>
      </c>
    </row>
    <row r="206" spans="15:16" x14ac:dyDescent="0.35">
      <c r="O206" s="69" t="s">
        <v>407</v>
      </c>
      <c r="P206" s="69" t="s">
        <v>408</v>
      </c>
    </row>
    <row r="207" spans="15:16" x14ac:dyDescent="0.35">
      <c r="O207" s="69" t="s">
        <v>409</v>
      </c>
      <c r="P207" s="69" t="s">
        <v>410</v>
      </c>
    </row>
    <row r="208" spans="15:16" x14ac:dyDescent="0.35">
      <c r="O208" s="69" t="s">
        <v>411</v>
      </c>
      <c r="P208" s="69" t="s">
        <v>412</v>
      </c>
    </row>
    <row r="209" spans="15:16" x14ac:dyDescent="0.35">
      <c r="O209" s="69" t="s">
        <v>413</v>
      </c>
      <c r="P209" s="69" t="s">
        <v>414</v>
      </c>
    </row>
    <row r="210" spans="15:16" x14ac:dyDescent="0.35">
      <c r="O210" s="69" t="s">
        <v>415</v>
      </c>
      <c r="P210" s="69" t="s">
        <v>416</v>
      </c>
    </row>
    <row r="211" spans="15:16" x14ac:dyDescent="0.35">
      <c r="O211" s="69" t="s">
        <v>417</v>
      </c>
      <c r="P211" s="69" t="s">
        <v>418</v>
      </c>
    </row>
    <row r="212" spans="15:16" x14ac:dyDescent="0.35">
      <c r="O212" s="69" t="s">
        <v>419</v>
      </c>
      <c r="P212" s="69" t="s">
        <v>420</v>
      </c>
    </row>
    <row r="213" spans="15:16" x14ac:dyDescent="0.35">
      <c r="O213" s="69" t="s">
        <v>421</v>
      </c>
      <c r="P213" s="69" t="s">
        <v>422</v>
      </c>
    </row>
    <row r="214" spans="15:16" x14ac:dyDescent="0.35">
      <c r="O214" s="69" t="s">
        <v>423</v>
      </c>
      <c r="P214" s="69" t="s">
        <v>424</v>
      </c>
    </row>
    <row r="215" spans="15:16" x14ac:dyDescent="0.35">
      <c r="O215" s="69" t="s">
        <v>425</v>
      </c>
      <c r="P215" s="69" t="s">
        <v>426</v>
      </c>
    </row>
    <row r="216" spans="15:16" x14ac:dyDescent="0.35">
      <c r="O216" s="69" t="s">
        <v>427</v>
      </c>
      <c r="P216" s="69" t="s">
        <v>426</v>
      </c>
    </row>
    <row r="217" spans="15:16" x14ac:dyDescent="0.35">
      <c r="O217" s="69" t="s">
        <v>428</v>
      </c>
      <c r="P217" s="69" t="s">
        <v>429</v>
      </c>
    </row>
    <row r="218" spans="15:16" x14ac:dyDescent="0.35">
      <c r="O218" s="69" t="s">
        <v>430</v>
      </c>
      <c r="P218" s="69" t="s">
        <v>431</v>
      </c>
    </row>
    <row r="219" spans="15:16" x14ac:dyDescent="0.35">
      <c r="O219" s="69" t="s">
        <v>432</v>
      </c>
      <c r="P219" s="69" t="s">
        <v>433</v>
      </c>
    </row>
    <row r="220" spans="15:16" x14ac:dyDescent="0.35">
      <c r="O220" s="69" t="s">
        <v>434</v>
      </c>
      <c r="P220" s="69" t="s">
        <v>435</v>
      </c>
    </row>
    <row r="221" spans="15:16" x14ac:dyDescent="0.35">
      <c r="O221" s="69" t="s">
        <v>436</v>
      </c>
      <c r="P221" s="69" t="s">
        <v>437</v>
      </c>
    </row>
    <row r="222" spans="15:16" x14ac:dyDescent="0.35">
      <c r="O222" s="69" t="s">
        <v>438</v>
      </c>
      <c r="P222" s="69" t="s">
        <v>439</v>
      </c>
    </row>
    <row r="223" spans="15:16" x14ac:dyDescent="0.35">
      <c r="O223" s="69" t="s">
        <v>440</v>
      </c>
      <c r="P223" s="69" t="s">
        <v>441</v>
      </c>
    </row>
    <row r="224" spans="15:16" x14ac:dyDescent="0.35">
      <c r="O224" s="69" t="s">
        <v>442</v>
      </c>
      <c r="P224" s="69" t="s">
        <v>443</v>
      </c>
    </row>
    <row r="225" spans="15:16" x14ac:dyDescent="0.35">
      <c r="O225" s="69" t="s">
        <v>444</v>
      </c>
      <c r="P225" s="69" t="s">
        <v>445</v>
      </c>
    </row>
    <row r="226" spans="15:16" x14ac:dyDescent="0.35">
      <c r="O226" s="69" t="s">
        <v>446</v>
      </c>
      <c r="P226" s="69" t="s">
        <v>447</v>
      </c>
    </row>
    <row r="227" spans="15:16" x14ac:dyDescent="0.35">
      <c r="O227" s="69" t="s">
        <v>448</v>
      </c>
      <c r="P227" s="69" t="s">
        <v>449</v>
      </c>
    </row>
    <row r="228" spans="15:16" x14ac:dyDescent="0.35">
      <c r="O228" s="69" t="s">
        <v>450</v>
      </c>
      <c r="P228" s="69" t="s">
        <v>451</v>
      </c>
    </row>
    <row r="229" spans="15:16" x14ac:dyDescent="0.35">
      <c r="O229" s="69" t="s">
        <v>452</v>
      </c>
      <c r="P229" s="69" t="s">
        <v>453</v>
      </c>
    </row>
    <row r="230" spans="15:16" x14ac:dyDescent="0.35">
      <c r="O230" s="69" t="s">
        <v>454</v>
      </c>
      <c r="P230" s="69" t="s">
        <v>455</v>
      </c>
    </row>
    <row r="231" spans="15:16" x14ac:dyDescent="0.35">
      <c r="O231" s="69" t="s">
        <v>456</v>
      </c>
      <c r="P231" s="69" t="s">
        <v>457</v>
      </c>
    </row>
    <row r="232" spans="15:16" x14ac:dyDescent="0.35">
      <c r="O232" s="69" t="s">
        <v>458</v>
      </c>
      <c r="P232" s="69" t="s">
        <v>459</v>
      </c>
    </row>
    <row r="233" spans="15:16" x14ac:dyDescent="0.35">
      <c r="O233" s="69" t="s">
        <v>460</v>
      </c>
      <c r="P233" s="69" t="s">
        <v>461</v>
      </c>
    </row>
    <row r="234" spans="15:16" x14ac:dyDescent="0.35">
      <c r="O234" s="69" t="s">
        <v>462</v>
      </c>
      <c r="P234" s="69" t="s">
        <v>463</v>
      </c>
    </row>
    <row r="235" spans="15:16" x14ac:dyDescent="0.35">
      <c r="O235" s="69" t="s">
        <v>464</v>
      </c>
      <c r="P235" s="69" t="s">
        <v>465</v>
      </c>
    </row>
    <row r="236" spans="15:16" x14ac:dyDescent="0.35">
      <c r="O236" s="69" t="s">
        <v>466</v>
      </c>
      <c r="P236" s="69" t="s">
        <v>467</v>
      </c>
    </row>
    <row r="237" spans="15:16" x14ac:dyDescent="0.35">
      <c r="O237" s="69" t="s">
        <v>468</v>
      </c>
      <c r="P237" s="69" t="s">
        <v>469</v>
      </c>
    </row>
    <row r="238" spans="15:16" x14ac:dyDescent="0.35">
      <c r="O238" s="69" t="s">
        <v>470</v>
      </c>
      <c r="P238" s="69" t="s">
        <v>471</v>
      </c>
    </row>
    <row r="239" spans="15:16" x14ac:dyDescent="0.35">
      <c r="O239" s="69" t="s">
        <v>472</v>
      </c>
      <c r="P239" s="69" t="s">
        <v>473</v>
      </c>
    </row>
    <row r="240" spans="15:16" x14ac:dyDescent="0.35">
      <c r="O240" s="69" t="s">
        <v>474</v>
      </c>
      <c r="P240" s="69" t="s">
        <v>475</v>
      </c>
    </row>
    <row r="241" spans="15:16" x14ac:dyDescent="0.35">
      <c r="O241" s="69" t="s">
        <v>476</v>
      </c>
      <c r="P241" s="69" t="s">
        <v>477</v>
      </c>
    </row>
    <row r="242" spans="15:16" x14ac:dyDescent="0.35">
      <c r="O242" s="69" t="s">
        <v>478</v>
      </c>
      <c r="P242" s="69" t="s">
        <v>479</v>
      </c>
    </row>
    <row r="243" spans="15:16" x14ac:dyDescent="0.35">
      <c r="O243" s="69" t="s">
        <v>480</v>
      </c>
      <c r="P243" s="69" t="s">
        <v>481</v>
      </c>
    </row>
    <row r="244" spans="15:16" x14ac:dyDescent="0.35">
      <c r="O244" s="69" t="s">
        <v>482</v>
      </c>
      <c r="P244" s="69" t="s">
        <v>483</v>
      </c>
    </row>
    <row r="245" spans="15:16" x14ac:dyDescent="0.35">
      <c r="O245" s="69" t="s">
        <v>484</v>
      </c>
      <c r="P245" s="69" t="s">
        <v>485</v>
      </c>
    </row>
    <row r="246" spans="15:16" x14ac:dyDescent="0.35">
      <c r="O246" s="69" t="s">
        <v>486</v>
      </c>
      <c r="P246" s="69" t="s">
        <v>487</v>
      </c>
    </row>
  </sheetData>
  <autoFilter ref="O12:P12" xr:uid="{00000000-0009-0000-0000-000000000000}"/>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902"/>
  <sheetViews>
    <sheetView workbookViewId="0">
      <pane xSplit="1" ySplit="1" topLeftCell="B870" activePane="bottomRight" state="frozen"/>
      <selection sqref="A1:XFD1048576"/>
      <selection pane="topRight" sqref="A1:XFD1048576"/>
      <selection pane="bottomLeft" sqref="A1:XFD1048576"/>
      <selection pane="bottomRight" activeCell="A9" sqref="A9"/>
    </sheetView>
  </sheetViews>
  <sheetFormatPr defaultColWidth="9.1796875" defaultRowHeight="14.5" x14ac:dyDescent="0.35"/>
  <cols>
    <col min="1" max="1" width="11.1796875" style="72" customWidth="1"/>
    <col min="2" max="4" width="9.1796875" style="72" customWidth="1"/>
    <col min="5" max="5" width="10.6328125" style="72" bestFit="1" customWidth="1"/>
    <col min="6" max="29" width="9.1796875" style="72" customWidth="1"/>
    <col min="30"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E2">
        <v>9.5601789999999998</v>
      </c>
    </row>
    <row r="3" spans="1:50" x14ac:dyDescent="0.35">
      <c r="A3" s="75">
        <v>17930</v>
      </c>
      <c r="E3">
        <v>9.5601789999999998</v>
      </c>
    </row>
    <row r="4" spans="1:50" x14ac:dyDescent="0.35">
      <c r="A4" s="75">
        <v>17958</v>
      </c>
      <c r="E4">
        <v>9.5601789999999998</v>
      </c>
    </row>
    <row r="5" spans="1:50" x14ac:dyDescent="0.35">
      <c r="A5" s="75">
        <v>17989</v>
      </c>
      <c r="E5">
        <v>9.5601789999999998</v>
      </c>
    </row>
    <row r="6" spans="1:50" x14ac:dyDescent="0.35">
      <c r="A6" s="75">
        <v>18019</v>
      </c>
      <c r="E6">
        <v>9.5601789999999998</v>
      </c>
    </row>
    <row r="7" spans="1:50" x14ac:dyDescent="0.35">
      <c r="A7" s="75">
        <v>18050</v>
      </c>
      <c r="E7">
        <v>9.5601789999999998</v>
      </c>
    </row>
    <row r="8" spans="1:50" x14ac:dyDescent="0.35">
      <c r="A8" s="75">
        <v>18080</v>
      </c>
      <c r="E8">
        <v>9.5601789999999998</v>
      </c>
    </row>
    <row r="9" spans="1:50" x14ac:dyDescent="0.35">
      <c r="A9" s="75">
        <v>18111</v>
      </c>
      <c r="E9">
        <v>9.639189</v>
      </c>
    </row>
    <row r="10" spans="1:50" x14ac:dyDescent="0.35">
      <c r="A10" s="75">
        <v>18142</v>
      </c>
      <c r="E10">
        <v>9.639189</v>
      </c>
    </row>
    <row r="11" spans="1:50" x14ac:dyDescent="0.35">
      <c r="A11" s="75">
        <v>18172</v>
      </c>
      <c r="E11">
        <v>9.7181990000000003</v>
      </c>
    </row>
    <row r="12" spans="1:50" x14ac:dyDescent="0.35">
      <c r="A12" s="75">
        <v>18203</v>
      </c>
      <c r="E12">
        <v>9.7181990000000003</v>
      </c>
    </row>
    <row r="13" spans="1:50" x14ac:dyDescent="0.35">
      <c r="A13" s="75">
        <v>18233</v>
      </c>
      <c r="E13">
        <v>9.639189</v>
      </c>
    </row>
    <row r="14" spans="1:50" x14ac:dyDescent="0.35">
      <c r="A14" s="75">
        <v>18264</v>
      </c>
      <c r="E14">
        <v>9.5601789999999998</v>
      </c>
    </row>
    <row r="15" spans="1:50" x14ac:dyDescent="0.35">
      <c r="A15" s="75">
        <v>18295</v>
      </c>
      <c r="E15">
        <v>9.639189</v>
      </c>
    </row>
    <row r="16" spans="1:50" x14ac:dyDescent="0.35">
      <c r="A16" s="75">
        <v>18323</v>
      </c>
      <c r="E16">
        <v>9.7181990000000003</v>
      </c>
    </row>
    <row r="17" spans="1:5" x14ac:dyDescent="0.35">
      <c r="A17" s="75">
        <v>18354</v>
      </c>
      <c r="E17">
        <v>9.7181990000000003</v>
      </c>
    </row>
    <row r="18" spans="1:5" x14ac:dyDescent="0.35">
      <c r="A18" s="75">
        <v>18384</v>
      </c>
      <c r="E18">
        <v>9.7181990000000003</v>
      </c>
    </row>
    <row r="19" spans="1:5" x14ac:dyDescent="0.35">
      <c r="A19" s="75">
        <v>18415</v>
      </c>
      <c r="E19">
        <v>9.7181990000000003</v>
      </c>
    </row>
    <row r="20" spans="1:5" x14ac:dyDescent="0.35">
      <c r="A20" s="75">
        <v>18445</v>
      </c>
      <c r="E20">
        <v>9.7972090000000005</v>
      </c>
    </row>
    <row r="21" spans="1:5" x14ac:dyDescent="0.35">
      <c r="A21" s="75">
        <v>18476</v>
      </c>
      <c r="E21">
        <v>9.8762179999999997</v>
      </c>
    </row>
    <row r="22" spans="1:5" x14ac:dyDescent="0.35">
      <c r="A22" s="75">
        <v>18507</v>
      </c>
      <c r="E22">
        <v>10.03424</v>
      </c>
    </row>
    <row r="23" spans="1:5" x14ac:dyDescent="0.35">
      <c r="A23" s="75">
        <v>18537</v>
      </c>
      <c r="E23">
        <v>10.192259999999999</v>
      </c>
    </row>
    <row r="24" spans="1:5" x14ac:dyDescent="0.35">
      <c r="A24" s="75">
        <v>18568</v>
      </c>
      <c r="E24">
        <v>10.192259999999999</v>
      </c>
    </row>
    <row r="25" spans="1:5" x14ac:dyDescent="0.35">
      <c r="A25" s="75">
        <v>18598</v>
      </c>
      <c r="E25">
        <v>10.192259999999999</v>
      </c>
    </row>
    <row r="26" spans="1:5" x14ac:dyDescent="0.35">
      <c r="A26" s="75">
        <v>18629</v>
      </c>
      <c r="E26">
        <v>10.271269999999999</v>
      </c>
    </row>
    <row r="27" spans="1:5" x14ac:dyDescent="0.35">
      <c r="A27" s="75">
        <v>18660</v>
      </c>
      <c r="E27">
        <v>10.5083</v>
      </c>
    </row>
    <row r="28" spans="1:5" x14ac:dyDescent="0.35">
      <c r="A28" s="75">
        <v>18688</v>
      </c>
      <c r="E28">
        <v>10.58731</v>
      </c>
    </row>
    <row r="29" spans="1:5" x14ac:dyDescent="0.35">
      <c r="A29" s="75">
        <v>18719</v>
      </c>
      <c r="E29">
        <v>10.745329999999999</v>
      </c>
    </row>
    <row r="30" spans="1:5" x14ac:dyDescent="0.35">
      <c r="A30" s="75">
        <v>18749</v>
      </c>
      <c r="E30">
        <v>10.745329999999999</v>
      </c>
    </row>
    <row r="31" spans="1:5" x14ac:dyDescent="0.35">
      <c r="A31" s="75">
        <v>18780</v>
      </c>
      <c r="E31">
        <v>10.98235</v>
      </c>
    </row>
    <row r="32" spans="1:5" x14ac:dyDescent="0.35">
      <c r="A32" s="75">
        <v>18810</v>
      </c>
      <c r="E32">
        <v>10.98235</v>
      </c>
    </row>
    <row r="33" spans="1:32" x14ac:dyDescent="0.35">
      <c r="A33" s="75">
        <v>18841</v>
      </c>
      <c r="E33">
        <v>11.061360000000001</v>
      </c>
      <c r="AF33">
        <v>0.13468269999999999</v>
      </c>
    </row>
    <row r="34" spans="1:32" x14ac:dyDescent="0.35">
      <c r="A34" s="75">
        <v>18872</v>
      </c>
      <c r="E34">
        <v>11.140370000000001</v>
      </c>
      <c r="AF34">
        <v>0.13333130000000001</v>
      </c>
    </row>
    <row r="35" spans="1:32" x14ac:dyDescent="0.35">
      <c r="A35" s="75">
        <v>18902</v>
      </c>
      <c r="E35">
        <v>11.219379999999999</v>
      </c>
      <c r="AF35">
        <v>0.1158228</v>
      </c>
    </row>
    <row r="36" spans="1:32" x14ac:dyDescent="0.35">
      <c r="A36" s="75">
        <v>18933</v>
      </c>
      <c r="E36">
        <v>11.298389999999999</v>
      </c>
      <c r="AF36">
        <v>0.11717420000000001</v>
      </c>
    </row>
    <row r="37" spans="1:32" x14ac:dyDescent="0.35">
      <c r="A37" s="75">
        <v>18963</v>
      </c>
      <c r="E37">
        <v>11.298389999999999</v>
      </c>
      <c r="AF37">
        <v>0.12794559999999999</v>
      </c>
    </row>
    <row r="38" spans="1:32" x14ac:dyDescent="0.35">
      <c r="A38" s="75">
        <v>18994</v>
      </c>
      <c r="E38">
        <v>11.3774</v>
      </c>
      <c r="AF38">
        <v>0.142758</v>
      </c>
    </row>
    <row r="39" spans="1:32" x14ac:dyDescent="0.35">
      <c r="A39" s="75">
        <v>19025</v>
      </c>
      <c r="E39">
        <v>11.298389999999999</v>
      </c>
      <c r="AF39">
        <v>0.17104459999999999</v>
      </c>
    </row>
    <row r="40" spans="1:32" x14ac:dyDescent="0.35">
      <c r="A40" s="75">
        <v>19054</v>
      </c>
      <c r="E40">
        <v>11.219379999999999</v>
      </c>
      <c r="AF40">
        <v>0.2087513</v>
      </c>
    </row>
    <row r="41" spans="1:32" x14ac:dyDescent="0.35">
      <c r="A41" s="75">
        <v>19085</v>
      </c>
      <c r="E41">
        <v>11.219379999999999</v>
      </c>
      <c r="AF41">
        <v>0.21953600000000001</v>
      </c>
    </row>
    <row r="42" spans="1:32" x14ac:dyDescent="0.35">
      <c r="A42" s="75">
        <v>19115</v>
      </c>
      <c r="E42">
        <v>11.140370000000001</v>
      </c>
      <c r="AF42">
        <v>0.2370379</v>
      </c>
    </row>
    <row r="43" spans="1:32" x14ac:dyDescent="0.35">
      <c r="A43" s="75">
        <v>19146</v>
      </c>
      <c r="E43">
        <v>11.140370000000001</v>
      </c>
      <c r="AF43">
        <v>0.24107880000000001</v>
      </c>
    </row>
    <row r="44" spans="1:32" x14ac:dyDescent="0.35">
      <c r="A44" s="75">
        <v>19176</v>
      </c>
      <c r="E44">
        <v>11.140370000000001</v>
      </c>
      <c r="AF44">
        <v>0.25320169999999997</v>
      </c>
    </row>
    <row r="45" spans="1:32" x14ac:dyDescent="0.35">
      <c r="A45" s="75">
        <v>19207</v>
      </c>
      <c r="E45">
        <v>11.140370000000001</v>
      </c>
      <c r="AF45">
        <v>0.2747445</v>
      </c>
    </row>
    <row r="46" spans="1:32" x14ac:dyDescent="0.35">
      <c r="A46" s="75">
        <v>19238</v>
      </c>
      <c r="E46">
        <v>11.140370000000001</v>
      </c>
      <c r="AF46">
        <v>0.29495589999999999</v>
      </c>
    </row>
    <row r="47" spans="1:32" x14ac:dyDescent="0.35">
      <c r="A47" s="75">
        <v>19268</v>
      </c>
      <c r="E47">
        <v>11.140370000000001</v>
      </c>
      <c r="AF47">
        <v>0.25724259999999999</v>
      </c>
    </row>
    <row r="48" spans="1:32" x14ac:dyDescent="0.35">
      <c r="A48" s="75">
        <v>19299</v>
      </c>
      <c r="E48">
        <v>11.140370000000001</v>
      </c>
      <c r="AF48">
        <v>0.24780930000000001</v>
      </c>
    </row>
    <row r="49" spans="1:32" x14ac:dyDescent="0.35">
      <c r="A49" s="75">
        <v>19329</v>
      </c>
      <c r="E49">
        <v>11.140370000000001</v>
      </c>
      <c r="AF49">
        <v>0.26801409999999998</v>
      </c>
    </row>
    <row r="50" spans="1:32" x14ac:dyDescent="0.35">
      <c r="A50" s="75">
        <v>19360</v>
      </c>
      <c r="E50">
        <v>11.140370000000001</v>
      </c>
      <c r="AF50">
        <v>0.28956359999999998</v>
      </c>
    </row>
    <row r="51" spans="1:32" x14ac:dyDescent="0.35">
      <c r="A51" s="75">
        <v>19391</v>
      </c>
      <c r="E51">
        <v>11.061360000000001</v>
      </c>
      <c r="AF51">
        <v>0.3313178</v>
      </c>
    </row>
    <row r="52" spans="1:32" x14ac:dyDescent="0.35">
      <c r="A52" s="75">
        <v>19419</v>
      </c>
      <c r="E52">
        <v>10.98235</v>
      </c>
      <c r="AF52">
        <v>0.33266259999999997</v>
      </c>
    </row>
    <row r="53" spans="1:32" x14ac:dyDescent="0.35">
      <c r="A53" s="75">
        <v>19450</v>
      </c>
      <c r="E53">
        <v>10.98235</v>
      </c>
      <c r="AF53">
        <v>0.35017110000000001</v>
      </c>
    </row>
    <row r="54" spans="1:32" x14ac:dyDescent="0.35">
      <c r="A54" s="75">
        <v>19480</v>
      </c>
      <c r="E54">
        <v>10.98235</v>
      </c>
      <c r="AF54">
        <v>0.3259321</v>
      </c>
    </row>
    <row r="55" spans="1:32" x14ac:dyDescent="0.35">
      <c r="A55" s="75">
        <v>19511</v>
      </c>
      <c r="E55">
        <v>10.98235</v>
      </c>
      <c r="AF55">
        <v>0.3313178</v>
      </c>
    </row>
    <row r="56" spans="1:32" x14ac:dyDescent="0.35">
      <c r="A56" s="75">
        <v>19541</v>
      </c>
      <c r="E56">
        <v>10.98235</v>
      </c>
      <c r="AF56">
        <v>0.35825299999999999</v>
      </c>
    </row>
    <row r="57" spans="1:32" x14ac:dyDescent="0.35">
      <c r="A57" s="75">
        <v>19572</v>
      </c>
      <c r="E57">
        <v>11.140370000000001</v>
      </c>
      <c r="AF57">
        <v>0.38114730000000002</v>
      </c>
    </row>
    <row r="58" spans="1:32" x14ac:dyDescent="0.35">
      <c r="A58" s="75">
        <v>19603</v>
      </c>
      <c r="E58">
        <v>11.140370000000001</v>
      </c>
      <c r="AF58">
        <v>0.39192539999999998</v>
      </c>
    </row>
    <row r="59" spans="1:32" x14ac:dyDescent="0.35">
      <c r="A59" s="75">
        <v>19633</v>
      </c>
      <c r="E59">
        <v>11.219379999999999</v>
      </c>
      <c r="AF59">
        <v>0.37172060000000001</v>
      </c>
    </row>
    <row r="60" spans="1:32" x14ac:dyDescent="0.35">
      <c r="A60" s="75">
        <v>19664</v>
      </c>
      <c r="E60">
        <v>11.140370000000001</v>
      </c>
      <c r="AF60">
        <v>0.3905806</v>
      </c>
    </row>
    <row r="61" spans="1:32" x14ac:dyDescent="0.35">
      <c r="A61" s="75">
        <v>19694</v>
      </c>
      <c r="E61">
        <v>11.140370000000001</v>
      </c>
      <c r="AF61">
        <v>0.44041010000000003</v>
      </c>
    </row>
    <row r="62" spans="1:32" x14ac:dyDescent="0.35">
      <c r="A62" s="75">
        <v>19725</v>
      </c>
      <c r="E62">
        <v>11.140370000000001</v>
      </c>
      <c r="AF62">
        <v>0.41886060000000003</v>
      </c>
    </row>
    <row r="63" spans="1:32" x14ac:dyDescent="0.35">
      <c r="A63" s="75">
        <v>19756</v>
      </c>
      <c r="E63">
        <v>11.140370000000001</v>
      </c>
      <c r="AF63">
        <v>0.40942729999999999</v>
      </c>
    </row>
    <row r="64" spans="1:32" x14ac:dyDescent="0.35">
      <c r="A64" s="75">
        <v>19784</v>
      </c>
      <c r="E64">
        <v>11.061360000000001</v>
      </c>
      <c r="O64">
        <v>1.7859100000000001</v>
      </c>
      <c r="AF64">
        <v>0.43636920000000001</v>
      </c>
    </row>
    <row r="65" spans="1:49" x14ac:dyDescent="0.35">
      <c r="A65" s="75">
        <v>19815</v>
      </c>
      <c r="E65">
        <v>11.061360000000001</v>
      </c>
      <c r="O65">
        <v>1.7897190000000001</v>
      </c>
      <c r="AF65">
        <v>0.4336796</v>
      </c>
    </row>
    <row r="66" spans="1:49" x14ac:dyDescent="0.35">
      <c r="A66" s="75">
        <v>19845</v>
      </c>
      <c r="E66">
        <v>11.061360000000001</v>
      </c>
      <c r="O66">
        <v>1.7897190000000001</v>
      </c>
      <c r="AF66">
        <v>0.40135199999999999</v>
      </c>
    </row>
    <row r="67" spans="1:49" x14ac:dyDescent="0.35">
      <c r="A67" s="75">
        <v>19876</v>
      </c>
      <c r="E67">
        <v>11.140370000000001</v>
      </c>
      <c r="O67">
        <v>1.7831900000000001</v>
      </c>
      <c r="AF67">
        <v>0.40135199999999999</v>
      </c>
    </row>
    <row r="68" spans="1:49" x14ac:dyDescent="0.35">
      <c r="A68" s="75">
        <v>19906</v>
      </c>
      <c r="E68">
        <v>11.140370000000001</v>
      </c>
      <c r="O68">
        <v>1.7848219999999999</v>
      </c>
      <c r="AF68">
        <v>0.44310630000000001</v>
      </c>
    </row>
    <row r="69" spans="1:49" x14ac:dyDescent="0.35">
      <c r="A69" s="75">
        <v>19937</v>
      </c>
      <c r="E69">
        <v>11.219379999999999</v>
      </c>
      <c r="O69">
        <v>1.7777480000000001</v>
      </c>
      <c r="AF69">
        <v>0.47677199999999997</v>
      </c>
    </row>
    <row r="70" spans="1:49" x14ac:dyDescent="0.35">
      <c r="A70" s="75">
        <v>19968</v>
      </c>
      <c r="E70">
        <v>11.219379999999999</v>
      </c>
      <c r="O70">
        <v>1.7788360000000001</v>
      </c>
      <c r="AF70">
        <v>0.54815100000000005</v>
      </c>
    </row>
    <row r="71" spans="1:49" x14ac:dyDescent="0.35">
      <c r="A71" s="75">
        <v>19998</v>
      </c>
      <c r="E71">
        <v>11.219379999999999</v>
      </c>
      <c r="O71">
        <v>1.788087</v>
      </c>
      <c r="AF71">
        <v>0.61010330000000002</v>
      </c>
    </row>
    <row r="72" spans="1:49" x14ac:dyDescent="0.35">
      <c r="A72" s="75">
        <v>20029</v>
      </c>
      <c r="E72">
        <v>11.219379999999999</v>
      </c>
      <c r="O72">
        <v>1.803323</v>
      </c>
      <c r="AF72">
        <v>0.65859469999999998</v>
      </c>
    </row>
    <row r="73" spans="1:49" x14ac:dyDescent="0.35">
      <c r="A73" s="75">
        <v>20059</v>
      </c>
      <c r="E73">
        <v>11.140370000000001</v>
      </c>
      <c r="O73">
        <v>1.819647</v>
      </c>
      <c r="AF73">
        <v>0.65185760000000004</v>
      </c>
    </row>
    <row r="74" spans="1:49" x14ac:dyDescent="0.35">
      <c r="A74" s="75">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35">
      <c r="A75" s="75">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35">
      <c r="A76" s="75">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35">
      <c r="A77" s="75">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35">
      <c r="A78" s="75">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35">
      <c r="A79" s="75">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35">
      <c r="A80" s="75">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35">
      <c r="A81" s="75">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35">
      <c r="A82" s="75">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35">
      <c r="A83" s="75">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35">
      <c r="A84" s="75">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35">
      <c r="A85" s="75">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35">
      <c r="A86" s="75">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35">
      <c r="A87" s="75">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35">
      <c r="A88" s="75">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35">
      <c r="A89" s="75">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35">
      <c r="A90" s="75">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35">
      <c r="A91" s="75">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35">
      <c r="A92" s="75">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35">
      <c r="A93" s="75">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35">
      <c r="A94" s="75">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35">
      <c r="A95" s="75">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35">
      <c r="A96" s="75">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35">
      <c r="A97" s="75">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35">
      <c r="A98" s="75">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35">
      <c r="A99" s="75">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35">
      <c r="A100" s="75">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35">
      <c r="A101" s="75">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35">
      <c r="A102" s="75">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35">
      <c r="A103" s="75">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35">
      <c r="A104" s="75">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35">
      <c r="A105" s="75">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35">
      <c r="A106" s="75">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35">
      <c r="A107" s="75">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35">
      <c r="A108" s="75">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35">
      <c r="A109" s="75">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35">
      <c r="A110" s="75">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35">
      <c r="A111" s="75">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35">
      <c r="A112" s="75">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35">
      <c r="A113" s="75">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35">
      <c r="A114" s="75">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35">
      <c r="A115" s="75">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35">
      <c r="A116" s="75">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35">
      <c r="A117" s="75">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35">
      <c r="A118" s="75">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35">
      <c r="A119" s="75">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35">
      <c r="A120" s="75">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35">
      <c r="A121" s="75">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35">
      <c r="A122" s="75">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35">
      <c r="A123" s="75">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35">
      <c r="A124" s="75">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35">
      <c r="A125" s="75">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35">
      <c r="A126" s="75">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35">
      <c r="A127" s="75">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35">
      <c r="A128" s="75">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35">
      <c r="A129" s="75">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35">
      <c r="A130" s="75">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35">
      <c r="A131" s="75">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35">
      <c r="A132" s="75">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35">
      <c r="A133" s="75">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35">
      <c r="A134" s="75">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35">
      <c r="A135" s="75">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35">
      <c r="A136" s="75">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35">
      <c r="A137" s="75">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35">
      <c r="A138" s="75">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35">
      <c r="A139" s="75">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35">
      <c r="A140" s="75">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35">
      <c r="A141" s="75">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35">
      <c r="A142" s="75">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35">
      <c r="A143" s="75">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35">
      <c r="A144" s="75">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35">
      <c r="A145" s="75">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35">
      <c r="A146" s="75">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35">
      <c r="A147" s="75">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35">
      <c r="A148" s="75">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35">
      <c r="A149" s="75">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35">
      <c r="A150" s="75">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35">
      <c r="A151" s="75">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35">
      <c r="A152" s="75">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35">
      <c r="A153" s="75">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35">
      <c r="A154" s="75">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35">
      <c r="A155" s="75">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35">
      <c r="A156" s="75">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35">
      <c r="A157" s="75">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35">
      <c r="A158" s="75">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35">
      <c r="A159" s="75">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35">
      <c r="A160" s="75">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35">
      <c r="A161" s="75">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35">
      <c r="A162" s="75">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35">
      <c r="A163" s="75">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35">
      <c r="A164" s="75">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35">
      <c r="A165" s="75">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35">
      <c r="A166" s="75">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35">
      <c r="A167" s="75">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35">
      <c r="A168" s="75">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35">
      <c r="A169" s="75">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35">
      <c r="A170" s="75">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35">
      <c r="A171" s="75">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35">
      <c r="A172" s="75">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35">
      <c r="A173" s="75">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35">
      <c r="A174" s="75">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35">
      <c r="A175" s="75">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35">
      <c r="A176" s="75">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35">
      <c r="A177" s="75">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35">
      <c r="A178" s="75">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35">
      <c r="A179" s="75">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35">
      <c r="A180" s="75">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35">
      <c r="A181" s="75">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35">
      <c r="A182" s="75">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35">
      <c r="A183" s="75">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35">
      <c r="A184" s="75">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35">
      <c r="A185" s="75">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35">
      <c r="A186" s="75">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35">
      <c r="A187" s="75">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35">
      <c r="A188" s="75">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35">
      <c r="A189" s="75">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35">
      <c r="A190" s="75">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35">
      <c r="A191" s="75">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35">
      <c r="A192" s="75">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35">
      <c r="A193" s="75">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35">
      <c r="A194" s="75">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35">
      <c r="A195" s="75">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35">
      <c r="A196" s="75">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35">
      <c r="A197" s="75">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35">
      <c r="A198" s="75">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35">
      <c r="A199" s="75">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35">
      <c r="A200" s="75">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35">
      <c r="A201" s="75">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35">
      <c r="A202" s="75">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35">
      <c r="A203" s="75">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35">
      <c r="A204" s="75">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35">
      <c r="A205" s="75">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35">
      <c r="A206" s="75">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35">
      <c r="A207" s="75">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35">
      <c r="A208" s="75">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35">
      <c r="A209" s="75">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35">
      <c r="A210" s="75">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35">
      <c r="A211" s="75">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35">
      <c r="A212" s="75">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35">
      <c r="A213" s="75">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35">
      <c r="A214" s="75">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35">
      <c r="A215" s="75">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35">
      <c r="A216" s="75">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35">
      <c r="A217" s="75">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35">
      <c r="A218" s="75">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35">
      <c r="A219" s="75">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35">
      <c r="A220" s="75">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35">
      <c r="A221" s="75">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35">
      <c r="A222" s="75">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35">
      <c r="A223" s="75">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35">
      <c r="A224" s="75">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35">
      <c r="A225" s="75">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35">
      <c r="A226" s="75">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35">
      <c r="A227" s="75">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35">
      <c r="A228" s="75">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35">
      <c r="A229" s="75">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35">
      <c r="A230" s="75">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35">
      <c r="A231" s="75">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35">
      <c r="A232" s="75">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35">
      <c r="A233" s="75">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35">
      <c r="A234" s="75">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35">
      <c r="A235" s="75">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35">
      <c r="A236" s="75">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35">
      <c r="A237" s="75">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35">
      <c r="A238" s="75">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35">
      <c r="A239" s="75">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35">
      <c r="A240" s="75">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35">
      <c r="A241" s="75">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35">
      <c r="A242" s="75">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35">
      <c r="A243" s="75">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35">
      <c r="A244" s="75">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35">
      <c r="A245" s="75">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35">
      <c r="A246" s="75">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35">
      <c r="A247" s="75">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35">
      <c r="A248" s="75">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35">
      <c r="A249" s="75">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35">
      <c r="A250" s="75">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35">
      <c r="A251" s="75">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35">
      <c r="A252" s="75">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35">
      <c r="A253" s="75">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35">
      <c r="A254" s="75">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16.044720000000002</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7.0627639999999996</v>
      </c>
      <c r="AN254">
        <v>5.1122839999999998</v>
      </c>
      <c r="AP254">
        <v>1.694515</v>
      </c>
      <c r="AU254">
        <v>12.766909999999999</v>
      </c>
      <c r="AV254">
        <v>6.4139000000000004E-5</v>
      </c>
      <c r="AW254">
        <v>15.948219999999999</v>
      </c>
      <c r="AX254">
        <v>1.7476449999999999</v>
      </c>
    </row>
    <row r="255" spans="1:50" x14ac:dyDescent="0.35">
      <c r="A255" s="75">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16.110810000000001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7.0888799999999996</v>
      </c>
      <c r="AN255">
        <v>5.1303320000000001</v>
      </c>
      <c r="AP255">
        <v>1.67279</v>
      </c>
      <c r="AU255">
        <v>12.94294</v>
      </c>
      <c r="AV255">
        <v>6.4478000000000002E-5</v>
      </c>
      <c r="AW255">
        <v>16.032609999999998</v>
      </c>
      <c r="AX255">
        <v>1.7476449999999999</v>
      </c>
    </row>
    <row r="256" spans="1:50" x14ac:dyDescent="0.35">
      <c r="A256" s="75">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16.19558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7.1271139999999997</v>
      </c>
      <c r="AN256">
        <v>5.1562510000000001</v>
      </c>
      <c r="AP256">
        <v>1.70834</v>
      </c>
      <c r="AU256">
        <v>13.03851</v>
      </c>
      <c r="AV256">
        <v>6.4562999999999998E-5</v>
      </c>
      <c r="AW256">
        <v>16.116990000000001</v>
      </c>
      <c r="AX256">
        <v>1.7476449999999999</v>
      </c>
    </row>
    <row r="257" spans="1:50" x14ac:dyDescent="0.35">
      <c r="A257" s="75">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16.319500000000001</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7.177975</v>
      </c>
      <c r="AN257">
        <v>5.1874010000000004</v>
      </c>
      <c r="AP257">
        <v>1.6984649999999999</v>
      </c>
      <c r="AU257">
        <v>13.06142</v>
      </c>
      <c r="AV257">
        <v>6.4690999999999994E-5</v>
      </c>
      <c r="AW257">
        <v>16.243559999999999</v>
      </c>
      <c r="AX257">
        <v>1.793636</v>
      </c>
    </row>
    <row r="258" spans="1:50" x14ac:dyDescent="0.35">
      <c r="A258" s="75">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16.348089999999999</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7.1885820000000002</v>
      </c>
      <c r="AN258">
        <v>5.1971679999999996</v>
      </c>
      <c r="AP258">
        <v>1.6797029999999999</v>
      </c>
      <c r="AU258">
        <v>13.10669</v>
      </c>
      <c r="AV258">
        <v>6.5073000000000005E-5</v>
      </c>
      <c r="AW258">
        <v>16.28575</v>
      </c>
      <c r="AX258">
        <v>1.793636</v>
      </c>
    </row>
    <row r="259" spans="1:50" x14ac:dyDescent="0.35">
      <c r="A259" s="75">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16.404730000000001</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7.212987</v>
      </c>
      <c r="AN259">
        <v>5.2139670000000002</v>
      </c>
      <c r="AP259">
        <v>1.6856279999999999</v>
      </c>
      <c r="AU259">
        <v>13.165369999999999</v>
      </c>
      <c r="AV259">
        <v>6.5753000000000006E-5</v>
      </c>
      <c r="AW259">
        <v>16.37013</v>
      </c>
      <c r="AX259">
        <v>1.793636</v>
      </c>
    </row>
    <row r="260" spans="1:50" x14ac:dyDescent="0.35">
      <c r="A260" s="75">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16.46593</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7.2451540000000003</v>
      </c>
      <c r="AN260">
        <v>5.2346120000000003</v>
      </c>
      <c r="AP260">
        <v>1.6984649999999999</v>
      </c>
      <c r="AU260">
        <v>13.268190000000001</v>
      </c>
      <c r="AV260">
        <v>6.5498000000000002E-5</v>
      </c>
      <c r="AW260">
        <v>16.454519999999999</v>
      </c>
      <c r="AX260">
        <v>1.793636</v>
      </c>
    </row>
    <row r="261" spans="1:50" x14ac:dyDescent="0.35">
      <c r="A261" s="75">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16.465910000000001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7.2525490000000001</v>
      </c>
      <c r="AN261">
        <v>5.2480349999999998</v>
      </c>
      <c r="AP261">
        <v>1.7122900000000001</v>
      </c>
      <c r="AU261">
        <v>13.31625</v>
      </c>
      <c r="AV261">
        <v>6.6007999999999995E-5</v>
      </c>
      <c r="AW261">
        <v>16.454519999999999</v>
      </c>
      <c r="AX261">
        <v>1.839626</v>
      </c>
    </row>
    <row r="262" spans="1:50" x14ac:dyDescent="0.35">
      <c r="A262" s="75">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16.555</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7.292116</v>
      </c>
      <c r="AN262">
        <v>5.270448</v>
      </c>
      <c r="AP262">
        <v>1.730064</v>
      </c>
      <c r="AU262">
        <v>13.35426</v>
      </c>
      <c r="AV262">
        <v>6.6644999999999996E-5</v>
      </c>
      <c r="AW262">
        <v>16.538900000000002</v>
      </c>
      <c r="AX262">
        <v>1.839626</v>
      </c>
    </row>
    <row r="263" spans="1:50" x14ac:dyDescent="0.35">
      <c r="A263" s="75">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16.661159999999999</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7.342854</v>
      </c>
      <c r="AN263">
        <v>5.3048080000000004</v>
      </c>
      <c r="AP263">
        <v>1.7399389999999999</v>
      </c>
      <c r="AU263">
        <v>13.419079999999999</v>
      </c>
      <c r="AV263">
        <v>6.7918999999999998E-5</v>
      </c>
      <c r="AW263">
        <v>16.623280000000001</v>
      </c>
      <c r="AX263">
        <v>1.839626</v>
      </c>
    </row>
    <row r="264" spans="1:50" x14ac:dyDescent="0.35">
      <c r="A264" s="75">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16.73573</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7.3760570000000003</v>
      </c>
      <c r="AN264">
        <v>5.3347059999999997</v>
      </c>
      <c r="AP264">
        <v>1.749814</v>
      </c>
      <c r="AU264">
        <v>13.518000000000001</v>
      </c>
      <c r="AV264">
        <v>6.8853E-5</v>
      </c>
      <c r="AW264">
        <v>16.707660000000001</v>
      </c>
      <c r="AX264">
        <v>1.839626</v>
      </c>
    </row>
    <row r="265" spans="1:50" x14ac:dyDescent="0.35">
      <c r="A265" s="75">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16.817499999999999</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7.4142200000000003</v>
      </c>
      <c r="AN265">
        <v>5.3617730000000003</v>
      </c>
      <c r="AP265">
        <v>1.761663</v>
      </c>
      <c r="AU265">
        <v>13.60183</v>
      </c>
      <c r="AV265">
        <v>6.9533E-5</v>
      </c>
      <c r="AW265">
        <v>16.79204</v>
      </c>
      <c r="AX265">
        <v>1.839626</v>
      </c>
    </row>
    <row r="266" spans="1:50" x14ac:dyDescent="0.35">
      <c r="A266" s="75">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16.891590000000001</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7.4574829999999999</v>
      </c>
      <c r="AN266">
        <v>5.411435</v>
      </c>
      <c r="AP266">
        <v>1.7952379999999999</v>
      </c>
      <c r="AU266">
        <v>14.010339999999999</v>
      </c>
      <c r="AV266">
        <v>7.0297999999999997E-5</v>
      </c>
      <c r="AW266">
        <v>16.79204</v>
      </c>
      <c r="AX266">
        <v>1.839626</v>
      </c>
    </row>
    <row r="267" spans="1:50" x14ac:dyDescent="0.35">
      <c r="A267" s="75">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16.952110000000001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7.4865550000000001</v>
      </c>
      <c r="AN267">
        <v>5.4426389999999998</v>
      </c>
      <c r="AP267">
        <v>1.8031379999999999</v>
      </c>
      <c r="AU267">
        <v>14.02543</v>
      </c>
      <c r="AV267">
        <v>7.1996999999999995E-5</v>
      </c>
      <c r="AW267">
        <v>16.834240000000001</v>
      </c>
      <c r="AX267">
        <v>1.839626</v>
      </c>
    </row>
    <row r="268" spans="1:50" x14ac:dyDescent="0.35">
      <c r="A268" s="75">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17.00891</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7.5170820000000003</v>
      </c>
      <c r="AN268">
        <v>5.4747630000000003</v>
      </c>
      <c r="AP268">
        <v>1.848562</v>
      </c>
      <c r="AU268">
        <v>14.060639999999999</v>
      </c>
      <c r="AV268">
        <v>7.2675999999999993E-5</v>
      </c>
      <c r="AW268">
        <v>16.876429999999999</v>
      </c>
      <c r="AX268">
        <v>1.8856170000000001</v>
      </c>
    </row>
    <row r="269" spans="1:50" x14ac:dyDescent="0.35">
      <c r="A269" s="75">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17.114329999999999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7.5676680000000003</v>
      </c>
      <c r="AN269">
        <v>5.5248439999999999</v>
      </c>
      <c r="AP269">
        <v>1.8732489999999999</v>
      </c>
      <c r="AU269">
        <v>14.03214</v>
      </c>
      <c r="AV269">
        <v>7.4289999999999995E-5</v>
      </c>
      <c r="AW269">
        <v>16.918620000000001</v>
      </c>
      <c r="AX269">
        <v>1.8856170000000001</v>
      </c>
    </row>
    <row r="270" spans="1:50" x14ac:dyDescent="0.35">
      <c r="A270" s="75">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17.191690000000001</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7.6004810000000003</v>
      </c>
      <c r="AN270">
        <v>5.553693</v>
      </c>
      <c r="AP270">
        <v>1.882136</v>
      </c>
      <c r="AU270">
        <v>13.984640000000001</v>
      </c>
      <c r="AV270">
        <v>7.4969999999999995E-5</v>
      </c>
      <c r="AW270">
        <v>17.003</v>
      </c>
      <c r="AX270">
        <v>1.8856170000000001</v>
      </c>
    </row>
    <row r="271" spans="1:50" x14ac:dyDescent="0.35">
      <c r="A271" s="75">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17.288150000000002</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7.6404290000000001</v>
      </c>
      <c r="AN271">
        <v>5.5776289999999999</v>
      </c>
      <c r="AP271">
        <v>1.892998</v>
      </c>
      <c r="AU271">
        <v>14.02543</v>
      </c>
      <c r="AV271">
        <v>7.6286999999999997E-5</v>
      </c>
      <c r="AW271">
        <v>17.129570000000001</v>
      </c>
      <c r="AX271">
        <v>1.8856170000000001</v>
      </c>
    </row>
    <row r="272" spans="1:50" x14ac:dyDescent="0.35">
      <c r="A272" s="75">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17.342310000000001</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7.675014</v>
      </c>
      <c r="AN272">
        <v>5.6109840000000002</v>
      </c>
      <c r="AP272">
        <v>1.9068229999999999</v>
      </c>
      <c r="AU272">
        <v>14.09361</v>
      </c>
      <c r="AV272">
        <v>8.0492000000000001E-5</v>
      </c>
      <c r="AW272">
        <v>17.171759999999999</v>
      </c>
      <c r="AX272">
        <v>1.8856170000000001</v>
      </c>
    </row>
    <row r="273" spans="1:50" x14ac:dyDescent="0.35">
      <c r="A273" s="75">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17.377659999999999</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7.6976000000000004</v>
      </c>
      <c r="AN273">
        <v>5.6280900000000003</v>
      </c>
      <c r="AP273">
        <v>1.913735</v>
      </c>
      <c r="AU273">
        <v>14.289210000000001</v>
      </c>
      <c r="AV273">
        <v>8.2572999999999997E-5</v>
      </c>
      <c r="AW273">
        <v>17.213950000000001</v>
      </c>
      <c r="AX273">
        <v>1.931608</v>
      </c>
    </row>
    <row r="274" spans="1:50" x14ac:dyDescent="0.35">
      <c r="A274" s="75">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17.44584</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7.7344749999999998</v>
      </c>
      <c r="AN274">
        <v>5.6597590000000002</v>
      </c>
      <c r="AP274">
        <v>1.9749589999999999</v>
      </c>
      <c r="AU274">
        <v>14.30542</v>
      </c>
      <c r="AV274">
        <v>8.3549999999999998E-5</v>
      </c>
      <c r="AW274">
        <v>17.213950000000001</v>
      </c>
      <c r="AX274">
        <v>1.931608</v>
      </c>
    </row>
    <row r="275" spans="1:50" x14ac:dyDescent="0.35">
      <c r="A275" s="75">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17.506879999999999</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7.7692839999999999</v>
      </c>
      <c r="AN275">
        <v>5.6959369999999998</v>
      </c>
      <c r="AP275">
        <v>2.0075460000000001</v>
      </c>
      <c r="AU275">
        <v>14.45072</v>
      </c>
      <c r="AV275">
        <v>8.5079000000000003E-5</v>
      </c>
      <c r="AW275">
        <v>17.256150000000002</v>
      </c>
      <c r="AX275">
        <v>1.977598</v>
      </c>
    </row>
    <row r="276" spans="1:50" x14ac:dyDescent="0.35">
      <c r="A276" s="75">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17.51219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7.7817740000000004</v>
      </c>
      <c r="AN276">
        <v>5.7271830000000001</v>
      </c>
      <c r="AP276">
        <v>2.0569199999999999</v>
      </c>
      <c r="AU276">
        <v>14.439539999999999</v>
      </c>
      <c r="AV276">
        <v>8.5928999999999997E-5</v>
      </c>
      <c r="AW276">
        <v>17.256150000000002</v>
      </c>
      <c r="AX276">
        <v>1.977598</v>
      </c>
    </row>
    <row r="277" spans="1:50" x14ac:dyDescent="0.35">
      <c r="A277" s="75">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17.584209999999999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7.8149699999999998</v>
      </c>
      <c r="AN277">
        <v>5.7539920000000002</v>
      </c>
      <c r="AP277">
        <v>2.0292699999999999</v>
      </c>
      <c r="AU277">
        <v>14.568630000000001</v>
      </c>
      <c r="AV277">
        <v>8.5801000000000001E-5</v>
      </c>
      <c r="AW277">
        <v>17.340530000000001</v>
      </c>
      <c r="AX277">
        <v>1.977598</v>
      </c>
    </row>
    <row r="278" spans="1:50" x14ac:dyDescent="0.35">
      <c r="A278" s="75">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17.63128</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7.8404870000000004</v>
      </c>
      <c r="AN278">
        <v>5.7887570000000004</v>
      </c>
      <c r="AP278">
        <v>2.0421079999999998</v>
      </c>
      <c r="AU278">
        <v>14.69773</v>
      </c>
      <c r="AV278">
        <v>8.5716000000000004E-5</v>
      </c>
      <c r="AW278">
        <v>17.340530000000001</v>
      </c>
      <c r="AX278">
        <v>1.977598</v>
      </c>
    </row>
    <row r="279" spans="1:50" x14ac:dyDescent="0.35">
      <c r="A279" s="75">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17.719539999999999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7.8797350000000002</v>
      </c>
      <c r="AN279">
        <v>5.816452</v>
      </c>
      <c r="AP279">
        <v>2.0776569999999999</v>
      </c>
      <c r="AU279">
        <v>14.75361</v>
      </c>
      <c r="AV279">
        <v>8.6862999999999998E-5</v>
      </c>
      <c r="AW279">
        <v>17.424910000000001</v>
      </c>
      <c r="AX279">
        <v>1.977598</v>
      </c>
    </row>
    <row r="280" spans="1:50" x14ac:dyDescent="0.35">
      <c r="A280" s="75">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17.79026</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7.9153849999999997</v>
      </c>
      <c r="AN280">
        <v>5.8458889999999997</v>
      </c>
      <c r="AP280">
        <v>2.0993810000000002</v>
      </c>
      <c r="AU280">
        <v>14.817880000000001</v>
      </c>
      <c r="AV280">
        <v>8.6947999999999995E-5</v>
      </c>
      <c r="AW280">
        <v>17.467099999999999</v>
      </c>
      <c r="AX280">
        <v>1.977598</v>
      </c>
    </row>
    <row r="281" spans="1:50" x14ac:dyDescent="0.35">
      <c r="A281" s="75">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17.86863</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7.952788</v>
      </c>
      <c r="AN281">
        <v>5.8739679999999996</v>
      </c>
      <c r="AP281">
        <v>2.0895069999999998</v>
      </c>
      <c r="AU281">
        <v>14.85421</v>
      </c>
      <c r="AV281">
        <v>8.7202999999999998E-5</v>
      </c>
      <c r="AW281">
        <v>17.50929</v>
      </c>
      <c r="AX281">
        <v>1.977598</v>
      </c>
    </row>
    <row r="282" spans="1:50" x14ac:dyDescent="0.35">
      <c r="A282" s="75">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17.922630000000002</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7.9807319999999997</v>
      </c>
      <c r="AN282">
        <v>5.9043619999999999</v>
      </c>
      <c r="AP282">
        <v>2.1546799999999999</v>
      </c>
      <c r="AU282">
        <v>14.92742</v>
      </c>
      <c r="AV282">
        <v>8.8350000000000006E-5</v>
      </c>
      <c r="AW282">
        <v>17.551480000000002</v>
      </c>
      <c r="AX282">
        <v>1.977598</v>
      </c>
    </row>
    <row r="283" spans="1:50" x14ac:dyDescent="0.35">
      <c r="A283" s="75">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17.976949999999999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8.0104839999999999</v>
      </c>
      <c r="AN283">
        <v>5.9386840000000003</v>
      </c>
      <c r="AP283">
        <v>2.1003690000000002</v>
      </c>
      <c r="AU283">
        <v>15.00454</v>
      </c>
      <c r="AV283">
        <v>9.1237999999999996E-5</v>
      </c>
      <c r="AW283">
        <v>17.593679999999999</v>
      </c>
      <c r="AX283">
        <v>1.977598</v>
      </c>
    </row>
    <row r="284" spans="1:50" x14ac:dyDescent="0.35">
      <c r="A284" s="75">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18.06682</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8.0541090000000004</v>
      </c>
      <c r="AN284">
        <v>5.9746860000000002</v>
      </c>
      <c r="AP284">
        <v>2.1141939999999999</v>
      </c>
      <c r="AU284">
        <v>15.092280000000001</v>
      </c>
      <c r="AV284">
        <v>9.2385000000000004E-5</v>
      </c>
      <c r="AW284">
        <v>17.678059999999999</v>
      </c>
      <c r="AX284">
        <v>2.0235889999999999</v>
      </c>
    </row>
    <row r="285" spans="1:50" x14ac:dyDescent="0.35">
      <c r="A285" s="75">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18.140129999999999</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8.0876479999999997</v>
      </c>
      <c r="AN285">
        <v>5.9993930000000004</v>
      </c>
      <c r="AP285">
        <v>2.1043189999999998</v>
      </c>
      <c r="AU285">
        <v>15.14648</v>
      </c>
      <c r="AV285">
        <v>9.2597999999999997E-5</v>
      </c>
      <c r="AW285">
        <v>17.72025</v>
      </c>
      <c r="AX285">
        <v>2.0695800000000002</v>
      </c>
    </row>
    <row r="286" spans="1:50" x14ac:dyDescent="0.35">
      <c r="A286" s="75">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18.229800000000001</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8.1322589999999995</v>
      </c>
      <c r="AN286">
        <v>6.0519299999999996</v>
      </c>
      <c r="AP286">
        <v>2.1398679999999999</v>
      </c>
      <c r="AU286">
        <v>15.21466</v>
      </c>
      <c r="AV286">
        <v>9.3573999999999996E-5</v>
      </c>
      <c r="AW286">
        <v>17.762440000000002</v>
      </c>
      <c r="AX286">
        <v>2.0695800000000002</v>
      </c>
    </row>
    <row r="287" spans="1:50" x14ac:dyDescent="0.35">
      <c r="A287" s="75">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18.340199999999999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8.1818229999999996</v>
      </c>
      <c r="AN287">
        <v>6.1032080000000004</v>
      </c>
      <c r="AP287">
        <v>2.1527050000000001</v>
      </c>
      <c r="AU287">
        <v>15.261609999999999</v>
      </c>
      <c r="AV287">
        <v>9.4424000000000003E-5</v>
      </c>
      <c r="AW287">
        <v>17.846820000000001</v>
      </c>
      <c r="AX287">
        <v>2.11557</v>
      </c>
    </row>
    <row r="288" spans="1:50" x14ac:dyDescent="0.35">
      <c r="A288" s="75">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18.393660000000001</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8.2061039999999998</v>
      </c>
      <c r="AN288">
        <v>6.1354829999999998</v>
      </c>
      <c r="AP288">
        <v>2.165543</v>
      </c>
      <c r="AU288">
        <v>15.266080000000001</v>
      </c>
      <c r="AV288">
        <v>9.4933999999999996E-5</v>
      </c>
      <c r="AW288">
        <v>17.889009999999999</v>
      </c>
      <c r="AX288">
        <v>2.11557</v>
      </c>
    </row>
    <row r="289" spans="1:50" x14ac:dyDescent="0.35">
      <c r="A289" s="75">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18.46698</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8.2415489999999991</v>
      </c>
      <c r="AN289">
        <v>6.169028</v>
      </c>
      <c r="AP289">
        <v>2.1951670000000001</v>
      </c>
      <c r="AU289">
        <v>15.478999999999999</v>
      </c>
      <c r="AV289">
        <v>9.5230999999999997E-5</v>
      </c>
      <c r="AW289">
        <v>17.9312</v>
      </c>
      <c r="AX289">
        <v>2.11557</v>
      </c>
    </row>
    <row r="290" spans="1:50" x14ac:dyDescent="0.35">
      <c r="A290" s="75">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18.56427</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8.2944440000000004</v>
      </c>
      <c r="AN290">
        <v>6.2193019999999999</v>
      </c>
      <c r="AP290">
        <v>2.2376290000000001</v>
      </c>
      <c r="AU290">
        <v>15.541029999999999</v>
      </c>
      <c r="AV290">
        <v>9.6207999999999998E-5</v>
      </c>
      <c r="AW290">
        <v>17.973389999999998</v>
      </c>
      <c r="AX290">
        <v>2.11557</v>
      </c>
    </row>
    <row r="291" spans="1:50" x14ac:dyDescent="0.35">
      <c r="A291" s="75">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18.695119999999999</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8.3503070000000008</v>
      </c>
      <c r="AN291">
        <v>6.2579510000000003</v>
      </c>
      <c r="AP291">
        <v>2.3077399999999999</v>
      </c>
      <c r="AU291">
        <v>15.66733</v>
      </c>
      <c r="AV291">
        <v>9.6675000000000005E-5</v>
      </c>
      <c r="AW291">
        <v>18.099969999999999</v>
      </c>
      <c r="AX291">
        <v>2.11557</v>
      </c>
    </row>
    <row r="292" spans="1:50" x14ac:dyDescent="0.35">
      <c r="A292" s="75">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18.886279999999999</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8.4283079999999995</v>
      </c>
      <c r="AN292">
        <v>6.3027189999999997</v>
      </c>
      <c r="AP292">
        <v>2.2860149999999999</v>
      </c>
      <c r="AU292">
        <v>15.722659999999999</v>
      </c>
      <c r="AV292">
        <v>9.6844999999999999E-5</v>
      </c>
      <c r="AW292">
        <v>18.268730000000001</v>
      </c>
      <c r="AX292">
        <v>2.1615609999999998</v>
      </c>
    </row>
    <row r="293" spans="1:50" x14ac:dyDescent="0.35">
      <c r="A293" s="75">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19.068919999999999</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8.5170569999999994</v>
      </c>
      <c r="AN293">
        <v>6.366187</v>
      </c>
      <c r="AP293">
        <v>2.3037899999999998</v>
      </c>
      <c r="AU293">
        <v>15.83555</v>
      </c>
      <c r="AV293">
        <v>9.7822E-5</v>
      </c>
      <c r="AW293">
        <v>18.395309999999998</v>
      </c>
      <c r="AX293">
        <v>2.207551</v>
      </c>
    </row>
    <row r="294" spans="1:50" x14ac:dyDescent="0.35">
      <c r="A294" s="75">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19.237590000000001</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8.5938630000000007</v>
      </c>
      <c r="AN294">
        <v>6.430148</v>
      </c>
      <c r="AP294">
        <v>2.3472390000000001</v>
      </c>
      <c r="AU294">
        <v>15.894220000000001</v>
      </c>
      <c r="AV294">
        <v>9.9479000000000001E-5</v>
      </c>
      <c r="AW294">
        <v>18.521879999999999</v>
      </c>
      <c r="AX294">
        <v>2.207551</v>
      </c>
    </row>
    <row r="295" spans="1:50" x14ac:dyDescent="0.35">
      <c r="A295" s="75">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19.358779999999999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8.6537269999999999</v>
      </c>
      <c r="AN295">
        <v>6.4843729999999997</v>
      </c>
      <c r="AP295">
        <v>2.353164</v>
      </c>
      <c r="AU295">
        <v>16.032820000000001</v>
      </c>
      <c r="AV295">
        <v>1.0224E-4</v>
      </c>
      <c r="AW295">
        <v>18.64845</v>
      </c>
      <c r="AX295">
        <v>2.207551</v>
      </c>
    </row>
    <row r="296" spans="1:50" x14ac:dyDescent="0.35">
      <c r="A296" s="75">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19.444790000000001</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8.7037259999999996</v>
      </c>
      <c r="AN296">
        <v>6.5155349999999999</v>
      </c>
      <c r="AP296">
        <v>2.3669880000000001</v>
      </c>
      <c r="AU296">
        <v>16.0915</v>
      </c>
      <c r="AV296">
        <v>1.02537E-4</v>
      </c>
      <c r="AW296">
        <v>18.690639999999998</v>
      </c>
      <c r="AX296">
        <v>2.2535419999999999</v>
      </c>
    </row>
    <row r="297" spans="1:50" x14ac:dyDescent="0.35">
      <c r="A297" s="75">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19.665849999999999</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8.7988630000000008</v>
      </c>
      <c r="AN297">
        <v>6.5502349999999998</v>
      </c>
      <c r="AP297">
        <v>2.3936500000000001</v>
      </c>
      <c r="AU297">
        <v>16.133410000000001</v>
      </c>
      <c r="AV297">
        <v>1.0368400000000001E-4</v>
      </c>
      <c r="AW297">
        <v>19.028169999999999</v>
      </c>
      <c r="AX297">
        <v>2.2535419999999999</v>
      </c>
    </row>
    <row r="298" spans="1:50" x14ac:dyDescent="0.35">
      <c r="A298" s="75">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19.795449999999999</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8.8757610000000007</v>
      </c>
      <c r="AN298">
        <v>6.6119180000000002</v>
      </c>
      <c r="AP298">
        <v>2.462774</v>
      </c>
      <c r="AU298">
        <v>16.185939999999999</v>
      </c>
      <c r="AV298">
        <v>1.08399E-4</v>
      </c>
      <c r="AW298">
        <v>19.070360000000001</v>
      </c>
      <c r="AX298">
        <v>2.2535419999999999</v>
      </c>
    </row>
    <row r="299" spans="1:50" x14ac:dyDescent="0.35">
      <c r="A299" s="75">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19.97139</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8.9707439999999998</v>
      </c>
      <c r="AN299">
        <v>6.6987329999999998</v>
      </c>
      <c r="AP299">
        <v>2.510173</v>
      </c>
      <c r="AU299">
        <v>16.3536</v>
      </c>
      <c r="AV299">
        <v>1.11075E-4</v>
      </c>
      <c r="AW299">
        <v>19.239129999999999</v>
      </c>
      <c r="AX299">
        <v>2.2995329999999998</v>
      </c>
    </row>
    <row r="300" spans="1:50" x14ac:dyDescent="0.35">
      <c r="A300" s="75">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20.134720000000002</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9.0483340000000005</v>
      </c>
      <c r="AN300">
        <v>6.7714020000000001</v>
      </c>
      <c r="AP300">
        <v>2.5348600000000001</v>
      </c>
      <c r="AU300">
        <v>16.541930000000001</v>
      </c>
      <c r="AV300">
        <v>1.1230600000000001E-4</v>
      </c>
      <c r="AW300">
        <v>19.3657</v>
      </c>
      <c r="AX300">
        <v>2.2995329999999998</v>
      </c>
    </row>
    <row r="301" spans="1:50" x14ac:dyDescent="0.35">
      <c r="A301" s="75">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20.349820000000001</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9.1578630000000008</v>
      </c>
      <c r="AN301">
        <v>6.8435329999999999</v>
      </c>
      <c r="AP301">
        <v>2.6316329999999999</v>
      </c>
      <c r="AU301">
        <v>16.642520000000001</v>
      </c>
      <c r="AV301">
        <v>1.14048E-4</v>
      </c>
      <c r="AW301">
        <v>19.492270000000001</v>
      </c>
      <c r="AX301">
        <v>2.2995329999999998</v>
      </c>
    </row>
    <row r="302" spans="1:50" x14ac:dyDescent="0.35">
      <c r="A302" s="75">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20.650839999999999</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9.3013530000000006</v>
      </c>
      <c r="AN302">
        <v>6.9316180000000003</v>
      </c>
      <c r="AP302">
        <v>2.6711320000000001</v>
      </c>
      <c r="AU302">
        <v>16.843150000000001</v>
      </c>
      <c r="AV302">
        <v>1.15152E-4</v>
      </c>
      <c r="AW302">
        <v>19.66104</v>
      </c>
      <c r="AX302">
        <v>2.3455240000000002</v>
      </c>
    </row>
    <row r="303" spans="1:50" x14ac:dyDescent="0.35">
      <c r="A303" s="75">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20.97495</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9.4400510000000004</v>
      </c>
      <c r="AN303">
        <v>7.0168400000000002</v>
      </c>
      <c r="AP303">
        <v>2.84388</v>
      </c>
      <c r="AU303">
        <v>17.26285</v>
      </c>
      <c r="AV303">
        <v>1.15067E-4</v>
      </c>
      <c r="AW303">
        <v>19.914180000000002</v>
      </c>
      <c r="AX303">
        <v>2.3455240000000002</v>
      </c>
    </row>
    <row r="304" spans="1:50" x14ac:dyDescent="0.35">
      <c r="A304" s="75">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21.209949999999999</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9.557302</v>
      </c>
      <c r="AN304">
        <v>7.1158859999999997</v>
      </c>
      <c r="AP304">
        <v>2.942593</v>
      </c>
      <c r="AU304">
        <v>17.417090000000002</v>
      </c>
      <c r="AV304">
        <v>1.21481E-4</v>
      </c>
      <c r="AW304">
        <v>20.16733</v>
      </c>
      <c r="AX304">
        <v>2.3915139999999999</v>
      </c>
    </row>
    <row r="305" spans="1:50" x14ac:dyDescent="0.35">
      <c r="A305" s="75">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21.44623</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9.672167</v>
      </c>
      <c r="AN305">
        <v>7.2209599999999998</v>
      </c>
      <c r="AP305">
        <v>2.9190900000000002</v>
      </c>
      <c r="AU305">
        <v>17.32264</v>
      </c>
      <c r="AV305">
        <v>1.2334999999999999E-4</v>
      </c>
      <c r="AW305">
        <v>20.251709999999999</v>
      </c>
      <c r="AX305">
        <v>2.3915139999999999</v>
      </c>
    </row>
    <row r="306" spans="1:50" x14ac:dyDescent="0.35">
      <c r="A306" s="75">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21.68337</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9.7742719999999998</v>
      </c>
      <c r="AN306">
        <v>7.2980600000000004</v>
      </c>
      <c r="AP306">
        <v>2.9461189999999999</v>
      </c>
      <c r="AU306">
        <v>17.251110000000001</v>
      </c>
      <c r="AV306">
        <v>1.2543100000000001E-4</v>
      </c>
      <c r="AW306">
        <v>20.504860000000001</v>
      </c>
      <c r="AX306">
        <v>2.4375049999999998</v>
      </c>
    </row>
    <row r="307" spans="1:50" x14ac:dyDescent="0.35">
      <c r="A307" s="75">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21.862220000000001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9.8515680000000003</v>
      </c>
      <c r="AN307">
        <v>7.3609150000000003</v>
      </c>
      <c r="AP307">
        <v>2.9531700000000001</v>
      </c>
      <c r="AU307">
        <v>17.39753</v>
      </c>
      <c r="AV307">
        <v>1.27513E-4</v>
      </c>
      <c r="AW307">
        <v>20.67362</v>
      </c>
      <c r="AX307">
        <v>2.483495</v>
      </c>
    </row>
    <row r="308" spans="1:50" x14ac:dyDescent="0.35">
      <c r="A308" s="75">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22.08963</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9.9633800000000008</v>
      </c>
      <c r="AN308">
        <v>7.4343360000000001</v>
      </c>
      <c r="AP308">
        <v>2.9778479999999998</v>
      </c>
      <c r="AU308">
        <v>17.44727</v>
      </c>
      <c r="AV308">
        <v>1.2908400000000001E-4</v>
      </c>
      <c r="AW308">
        <v>20.842390000000002</v>
      </c>
      <c r="AX308">
        <v>2.483495</v>
      </c>
    </row>
    <row r="309" spans="1:50" x14ac:dyDescent="0.35">
      <c r="A309" s="75">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22.315770000000001</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10.06466</v>
      </c>
      <c r="AN309">
        <v>7.4957159999999998</v>
      </c>
      <c r="AP309">
        <v>3.083612</v>
      </c>
      <c r="AU309">
        <v>17.624980000000001</v>
      </c>
      <c r="AV309">
        <v>1.3014600000000001E-4</v>
      </c>
      <c r="AW309">
        <v>21.09553</v>
      </c>
      <c r="AX309">
        <v>2.5294859999999999</v>
      </c>
    </row>
    <row r="310" spans="1:50" x14ac:dyDescent="0.35">
      <c r="A310" s="75">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22.58644</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10.192299999999999</v>
      </c>
      <c r="AN310">
        <v>7.6001669999999999</v>
      </c>
      <c r="AP310">
        <v>3.2328570000000001</v>
      </c>
      <c r="AU310">
        <v>17.777550000000002</v>
      </c>
      <c r="AV310">
        <v>1.3341699999999999E-4</v>
      </c>
      <c r="AW310">
        <v>21.348680000000002</v>
      </c>
      <c r="AX310">
        <v>2.5754769999999998</v>
      </c>
    </row>
    <row r="311" spans="1:50" x14ac:dyDescent="0.35">
      <c r="A311" s="75">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22.878710000000002</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10.32813</v>
      </c>
      <c r="AN311">
        <v>7.6995199999999997</v>
      </c>
      <c r="AP311">
        <v>3.1447210000000001</v>
      </c>
      <c r="AU311">
        <v>18.328569999999999</v>
      </c>
      <c r="AV311">
        <v>1.3613500000000001E-4</v>
      </c>
      <c r="AW311">
        <v>21.559640000000002</v>
      </c>
      <c r="AX311">
        <v>2.5754769999999998</v>
      </c>
    </row>
    <row r="312" spans="1:50" x14ac:dyDescent="0.35">
      <c r="A312" s="75">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23.096440000000001</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10.43956</v>
      </c>
      <c r="AN312">
        <v>7.8019910000000001</v>
      </c>
      <c r="AP312">
        <v>3.1082909999999999</v>
      </c>
      <c r="AU312">
        <v>18.49455</v>
      </c>
      <c r="AV312">
        <v>1.39066E-4</v>
      </c>
      <c r="AW312">
        <v>21.728400000000001</v>
      </c>
      <c r="AX312">
        <v>2.6214680000000001</v>
      </c>
    </row>
    <row r="313" spans="1:50" x14ac:dyDescent="0.35">
      <c r="A313" s="75">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23.259260000000001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10.516</v>
      </c>
      <c r="AN313">
        <v>7.8655710000000001</v>
      </c>
      <c r="AP313">
        <v>3.1200420000000002</v>
      </c>
      <c r="AU313">
        <v>18.56944</v>
      </c>
      <c r="AV313">
        <v>1.4212400000000001E-4</v>
      </c>
      <c r="AW313">
        <v>21.89716</v>
      </c>
      <c r="AX313">
        <v>2.6214680000000001</v>
      </c>
    </row>
    <row r="314" spans="1:50" x14ac:dyDescent="0.35">
      <c r="A314" s="75">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23.454519999999999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10.62496</v>
      </c>
      <c r="AN314">
        <v>7.9768629999999998</v>
      </c>
      <c r="AP314">
        <v>3.2634110000000001</v>
      </c>
      <c r="AU314">
        <v>18.49399</v>
      </c>
      <c r="AV314">
        <v>1.43399E-4</v>
      </c>
      <c r="AW314">
        <v>21.981549999999999</v>
      </c>
      <c r="AX314">
        <v>2.6674579999999999</v>
      </c>
    </row>
    <row r="315" spans="1:50" x14ac:dyDescent="0.35">
      <c r="A315" s="75">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23.64188</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10.710710000000001</v>
      </c>
      <c r="AN315">
        <v>8.0573340000000009</v>
      </c>
      <c r="AP315">
        <v>3.2128800000000002</v>
      </c>
      <c r="AU315">
        <v>18.6812</v>
      </c>
      <c r="AV315">
        <v>1.49813E-4</v>
      </c>
      <c r="AW315">
        <v>22.150310000000001</v>
      </c>
      <c r="AX315">
        <v>2.7134490000000002</v>
      </c>
    </row>
    <row r="316" spans="1:50" x14ac:dyDescent="0.35">
      <c r="A316" s="75">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23.779109999999999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10.784800000000001</v>
      </c>
      <c r="AN316">
        <v>8.1366060000000004</v>
      </c>
      <c r="AP316">
        <v>3.3762259999999999</v>
      </c>
      <c r="AU316">
        <v>18.787939999999999</v>
      </c>
      <c r="AV316">
        <v>1.5291299999999999E-4</v>
      </c>
      <c r="AW316">
        <v>22.234690000000001</v>
      </c>
      <c r="AX316">
        <v>2.7134490000000002</v>
      </c>
    </row>
    <row r="317" spans="1:50" x14ac:dyDescent="0.35">
      <c r="A317" s="75">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24.018239999999999</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10.90076</v>
      </c>
      <c r="AN317">
        <v>8.2499319999999994</v>
      </c>
      <c r="AP317">
        <v>3.345672</v>
      </c>
      <c r="AU317">
        <v>18.825949999999999</v>
      </c>
      <c r="AV317">
        <v>1.5350800000000001E-4</v>
      </c>
      <c r="AW317">
        <v>22.31907</v>
      </c>
      <c r="AX317">
        <v>2.759439</v>
      </c>
    </row>
    <row r="318" spans="1:50" x14ac:dyDescent="0.35">
      <c r="A318" s="75">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24.235289999999999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11.00056</v>
      </c>
      <c r="AN318">
        <v>8.3514459999999993</v>
      </c>
      <c r="AP318">
        <v>3.356249</v>
      </c>
      <c r="AU318">
        <v>19.124929999999999</v>
      </c>
      <c r="AV318">
        <v>1.5465499999999999E-4</v>
      </c>
      <c r="AW318">
        <v>22.445650000000001</v>
      </c>
      <c r="AX318">
        <v>2.759439</v>
      </c>
    </row>
    <row r="319" spans="1:50" x14ac:dyDescent="0.35">
      <c r="A319" s="75">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24.423030000000001</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11.0844</v>
      </c>
      <c r="AN319">
        <v>8.4238040000000005</v>
      </c>
      <c r="AP319">
        <v>3.4573119999999999</v>
      </c>
      <c r="AU319">
        <v>19.244520000000001</v>
      </c>
      <c r="AV319">
        <v>1.5440000000000001E-4</v>
      </c>
      <c r="AW319">
        <v>22.614409999999999</v>
      </c>
      <c r="AX319">
        <v>2.8054299999999999</v>
      </c>
    </row>
    <row r="320" spans="1:50" x14ac:dyDescent="0.35">
      <c r="A320" s="75">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24.619959999999999</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11.1753</v>
      </c>
      <c r="AN320">
        <v>8.4726660000000003</v>
      </c>
      <c r="AP320">
        <v>3.4831660000000002</v>
      </c>
      <c r="AU320">
        <v>19.492090000000001</v>
      </c>
      <c r="AV320">
        <v>1.5457000000000001E-4</v>
      </c>
      <c r="AW320">
        <v>22.867560000000001</v>
      </c>
      <c r="AX320">
        <v>2.8514210000000002</v>
      </c>
    </row>
    <row r="321" spans="1:50" x14ac:dyDescent="0.35">
      <c r="A321" s="75">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24.67231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11.210039999999999</v>
      </c>
      <c r="AN321">
        <v>8.5098819999999993</v>
      </c>
      <c r="AP321">
        <v>3.4326340000000002</v>
      </c>
      <c r="AU321">
        <v>19.7011</v>
      </c>
      <c r="AV321">
        <v>1.5508000000000001E-4</v>
      </c>
      <c r="AW321">
        <v>22.909749999999999</v>
      </c>
      <c r="AX321">
        <v>2.8514210000000002</v>
      </c>
    </row>
    <row r="322" spans="1:50" x14ac:dyDescent="0.35">
      <c r="A322" s="75">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24.874310000000001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11.31273</v>
      </c>
      <c r="AN322">
        <v>8.5922230000000006</v>
      </c>
      <c r="AP322">
        <v>3.5901049999999999</v>
      </c>
      <c r="AU322">
        <v>19.75084</v>
      </c>
      <c r="AV322">
        <v>1.57076E-4</v>
      </c>
      <c r="AW322">
        <v>23.03632</v>
      </c>
      <c r="AX322">
        <v>2.897411</v>
      </c>
    </row>
    <row r="323" spans="1:50" x14ac:dyDescent="0.35">
      <c r="A323" s="75">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25.063300000000002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11.409409999999999</v>
      </c>
      <c r="AN323">
        <v>8.6566740000000006</v>
      </c>
      <c r="AP323">
        <v>3.5595509999999999</v>
      </c>
      <c r="AU323">
        <v>19.959849999999999</v>
      </c>
      <c r="AV323">
        <v>1.6081400000000001E-4</v>
      </c>
      <c r="AW323">
        <v>23.1629</v>
      </c>
      <c r="AX323">
        <v>2.897411</v>
      </c>
    </row>
    <row r="324" spans="1:50" x14ac:dyDescent="0.35">
      <c r="A324" s="75">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25.218170000000001</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11.478899999999999</v>
      </c>
      <c r="AN324">
        <v>8.722899</v>
      </c>
      <c r="AP324">
        <v>3.5666020000000001</v>
      </c>
      <c r="AU324">
        <v>20.163270000000001</v>
      </c>
      <c r="AV324">
        <v>1.6297999999999999E-4</v>
      </c>
      <c r="AW324">
        <v>23.331659999999999</v>
      </c>
      <c r="AX324">
        <v>2.9434019999999999</v>
      </c>
    </row>
    <row r="325" spans="1:50" x14ac:dyDescent="0.35">
      <c r="A325" s="75">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25.328209999999999</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11.54124</v>
      </c>
      <c r="AN325">
        <v>8.7965450000000001</v>
      </c>
      <c r="AP325">
        <v>3.788707</v>
      </c>
      <c r="AU325">
        <v>20.218599999999999</v>
      </c>
      <c r="AV325">
        <v>1.65231E-4</v>
      </c>
      <c r="AW325">
        <v>23.416039999999999</v>
      </c>
      <c r="AX325">
        <v>2.9434019999999999</v>
      </c>
    </row>
    <row r="326" spans="1:50" x14ac:dyDescent="0.35">
      <c r="A326" s="75">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25.504079999999998</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11.651350000000001</v>
      </c>
      <c r="AN326">
        <v>8.9080359999999992</v>
      </c>
      <c r="AP326">
        <v>4.0378400000000001</v>
      </c>
      <c r="AU326">
        <v>20.514230000000001</v>
      </c>
      <c r="AV326">
        <v>1.7113600000000001E-4</v>
      </c>
      <c r="AW326">
        <v>23.45823</v>
      </c>
      <c r="AX326">
        <v>2.9434019999999999</v>
      </c>
    </row>
    <row r="327" spans="1:50" x14ac:dyDescent="0.35">
      <c r="A327" s="75">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25.679860000000001</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11.73536</v>
      </c>
      <c r="AN327">
        <v>8.9937070000000006</v>
      </c>
      <c r="AP327">
        <v>3.8897699999999999</v>
      </c>
      <c r="AU327">
        <v>20.674060000000001</v>
      </c>
      <c r="AV327">
        <v>1.74916E-4</v>
      </c>
      <c r="AW327">
        <v>23.542619999999999</v>
      </c>
      <c r="AX327">
        <v>2.9893930000000002</v>
      </c>
    </row>
    <row r="328" spans="1:50" x14ac:dyDescent="0.35">
      <c r="A328" s="75">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25.794750000000001</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11.80864</v>
      </c>
      <c r="AN328">
        <v>9.0901060000000005</v>
      </c>
      <c r="AP328">
        <v>3.9931839999999998</v>
      </c>
      <c r="AU328">
        <v>20.87189</v>
      </c>
      <c r="AV328">
        <v>1.76785E-4</v>
      </c>
      <c r="AW328">
        <v>23.584810000000001</v>
      </c>
      <c r="AX328">
        <v>3.0353829999999999</v>
      </c>
    </row>
    <row r="329" spans="1:50" x14ac:dyDescent="0.35">
      <c r="A329" s="75">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26.042860000000001</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11.92384</v>
      </c>
      <c r="AN329">
        <v>9.1966490000000007</v>
      </c>
      <c r="AP329">
        <v>3.7734299999999998</v>
      </c>
      <c r="AU329">
        <v>21.027249999999999</v>
      </c>
      <c r="AV329">
        <v>1.7708200000000001E-4</v>
      </c>
      <c r="AW329">
        <v>23.66919</v>
      </c>
      <c r="AX329">
        <v>3.0813739999999998</v>
      </c>
    </row>
    <row r="330" spans="1:50" x14ac:dyDescent="0.35">
      <c r="A330" s="75">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26.231629999999999</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12.01768</v>
      </c>
      <c r="AN330">
        <v>9.2906840000000006</v>
      </c>
      <c r="AP330">
        <v>3.6617899999999999</v>
      </c>
      <c r="AU330">
        <v>21.210550000000001</v>
      </c>
      <c r="AV330">
        <v>1.7784699999999999E-4</v>
      </c>
      <c r="AW330">
        <v>23.837949999999999</v>
      </c>
      <c r="AX330">
        <v>3.0813739999999998</v>
      </c>
    </row>
    <row r="331" spans="1:50" x14ac:dyDescent="0.35">
      <c r="A331" s="75">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26.343710000000002</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12.07122</v>
      </c>
      <c r="AN331">
        <v>9.3314160000000008</v>
      </c>
      <c r="AP331">
        <v>3.8968210000000001</v>
      </c>
      <c r="AU331">
        <v>21.388269999999999</v>
      </c>
      <c r="AV331">
        <v>1.8018299999999999E-4</v>
      </c>
      <c r="AW331">
        <v>23.96453</v>
      </c>
      <c r="AX331">
        <v>3.1273650000000002</v>
      </c>
    </row>
    <row r="332" spans="1:50" x14ac:dyDescent="0.35">
      <c r="A332" s="75">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26.46941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12.142239999999999</v>
      </c>
      <c r="AN332">
        <v>9.3736999999999995</v>
      </c>
      <c r="AP332">
        <v>4.219989</v>
      </c>
      <c r="AU332">
        <v>21.414539999999999</v>
      </c>
      <c r="AV332">
        <v>1.81585E-4</v>
      </c>
      <c r="AW332">
        <v>24.091100000000001</v>
      </c>
      <c r="AX332">
        <v>3.1273650000000002</v>
      </c>
    </row>
    <row r="333" spans="1:50" x14ac:dyDescent="0.35">
      <c r="A333" s="75">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26.587779999999999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12.20393</v>
      </c>
      <c r="AN333">
        <v>9.4475429999999996</v>
      </c>
      <c r="AP333">
        <v>4.2963740000000001</v>
      </c>
      <c r="AU333">
        <v>21.545860000000001</v>
      </c>
      <c r="AV333">
        <v>1.8413300000000001E-4</v>
      </c>
      <c r="AW333">
        <v>24.217669999999998</v>
      </c>
      <c r="AX333">
        <v>3.2193459999999998</v>
      </c>
    </row>
    <row r="334" spans="1:50" x14ac:dyDescent="0.35">
      <c r="A334" s="75">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26.818650000000002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12.32915</v>
      </c>
      <c r="AN334">
        <v>9.5509839999999997</v>
      </c>
      <c r="AP334">
        <v>4.4162410000000003</v>
      </c>
      <c r="AU334">
        <v>21.582190000000001</v>
      </c>
      <c r="AV334">
        <v>1.8744599999999999E-4</v>
      </c>
      <c r="AW334">
        <v>24.302050000000001</v>
      </c>
      <c r="AX334">
        <v>3.2193459999999998</v>
      </c>
    </row>
    <row r="335" spans="1:50" x14ac:dyDescent="0.35">
      <c r="A335" s="75">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27.034649999999999</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12.473509999999999</v>
      </c>
      <c r="AN335">
        <v>9.674417</v>
      </c>
      <c r="AP335">
        <v>4.5654849999999998</v>
      </c>
      <c r="AU335">
        <v>21.888999999999999</v>
      </c>
      <c r="AV335">
        <v>1.90292E-4</v>
      </c>
      <c r="AW335">
        <v>24.428629999999998</v>
      </c>
      <c r="AX335">
        <v>3.2193459999999998</v>
      </c>
    </row>
    <row r="336" spans="1:50" x14ac:dyDescent="0.35">
      <c r="A336" s="75">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27.166450000000001</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12.562469999999999</v>
      </c>
      <c r="AN336">
        <v>9.7737590000000001</v>
      </c>
      <c r="AP336">
        <v>4.6254189999999999</v>
      </c>
      <c r="AU336">
        <v>22.058890000000002</v>
      </c>
      <c r="AV336">
        <v>1.9131199999999999E-4</v>
      </c>
      <c r="AW336">
        <v>24.47082</v>
      </c>
      <c r="AX336">
        <v>3.2193459999999998</v>
      </c>
    </row>
    <row r="337" spans="1:50" x14ac:dyDescent="0.35">
      <c r="A337" s="75">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27.30339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12.64794</v>
      </c>
      <c r="AN337">
        <v>9.8435389999999998</v>
      </c>
      <c r="AP337">
        <v>4.8157940000000004</v>
      </c>
      <c r="AU337">
        <v>22.0913</v>
      </c>
      <c r="AV337">
        <v>1.97173E-4</v>
      </c>
      <c r="AW337">
        <v>24.555199999999999</v>
      </c>
      <c r="AX337">
        <v>3.2653370000000002</v>
      </c>
    </row>
    <row r="338" spans="1:50" x14ac:dyDescent="0.35">
      <c r="A338" s="75">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27.530930000000001</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12.77755</v>
      </c>
      <c r="AN338">
        <v>9.9685059999999996</v>
      </c>
      <c r="AP338">
        <v>4.7958160000000003</v>
      </c>
      <c r="AU338">
        <v>22.36458</v>
      </c>
      <c r="AV338">
        <v>1.9849000000000001E-4</v>
      </c>
      <c r="AW338">
        <v>24.68177</v>
      </c>
      <c r="AX338">
        <v>3.3113269999999999</v>
      </c>
    </row>
    <row r="339" spans="1:50" x14ac:dyDescent="0.35">
      <c r="A339" s="75">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27.787379999999999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12.90455</v>
      </c>
      <c r="AN339">
        <v>10.065480000000001</v>
      </c>
      <c r="AP339">
        <v>4.930167</v>
      </c>
      <c r="AU339">
        <v>22.645119999999999</v>
      </c>
      <c r="AV339">
        <v>2.0159099999999999E-4</v>
      </c>
      <c r="AW339">
        <v>24.934920000000002</v>
      </c>
      <c r="AX339">
        <v>3.3113269999999999</v>
      </c>
    </row>
    <row r="340" spans="1:50" x14ac:dyDescent="0.35">
      <c r="A340" s="75">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27.980869999999999</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13.018000000000001</v>
      </c>
      <c r="AN340">
        <v>10.173159999999999</v>
      </c>
      <c r="AP340">
        <v>5.3182910000000003</v>
      </c>
      <c r="AU340">
        <v>22.857479999999999</v>
      </c>
      <c r="AV340">
        <v>2.0664500000000001E-4</v>
      </c>
      <c r="AW340">
        <v>25.10369</v>
      </c>
      <c r="AX340">
        <v>3.3573179999999998</v>
      </c>
    </row>
    <row r="341" spans="1:50" x14ac:dyDescent="0.35">
      <c r="A341" s="75">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28.280940000000001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13.170579999999999</v>
      </c>
      <c r="AN341">
        <v>10.306010000000001</v>
      </c>
      <c r="AP341">
        <v>5.4994149999999999</v>
      </c>
      <c r="AU341">
        <v>23.129079999999998</v>
      </c>
      <c r="AV341">
        <v>2.0915199999999999E-4</v>
      </c>
      <c r="AW341">
        <v>25.314640000000001</v>
      </c>
      <c r="AX341">
        <v>3.4492989999999999</v>
      </c>
    </row>
    <row r="342" spans="1:50" x14ac:dyDescent="0.35">
      <c r="A342" s="75">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28.471959999999999</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13.262600000000001</v>
      </c>
      <c r="AN342">
        <v>10.38688</v>
      </c>
      <c r="AP342">
        <v>5.5392219999999996</v>
      </c>
      <c r="AU342">
        <v>23.411860000000001</v>
      </c>
      <c r="AV342">
        <v>2.1250699999999999E-4</v>
      </c>
      <c r="AW342">
        <v>25.441210000000002</v>
      </c>
      <c r="AX342">
        <v>3.4492989999999999</v>
      </c>
    </row>
    <row r="343" spans="1:50" x14ac:dyDescent="0.35">
      <c r="A343" s="75">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28.62473</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13.349819999999999</v>
      </c>
      <c r="AN343">
        <v>10.478</v>
      </c>
      <c r="AP343">
        <v>5.5332509999999999</v>
      </c>
      <c r="AU343">
        <v>23.937740000000002</v>
      </c>
      <c r="AV343">
        <v>2.13909E-4</v>
      </c>
      <c r="AW343">
        <v>25.60998</v>
      </c>
      <c r="AX343">
        <v>3.4492989999999999</v>
      </c>
    </row>
    <row r="344" spans="1:50" x14ac:dyDescent="0.35">
      <c r="A344" s="75">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28.72578</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13.430580000000001</v>
      </c>
      <c r="AN344">
        <v>10.552580000000001</v>
      </c>
      <c r="AP344">
        <v>5.5372320000000004</v>
      </c>
      <c r="AU344">
        <v>24.15401</v>
      </c>
      <c r="AV344">
        <v>2.2163900000000001E-4</v>
      </c>
      <c r="AW344">
        <v>25.736550000000001</v>
      </c>
      <c r="AX344">
        <v>3.4952899999999998</v>
      </c>
    </row>
    <row r="345" spans="1:50" x14ac:dyDescent="0.35">
      <c r="A345" s="75">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28.820599999999999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13.504149999999999</v>
      </c>
      <c r="AN345">
        <v>10.629339999999999</v>
      </c>
      <c r="AP345">
        <v>5.6168469999999999</v>
      </c>
      <c r="AU345">
        <v>24.22052</v>
      </c>
      <c r="AV345">
        <v>2.2592900000000001E-4</v>
      </c>
      <c r="AW345">
        <v>25.820930000000001</v>
      </c>
      <c r="AX345">
        <v>3.5412810000000001</v>
      </c>
    </row>
    <row r="346" spans="1:50" x14ac:dyDescent="0.35">
      <c r="A346" s="75">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28.999169999999999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13.613350000000001</v>
      </c>
      <c r="AN346">
        <v>10.735900000000001</v>
      </c>
      <c r="AP346">
        <v>5.5969429999999996</v>
      </c>
      <c r="AU346">
        <v>24.469760000000001</v>
      </c>
      <c r="AV346">
        <v>2.42453E-4</v>
      </c>
      <c r="AW346">
        <v>25.90532</v>
      </c>
      <c r="AX346">
        <v>3.5412810000000001</v>
      </c>
    </row>
    <row r="347" spans="1:50" x14ac:dyDescent="0.35">
      <c r="A347" s="75">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29.136600000000001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13.7143</v>
      </c>
      <c r="AN347">
        <v>10.847860000000001</v>
      </c>
      <c r="AP347">
        <v>5.7143759999999997</v>
      </c>
      <c r="AU347">
        <v>24.61562</v>
      </c>
      <c r="AV347">
        <v>2.59953E-4</v>
      </c>
      <c r="AW347">
        <v>25.989699999999999</v>
      </c>
      <c r="AX347">
        <v>3.5872709999999999</v>
      </c>
    </row>
    <row r="348" spans="1:50" x14ac:dyDescent="0.35">
      <c r="A348" s="75">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29.218979999999998</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13.782489999999999</v>
      </c>
      <c r="AN348">
        <v>10.937609999999999</v>
      </c>
      <c r="AP348">
        <v>5.7820489999999998</v>
      </c>
      <c r="AU348">
        <v>24.810099999999998</v>
      </c>
      <c r="AV348">
        <v>2.7728300000000002E-4</v>
      </c>
      <c r="AW348">
        <v>26.11627</v>
      </c>
      <c r="AX348">
        <v>3.5872709999999999</v>
      </c>
    </row>
    <row r="349" spans="1:50" x14ac:dyDescent="0.35">
      <c r="A349" s="75">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29.30538</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13.84835</v>
      </c>
      <c r="AN349">
        <v>11.010300000000001</v>
      </c>
      <c r="AP349">
        <v>5.8964949999999998</v>
      </c>
      <c r="AU349">
        <v>24.973839999999999</v>
      </c>
      <c r="AV349">
        <v>2.8938899999999998E-4</v>
      </c>
      <c r="AW349">
        <v>26.20065</v>
      </c>
      <c r="AX349">
        <v>3.6332620000000002</v>
      </c>
    </row>
    <row r="350" spans="1:50" x14ac:dyDescent="0.35">
      <c r="A350" s="75">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29.483540000000001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13.96508</v>
      </c>
      <c r="AN350">
        <v>11.11463</v>
      </c>
      <c r="AP350">
        <v>6.039803</v>
      </c>
      <c r="AU350">
        <v>25.4986</v>
      </c>
      <c r="AV350">
        <v>3.0094200000000001E-4</v>
      </c>
      <c r="AW350">
        <v>26.369420000000002</v>
      </c>
      <c r="AX350">
        <v>3.6792530000000001</v>
      </c>
    </row>
    <row r="351" spans="1:50" x14ac:dyDescent="0.35">
      <c r="A351" s="75">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29.67193</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14.07114</v>
      </c>
      <c r="AN351">
        <v>11.20689</v>
      </c>
      <c r="AP351">
        <v>6.0557259999999999</v>
      </c>
      <c r="AU351">
        <v>25.78753</v>
      </c>
      <c r="AV351">
        <v>3.16955E-4</v>
      </c>
      <c r="AW351">
        <v>26.538180000000001</v>
      </c>
      <c r="AX351">
        <v>3.6792530000000001</v>
      </c>
    </row>
    <row r="352" spans="1:50" x14ac:dyDescent="0.35">
      <c r="A352" s="75">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29.899180000000001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14.183540000000001</v>
      </c>
      <c r="AN352">
        <v>11.29734</v>
      </c>
      <c r="AP352">
        <v>6.1104609999999999</v>
      </c>
      <c r="AU352">
        <v>25.795349999999999</v>
      </c>
      <c r="AV352">
        <v>3.2286000000000001E-4</v>
      </c>
      <c r="AW352">
        <v>26.749140000000001</v>
      </c>
      <c r="AX352">
        <v>3.6792530000000001</v>
      </c>
    </row>
    <row r="353" spans="1:50" x14ac:dyDescent="0.35">
      <c r="A353" s="75">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30.15099</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14.322649999999999</v>
      </c>
      <c r="AN353">
        <v>11.42708</v>
      </c>
      <c r="AP353">
        <v>6.4856470000000002</v>
      </c>
      <c r="AU353">
        <v>25.95965</v>
      </c>
      <c r="AV353">
        <v>3.3250199999999998E-4</v>
      </c>
      <c r="AW353">
        <v>26.960090000000001</v>
      </c>
      <c r="AX353">
        <v>3.7712340000000002</v>
      </c>
    </row>
    <row r="354" spans="1:50" x14ac:dyDescent="0.35">
      <c r="A354" s="75">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30.390930000000001</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14.44576</v>
      </c>
      <c r="AN354">
        <v>11.52238</v>
      </c>
      <c r="AP354">
        <v>6.5563060000000002</v>
      </c>
      <c r="AU354">
        <v>26.09937</v>
      </c>
      <c r="AV354">
        <v>3.49704E-4</v>
      </c>
      <c r="AW354">
        <v>27.213239999999999</v>
      </c>
      <c r="AX354">
        <v>3.7712340000000002</v>
      </c>
    </row>
    <row r="355" spans="1:50" x14ac:dyDescent="0.35">
      <c r="A355" s="75">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30.608809999999998</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14.561450000000001</v>
      </c>
      <c r="AN355">
        <v>11.61117</v>
      </c>
      <c r="AP355">
        <v>6.5612820000000003</v>
      </c>
      <c r="AU355">
        <v>26.126750000000001</v>
      </c>
      <c r="AV355">
        <v>3.64061E-4</v>
      </c>
      <c r="AW355">
        <v>27.508579999999998</v>
      </c>
      <c r="AX355">
        <v>3.7712340000000002</v>
      </c>
    </row>
    <row r="356" spans="1:50" x14ac:dyDescent="0.35">
      <c r="A356" s="75">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30.799759999999999</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14.680389999999999</v>
      </c>
      <c r="AN356">
        <v>11.70126</v>
      </c>
      <c r="AP356">
        <v>6.6856799999999996</v>
      </c>
      <c r="AU356">
        <v>26.238520000000001</v>
      </c>
      <c r="AV356">
        <v>3.7786599999999998E-4</v>
      </c>
      <c r="AW356">
        <v>27.719529999999999</v>
      </c>
      <c r="AX356">
        <v>3.9092060000000002</v>
      </c>
    </row>
    <row r="357" spans="1:50" x14ac:dyDescent="0.35">
      <c r="A357" s="75">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30.918970000000002</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14.75305</v>
      </c>
      <c r="AN357">
        <v>11.76843</v>
      </c>
      <c r="AP357">
        <v>6.7603200000000001</v>
      </c>
      <c r="AU357">
        <v>26.2212</v>
      </c>
      <c r="AV357">
        <v>3.8784799999999999E-4</v>
      </c>
      <c r="AW357">
        <v>27.8461</v>
      </c>
      <c r="AX357">
        <v>3.9551970000000001</v>
      </c>
    </row>
    <row r="358" spans="1:50" x14ac:dyDescent="0.35">
      <c r="A358" s="75">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31.12764</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14.871230000000001</v>
      </c>
      <c r="AN358">
        <v>11.86684</v>
      </c>
      <c r="AP358">
        <v>6.8558579999999996</v>
      </c>
      <c r="AU358">
        <v>26.405609999999999</v>
      </c>
      <c r="AV358">
        <v>4.05263E-4</v>
      </c>
      <c r="AW358">
        <v>28.05706</v>
      </c>
      <c r="AX358">
        <v>4.0011869999999998</v>
      </c>
    </row>
    <row r="359" spans="1:50" x14ac:dyDescent="0.35">
      <c r="A359" s="75">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31.34787</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15.003360000000001</v>
      </c>
      <c r="AN359">
        <v>11.97438</v>
      </c>
      <c r="AP359">
        <v>7.0638519999999998</v>
      </c>
      <c r="AU359">
        <v>26.540299999999998</v>
      </c>
      <c r="AV359">
        <v>4.2484400000000001E-4</v>
      </c>
      <c r="AW359">
        <v>28.310210000000001</v>
      </c>
      <c r="AX359">
        <v>4.0471779999999997</v>
      </c>
    </row>
    <row r="360" spans="1:50" x14ac:dyDescent="0.35">
      <c r="A360" s="75">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31.452539999999999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15.070489999999999</v>
      </c>
      <c r="AN360">
        <v>12.059530000000001</v>
      </c>
      <c r="AP360">
        <v>7.1454579999999996</v>
      </c>
      <c r="AU360">
        <v>26.647600000000001</v>
      </c>
      <c r="AV360">
        <v>4.3822400000000002E-4</v>
      </c>
      <c r="AW360">
        <v>28.436779999999999</v>
      </c>
      <c r="AX360">
        <v>4.0471779999999997</v>
      </c>
    </row>
    <row r="361" spans="1:50" x14ac:dyDescent="0.35">
      <c r="A361" s="75">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31.57236</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15.14194</v>
      </c>
      <c r="AN361">
        <v>12.13734</v>
      </c>
      <c r="AP361">
        <v>7.274832</v>
      </c>
      <c r="AU361">
        <v>26.814689999999999</v>
      </c>
      <c r="AV361">
        <v>4.4557199999999998E-4</v>
      </c>
      <c r="AW361">
        <v>28.56335</v>
      </c>
      <c r="AX361">
        <v>4.0471779999999997</v>
      </c>
    </row>
    <row r="362" spans="1:50" x14ac:dyDescent="0.35">
      <c r="A362" s="75">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31.854890000000001</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15.30514</v>
      </c>
      <c r="AN362">
        <v>12.287459999999999</v>
      </c>
      <c r="AP362">
        <v>7.3325529999999999</v>
      </c>
      <c r="AU362">
        <v>26.99297</v>
      </c>
      <c r="AV362">
        <v>4.5597900000000002E-4</v>
      </c>
      <c r="AW362">
        <v>28.816500000000001</v>
      </c>
      <c r="AX362">
        <v>4.0931689999999996</v>
      </c>
    </row>
    <row r="363" spans="1:50" x14ac:dyDescent="0.35">
      <c r="A363" s="75">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32.12312</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15.44115</v>
      </c>
      <c r="AN363">
        <v>12.385949999999999</v>
      </c>
      <c r="AP363">
        <v>7.4559559999999996</v>
      </c>
      <c r="AU363">
        <v>27.212589999999999</v>
      </c>
      <c r="AV363">
        <v>4.6617300000000001E-4</v>
      </c>
      <c r="AW363">
        <v>29.154029999999999</v>
      </c>
      <c r="AX363">
        <v>4.1391590000000003</v>
      </c>
    </row>
    <row r="364" spans="1:50" x14ac:dyDescent="0.35">
      <c r="A364" s="75">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32.428220000000003</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15.59333</v>
      </c>
      <c r="AN364">
        <v>12.50521</v>
      </c>
      <c r="AP364">
        <v>7.5753789999999999</v>
      </c>
      <c r="AU364">
        <v>27.351749999999999</v>
      </c>
      <c r="AV364">
        <v>4.7781199999999998E-4</v>
      </c>
      <c r="AW364">
        <v>29.449359999999999</v>
      </c>
      <c r="AX364">
        <v>4.1851500000000001</v>
      </c>
    </row>
    <row r="365" spans="1:50" x14ac:dyDescent="0.35">
      <c r="A365" s="75">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32.779910000000001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15.78153</v>
      </c>
      <c r="AN365">
        <v>12.65616</v>
      </c>
      <c r="AP365">
        <v>7.7923309999999999</v>
      </c>
      <c r="AU365">
        <v>27.50487</v>
      </c>
      <c r="AV365">
        <v>5.0215000000000004E-4</v>
      </c>
      <c r="AW365">
        <v>29.78689</v>
      </c>
      <c r="AX365">
        <v>4.231141</v>
      </c>
    </row>
    <row r="366" spans="1:50" x14ac:dyDescent="0.35">
      <c r="A366" s="75">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33.118499999999997</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15.95331</v>
      </c>
      <c r="AN366">
        <v>12.775779999999999</v>
      </c>
      <c r="AP366">
        <v>8.0192340000000009</v>
      </c>
      <c r="AU366">
        <v>27.670850000000002</v>
      </c>
      <c r="AV366">
        <v>5.2428000000000002E-4</v>
      </c>
      <c r="AW366">
        <v>30.166609999999999</v>
      </c>
      <c r="AX366">
        <v>4.231141</v>
      </c>
    </row>
    <row r="367" spans="1:50" x14ac:dyDescent="0.35">
      <c r="A367" s="75">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33.416629999999998</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16.12895</v>
      </c>
      <c r="AN367">
        <v>12.956670000000001</v>
      </c>
      <c r="AP367">
        <v>8.0421230000000001</v>
      </c>
      <c r="AU367">
        <v>27.793800000000001</v>
      </c>
      <c r="AV367">
        <v>5.8102800000000003E-4</v>
      </c>
      <c r="AW367">
        <v>30.50414</v>
      </c>
      <c r="AX367">
        <v>4.2771309999999998</v>
      </c>
    </row>
    <row r="368" spans="1:50" x14ac:dyDescent="0.35">
      <c r="A368" s="75">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33.824869999999997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16.356819999999999</v>
      </c>
      <c r="AN368">
        <v>13.19477</v>
      </c>
      <c r="AP368">
        <v>8.0650119999999994</v>
      </c>
      <c r="AU368">
        <v>27.984359999999999</v>
      </c>
      <c r="AV368">
        <v>6.31362E-4</v>
      </c>
      <c r="AW368">
        <v>30.841670000000001</v>
      </c>
      <c r="AX368">
        <v>4.4610940000000001</v>
      </c>
    </row>
    <row r="369" spans="1:50" x14ac:dyDescent="0.35">
      <c r="A369" s="75">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34.026589999999999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16.473749999999999</v>
      </c>
      <c r="AN369">
        <v>13.312889999999999</v>
      </c>
      <c r="AP369">
        <v>8.2361850000000008</v>
      </c>
      <c r="AU369">
        <v>28.378350000000001</v>
      </c>
      <c r="AV369">
        <v>6.5773999999999997E-4</v>
      </c>
      <c r="AW369">
        <v>31.13701</v>
      </c>
      <c r="AX369">
        <v>4.5070839999999999</v>
      </c>
    </row>
    <row r="370" spans="1:50" x14ac:dyDescent="0.35">
      <c r="A370" s="75">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34.407899999999998</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16.668479999999999</v>
      </c>
      <c r="AN370">
        <v>13.48626</v>
      </c>
      <c r="AP370">
        <v>8.4173100000000005</v>
      </c>
      <c r="AU370">
        <v>28.501300000000001</v>
      </c>
      <c r="AV370">
        <v>6.8827999999999999E-4</v>
      </c>
      <c r="AW370">
        <v>31.474530000000001</v>
      </c>
      <c r="AX370">
        <v>4.5530749999999998</v>
      </c>
    </row>
    <row r="371" spans="1:50" x14ac:dyDescent="0.35">
      <c r="A371" s="75">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34.71602</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16.864599999999999</v>
      </c>
      <c r="AN371">
        <v>13.676679999999999</v>
      </c>
      <c r="AP371">
        <v>8.598433</v>
      </c>
      <c r="AU371">
        <v>28.77178</v>
      </c>
      <c r="AV371">
        <v>7.3585299999999996E-4</v>
      </c>
      <c r="AW371">
        <v>31.727679999999999</v>
      </c>
      <c r="AX371">
        <v>4.5990659999999997</v>
      </c>
    </row>
    <row r="372" spans="1:50" x14ac:dyDescent="0.35">
      <c r="A372" s="75">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34.970489999999998</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17.011099999999999</v>
      </c>
      <c r="AN372">
        <v>13.824490000000001</v>
      </c>
      <c r="AP372">
        <v>8.6889959999999995</v>
      </c>
      <c r="AU372">
        <v>29.189800000000002</v>
      </c>
      <c r="AV372">
        <v>7.7399599999999999E-4</v>
      </c>
      <c r="AW372">
        <v>32.023020000000002</v>
      </c>
      <c r="AX372">
        <v>4.5990659999999997</v>
      </c>
    </row>
    <row r="373" spans="1:50" x14ac:dyDescent="0.35">
      <c r="A373" s="75">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35.289900000000003</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17.192830000000001</v>
      </c>
      <c r="AN373">
        <v>13.98259</v>
      </c>
      <c r="AP373">
        <v>8.8024470000000008</v>
      </c>
      <c r="AU373">
        <v>29.43122</v>
      </c>
      <c r="AV373">
        <v>8.1022799999999997E-4</v>
      </c>
      <c r="AW373">
        <v>32.360550000000003</v>
      </c>
      <c r="AX373">
        <v>4.6450560000000003</v>
      </c>
    </row>
    <row r="374" spans="1:50" x14ac:dyDescent="0.35">
      <c r="A374" s="75">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35.803600000000003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17.514710000000001</v>
      </c>
      <c r="AN374">
        <v>14.292400000000001</v>
      </c>
      <c r="AP374">
        <v>8.8840529999999998</v>
      </c>
      <c r="AT374">
        <v>3.43517E-4</v>
      </c>
      <c r="AU374">
        <v>30.413679999999999</v>
      </c>
      <c r="AV374">
        <v>8.9458599999999995E-4</v>
      </c>
      <c r="AW374">
        <v>32.824649999999998</v>
      </c>
      <c r="AX374">
        <v>4.6450560000000003</v>
      </c>
    </row>
    <row r="375" spans="1:50" x14ac:dyDescent="0.35">
      <c r="A375" s="75">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36.271920000000001</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17.788150000000002</v>
      </c>
      <c r="AN375">
        <v>14.551170000000001</v>
      </c>
      <c r="AP375">
        <v>9.0492539999999995</v>
      </c>
      <c r="AT375">
        <v>3.5909499999999998E-4</v>
      </c>
      <c r="AU375">
        <v>30.876429999999999</v>
      </c>
      <c r="AV375">
        <v>1.0134759999999999E-3</v>
      </c>
      <c r="AW375">
        <v>33.28875</v>
      </c>
      <c r="AX375">
        <v>4.6910470000000002</v>
      </c>
    </row>
    <row r="376" spans="1:50" x14ac:dyDescent="0.35">
      <c r="A376" s="75">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36.68947</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18.005279999999999</v>
      </c>
      <c r="AN376">
        <v>14.70308</v>
      </c>
      <c r="AP376">
        <v>9.1646970000000003</v>
      </c>
      <c r="AT376">
        <v>3.6975300000000001E-4</v>
      </c>
      <c r="AU376">
        <v>31.032800000000002</v>
      </c>
      <c r="AV376">
        <v>1.0517040000000001E-3</v>
      </c>
      <c r="AW376">
        <v>33.79504</v>
      </c>
      <c r="AX376">
        <v>4.7370380000000001</v>
      </c>
    </row>
    <row r="377" spans="1:50" x14ac:dyDescent="0.35">
      <c r="A377" s="75">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37.17933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18.26032</v>
      </c>
      <c r="AN377">
        <v>14.92746</v>
      </c>
      <c r="AP377">
        <v>9.2263979999999997</v>
      </c>
      <c r="AT377">
        <v>3.7795100000000001E-4</v>
      </c>
      <c r="AU377">
        <v>31.24343</v>
      </c>
      <c r="AV377">
        <v>1.091886E-3</v>
      </c>
      <c r="AW377">
        <v>34.174759999999999</v>
      </c>
      <c r="AX377">
        <v>4.783029</v>
      </c>
    </row>
    <row r="378" spans="1:50" x14ac:dyDescent="0.35">
      <c r="A378" s="75">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37.515720000000002</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18.4358</v>
      </c>
      <c r="AN378">
        <v>15.05612</v>
      </c>
      <c r="AP378">
        <v>9.2164459999999995</v>
      </c>
      <c r="AT378">
        <v>3.8369000000000001E-4</v>
      </c>
      <c r="AU378">
        <v>31.342369999999999</v>
      </c>
      <c r="AV378">
        <v>1.124805E-3</v>
      </c>
      <c r="AW378">
        <v>34.51229</v>
      </c>
      <c r="AX378">
        <v>4.8290189999999997</v>
      </c>
    </row>
    <row r="379" spans="1:50" x14ac:dyDescent="0.35">
      <c r="A379" s="75">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37.836889999999997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18.616679999999999</v>
      </c>
      <c r="AN379">
        <v>15.19609</v>
      </c>
      <c r="AP379">
        <v>9.3129799999999996</v>
      </c>
      <c r="AT379">
        <v>3.9762800000000002E-4</v>
      </c>
      <c r="AU379">
        <v>31.425339999999998</v>
      </c>
      <c r="AV379">
        <v>1.169914E-3</v>
      </c>
      <c r="AW379">
        <v>34.892009999999999</v>
      </c>
      <c r="AX379">
        <v>4.9210000000000003</v>
      </c>
    </row>
    <row r="380" spans="1:50" x14ac:dyDescent="0.35">
      <c r="A380" s="75">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37.976649999999999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18.733599999999999</v>
      </c>
      <c r="AN380">
        <v>15.34756</v>
      </c>
      <c r="AP380">
        <v>9.4025470000000002</v>
      </c>
      <c r="AT380">
        <v>4.0582599999999997E-4</v>
      </c>
      <c r="AU380">
        <v>31.69023</v>
      </c>
      <c r="AV380">
        <v>1.194805E-3</v>
      </c>
      <c r="AW380">
        <v>34.892009999999999</v>
      </c>
      <c r="AX380">
        <v>5.012982</v>
      </c>
    </row>
    <row r="381" spans="1:50" x14ac:dyDescent="0.35">
      <c r="A381" s="75">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38.191400000000002</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18.868960000000001</v>
      </c>
      <c r="AN381">
        <v>15.466989999999999</v>
      </c>
      <c r="AP381">
        <v>9.4921129999999998</v>
      </c>
      <c r="AT381">
        <v>4.0254700000000001E-4</v>
      </c>
      <c r="AU381">
        <v>31.868939999999998</v>
      </c>
      <c r="AV381">
        <v>1.2377060000000001E-3</v>
      </c>
      <c r="AW381">
        <v>35.145159999999997</v>
      </c>
      <c r="AX381">
        <v>5.012982</v>
      </c>
    </row>
    <row r="382" spans="1:50" x14ac:dyDescent="0.35">
      <c r="A382" s="75">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38.542259999999999</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19.058730000000001</v>
      </c>
      <c r="AN382">
        <v>15.627700000000001</v>
      </c>
      <c r="AP382">
        <v>9.5080369999999998</v>
      </c>
      <c r="AT382">
        <v>4.1484399999999999E-4</v>
      </c>
      <c r="AU382">
        <v>32.775289999999998</v>
      </c>
      <c r="AV382">
        <v>1.2849389999999999E-3</v>
      </c>
      <c r="AW382">
        <v>35.440489999999997</v>
      </c>
      <c r="AX382">
        <v>5.1509539999999996</v>
      </c>
    </row>
    <row r="383" spans="1:50" x14ac:dyDescent="0.35">
      <c r="A383" s="75">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38.855370000000001</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19.253920000000001</v>
      </c>
      <c r="AN383">
        <v>15.79865</v>
      </c>
      <c r="AP383">
        <v>9.5946180000000005</v>
      </c>
      <c r="AT383">
        <v>4.3288099999999998E-4</v>
      </c>
      <c r="AU383">
        <v>33.241230000000002</v>
      </c>
      <c r="AV383">
        <v>1.344236E-3</v>
      </c>
      <c r="AW383">
        <v>35.778019999999998</v>
      </c>
      <c r="AX383">
        <v>5.2429350000000001</v>
      </c>
    </row>
    <row r="384" spans="1:50" x14ac:dyDescent="0.35">
      <c r="A384" s="75">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39.177439999999997</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19.423680000000001</v>
      </c>
      <c r="AN384">
        <v>15.961349999999999</v>
      </c>
      <c r="AP384">
        <v>9.6533350000000002</v>
      </c>
      <c r="AT384">
        <v>4.4517899999999997E-4</v>
      </c>
      <c r="AU384">
        <v>33.44547</v>
      </c>
      <c r="AV384">
        <v>1.3639870000000001E-3</v>
      </c>
      <c r="AW384">
        <v>36.073360000000001</v>
      </c>
      <c r="AX384">
        <v>5.288926</v>
      </c>
    </row>
    <row r="385" spans="1:50" x14ac:dyDescent="0.35">
      <c r="A385" s="75">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39.42145</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19.596720000000001</v>
      </c>
      <c r="AN385">
        <v>16.10868</v>
      </c>
      <c r="AP385">
        <v>9.9170590000000001</v>
      </c>
      <c r="AT385">
        <v>4.68135E-4</v>
      </c>
      <c r="AU385">
        <v>33.589080000000003</v>
      </c>
      <c r="AV385">
        <v>1.418484E-3</v>
      </c>
      <c r="AW385">
        <v>36.410890000000002</v>
      </c>
      <c r="AX385">
        <v>5.3809069999999997</v>
      </c>
    </row>
    <row r="386" spans="1:50" x14ac:dyDescent="0.35">
      <c r="A386" s="75">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39.810070000000003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19.846699999999998</v>
      </c>
      <c r="AN386">
        <v>16.340260000000001</v>
      </c>
      <c r="AP386">
        <v>10.21462</v>
      </c>
      <c r="AT386">
        <v>5.14866E-4</v>
      </c>
      <c r="AU386">
        <v>34.214590000000001</v>
      </c>
      <c r="AV386">
        <v>1.4690300000000001E-3</v>
      </c>
      <c r="AW386">
        <v>36.706229999999998</v>
      </c>
      <c r="AX386">
        <v>5.3809069999999997</v>
      </c>
    </row>
    <row r="387" spans="1:50" x14ac:dyDescent="0.35">
      <c r="A387" s="75">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40.170859999999998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20.03689</v>
      </c>
      <c r="AN387">
        <v>16.5092</v>
      </c>
      <c r="AP387">
        <v>10.354939999999999</v>
      </c>
      <c r="AT387">
        <v>5.2470399999999997E-4</v>
      </c>
      <c r="AU387">
        <v>34.865630000000003</v>
      </c>
      <c r="AV387">
        <v>1.490056E-3</v>
      </c>
      <c r="AW387">
        <v>37.085949999999997</v>
      </c>
      <c r="AX387">
        <v>5.4728880000000002</v>
      </c>
    </row>
    <row r="388" spans="1:50" x14ac:dyDescent="0.35">
      <c r="A388" s="75">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40.492609999999999</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20.220610000000001</v>
      </c>
      <c r="AN388">
        <v>16.695920000000001</v>
      </c>
      <c r="AP388">
        <v>10.483320000000001</v>
      </c>
      <c r="AT388">
        <v>5.3864199999999998E-4</v>
      </c>
      <c r="AU388">
        <v>35.053919999999998</v>
      </c>
      <c r="AV388">
        <v>1.500122E-3</v>
      </c>
      <c r="AW388">
        <v>37.339089999999999</v>
      </c>
      <c r="AX388">
        <v>5.4728880000000002</v>
      </c>
    </row>
    <row r="389" spans="1:50" x14ac:dyDescent="0.35">
      <c r="A389" s="75">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40.869489999999999</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20.427199999999999</v>
      </c>
      <c r="AN389">
        <v>16.895879999999998</v>
      </c>
      <c r="AP389">
        <v>10.75103</v>
      </c>
      <c r="AT389">
        <v>5.4684000000000004E-4</v>
      </c>
      <c r="AU389">
        <v>35.26455</v>
      </c>
      <c r="AV389">
        <v>1.5085330000000001E-3</v>
      </c>
      <c r="AW389">
        <v>37.592239999999997</v>
      </c>
      <c r="AX389">
        <v>5.5188790000000001</v>
      </c>
    </row>
    <row r="390" spans="1:50" x14ac:dyDescent="0.35">
      <c r="A390" s="75">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41.21152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20.604849999999999</v>
      </c>
      <c r="AN390">
        <v>17.04194</v>
      </c>
      <c r="AP390">
        <v>10.80775</v>
      </c>
      <c r="AT390">
        <v>5.6569699999999999E-4</v>
      </c>
      <c r="AU390">
        <v>35.478369999999998</v>
      </c>
      <c r="AV390">
        <v>1.5501169999999999E-3</v>
      </c>
      <c r="AW390">
        <v>37.88758</v>
      </c>
      <c r="AX390">
        <v>5.5648689999999998</v>
      </c>
    </row>
    <row r="391" spans="1:50" x14ac:dyDescent="0.35">
      <c r="A391" s="75">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41.526919999999997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20.779920000000001</v>
      </c>
      <c r="AN391">
        <v>17.186610000000002</v>
      </c>
      <c r="AP391">
        <v>10.882389999999999</v>
      </c>
      <c r="AT391">
        <v>5.7225600000000005E-4</v>
      </c>
      <c r="AU391">
        <v>35.609220000000001</v>
      </c>
      <c r="AV391">
        <v>1.611197E-3</v>
      </c>
      <c r="AW391">
        <v>38.225110000000001</v>
      </c>
      <c r="AX391">
        <v>5.6108599999999997</v>
      </c>
    </row>
    <row r="392" spans="1:50" x14ac:dyDescent="0.35">
      <c r="A392" s="75">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41.864840000000001</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20.980119999999999</v>
      </c>
      <c r="AN392">
        <v>17.354600000000001</v>
      </c>
      <c r="AP392">
        <v>11.16901</v>
      </c>
      <c r="AT392">
        <v>5.7307500000000004E-4</v>
      </c>
      <c r="AU392">
        <v>35.934739999999998</v>
      </c>
      <c r="AV392">
        <v>1.633284E-3</v>
      </c>
      <c r="AW392">
        <v>38.647019999999998</v>
      </c>
      <c r="AX392">
        <v>5.7488320000000002</v>
      </c>
    </row>
    <row r="393" spans="1:50" x14ac:dyDescent="0.35">
      <c r="A393" s="75">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42.117660000000001</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21.125430000000001</v>
      </c>
      <c r="AN393">
        <v>17.482489999999999</v>
      </c>
      <c r="AP393">
        <v>11.460599999999999</v>
      </c>
      <c r="AT393">
        <v>5.7307500000000004E-4</v>
      </c>
      <c r="AU393">
        <v>36.206000000000003</v>
      </c>
      <c r="AV393">
        <v>1.646834E-3</v>
      </c>
      <c r="AW393">
        <v>38.942360000000001</v>
      </c>
      <c r="AX393">
        <v>5.840814</v>
      </c>
    </row>
    <row r="394" spans="1:50" x14ac:dyDescent="0.35">
      <c r="A394" s="75">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42.53481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21.357810000000001</v>
      </c>
      <c r="AN394">
        <v>17.676760000000002</v>
      </c>
      <c r="AP394">
        <v>11.63575</v>
      </c>
      <c r="AT394">
        <v>5.8209400000000001E-4</v>
      </c>
      <c r="AU394">
        <v>36.467689999999997</v>
      </c>
      <c r="AV394">
        <v>1.725372E-3</v>
      </c>
      <c r="AW394">
        <v>39.322069999999997</v>
      </c>
      <c r="AX394">
        <v>5.9787860000000004</v>
      </c>
    </row>
    <row r="395" spans="1:50" x14ac:dyDescent="0.35">
      <c r="A395" s="75">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42.774949999999997</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21.53125</v>
      </c>
      <c r="AN395">
        <v>17.873719999999999</v>
      </c>
      <c r="AP395">
        <v>11.831799999999999</v>
      </c>
      <c r="AT395">
        <v>6.0587E-4</v>
      </c>
      <c r="AU395">
        <v>36.703850000000003</v>
      </c>
      <c r="AV395">
        <v>1.7660639999999999E-3</v>
      </c>
      <c r="AW395">
        <v>39.406460000000003</v>
      </c>
      <c r="AX395">
        <v>6.0247760000000001</v>
      </c>
    </row>
    <row r="396" spans="1:50" x14ac:dyDescent="0.35">
      <c r="A396" s="75">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42.998829999999998</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21.667470000000002</v>
      </c>
      <c r="AN396">
        <v>18.049240000000001</v>
      </c>
      <c r="AP396">
        <v>11.970129999999999</v>
      </c>
      <c r="AT396">
        <v>6.1488799999999996E-4</v>
      </c>
      <c r="AU396">
        <v>36.841079999999998</v>
      </c>
      <c r="AV396">
        <v>1.803528E-3</v>
      </c>
      <c r="AW396">
        <v>39.533029999999997</v>
      </c>
      <c r="AX396">
        <v>6.070767</v>
      </c>
    </row>
    <row r="397" spans="1:50" x14ac:dyDescent="0.35">
      <c r="A397" s="75">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43.16854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21.793569999999999</v>
      </c>
      <c r="AN397">
        <v>18.174060000000001</v>
      </c>
      <c r="AP397">
        <v>12.26571</v>
      </c>
      <c r="AT397">
        <v>6.3538400000000001E-4</v>
      </c>
      <c r="AU397">
        <v>36.65598</v>
      </c>
      <c r="AV397">
        <v>1.8241290000000001E-3</v>
      </c>
      <c r="AW397">
        <v>39.659599999999998</v>
      </c>
      <c r="AX397">
        <v>6.1167569999999998</v>
      </c>
    </row>
    <row r="398" spans="1:50" x14ac:dyDescent="0.35">
      <c r="A398" s="75">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43.396619999999999</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22.00789</v>
      </c>
      <c r="AN398">
        <v>18.413530000000002</v>
      </c>
      <c r="AP398">
        <v>12.50853</v>
      </c>
      <c r="AT398">
        <v>6.4932100000000001E-4</v>
      </c>
      <c r="AU398">
        <v>37.460209999999996</v>
      </c>
      <c r="AV398">
        <v>1.9120540000000001E-3</v>
      </c>
      <c r="AW398">
        <v>39.786169999999998</v>
      </c>
      <c r="AX398">
        <v>6.1167569999999998</v>
      </c>
    </row>
    <row r="399" spans="1:50" x14ac:dyDescent="0.35">
      <c r="A399" s="75">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43.569099999999999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22.14883</v>
      </c>
      <c r="AN399">
        <v>18.544239999999999</v>
      </c>
      <c r="AP399">
        <v>12.85187</v>
      </c>
      <c r="AT399">
        <v>6.6325900000000003E-4</v>
      </c>
      <c r="AU399">
        <v>37.98997</v>
      </c>
      <c r="AV399">
        <v>1.955591E-3</v>
      </c>
      <c r="AW399">
        <v>39.912750000000003</v>
      </c>
      <c r="AX399">
        <v>6.2087389999999996</v>
      </c>
    </row>
    <row r="400" spans="1:50" x14ac:dyDescent="0.35">
      <c r="A400" s="75">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43.676580000000001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22.273019999999999</v>
      </c>
      <c r="AN400">
        <v>18.696339999999999</v>
      </c>
      <c r="AP400">
        <v>13.168340000000001</v>
      </c>
      <c r="AT400">
        <v>6.9359399999999996E-4</v>
      </c>
      <c r="AU400">
        <v>38.085720000000002</v>
      </c>
      <c r="AV400">
        <v>2.0001530000000002E-3</v>
      </c>
      <c r="AW400">
        <v>39.870559999999998</v>
      </c>
      <c r="AX400">
        <v>6.346711</v>
      </c>
    </row>
    <row r="401" spans="1:50" x14ac:dyDescent="0.35">
      <c r="A401" s="75">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43.967579999999998</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22.502549999999999</v>
      </c>
      <c r="AN401">
        <v>18.887519999999999</v>
      </c>
      <c r="AP401">
        <v>13.409179999999999</v>
      </c>
      <c r="AT401">
        <v>6.9687299999999998E-4</v>
      </c>
      <c r="AU401">
        <v>38.34102</v>
      </c>
      <c r="AV401">
        <v>2.0191039999999999E-3</v>
      </c>
      <c r="AW401">
        <v>40.039319999999996</v>
      </c>
      <c r="AX401">
        <v>6.4386919999999996</v>
      </c>
    </row>
    <row r="402" spans="1:50" x14ac:dyDescent="0.35">
      <c r="A402" s="75">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44.340940000000003</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22.749400000000001</v>
      </c>
      <c r="AN402">
        <v>19.044709999999998</v>
      </c>
      <c r="AP402">
        <v>13.42013</v>
      </c>
      <c r="AT402">
        <v>7.2884700000000002E-4</v>
      </c>
      <c r="AU402">
        <v>38.503779999999999</v>
      </c>
      <c r="AV402">
        <v>2.025251E-3</v>
      </c>
      <c r="AW402">
        <v>40.419040000000003</v>
      </c>
      <c r="AX402">
        <v>6.4846830000000004</v>
      </c>
    </row>
    <row r="403" spans="1:50" x14ac:dyDescent="0.35">
      <c r="A403" s="75">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44.754860000000001</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23.010380000000001</v>
      </c>
      <c r="AN403">
        <v>19.213560000000001</v>
      </c>
      <c r="AP403">
        <v>13.552490000000001</v>
      </c>
      <c r="AT403">
        <v>7.4606399999999995E-4</v>
      </c>
      <c r="AU403">
        <v>38.634630000000001</v>
      </c>
      <c r="AV403">
        <v>2.0595679999999999E-3</v>
      </c>
      <c r="AW403">
        <v>40.925330000000002</v>
      </c>
      <c r="AX403">
        <v>6.5306740000000003</v>
      </c>
    </row>
    <row r="404" spans="1:50" x14ac:dyDescent="0.35">
      <c r="A404" s="75">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44.903230000000001</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23.184069999999998</v>
      </c>
      <c r="AN404">
        <v>19.315049999999999</v>
      </c>
      <c r="AP404">
        <v>13.538550000000001</v>
      </c>
      <c r="AT404">
        <v>7.6820000000000002E-4</v>
      </c>
      <c r="AU404">
        <v>38.902700000000003</v>
      </c>
      <c r="AV404">
        <v>2.080569E-3</v>
      </c>
      <c r="AW404">
        <v>41.136290000000002</v>
      </c>
      <c r="AX404">
        <v>6.5766640000000001</v>
      </c>
    </row>
    <row r="405" spans="1:50" x14ac:dyDescent="0.35">
      <c r="A405" s="75">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45.073560000000001</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23.435379999999999</v>
      </c>
      <c r="AN405">
        <v>19.407869999999999</v>
      </c>
      <c r="AP405">
        <v>13.76844</v>
      </c>
      <c r="AT405">
        <v>7.6491999999999999E-4</v>
      </c>
      <c r="AU405">
        <v>39.004829999999998</v>
      </c>
      <c r="AV405">
        <v>2.10874E-3</v>
      </c>
      <c r="AW405">
        <v>41.220669999999998</v>
      </c>
      <c r="AX405">
        <v>6.6686449999999997</v>
      </c>
    </row>
    <row r="406" spans="1:50" x14ac:dyDescent="0.35">
      <c r="A406" s="75">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45.306640000000002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23.649360000000001</v>
      </c>
      <c r="AN406">
        <v>19.54588</v>
      </c>
      <c r="AP406">
        <v>13.94459</v>
      </c>
      <c r="AT406">
        <v>7.7639799999999998E-4</v>
      </c>
      <c r="AU406">
        <v>39.21546</v>
      </c>
      <c r="AV406">
        <v>2.1743019999999999E-3</v>
      </c>
      <c r="AW406">
        <v>41.305050000000001</v>
      </c>
      <c r="AX406">
        <v>6.7606270000000004</v>
      </c>
    </row>
    <row r="407" spans="1:50" x14ac:dyDescent="0.35">
      <c r="A407" s="75">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45.528179999999999</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23.880849999999999</v>
      </c>
      <c r="AN407">
        <v>19.72626</v>
      </c>
      <c r="AP407">
        <v>14.02819</v>
      </c>
      <c r="AT407">
        <v>7.9033599999999999E-4</v>
      </c>
      <c r="AU407">
        <v>39.761180000000003</v>
      </c>
      <c r="AV407">
        <v>2.2332049999999998E-3</v>
      </c>
      <c r="AW407">
        <v>41.431629999999998</v>
      </c>
      <c r="AX407">
        <v>6.852608</v>
      </c>
    </row>
    <row r="408" spans="1:50" x14ac:dyDescent="0.35">
      <c r="A408" s="75">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45.559939999999997</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24.009779999999999</v>
      </c>
      <c r="AN408">
        <v>19.870239999999999</v>
      </c>
      <c r="AP408">
        <v>14.14363</v>
      </c>
      <c r="AT408">
        <v>8.0837200000000002E-4</v>
      </c>
      <c r="AU408">
        <v>40.077129999999997</v>
      </c>
      <c r="AV408">
        <v>2.2849379999999998E-3</v>
      </c>
      <c r="AW408">
        <v>41.347239999999999</v>
      </c>
      <c r="AX408">
        <v>6.9445889999999997</v>
      </c>
    </row>
    <row r="409" spans="1:50" x14ac:dyDescent="0.35">
      <c r="A409" s="75">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45.539200000000001</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24.25515</v>
      </c>
      <c r="AN409">
        <v>20.018270000000001</v>
      </c>
      <c r="AP409">
        <v>14.505879999999999</v>
      </c>
      <c r="AT409">
        <v>8.2313000000000004E-4</v>
      </c>
      <c r="AU409">
        <v>40.192010000000003</v>
      </c>
      <c r="AV409">
        <v>2.3648419999999998E-3</v>
      </c>
      <c r="AW409">
        <v>41.17848</v>
      </c>
      <c r="AX409">
        <v>6.9445889999999997</v>
      </c>
    </row>
    <row r="410" spans="1:50" x14ac:dyDescent="0.35">
      <c r="A410" s="75">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45.698300000000003</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24.516739999999999</v>
      </c>
      <c r="AN410">
        <v>20.226410000000001</v>
      </c>
      <c r="AP410">
        <v>15.07512</v>
      </c>
      <c r="AT410">
        <v>8.32148E-4</v>
      </c>
      <c r="AU410">
        <v>41.079210000000003</v>
      </c>
      <c r="AV410">
        <v>2.4642090000000002E-3</v>
      </c>
      <c r="AW410">
        <v>41.262860000000003</v>
      </c>
      <c r="AX410">
        <v>6.9905799999999996</v>
      </c>
    </row>
    <row r="411" spans="1:50" x14ac:dyDescent="0.35">
      <c r="A411" s="75">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45.79419</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24.6557</v>
      </c>
      <c r="AN411">
        <v>20.357240000000001</v>
      </c>
      <c r="AP411">
        <v>15.38264</v>
      </c>
      <c r="AT411">
        <v>8.6986099999999998E-4</v>
      </c>
      <c r="AU411">
        <v>41.095170000000003</v>
      </c>
      <c r="AV411">
        <v>2.5261849999999998E-3</v>
      </c>
      <c r="AW411">
        <v>41.305050000000001</v>
      </c>
      <c r="AX411">
        <v>7.128552</v>
      </c>
    </row>
    <row r="412" spans="1:50" x14ac:dyDescent="0.35">
      <c r="A412" s="75">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45.921129999999998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24.809000000000001</v>
      </c>
      <c r="AN412">
        <v>20.490130000000001</v>
      </c>
      <c r="AP412">
        <v>15.74091</v>
      </c>
      <c r="AT412">
        <v>9.1249400000000002E-4</v>
      </c>
      <c r="AU412">
        <v>41.248359999999998</v>
      </c>
      <c r="AV412">
        <v>2.577406E-3</v>
      </c>
      <c r="AW412">
        <v>41.305050000000001</v>
      </c>
      <c r="AX412">
        <v>7.1745419999999998</v>
      </c>
    </row>
    <row r="413" spans="1:50" x14ac:dyDescent="0.35">
      <c r="A413" s="75">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46.250920000000001</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25.079370000000001</v>
      </c>
      <c r="AN413">
        <v>20.680070000000001</v>
      </c>
      <c r="AP413">
        <v>16.078279999999999</v>
      </c>
      <c r="AT413">
        <v>9.4610699999999996E-4</v>
      </c>
      <c r="AU413">
        <v>41.573869999999999</v>
      </c>
      <c r="AV413">
        <v>2.6153090000000001E-3</v>
      </c>
      <c r="AW413">
        <v>41.600389999999997</v>
      </c>
      <c r="AX413">
        <v>7.2665240000000004</v>
      </c>
    </row>
    <row r="414" spans="1:50" x14ac:dyDescent="0.35">
      <c r="A414" s="75">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46.533830000000002</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25.279430000000001</v>
      </c>
      <c r="AN414">
        <v>20.783750000000001</v>
      </c>
      <c r="AP414">
        <v>16.049410000000002</v>
      </c>
      <c r="AT414">
        <v>9.7808199999999991E-4</v>
      </c>
      <c r="AU414">
        <v>41.835560000000001</v>
      </c>
      <c r="AV414">
        <v>2.6327239999999999E-3</v>
      </c>
      <c r="AW414">
        <v>41.853540000000002</v>
      </c>
      <c r="AX414">
        <v>7.3125140000000002</v>
      </c>
    </row>
    <row r="415" spans="1:50" x14ac:dyDescent="0.35">
      <c r="A415" s="75">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46.651000000000003</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25.412279999999999</v>
      </c>
      <c r="AN415">
        <v>20.893999999999998</v>
      </c>
      <c r="AP415">
        <v>16.324090000000002</v>
      </c>
      <c r="AT415">
        <v>1.008416E-3</v>
      </c>
      <c r="AU415">
        <v>42.062150000000003</v>
      </c>
      <c r="AV415">
        <v>2.667553E-3</v>
      </c>
      <c r="AW415">
        <v>41.980110000000003</v>
      </c>
      <c r="AX415">
        <v>7.3125140000000002</v>
      </c>
    </row>
    <row r="416" spans="1:50" x14ac:dyDescent="0.35">
      <c r="A416" s="75">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46.827080000000002</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25.59544</v>
      </c>
      <c r="AN416">
        <v>21.021249999999998</v>
      </c>
      <c r="AP416">
        <v>16.661460000000002</v>
      </c>
      <c r="AT416">
        <v>1.0100560000000001E-3</v>
      </c>
      <c r="AU416">
        <v>42.397239999999996</v>
      </c>
      <c r="AV416">
        <v>2.6952120000000002E-3</v>
      </c>
      <c r="AW416">
        <v>42.148879999999998</v>
      </c>
      <c r="AX416">
        <v>7.404496</v>
      </c>
    </row>
    <row r="417" spans="1:50" x14ac:dyDescent="0.35">
      <c r="A417" s="75">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46.962580000000003</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25.755369999999999</v>
      </c>
      <c r="AN417">
        <v>21.159300000000002</v>
      </c>
      <c r="AP417">
        <v>17.174969999999998</v>
      </c>
      <c r="AT417">
        <v>1.0789230000000001E-3</v>
      </c>
      <c r="AU417">
        <v>42.614260000000002</v>
      </c>
      <c r="AV417">
        <v>2.7582129999999998E-3</v>
      </c>
      <c r="AW417">
        <v>42.275449999999999</v>
      </c>
      <c r="AX417">
        <v>7.4964769999999996</v>
      </c>
    </row>
    <row r="418" spans="1:50" x14ac:dyDescent="0.35">
      <c r="A418" s="75">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47.254489999999997</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25.979220000000002</v>
      </c>
      <c r="AN418">
        <v>21.347480000000001</v>
      </c>
      <c r="AP418">
        <v>17.74024</v>
      </c>
      <c r="AT418">
        <v>1.1223749999999999E-3</v>
      </c>
      <c r="AU418">
        <v>42.923819999999999</v>
      </c>
      <c r="AV418">
        <v>2.8473370000000001E-3</v>
      </c>
      <c r="AW418">
        <v>42.486400000000003</v>
      </c>
      <c r="AX418">
        <v>7.5424680000000004</v>
      </c>
    </row>
    <row r="419" spans="1:50" x14ac:dyDescent="0.35">
      <c r="A419" s="75">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47.490749999999998</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26.210429999999999</v>
      </c>
      <c r="AN419">
        <v>21.553090000000001</v>
      </c>
      <c r="AP419">
        <v>18.058700000000002</v>
      </c>
      <c r="AT419">
        <v>1.1764849999999999E-3</v>
      </c>
      <c r="AU419">
        <v>43.27487</v>
      </c>
      <c r="AV419">
        <v>2.9984370000000001E-3</v>
      </c>
      <c r="AW419">
        <v>42.61298</v>
      </c>
      <c r="AX419">
        <v>7.5884590000000003</v>
      </c>
    </row>
    <row r="420" spans="1:50" x14ac:dyDescent="0.35">
      <c r="A420" s="75">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47.589100000000002</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26.409220000000001</v>
      </c>
      <c r="AN420">
        <v>21.721109999999999</v>
      </c>
      <c r="AP420">
        <v>18.463740000000001</v>
      </c>
      <c r="AT420">
        <v>1.2404339999999999E-3</v>
      </c>
      <c r="AU420">
        <v>43.536560000000001</v>
      </c>
      <c r="AV420">
        <v>3.1106089999999999E-3</v>
      </c>
      <c r="AW420">
        <v>42.697360000000003</v>
      </c>
      <c r="AX420">
        <v>7.6804399999999999</v>
      </c>
    </row>
    <row r="421" spans="1:50" x14ac:dyDescent="0.35">
      <c r="A421" s="75">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47.643180000000001</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26.574190000000002</v>
      </c>
      <c r="AN421">
        <v>21.877939999999999</v>
      </c>
      <c r="AP421">
        <v>19.176300000000001</v>
      </c>
      <c r="AT421">
        <v>1.31668E-3</v>
      </c>
      <c r="AU421">
        <v>43.890799999999999</v>
      </c>
      <c r="AV421">
        <v>3.2412209999999999E-3</v>
      </c>
      <c r="AW421">
        <v>42.739550000000001</v>
      </c>
      <c r="AX421">
        <v>7.6804399999999999</v>
      </c>
    </row>
    <row r="422" spans="1:50" x14ac:dyDescent="0.35">
      <c r="A422" s="75">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47.904400000000003</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26.818359999999998</v>
      </c>
      <c r="AN422">
        <v>22.07085</v>
      </c>
      <c r="AP422">
        <v>19.582339999999999</v>
      </c>
      <c r="AT422">
        <v>1.347834E-3</v>
      </c>
      <c r="AU422">
        <v>44.497160000000001</v>
      </c>
      <c r="AV422">
        <v>3.3528809999999998E-3</v>
      </c>
      <c r="AW422">
        <v>42.992690000000003</v>
      </c>
      <c r="AX422">
        <v>7.7264299999999997</v>
      </c>
    </row>
    <row r="423" spans="1:50" x14ac:dyDescent="0.35">
      <c r="A423" s="75">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48.168430000000001</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27.025980000000001</v>
      </c>
      <c r="AN423">
        <v>22.209040000000002</v>
      </c>
      <c r="AP423">
        <v>19.890840000000001</v>
      </c>
      <c r="AT423">
        <v>1.356852E-3</v>
      </c>
      <c r="AU423">
        <v>44.315249999999999</v>
      </c>
      <c r="AV423">
        <v>3.4041010000000001E-3</v>
      </c>
      <c r="AW423">
        <v>43.203650000000003</v>
      </c>
      <c r="AX423">
        <v>7.8184120000000004</v>
      </c>
    </row>
    <row r="424" spans="1:50" x14ac:dyDescent="0.35">
      <c r="A424" s="75">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48.294339999999998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27.187860000000001</v>
      </c>
      <c r="AN424">
        <v>22.372489999999999</v>
      </c>
      <c r="AP424">
        <v>20.619319999999998</v>
      </c>
      <c r="AT424">
        <v>1.37079E-3</v>
      </c>
      <c r="AU424">
        <v>44.953530000000001</v>
      </c>
      <c r="AV424">
        <v>3.5096149999999998E-3</v>
      </c>
      <c r="AW424">
        <v>43.288029999999999</v>
      </c>
      <c r="AX424">
        <v>7.910393</v>
      </c>
    </row>
    <row r="425" spans="1:50" x14ac:dyDescent="0.35">
      <c r="A425" s="75">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48.532519999999998</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27.411000000000001</v>
      </c>
      <c r="AN425">
        <v>22.57779</v>
      </c>
      <c r="AP425">
        <v>21.009440000000001</v>
      </c>
      <c r="AT425">
        <v>1.3929260000000001E-3</v>
      </c>
      <c r="AU425">
        <v>45.243940000000002</v>
      </c>
      <c r="AV425">
        <v>3.7283260000000001E-3</v>
      </c>
      <c r="AW425">
        <v>43.498989999999999</v>
      </c>
      <c r="AX425">
        <v>8.0483650000000004</v>
      </c>
    </row>
    <row r="426" spans="1:50" x14ac:dyDescent="0.35">
      <c r="A426" s="75">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48.713250000000002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27.575610000000001</v>
      </c>
      <c r="AN426">
        <v>22.714829999999999</v>
      </c>
      <c r="AP426">
        <v>20.82732</v>
      </c>
      <c r="AT426">
        <v>1.4634330000000001E-3</v>
      </c>
      <c r="AU426">
        <v>45.563079999999999</v>
      </c>
      <c r="AV426">
        <v>3.9091339999999999E-3</v>
      </c>
      <c r="AW426">
        <v>43.62556</v>
      </c>
      <c r="AX426">
        <v>8.1403470000000002</v>
      </c>
    </row>
    <row r="427" spans="1:50" x14ac:dyDescent="0.35">
      <c r="A427" s="75">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48.81324</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27.73377</v>
      </c>
      <c r="AN427">
        <v>22.904640000000001</v>
      </c>
      <c r="AP427">
        <v>21.460260000000002</v>
      </c>
      <c r="AT427">
        <v>1.5650939999999999E-3</v>
      </c>
      <c r="AU427">
        <v>45.454569999999997</v>
      </c>
      <c r="AV427">
        <v>4.1626739999999999E-3</v>
      </c>
      <c r="AW427">
        <v>43.752139999999997</v>
      </c>
      <c r="AX427">
        <v>8.186337</v>
      </c>
    </row>
    <row r="428" spans="1:50" x14ac:dyDescent="0.35">
      <c r="A428" s="75">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48.9512</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27.878530000000001</v>
      </c>
      <c r="AN428">
        <v>22.9788</v>
      </c>
      <c r="AP428">
        <v>22.02055</v>
      </c>
      <c r="AT428">
        <v>1.6151049999999999E-3</v>
      </c>
      <c r="AU428">
        <v>45.572650000000003</v>
      </c>
      <c r="AV428">
        <v>4.2010889999999999E-3</v>
      </c>
      <c r="AW428">
        <v>43.920900000000003</v>
      </c>
      <c r="AX428">
        <v>8.2783180000000005</v>
      </c>
    </row>
    <row r="429" spans="1:50" x14ac:dyDescent="0.35">
      <c r="A429" s="75">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49.044420000000002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27.9984</v>
      </c>
      <c r="AN429">
        <v>23.098189999999999</v>
      </c>
      <c r="AP429">
        <v>22.413650000000001</v>
      </c>
      <c r="AT429">
        <v>1.647899E-3</v>
      </c>
      <c r="AU429">
        <v>45.91413</v>
      </c>
      <c r="AV429">
        <v>4.3055790000000004E-3</v>
      </c>
      <c r="AW429">
        <v>44.089660000000002</v>
      </c>
      <c r="AX429">
        <v>8.3702989999999993</v>
      </c>
    </row>
    <row r="430" spans="1:50" x14ac:dyDescent="0.35">
      <c r="A430" s="75">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49.329279999999997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28.204409999999999</v>
      </c>
      <c r="AN430">
        <v>23.213889999999999</v>
      </c>
      <c r="AP430">
        <v>22.48132</v>
      </c>
      <c r="AT430">
        <v>1.7274250000000001E-3</v>
      </c>
      <c r="AU430">
        <v>46.210920000000002</v>
      </c>
      <c r="AV430">
        <v>4.3947020000000003E-3</v>
      </c>
      <c r="AW430">
        <v>44.300620000000002</v>
      </c>
      <c r="AX430">
        <v>8.41629</v>
      </c>
    </row>
    <row r="431" spans="1:50" x14ac:dyDescent="0.35">
      <c r="A431" s="75">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49.560600000000001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28.425909999999998</v>
      </c>
      <c r="AN431">
        <v>23.429449999999999</v>
      </c>
      <c r="AP431">
        <v>22.669409999999999</v>
      </c>
      <c r="AT431">
        <v>1.8126889999999999E-3</v>
      </c>
      <c r="AU431">
        <v>46.437510000000003</v>
      </c>
      <c r="AV431">
        <v>4.5862660000000003E-3</v>
      </c>
      <c r="AW431">
        <v>44.427190000000003</v>
      </c>
      <c r="AX431">
        <v>8.5542619999999996</v>
      </c>
    </row>
    <row r="432" spans="1:50" x14ac:dyDescent="0.35">
      <c r="A432" s="75">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49.598379999999999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28.54655</v>
      </c>
      <c r="AN432">
        <v>23.577680000000001</v>
      </c>
      <c r="AP432">
        <v>23.02768</v>
      </c>
      <c r="AT432">
        <v>1.905332E-3</v>
      </c>
      <c r="AU432">
        <v>46.724730000000001</v>
      </c>
      <c r="AV432">
        <v>4.7629760000000004E-3</v>
      </c>
      <c r="AW432">
        <v>44.427190000000003</v>
      </c>
      <c r="AX432">
        <v>8.6462439999999994</v>
      </c>
    </row>
    <row r="433" spans="1:50" x14ac:dyDescent="0.35">
      <c r="A433" s="75">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49.650509999999997</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28.677109999999999</v>
      </c>
      <c r="AN433">
        <v>23.67615</v>
      </c>
      <c r="AP433">
        <v>23.239660000000001</v>
      </c>
      <c r="AT433">
        <v>1.9914170000000001E-3</v>
      </c>
      <c r="AU433">
        <v>47.471510000000002</v>
      </c>
      <c r="AV433">
        <v>4.8515870000000001E-3</v>
      </c>
      <c r="AW433">
        <v>44.427190000000003</v>
      </c>
      <c r="AX433">
        <v>8.6922339999999991</v>
      </c>
    </row>
    <row r="434" spans="1:50" x14ac:dyDescent="0.35">
      <c r="A434" s="75">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49.828200000000002</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28.938320000000001</v>
      </c>
      <c r="AN434">
        <v>23.933489999999999</v>
      </c>
      <c r="AP434">
        <v>24.31147</v>
      </c>
      <c r="AT434">
        <v>2.2365520000000002E-3</v>
      </c>
      <c r="AU434">
        <v>47.75235</v>
      </c>
      <c r="AV434">
        <v>5.122031E-3</v>
      </c>
      <c r="AW434">
        <v>44.511569999999999</v>
      </c>
      <c r="AX434">
        <v>8.7842160000000007</v>
      </c>
    </row>
    <row r="435" spans="1:50" x14ac:dyDescent="0.35">
      <c r="A435" s="75">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50.050919999999998</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29.14263</v>
      </c>
      <c r="AN435">
        <v>24.13804</v>
      </c>
      <c r="AP435">
        <v>24.950389999999999</v>
      </c>
      <c r="AT435">
        <v>2.3005E-3</v>
      </c>
      <c r="AU435">
        <v>48.173609999999996</v>
      </c>
      <c r="AV435">
        <v>5.2910570000000001E-3</v>
      </c>
      <c r="AW435">
        <v>44.722529999999999</v>
      </c>
      <c r="AX435">
        <v>9.1061510000000006</v>
      </c>
    </row>
    <row r="436" spans="1:50" x14ac:dyDescent="0.35">
      <c r="A436" s="75">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50.282080000000001</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29.363240000000001</v>
      </c>
      <c r="AN436">
        <v>24.369389999999999</v>
      </c>
      <c r="AP436">
        <v>25.334530000000001</v>
      </c>
      <c r="AT436">
        <v>2.4620110000000001E-3</v>
      </c>
      <c r="AU436">
        <v>48.543810000000001</v>
      </c>
      <c r="AV436">
        <v>5.5440860000000002E-3</v>
      </c>
      <c r="AW436">
        <v>44.891300000000001</v>
      </c>
      <c r="AX436">
        <v>9.1061510000000006</v>
      </c>
    </row>
    <row r="437" spans="1:50" x14ac:dyDescent="0.35">
      <c r="A437" s="75">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50.590539999999997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29.59291</v>
      </c>
      <c r="AN437">
        <v>24.55311</v>
      </c>
      <c r="AP437">
        <v>25.614180000000001</v>
      </c>
      <c r="AT437">
        <v>2.5948270000000001E-3</v>
      </c>
      <c r="AU437">
        <v>48.738480000000003</v>
      </c>
      <c r="AV437">
        <v>5.5901839999999998E-3</v>
      </c>
      <c r="AW437">
        <v>45.102249999999998</v>
      </c>
      <c r="AX437">
        <v>9.3361029999999996</v>
      </c>
    </row>
    <row r="438" spans="1:50" x14ac:dyDescent="0.35">
      <c r="A438" s="75">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50.75985</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29.734749999999998</v>
      </c>
      <c r="AN438">
        <v>24.667059999999999</v>
      </c>
      <c r="AP438">
        <v>25.694790000000001</v>
      </c>
      <c r="AT438">
        <v>2.6423779999999999E-3</v>
      </c>
      <c r="AU438">
        <v>49.290590000000002</v>
      </c>
      <c r="AV438">
        <v>5.7243809999999997E-3</v>
      </c>
      <c r="AW438">
        <v>45.27102</v>
      </c>
      <c r="AX438">
        <v>9.4280840000000001</v>
      </c>
    </row>
    <row r="439" spans="1:50" x14ac:dyDescent="0.35">
      <c r="A439" s="75">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50.884810000000002</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29.82996</v>
      </c>
      <c r="AN439">
        <v>24.71003</v>
      </c>
      <c r="AP439">
        <v>25.732600000000001</v>
      </c>
      <c r="AT439">
        <v>2.700587E-3</v>
      </c>
      <c r="AU439">
        <v>49.127830000000003</v>
      </c>
      <c r="AV439">
        <v>5.680844E-3</v>
      </c>
      <c r="AW439">
        <v>45.397590000000001</v>
      </c>
      <c r="AX439">
        <v>9.5660570000000007</v>
      </c>
    </row>
    <row r="440" spans="1:50" x14ac:dyDescent="0.35">
      <c r="A440" s="75">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50.972209999999997</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29.95251</v>
      </c>
      <c r="AN440">
        <v>24.75217</v>
      </c>
      <c r="AP440">
        <v>25.818190000000001</v>
      </c>
      <c r="AT440">
        <v>2.8571790000000001E-3</v>
      </c>
      <c r="AU440">
        <v>49.095910000000003</v>
      </c>
      <c r="AV440">
        <v>5.7617720000000001E-3</v>
      </c>
      <c r="AW440">
        <v>45.481969999999997</v>
      </c>
      <c r="AX440">
        <v>9.6120470000000005</v>
      </c>
    </row>
    <row r="441" spans="1:50" x14ac:dyDescent="0.35">
      <c r="A441" s="75">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51.006880000000002</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30.061309999999999</v>
      </c>
      <c r="AN441">
        <v>24.80076</v>
      </c>
      <c r="AP441">
        <v>26.018219999999999</v>
      </c>
      <c r="AT441">
        <v>2.9080099999999999E-3</v>
      </c>
      <c r="AU441">
        <v>49.076770000000003</v>
      </c>
      <c r="AV441">
        <v>5.9108229999999999E-3</v>
      </c>
      <c r="AW441">
        <v>45.56635</v>
      </c>
      <c r="AX441">
        <v>9.7040290000000002</v>
      </c>
    </row>
    <row r="442" spans="1:50" x14ac:dyDescent="0.35">
      <c r="A442" s="75">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51.11956</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30.2498</v>
      </c>
      <c r="AN442">
        <v>24.965879999999999</v>
      </c>
      <c r="AP442">
        <v>26.048079999999999</v>
      </c>
      <c r="AT442">
        <v>3.0154100000000001E-3</v>
      </c>
      <c r="AU442">
        <v>49.293779999999998</v>
      </c>
      <c r="AV442">
        <v>6.1915099999999999E-3</v>
      </c>
      <c r="AW442">
        <v>45.692920000000001</v>
      </c>
      <c r="AX442">
        <v>9.8420009999999998</v>
      </c>
    </row>
    <row r="443" spans="1:50" x14ac:dyDescent="0.35">
      <c r="A443" s="75">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51.350189999999998</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30.50433</v>
      </c>
      <c r="AN443">
        <v>25.170570000000001</v>
      </c>
      <c r="AP443">
        <v>26.30583</v>
      </c>
      <c r="AT443">
        <v>3.4294339999999999E-3</v>
      </c>
      <c r="AU443">
        <v>49.612920000000003</v>
      </c>
      <c r="AV443">
        <v>6.5792480000000002E-3</v>
      </c>
      <c r="AW443">
        <v>45.861690000000003</v>
      </c>
      <c r="AX443">
        <v>9.9799729999999993</v>
      </c>
    </row>
    <row r="444" spans="1:50" x14ac:dyDescent="0.35">
      <c r="A444" s="75">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51.425600000000003</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30.68018</v>
      </c>
      <c r="AN444">
        <v>25.353269999999998</v>
      </c>
      <c r="AP444">
        <v>26.71386</v>
      </c>
      <c r="AT444">
        <v>3.5720880000000002E-3</v>
      </c>
      <c r="AU444">
        <v>49.938429999999997</v>
      </c>
      <c r="AV444">
        <v>6.8845210000000002E-3</v>
      </c>
      <c r="AW444">
        <v>45.988259999999997</v>
      </c>
      <c r="AX444">
        <v>10.117940000000001</v>
      </c>
    </row>
    <row r="445" spans="1:50" x14ac:dyDescent="0.35">
      <c r="A445" s="75">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51.551859999999998</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30.903040000000001</v>
      </c>
      <c r="AN445">
        <v>25.458349999999999</v>
      </c>
      <c r="AP445">
        <v>27.15174</v>
      </c>
      <c r="AT445">
        <v>3.7213010000000002E-3</v>
      </c>
      <c r="AU445">
        <v>50.142679999999999</v>
      </c>
      <c r="AV445">
        <v>6.9956690000000004E-3</v>
      </c>
      <c r="AW445">
        <v>46.114829999999998</v>
      </c>
      <c r="AX445">
        <v>10.301909999999999</v>
      </c>
    </row>
    <row r="446" spans="1:50" x14ac:dyDescent="0.35">
      <c r="A446" s="75">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51.70438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31.176310000000001</v>
      </c>
      <c r="AN446">
        <v>25.640599999999999</v>
      </c>
      <c r="AP446">
        <v>27.8643</v>
      </c>
      <c r="AT446">
        <v>4.0320249999999998E-3</v>
      </c>
      <c r="AU446">
        <v>50.707549999999998</v>
      </c>
      <c r="AV446">
        <v>7.219502E-3</v>
      </c>
      <c r="AW446">
        <v>46.241410000000002</v>
      </c>
      <c r="AX446">
        <v>10.62384</v>
      </c>
    </row>
    <row r="447" spans="1:50" x14ac:dyDescent="0.35">
      <c r="A447" s="75">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51.64902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31.23695</v>
      </c>
      <c r="AN447">
        <v>25.694510000000001</v>
      </c>
      <c r="AP447">
        <v>28.22655</v>
      </c>
      <c r="AT447">
        <v>4.2558439999999999E-3</v>
      </c>
      <c r="AU447">
        <v>50.739460000000001</v>
      </c>
      <c r="AV447">
        <v>7.3449910000000004E-3</v>
      </c>
      <c r="AW447">
        <v>46.114829999999998</v>
      </c>
      <c r="AX447">
        <v>10.715820000000001</v>
      </c>
    </row>
    <row r="448" spans="1:50" x14ac:dyDescent="0.35">
      <c r="A448" s="75">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51.542659999999998</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31.280999999999999</v>
      </c>
      <c r="AN448">
        <v>25.754280000000001</v>
      </c>
      <c r="AP448">
        <v>28.55198</v>
      </c>
      <c r="AT448">
        <v>4.5198360000000002E-3</v>
      </c>
      <c r="AU448">
        <v>50.653300000000002</v>
      </c>
      <c r="AV448">
        <v>7.4407739999999998E-3</v>
      </c>
      <c r="AW448">
        <v>45.903880000000001</v>
      </c>
      <c r="AX448">
        <v>10.8538</v>
      </c>
    </row>
    <row r="449" spans="1:50" x14ac:dyDescent="0.35">
      <c r="A449" s="75">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51.578290000000003</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31.41423</v>
      </c>
      <c r="AN449">
        <v>25.85595</v>
      </c>
      <c r="AP449">
        <v>28.9192</v>
      </c>
      <c r="AT449">
        <v>4.8592540000000004E-3</v>
      </c>
      <c r="AU449">
        <v>50.962859999999999</v>
      </c>
      <c r="AV449">
        <v>7.4689450000000003E-3</v>
      </c>
      <c r="AW449">
        <v>45.819499999999998</v>
      </c>
      <c r="AX449">
        <v>11.03776</v>
      </c>
    </row>
    <row r="450" spans="1:50" x14ac:dyDescent="0.35">
      <c r="A450" s="75">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51.709859999999999</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31.587209999999999</v>
      </c>
      <c r="AN450">
        <v>25.919160000000002</v>
      </c>
      <c r="AP450">
        <v>28.788830000000001</v>
      </c>
      <c r="AT450">
        <v>5.174896E-3</v>
      </c>
      <c r="AU450">
        <v>50.959670000000003</v>
      </c>
      <c r="AV450">
        <v>7.6108249999999999E-3</v>
      </c>
      <c r="AW450">
        <v>45.946069999999999</v>
      </c>
      <c r="AX450">
        <v>11.03776</v>
      </c>
    </row>
    <row r="451" spans="1:50" x14ac:dyDescent="0.35">
      <c r="A451" s="75">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51.839309999999998</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31.794650000000001</v>
      </c>
      <c r="AN451">
        <v>26.009</v>
      </c>
      <c r="AP451">
        <v>28.880389999999998</v>
      </c>
      <c r="AT451">
        <v>5.458564E-3</v>
      </c>
      <c r="AU451">
        <v>50.962859999999999</v>
      </c>
      <c r="AV451">
        <v>7.7926569999999997E-3</v>
      </c>
      <c r="AW451">
        <v>46.199219999999997</v>
      </c>
      <c r="AX451">
        <v>11.17573</v>
      </c>
    </row>
    <row r="452" spans="1:50" x14ac:dyDescent="0.35">
      <c r="A452" s="75">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51.813139999999997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31.910679999999999</v>
      </c>
      <c r="AN452">
        <v>26.01652</v>
      </c>
      <c r="AP452">
        <v>28.878399999999999</v>
      </c>
      <c r="AT452">
        <v>5.5708839999999999E-3</v>
      </c>
      <c r="AU452">
        <v>51.080939999999998</v>
      </c>
      <c r="AV452">
        <v>7.9386349999999994E-3</v>
      </c>
      <c r="AW452">
        <v>46.199219999999997</v>
      </c>
      <c r="AX452">
        <v>11.40568</v>
      </c>
    </row>
    <row r="453" spans="1:50" x14ac:dyDescent="0.35">
      <c r="A453" s="75">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51.854050000000001</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32.101109999999998</v>
      </c>
      <c r="AN453">
        <v>26.053190000000001</v>
      </c>
      <c r="AP453">
        <v>29.14809</v>
      </c>
      <c r="AT453">
        <v>5.9266989999999997E-3</v>
      </c>
      <c r="AU453">
        <v>51.013919999999999</v>
      </c>
      <c r="AV453">
        <v>8.0077829999999992E-3</v>
      </c>
      <c r="AW453">
        <v>46.2836</v>
      </c>
      <c r="AX453">
        <v>11.543659999999999</v>
      </c>
    </row>
    <row r="454" spans="1:50" x14ac:dyDescent="0.35">
      <c r="A454" s="75">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52.054319999999997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32.373710000000003</v>
      </c>
      <c r="AN454">
        <v>26.201820000000001</v>
      </c>
      <c r="AP454">
        <v>29.268509999999999</v>
      </c>
      <c r="AT454">
        <v>6.3595800000000001E-3</v>
      </c>
      <c r="AU454">
        <v>51.486240000000002</v>
      </c>
      <c r="AV454">
        <v>8.1921749999999995E-3</v>
      </c>
      <c r="AW454">
        <v>46.49456</v>
      </c>
      <c r="AX454">
        <v>11.77361</v>
      </c>
    </row>
    <row r="455" spans="1:50" x14ac:dyDescent="0.35">
      <c r="A455" s="75">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52.115110000000001</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32.621960000000001</v>
      </c>
      <c r="AN455">
        <v>26.362760000000002</v>
      </c>
      <c r="AP455">
        <v>29.454609999999999</v>
      </c>
      <c r="AT455">
        <v>6.7613059999999999E-3</v>
      </c>
      <c r="AU455">
        <v>51.671340000000001</v>
      </c>
      <c r="AV455">
        <v>8.7935019999999999E-3</v>
      </c>
      <c r="AW455">
        <v>46.536749999999998</v>
      </c>
      <c r="AX455">
        <v>11.911580000000001</v>
      </c>
    </row>
    <row r="456" spans="1:50" x14ac:dyDescent="0.35">
      <c r="A456" s="75">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52.160400000000003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32.82526</v>
      </c>
      <c r="AN456">
        <v>26.45251</v>
      </c>
      <c r="AP456">
        <v>29.7044</v>
      </c>
      <c r="AT456">
        <v>7.1400780000000002E-3</v>
      </c>
      <c r="AU456">
        <v>51.68092</v>
      </c>
      <c r="AV456">
        <v>8.993773E-3</v>
      </c>
      <c r="AW456">
        <v>46.578940000000003</v>
      </c>
      <c r="AX456">
        <v>12.04955</v>
      </c>
    </row>
    <row r="457" spans="1:50" x14ac:dyDescent="0.35">
      <c r="A457" s="75">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52.207230000000003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33.075159999999997</v>
      </c>
      <c r="AN457">
        <v>26.54363</v>
      </c>
      <c r="AP457">
        <v>30.19802</v>
      </c>
      <c r="AT457">
        <v>7.4048889999999996E-3</v>
      </c>
      <c r="AU457">
        <v>51.808570000000003</v>
      </c>
      <c r="AV457">
        <v>9.1412879999999992E-3</v>
      </c>
      <c r="AW457">
        <v>46.621130000000001</v>
      </c>
      <c r="AX457">
        <v>12.187519999999999</v>
      </c>
    </row>
    <row r="458" spans="1:50" x14ac:dyDescent="0.35">
      <c r="A458" s="75">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52.455669999999998</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33.363930000000003</v>
      </c>
      <c r="AN458">
        <v>26.73001</v>
      </c>
      <c r="AP458">
        <v>30.652819999999998</v>
      </c>
      <c r="AT458">
        <v>7.8787630000000004E-3</v>
      </c>
      <c r="AU458">
        <v>52.284080000000003</v>
      </c>
      <c r="AV458">
        <v>9.4101940000000002E-3</v>
      </c>
      <c r="AW458">
        <v>46.916469999999997</v>
      </c>
      <c r="AX458">
        <v>12.3255</v>
      </c>
    </row>
    <row r="459" spans="1:50" x14ac:dyDescent="0.35">
      <c r="A459" s="75">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52.608539999999998</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33.577599999999997</v>
      </c>
      <c r="AN459">
        <v>26.845230000000001</v>
      </c>
      <c r="AP459">
        <v>31.007110000000001</v>
      </c>
      <c r="AT459">
        <v>8.4444589999999996E-3</v>
      </c>
      <c r="AU459">
        <v>52.450040000000001</v>
      </c>
      <c r="AV459">
        <v>9.6642470000000008E-3</v>
      </c>
      <c r="AW459">
        <v>47.085230000000003</v>
      </c>
      <c r="AX459">
        <v>12.509460000000001</v>
      </c>
    </row>
    <row r="460" spans="1:50" x14ac:dyDescent="0.35">
      <c r="A460" s="75">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52.780209999999997</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33.820909999999998</v>
      </c>
      <c r="AN460">
        <v>26.971879999999999</v>
      </c>
      <c r="AP460">
        <v>31.425090000000001</v>
      </c>
      <c r="AT460">
        <v>9.3717100000000001E-3</v>
      </c>
      <c r="AU460">
        <v>52.555349999999997</v>
      </c>
      <c r="AV460">
        <v>1.0025350000000001E-2</v>
      </c>
      <c r="AW460">
        <v>47.29618</v>
      </c>
      <c r="AX460">
        <v>12.69342</v>
      </c>
    </row>
    <row r="461" spans="1:50" x14ac:dyDescent="0.35">
      <c r="A461" s="75">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53.092309999999998</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34.169029999999999</v>
      </c>
      <c r="AN461">
        <v>27.12885</v>
      </c>
      <c r="AP461">
        <v>31.583320000000001</v>
      </c>
      <c r="AT461">
        <v>9.9677419999999999E-3</v>
      </c>
      <c r="AU461">
        <v>52.69258</v>
      </c>
      <c r="AV461">
        <v>1.0235350000000001E-2</v>
      </c>
      <c r="AW461">
        <v>47.549329999999998</v>
      </c>
      <c r="AX461">
        <v>12.87738</v>
      </c>
    </row>
    <row r="462" spans="1:50" x14ac:dyDescent="0.35">
      <c r="A462" s="75">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53.235790000000001</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34.423830000000002</v>
      </c>
      <c r="AN462">
        <v>27.238060000000001</v>
      </c>
      <c r="AP462">
        <v>31.617159999999998</v>
      </c>
      <c r="AT462">
        <v>1.027191E-2</v>
      </c>
      <c r="AU462">
        <v>52.734070000000003</v>
      </c>
      <c r="AV462">
        <v>1.0740390000000001E-2</v>
      </c>
      <c r="AW462">
        <v>47.7181</v>
      </c>
      <c r="AX462">
        <v>12.96937</v>
      </c>
    </row>
    <row r="463" spans="1:50" x14ac:dyDescent="0.35">
      <c r="A463" s="75">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53.35548</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34.634030000000003</v>
      </c>
      <c r="AN463">
        <v>27.28828</v>
      </c>
      <c r="AP463">
        <v>31.53257</v>
      </c>
      <c r="AT463">
        <v>1.1368049999999999E-2</v>
      </c>
      <c r="AU463">
        <v>52.63832</v>
      </c>
      <c r="AV463">
        <v>1.072912E-2</v>
      </c>
      <c r="AW463">
        <v>47.886859999999999</v>
      </c>
      <c r="AX463">
        <v>13.107340000000001</v>
      </c>
    </row>
    <row r="464" spans="1:50" x14ac:dyDescent="0.35">
      <c r="A464" s="75">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53.417189999999998</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34.871310000000001</v>
      </c>
      <c r="AN464">
        <v>27.35698</v>
      </c>
      <c r="AP464">
        <v>31.630089999999999</v>
      </c>
      <c r="AT464">
        <v>1.232891E-2</v>
      </c>
      <c r="AU464">
        <v>53.270209999999999</v>
      </c>
      <c r="AV464">
        <v>1.093451E-2</v>
      </c>
      <c r="AW464">
        <v>48.013440000000003</v>
      </c>
      <c r="AX464">
        <v>13.19932</v>
      </c>
    </row>
    <row r="465" spans="1:50" x14ac:dyDescent="0.35">
      <c r="A465" s="75">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53.589210000000001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35.171149999999997</v>
      </c>
      <c r="AN465">
        <v>27.43169</v>
      </c>
      <c r="AP465">
        <v>31.96846</v>
      </c>
      <c r="AT465">
        <v>1.3908759999999999E-2</v>
      </c>
      <c r="AU465">
        <v>53.544670000000004</v>
      </c>
      <c r="AV465">
        <v>1.112198E-2</v>
      </c>
      <c r="AW465">
        <v>48.266579999999998</v>
      </c>
      <c r="AX465">
        <v>13.429270000000001</v>
      </c>
    </row>
    <row r="466" spans="1:50" x14ac:dyDescent="0.35">
      <c r="A466" s="75">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53.830190000000002</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35.499650000000003</v>
      </c>
      <c r="AN466">
        <v>27.55508</v>
      </c>
      <c r="AP466">
        <v>32.057029999999997</v>
      </c>
      <c r="AT466">
        <v>1.5409910000000001E-2</v>
      </c>
      <c r="AU466">
        <v>54.045720000000003</v>
      </c>
      <c r="AV466">
        <v>1.1447229999999999E-2</v>
      </c>
      <c r="AW466">
        <v>48.519730000000003</v>
      </c>
      <c r="AX466">
        <v>13.61323</v>
      </c>
    </row>
    <row r="467" spans="1:50" x14ac:dyDescent="0.35">
      <c r="A467" s="75">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53.973529999999997</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35.86327</v>
      </c>
      <c r="AN467">
        <v>27.750800000000002</v>
      </c>
      <c r="AP467">
        <v>32.415300000000002</v>
      </c>
      <c r="AT467">
        <v>1.68717E-2</v>
      </c>
      <c r="AU467">
        <v>54.294640000000001</v>
      </c>
      <c r="AV467">
        <v>1.199682E-2</v>
      </c>
      <c r="AW467">
        <v>48.646299999999997</v>
      </c>
      <c r="AX467">
        <v>13.75121</v>
      </c>
    </row>
    <row r="468" spans="1:50" x14ac:dyDescent="0.35">
      <c r="A468" s="75">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54.009459999999997</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36.159990000000001</v>
      </c>
      <c r="AN468">
        <v>27.90483</v>
      </c>
      <c r="AP468">
        <v>32.53472</v>
      </c>
      <c r="AT468">
        <v>1.9750199999999999E-2</v>
      </c>
      <c r="AU468">
        <v>54.460590000000003</v>
      </c>
      <c r="AV468">
        <v>1.2746169999999999E-2</v>
      </c>
      <c r="AW468">
        <v>48.688490000000002</v>
      </c>
      <c r="AX468">
        <v>13.88918</v>
      </c>
    </row>
    <row r="469" spans="1:50" x14ac:dyDescent="0.35">
      <c r="A469" s="75">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54.016680000000001</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36.73218</v>
      </c>
      <c r="AN469">
        <v>28.154630000000001</v>
      </c>
      <c r="AP469">
        <v>32.977580000000003</v>
      </c>
      <c r="AT469">
        <v>2.0993089999999999E-2</v>
      </c>
      <c r="AU469">
        <v>54.46378</v>
      </c>
      <c r="AV469">
        <v>1.4173679999999999E-2</v>
      </c>
      <c r="AW469">
        <v>48.688490000000002</v>
      </c>
      <c r="AX469">
        <v>13.981159999999999</v>
      </c>
    </row>
    <row r="470" spans="1:50" x14ac:dyDescent="0.35">
      <c r="A470" s="75">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54.118319999999997</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37.085000000000001</v>
      </c>
      <c r="AN470">
        <v>28.328479999999999</v>
      </c>
      <c r="AP470">
        <v>33.450290000000003</v>
      </c>
      <c r="AT470">
        <v>2.157682E-2</v>
      </c>
      <c r="AU470">
        <v>54.760579999999997</v>
      </c>
      <c r="AV470">
        <v>1.502189E-2</v>
      </c>
      <c r="AW470">
        <v>48.815060000000003</v>
      </c>
      <c r="AX470">
        <v>14.07314</v>
      </c>
    </row>
    <row r="471" spans="1:50" x14ac:dyDescent="0.35">
      <c r="A471" s="75">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54.234540000000003</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37.339889999999997</v>
      </c>
      <c r="AN471">
        <v>28.462540000000001</v>
      </c>
      <c r="AP471">
        <v>33.913060000000002</v>
      </c>
      <c r="AT471">
        <v>2.281644E-2</v>
      </c>
      <c r="AU471">
        <v>55.169080000000001</v>
      </c>
      <c r="AV471">
        <v>1.5583049999999999E-2</v>
      </c>
      <c r="AW471">
        <v>48.94164</v>
      </c>
      <c r="AX471">
        <v>14.16512</v>
      </c>
    </row>
    <row r="472" spans="1:50" x14ac:dyDescent="0.35">
      <c r="A472" s="75">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54.434399999999997</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37.620719999999999</v>
      </c>
      <c r="AN472">
        <v>28.651309999999999</v>
      </c>
      <c r="AP472">
        <v>34.14096</v>
      </c>
      <c r="AT472">
        <v>2.451271E-2</v>
      </c>
      <c r="AU472">
        <v>55.417999999999999</v>
      </c>
      <c r="AV472">
        <v>1.644638E-2</v>
      </c>
      <c r="AW472">
        <v>49.152589999999996</v>
      </c>
      <c r="AX472">
        <v>14.39508</v>
      </c>
    </row>
    <row r="473" spans="1:50" x14ac:dyDescent="0.35">
      <c r="A473" s="75">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54.704949999999997</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37.900480000000002</v>
      </c>
      <c r="AN473">
        <v>28.870930000000001</v>
      </c>
      <c r="AP473">
        <v>34.268340000000002</v>
      </c>
      <c r="AT473">
        <v>2.5854800000000001E-2</v>
      </c>
      <c r="AU473">
        <v>55.912660000000002</v>
      </c>
      <c r="AV473">
        <v>1.747158E-2</v>
      </c>
      <c r="AW473">
        <v>49.405740000000002</v>
      </c>
      <c r="AX473">
        <v>14.533049999999999</v>
      </c>
    </row>
    <row r="474" spans="1:50" x14ac:dyDescent="0.35">
      <c r="A474" s="75">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54.871510000000001</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38.067329999999998</v>
      </c>
      <c r="AN474">
        <v>28.997109999999999</v>
      </c>
      <c r="AP474">
        <v>34.383780000000002</v>
      </c>
      <c r="AT474">
        <v>2.7538779999999999E-2</v>
      </c>
      <c r="AU474">
        <v>56.113720000000001</v>
      </c>
      <c r="AV474">
        <v>1.8075910000000001E-2</v>
      </c>
      <c r="AW474">
        <v>49.5745</v>
      </c>
      <c r="AX474">
        <v>14.67102</v>
      </c>
    </row>
    <row r="475" spans="1:50" x14ac:dyDescent="0.35">
      <c r="A475" s="75">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55.024569999999997</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38.218539999999997</v>
      </c>
      <c r="AN475">
        <v>29.095780000000001</v>
      </c>
      <c r="AP475">
        <v>34.56391</v>
      </c>
      <c r="AT475">
        <v>3.3657319999999998E-2</v>
      </c>
      <c r="AU475">
        <v>56.250950000000003</v>
      </c>
      <c r="AV475">
        <v>1.8237779999999999E-2</v>
      </c>
      <c r="AW475">
        <v>49.78546</v>
      </c>
      <c r="AX475">
        <v>14.71701</v>
      </c>
    </row>
    <row r="476" spans="1:50" x14ac:dyDescent="0.35">
      <c r="A476" s="75">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55.164870000000001</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38.378360000000001</v>
      </c>
      <c r="AN476">
        <v>29.188459999999999</v>
      </c>
      <c r="AP476">
        <v>34.847540000000002</v>
      </c>
      <c r="AT476">
        <v>3.6344790000000002E-2</v>
      </c>
      <c r="AU476">
        <v>56.522210000000001</v>
      </c>
      <c r="AV476">
        <v>1.8529159999999999E-2</v>
      </c>
      <c r="AW476">
        <v>49.996409999999997</v>
      </c>
      <c r="AX476">
        <v>14.900969999999999</v>
      </c>
    </row>
    <row r="477" spans="1:50" x14ac:dyDescent="0.35">
      <c r="A477" s="75">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55.348199999999999</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38.54374</v>
      </c>
      <c r="AN477">
        <v>29.32441</v>
      </c>
      <c r="AP477">
        <v>35.30433</v>
      </c>
      <c r="AT477">
        <v>4.0139880000000003E-2</v>
      </c>
      <c r="AU477">
        <v>56.63391</v>
      </c>
      <c r="AV477">
        <v>1.897161E-2</v>
      </c>
      <c r="AW477">
        <v>50.207369999999997</v>
      </c>
      <c r="AX477">
        <v>15.08494</v>
      </c>
    </row>
    <row r="478" spans="1:50" x14ac:dyDescent="0.35">
      <c r="A478" s="75">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55.651490000000003</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38.805610000000001</v>
      </c>
      <c r="AN478">
        <v>29.546710000000001</v>
      </c>
      <c r="AP478">
        <v>35.665590000000002</v>
      </c>
      <c r="AT478">
        <v>4.6169059999999998E-2</v>
      </c>
      <c r="AU478">
        <v>57.06474</v>
      </c>
      <c r="AV478">
        <v>2.0093940000000001E-2</v>
      </c>
      <c r="AW478">
        <v>50.544899999999998</v>
      </c>
      <c r="AX478">
        <v>15.2689</v>
      </c>
    </row>
    <row r="479" spans="1:50" x14ac:dyDescent="0.35">
      <c r="A479" s="75">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55.860169999999997</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39.019109999999998</v>
      </c>
      <c r="AN479">
        <v>29.75928</v>
      </c>
      <c r="AP479">
        <v>35.982059999999997</v>
      </c>
      <c r="AT479">
        <v>5.4857009999999998E-2</v>
      </c>
      <c r="AU479">
        <v>57.511539999999997</v>
      </c>
      <c r="AV479">
        <v>2.1216260000000001E-2</v>
      </c>
      <c r="AW479">
        <v>50.713659999999997</v>
      </c>
      <c r="AX479">
        <v>15.452859999999999</v>
      </c>
    </row>
    <row r="480" spans="1:50" x14ac:dyDescent="0.35">
      <c r="A480" s="75">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55.9377</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39.161320000000003</v>
      </c>
      <c r="AN480">
        <v>29.971550000000001</v>
      </c>
      <c r="AP480">
        <v>36.488610000000001</v>
      </c>
      <c r="AT480">
        <v>6.3271140000000003E-2</v>
      </c>
      <c r="AU480">
        <v>57.60089</v>
      </c>
      <c r="AV480">
        <v>2.2349379999999999E-2</v>
      </c>
      <c r="AW480">
        <v>50.755850000000002</v>
      </c>
      <c r="AX480">
        <v>15.59083</v>
      </c>
    </row>
    <row r="481" spans="1:50" x14ac:dyDescent="0.35">
      <c r="A481" s="75">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55.996189999999999</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39.290950000000002</v>
      </c>
      <c r="AN481">
        <v>30.105350000000001</v>
      </c>
      <c r="AP481">
        <v>36.920520000000003</v>
      </c>
      <c r="AT481">
        <v>7.1005609999999997E-2</v>
      </c>
      <c r="AU481">
        <v>57.722160000000002</v>
      </c>
      <c r="AV481">
        <v>2.289975E-2</v>
      </c>
      <c r="AW481">
        <v>50.840240000000001</v>
      </c>
      <c r="AX481">
        <v>15.7288</v>
      </c>
    </row>
    <row r="482" spans="1:50" x14ac:dyDescent="0.35">
      <c r="A482" s="75">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56.251199999999997</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39.555280000000003</v>
      </c>
      <c r="AN482">
        <v>30.37876</v>
      </c>
      <c r="AO482">
        <v>0.42199150000000002</v>
      </c>
      <c r="AP482">
        <v>37.57734</v>
      </c>
      <c r="AT482">
        <v>8.1933389999999995E-2</v>
      </c>
      <c r="AU482">
        <v>58.39235</v>
      </c>
      <c r="AV482">
        <v>2.4410569999999999E-2</v>
      </c>
      <c r="AW482">
        <v>51.093380000000003</v>
      </c>
      <c r="AX482">
        <v>15.95876</v>
      </c>
    </row>
    <row r="483" spans="1:50" x14ac:dyDescent="0.35">
      <c r="A483" s="75">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56.437370000000001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39.734990000000003</v>
      </c>
      <c r="AN483">
        <v>30.57282</v>
      </c>
      <c r="AO483">
        <v>0.42199150000000002</v>
      </c>
      <c r="AP483">
        <v>38.080910000000003</v>
      </c>
      <c r="AT483">
        <v>9.7758139999999993E-2</v>
      </c>
      <c r="AU483">
        <v>58.721060000000001</v>
      </c>
      <c r="AV483">
        <v>2.5576060000000001E-2</v>
      </c>
      <c r="AW483">
        <v>51.304340000000003</v>
      </c>
      <c r="AX483">
        <v>16.096730000000001</v>
      </c>
    </row>
    <row r="484" spans="1:50" x14ac:dyDescent="0.35">
      <c r="A484" s="75">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56.71396</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39.964370000000002</v>
      </c>
      <c r="AN484">
        <v>30.751799999999999</v>
      </c>
      <c r="AO484">
        <v>0.42199150000000002</v>
      </c>
      <c r="AP484">
        <v>38.40634</v>
      </c>
      <c r="AT484">
        <v>0.1142093</v>
      </c>
      <c r="AU484">
        <v>58.960410000000003</v>
      </c>
      <c r="AV484">
        <v>2.6353060000000001E-2</v>
      </c>
      <c r="AW484">
        <v>51.599670000000003</v>
      </c>
      <c r="AX484">
        <v>16.372669999999999</v>
      </c>
    </row>
    <row r="485" spans="1:50" x14ac:dyDescent="0.35">
      <c r="A485" s="75">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57.166890000000002</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40.343220000000002</v>
      </c>
      <c r="AN485">
        <v>31.049499999999998</v>
      </c>
      <c r="AO485">
        <v>0.49232340000000002</v>
      </c>
      <c r="AP485">
        <v>38.798439999999999</v>
      </c>
      <c r="AT485">
        <v>0.14909549999999999</v>
      </c>
      <c r="AU485">
        <v>59.506140000000002</v>
      </c>
      <c r="AV485">
        <v>2.7993380000000002E-2</v>
      </c>
      <c r="AW485">
        <v>51.937199999999997</v>
      </c>
      <c r="AX485">
        <v>16.602630000000001</v>
      </c>
    </row>
    <row r="486" spans="1:50" x14ac:dyDescent="0.35">
      <c r="A486" s="75">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57.473730000000003</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40.580959999999997</v>
      </c>
      <c r="AN486">
        <v>31.203990000000001</v>
      </c>
      <c r="AO486">
        <v>0.56265529999999997</v>
      </c>
      <c r="AP486">
        <v>38.867109999999997</v>
      </c>
      <c r="AT486">
        <v>0.1813681</v>
      </c>
      <c r="AU486">
        <v>59.76144</v>
      </c>
      <c r="AV486">
        <v>2.8845920000000001E-2</v>
      </c>
      <c r="AW486">
        <v>52.23254</v>
      </c>
      <c r="AX486">
        <v>16.83258</v>
      </c>
    </row>
    <row r="487" spans="1:50" x14ac:dyDescent="0.35">
      <c r="A487" s="75">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57.588920000000002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40.704740000000001</v>
      </c>
      <c r="AN487">
        <v>31.320340000000002</v>
      </c>
      <c r="AO487">
        <v>0.56265529999999997</v>
      </c>
      <c r="AP487">
        <v>39.127850000000002</v>
      </c>
      <c r="AT487">
        <v>0.23316219999999999</v>
      </c>
      <c r="AU487">
        <v>59.956119999999999</v>
      </c>
      <c r="AV487">
        <v>2.9450250000000001E-2</v>
      </c>
      <c r="AW487">
        <v>52.359110000000001</v>
      </c>
      <c r="AX487">
        <v>17.016539999999999</v>
      </c>
    </row>
    <row r="488" spans="1:50" x14ac:dyDescent="0.35">
      <c r="A488" s="75">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57.666739999999997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40.842300000000002</v>
      </c>
      <c r="AN488">
        <v>31.446290000000001</v>
      </c>
      <c r="AO488">
        <v>0.63298719999999997</v>
      </c>
      <c r="AP488">
        <v>39.493079999999999</v>
      </c>
      <c r="AT488">
        <v>0.30726599999999998</v>
      </c>
      <c r="AU488">
        <v>59.978459999999998</v>
      </c>
      <c r="AV488">
        <v>3.034595E-2</v>
      </c>
      <c r="AW488">
        <v>52.485689999999998</v>
      </c>
      <c r="AX488">
        <v>17.200510000000001</v>
      </c>
    </row>
    <row r="489" spans="1:50" x14ac:dyDescent="0.35">
      <c r="A489" s="75">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57.732349999999997</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40.95073</v>
      </c>
      <c r="AN489">
        <v>31.57366</v>
      </c>
      <c r="AO489">
        <v>0.84398289999999998</v>
      </c>
      <c r="AP489">
        <v>40.143940000000001</v>
      </c>
      <c r="AT489">
        <v>0.40344269999999999</v>
      </c>
      <c r="AU489">
        <v>60.214619999999996</v>
      </c>
      <c r="AV489">
        <v>3.1414320000000003E-2</v>
      </c>
      <c r="AW489">
        <v>52.570070000000001</v>
      </c>
      <c r="AX489">
        <v>17.43046</v>
      </c>
    </row>
    <row r="490" spans="1:50" x14ac:dyDescent="0.35">
      <c r="A490" s="75">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57.969459999999998</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41.19988</v>
      </c>
      <c r="AN490">
        <v>31.834859999999999</v>
      </c>
      <c r="AO490">
        <v>1.125311</v>
      </c>
      <c r="AP490">
        <v>40.230519999999999</v>
      </c>
      <c r="AT490">
        <v>0.60880449999999997</v>
      </c>
      <c r="AU490">
        <v>60.699710000000003</v>
      </c>
      <c r="AV490">
        <v>3.3184129999999999E-2</v>
      </c>
      <c r="AW490">
        <v>52.73883</v>
      </c>
      <c r="AX490">
        <v>17.568429999999999</v>
      </c>
    </row>
    <row r="491" spans="1:50" x14ac:dyDescent="0.35">
      <c r="A491" s="75">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58.27722</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41.500500000000002</v>
      </c>
      <c r="AN491">
        <v>32.12189</v>
      </c>
      <c r="AO491">
        <v>1.6879660000000001</v>
      </c>
      <c r="AP491">
        <v>40.430549999999997</v>
      </c>
      <c r="AT491">
        <v>0.9142612</v>
      </c>
      <c r="AU491">
        <v>61.226280000000003</v>
      </c>
      <c r="AV491">
        <v>3.5234540000000002E-2</v>
      </c>
      <c r="AW491">
        <v>52.991979999999998</v>
      </c>
      <c r="AX491">
        <v>17.706399999999999</v>
      </c>
    </row>
    <row r="492" spans="1:50" x14ac:dyDescent="0.35">
      <c r="A492" s="75">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58.332070000000002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41.619259999999997</v>
      </c>
      <c r="AN492">
        <v>32.311529999999998</v>
      </c>
      <c r="AO492">
        <v>2.039625</v>
      </c>
      <c r="AP492">
        <v>40.808720000000001</v>
      </c>
      <c r="AT492">
        <v>1.305415</v>
      </c>
      <c r="AU492">
        <v>61.322020000000002</v>
      </c>
      <c r="AV492">
        <v>3.6766939999999998E-2</v>
      </c>
      <c r="AW492">
        <v>53.118549999999999</v>
      </c>
      <c r="AX492">
        <v>17.936360000000001</v>
      </c>
    </row>
    <row r="493" spans="1:50" x14ac:dyDescent="0.35">
      <c r="A493" s="75">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58.437629999999999</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41.788809999999998</v>
      </c>
      <c r="AN493">
        <v>32.469239999999999</v>
      </c>
      <c r="AO493">
        <v>2.3912849999999999</v>
      </c>
      <c r="AP493">
        <v>41.237650000000002</v>
      </c>
      <c r="AT493">
        <v>2.064908</v>
      </c>
      <c r="AU493">
        <v>61.54222</v>
      </c>
      <c r="AV493">
        <v>3.7619479999999997E-2</v>
      </c>
      <c r="AW493">
        <v>53.202930000000002</v>
      </c>
      <c r="AX493">
        <v>18.166309999999999</v>
      </c>
    </row>
    <row r="494" spans="1:50" x14ac:dyDescent="0.35">
      <c r="A494" s="75">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58.893009999999997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42.228499999999997</v>
      </c>
      <c r="AN494">
        <v>32.724939999999997</v>
      </c>
      <c r="AO494">
        <v>4.2902459999999998</v>
      </c>
      <c r="AP494">
        <v>42.22786</v>
      </c>
      <c r="AT494">
        <v>2.9212500000000001</v>
      </c>
      <c r="AU494">
        <v>63.297469999999997</v>
      </c>
      <c r="AV494">
        <v>3.9065549999999997E-2</v>
      </c>
      <c r="AW494">
        <v>53.751420000000003</v>
      </c>
      <c r="AX494">
        <v>18.396260000000002</v>
      </c>
    </row>
    <row r="495" spans="1:50" x14ac:dyDescent="0.35">
      <c r="A495" s="75">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59.165199999999999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42.486750000000001</v>
      </c>
      <c r="AN495">
        <v>32.96931</v>
      </c>
      <c r="AO495">
        <v>5.2748929999999996</v>
      </c>
      <c r="AP495">
        <v>43.169310000000003</v>
      </c>
      <c r="AT495">
        <v>3.194617</v>
      </c>
      <c r="AU495">
        <v>63.508110000000002</v>
      </c>
      <c r="AV495">
        <v>4.0792200000000001E-2</v>
      </c>
      <c r="AW495">
        <v>54.004570000000001</v>
      </c>
      <c r="AX495">
        <v>18.53424</v>
      </c>
    </row>
    <row r="496" spans="1:50" x14ac:dyDescent="0.35">
      <c r="A496" s="75">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59.405569999999997</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42.741199999999999</v>
      </c>
      <c r="AN496">
        <v>33.175750000000001</v>
      </c>
      <c r="AO496">
        <v>5.4858890000000002</v>
      </c>
      <c r="AP496">
        <v>43.422089999999997</v>
      </c>
      <c r="AT496">
        <v>3.2583790000000001</v>
      </c>
      <c r="AU496">
        <v>65.253780000000006</v>
      </c>
      <c r="AV496">
        <v>4.2907349999999997E-2</v>
      </c>
      <c r="AW496">
        <v>54.299900000000001</v>
      </c>
      <c r="AX496">
        <v>18.810179999999999</v>
      </c>
    </row>
    <row r="497" spans="1:50" x14ac:dyDescent="0.35">
      <c r="A497" s="75">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59.684399999999997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43.028660000000002</v>
      </c>
      <c r="AN497">
        <v>33.510840000000002</v>
      </c>
      <c r="AO497">
        <v>5.9078809999999997</v>
      </c>
      <c r="AP497">
        <v>43.922669999999997</v>
      </c>
      <c r="AT497">
        <v>3.4160469999999998</v>
      </c>
      <c r="AU497">
        <v>65.489940000000004</v>
      </c>
      <c r="AV497">
        <v>4.5756329999999998E-2</v>
      </c>
      <c r="AW497">
        <v>54.384279999999997</v>
      </c>
      <c r="AX497">
        <v>18.994140000000002</v>
      </c>
    </row>
    <row r="498" spans="1:50" x14ac:dyDescent="0.35">
      <c r="A498" s="75">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59.884079999999997</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43.233089999999997</v>
      </c>
      <c r="AN498">
        <v>33.703380000000003</v>
      </c>
      <c r="AO498">
        <v>6.1892079999999998</v>
      </c>
      <c r="AP498">
        <v>44.388420000000004</v>
      </c>
      <c r="AT498">
        <v>3.4617239999999998</v>
      </c>
      <c r="AU498">
        <v>65.863330000000005</v>
      </c>
      <c r="AV498">
        <v>4.7159239999999998E-2</v>
      </c>
      <c r="AW498">
        <v>54.510860000000001</v>
      </c>
      <c r="AX498">
        <v>19.178100000000001</v>
      </c>
    </row>
    <row r="499" spans="1:50" x14ac:dyDescent="0.35">
      <c r="A499" s="75">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60.067979999999999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43.412649999999999</v>
      </c>
      <c r="AN499">
        <v>33.812609999999999</v>
      </c>
      <c r="AO499">
        <v>6.4002039999999996</v>
      </c>
      <c r="AP499">
        <v>44.518790000000003</v>
      </c>
      <c r="AT499">
        <v>3.390774</v>
      </c>
      <c r="AU499">
        <v>65.821849999999998</v>
      </c>
      <c r="AV499">
        <v>4.7871490000000003E-2</v>
      </c>
      <c r="AW499">
        <v>54.806190000000001</v>
      </c>
      <c r="AX499">
        <v>19.316079999999999</v>
      </c>
    </row>
    <row r="500" spans="1:50" x14ac:dyDescent="0.35">
      <c r="A500" s="75">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60.18768</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43.546469999999999</v>
      </c>
      <c r="AN500">
        <v>33.874130000000001</v>
      </c>
      <c r="AO500">
        <v>6.6112000000000002</v>
      </c>
      <c r="AP500">
        <v>44.83426</v>
      </c>
      <c r="AT500">
        <v>3.4172060000000002</v>
      </c>
      <c r="AU500">
        <v>66.44735</v>
      </c>
      <c r="AV500">
        <v>4.7429029999999997E-2</v>
      </c>
      <c r="AW500">
        <v>55.017150000000001</v>
      </c>
      <c r="AX500">
        <v>19.454049999999999</v>
      </c>
    </row>
    <row r="501" spans="1:50" x14ac:dyDescent="0.35">
      <c r="A501" s="75">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60.612000000000002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43.87473</v>
      </c>
      <c r="AN501">
        <v>34.112079999999999</v>
      </c>
      <c r="AO501">
        <v>6.7518630000000002</v>
      </c>
      <c r="AP501">
        <v>45.366689999999998</v>
      </c>
      <c r="AT501">
        <v>3.378253</v>
      </c>
      <c r="AU501">
        <v>66.903720000000007</v>
      </c>
      <c r="AV501">
        <v>4.8637689999999997E-2</v>
      </c>
      <c r="AW501">
        <v>55.523449999999997</v>
      </c>
      <c r="AX501">
        <v>19.775980000000001</v>
      </c>
    </row>
    <row r="502" spans="1:50" x14ac:dyDescent="0.35">
      <c r="A502" s="75">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61.049349999999997</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44.291829999999997</v>
      </c>
      <c r="AN502">
        <v>34.513460000000002</v>
      </c>
      <c r="AO502">
        <v>7.0331910000000004</v>
      </c>
      <c r="AP502">
        <v>45.84836</v>
      </c>
      <c r="AT502">
        <v>3.6400269999999999</v>
      </c>
      <c r="AU502">
        <v>67.666449999999998</v>
      </c>
      <c r="AV502">
        <v>5.2867989999999997E-2</v>
      </c>
      <c r="AW502">
        <v>55.987549999999999</v>
      </c>
      <c r="AX502">
        <v>20.097919999999998</v>
      </c>
    </row>
    <row r="503" spans="1:50" x14ac:dyDescent="0.35">
      <c r="A503" s="75">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44.705249999999999</v>
      </c>
      <c r="AN503">
        <v>34.896909999999998</v>
      </c>
      <c r="AO503">
        <v>7.4551829999999999</v>
      </c>
      <c r="AP503">
        <v>46.34695</v>
      </c>
      <c r="AT503">
        <v>3.8899759999999999</v>
      </c>
      <c r="AU503">
        <v>68.110050000000001</v>
      </c>
      <c r="AV503">
        <v>5.6483169999999999E-2</v>
      </c>
      <c r="AW503">
        <v>56.325069999999997</v>
      </c>
      <c r="AX503">
        <v>20.235890000000001</v>
      </c>
    </row>
    <row r="504" spans="1:50" x14ac:dyDescent="0.35">
      <c r="A504" s="75">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61.588920000000002</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44.880249999999997</v>
      </c>
      <c r="AN504">
        <v>35.052590000000002</v>
      </c>
      <c r="AO504">
        <v>7.8068419999999996</v>
      </c>
      <c r="AP504">
        <v>46.648490000000002</v>
      </c>
      <c r="AT504">
        <v>4.0330360000000001</v>
      </c>
      <c r="AU504">
        <v>68.33663</v>
      </c>
      <c r="AV504">
        <v>5.931057E-2</v>
      </c>
      <c r="AW504">
        <v>56.451650000000001</v>
      </c>
      <c r="AX504">
        <v>20.649809999999999</v>
      </c>
    </row>
    <row r="505" spans="1:50" x14ac:dyDescent="0.35">
      <c r="A505" s="75">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61.598770000000002</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44.986629999999998</v>
      </c>
      <c r="AN505">
        <v>35.137410000000003</v>
      </c>
      <c r="AO505">
        <v>8.2991659999999996</v>
      </c>
      <c r="AP505">
        <v>47.008749999999999</v>
      </c>
      <c r="AT505">
        <v>4.1338970000000002</v>
      </c>
      <c r="AU505">
        <v>68.250470000000007</v>
      </c>
      <c r="AV505">
        <v>6.034656E-2</v>
      </c>
      <c r="AW505">
        <v>56.451650000000001</v>
      </c>
      <c r="AX505">
        <v>20.787780000000001</v>
      </c>
    </row>
    <row r="506" spans="1:50" x14ac:dyDescent="0.35">
      <c r="A506" s="75">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61.99539</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45.37003</v>
      </c>
      <c r="AN506">
        <v>35.427219999999998</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35">
      <c r="A507" s="75">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62.104799999999997</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45.555349999999997</v>
      </c>
      <c r="AN507">
        <v>35.688740000000003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35">
      <c r="A508" s="75">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62.26585</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45.750149999999998</v>
      </c>
      <c r="AN508">
        <v>35.882939999999998</v>
      </c>
      <c r="AO508">
        <v>10.40912</v>
      </c>
      <c r="AP508">
        <v>49.120539999999998</v>
      </c>
      <c r="AS508">
        <v>23.46808</v>
      </c>
      <c r="AT508">
        <v>4.975562</v>
      </c>
      <c r="AU508">
        <v>72.073719999999994</v>
      </c>
      <c r="AV508">
        <v>6.9627330000000001E-2</v>
      </c>
      <c r="AW508">
        <v>56.957940000000001</v>
      </c>
      <c r="AX508">
        <v>21.477640000000001</v>
      </c>
    </row>
    <row r="509" spans="1:50" x14ac:dyDescent="0.35">
      <c r="A509" s="75">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62.51258</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46.011409999999998</v>
      </c>
      <c r="AN509">
        <v>36.244720000000001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35">
      <c r="A510" s="75">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62.753590000000003</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46.2258</v>
      </c>
      <c r="AN510">
        <v>36.456420000000001</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35">
      <c r="A511" s="75">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62.913530000000002</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46.401310000000002</v>
      </c>
      <c r="AN511">
        <v>36.68045</v>
      </c>
      <c r="AO511">
        <v>11.53443</v>
      </c>
      <c r="AP511">
        <v>50.151560000000003</v>
      </c>
      <c r="AS511">
        <v>24.572140000000001</v>
      </c>
      <c r="AT511">
        <v>6.4291150000000004</v>
      </c>
      <c r="AU511">
        <v>72.447109999999995</v>
      </c>
      <c r="AV511">
        <v>7.8929680000000002E-2</v>
      </c>
      <c r="AW511">
        <v>57.379849999999998</v>
      </c>
      <c r="AX511">
        <v>22.25948</v>
      </c>
    </row>
    <row r="512" spans="1:50" x14ac:dyDescent="0.35">
      <c r="A512" s="75">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63.046729999999997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46.552610000000001</v>
      </c>
      <c r="AN512">
        <v>36.882060000000003</v>
      </c>
      <c r="AO512">
        <v>11.53443</v>
      </c>
      <c r="AP512">
        <v>50.379460000000002</v>
      </c>
      <c r="AS512">
        <v>24.69332</v>
      </c>
      <c r="AT512">
        <v>6.7942999999999998</v>
      </c>
      <c r="AU512">
        <v>72.463070000000002</v>
      </c>
      <c r="AV512">
        <v>7.9965670000000003E-2</v>
      </c>
      <c r="AW512">
        <v>57.464230000000001</v>
      </c>
      <c r="AX512">
        <v>22.535419999999998</v>
      </c>
    </row>
    <row r="513" spans="1:50" x14ac:dyDescent="0.35">
      <c r="A513" s="75">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63.223739999999999</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46.737110000000001</v>
      </c>
      <c r="AN513">
        <v>37.077640000000002</v>
      </c>
      <c r="AO513">
        <v>11.60477</v>
      </c>
      <c r="AP513">
        <v>50.710850000000001</v>
      </c>
      <c r="AS513">
        <v>24.814499999999999</v>
      </c>
      <c r="AT513">
        <v>7.2823719999999996</v>
      </c>
      <c r="AU513">
        <v>72.360950000000003</v>
      </c>
      <c r="AV513">
        <v>8.3149189999999998E-2</v>
      </c>
      <c r="AW513">
        <v>57.633000000000003</v>
      </c>
      <c r="AX513">
        <v>22.85736</v>
      </c>
    </row>
    <row r="514" spans="1:50" x14ac:dyDescent="0.35">
      <c r="A514" s="75">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63.417529999999999</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46.988590000000002</v>
      </c>
      <c r="AN514">
        <v>37.358060000000002</v>
      </c>
      <c r="AO514">
        <v>12.09709</v>
      </c>
      <c r="AP514">
        <v>50.80838</v>
      </c>
      <c r="AS514">
        <v>24.827960000000001</v>
      </c>
      <c r="AT514">
        <v>8.3953179999999996</v>
      </c>
      <c r="AU514">
        <v>73.149209999999997</v>
      </c>
      <c r="AV514">
        <v>8.8210440000000001E-2</v>
      </c>
      <c r="AW514">
        <v>57.886139999999997</v>
      </c>
      <c r="AX514">
        <v>23.179290000000002</v>
      </c>
    </row>
    <row r="515" spans="1:50" x14ac:dyDescent="0.35">
      <c r="A515" s="75">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63.735700000000001</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47.315809999999999</v>
      </c>
      <c r="AN515">
        <v>37.784689999999998</v>
      </c>
      <c r="AO515">
        <v>12.519080000000001</v>
      </c>
      <c r="AP515">
        <v>51.092010000000002</v>
      </c>
      <c r="AS515">
        <v>24.733709999999999</v>
      </c>
      <c r="AT515">
        <v>10.27736</v>
      </c>
      <c r="AU515">
        <v>73.423670000000001</v>
      </c>
      <c r="AV515">
        <v>9.4027109999999997E-2</v>
      </c>
      <c r="AW515">
        <v>57.97052</v>
      </c>
      <c r="AX515">
        <v>23.593209999999999</v>
      </c>
    </row>
    <row r="516" spans="1:50" x14ac:dyDescent="0.35">
      <c r="A516" s="75">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63.931460000000001</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47.580010000000001</v>
      </c>
      <c r="AN516">
        <v>38.075229999999998</v>
      </c>
      <c r="AO516">
        <v>12.94107</v>
      </c>
      <c r="AP516">
        <v>51.341799999999999</v>
      </c>
      <c r="AS516">
        <v>25.164570000000001</v>
      </c>
      <c r="AT516">
        <v>12.15939</v>
      </c>
      <c r="AU516">
        <v>73.755570000000006</v>
      </c>
      <c r="AV516">
        <v>9.8958859999999996E-2</v>
      </c>
      <c r="AW516">
        <v>58.139290000000003</v>
      </c>
      <c r="AX516">
        <v>23.823160000000001</v>
      </c>
    </row>
    <row r="517" spans="1:50" x14ac:dyDescent="0.35">
      <c r="A517" s="75">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63.92754</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47.699959999999997</v>
      </c>
      <c r="AN517">
        <v>38.242800000000003</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35">
      <c r="A518" s="75">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64.030299999999997</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47.932789999999997</v>
      </c>
      <c r="AN518">
        <v>38.582639999999998</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35">
      <c r="A519" s="75">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64.241919999999993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48.169690000000003</v>
      </c>
      <c r="AN519">
        <v>38.880699999999997</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35">
      <c r="A520" s="75">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64.547619999999995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48.463520000000003</v>
      </c>
      <c r="AN520">
        <v>39.157330000000002</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35">
      <c r="A521" s="75">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64.803619999999995</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48.696460000000002</v>
      </c>
      <c r="AN521">
        <v>39.410679999999999</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35">
      <c r="A522" s="75">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64.938310000000001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48.819800000000001</v>
      </c>
      <c r="AN522">
        <v>39.563609999999997</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35">
      <c r="A523" s="75">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65.088149999999999</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48.940350000000002</v>
      </c>
      <c r="AN523">
        <v>39.635280000000002</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35">
      <c r="A524" s="75">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65.0946</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48.986040000000003</v>
      </c>
      <c r="AN524">
        <v>39.695099999999996</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35">
      <c r="A525" s="75">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65.232730000000004</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49.153559999999999</v>
      </c>
      <c r="AN525">
        <v>39.863100000000003</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35">
      <c r="A526" s="75">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65.408829999999995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49.417479999999998</v>
      </c>
      <c r="AN526">
        <v>40.188639999999999</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35">
      <c r="A527" s="75">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65.574389999999994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49.652670000000001</v>
      </c>
      <c r="AN527">
        <v>40.490900000000003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35">
      <c r="A528" s="75">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65.692620000000005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49.818669999999997</v>
      </c>
      <c r="AN528">
        <v>40.746940000000002</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35">
      <c r="A529" s="75">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65.698560000000001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49.908070000000002</v>
      </c>
      <c r="AN529">
        <v>40.885689999999997</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35">
      <c r="A530" s="75">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66.017849999999996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50.239159999999998</v>
      </c>
      <c r="AN530">
        <v>41.29522</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35">
      <c r="A531" s="75">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66.265590000000003</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50.472439999999999</v>
      </c>
      <c r="AN531">
        <v>41.567189999999997</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35">
      <c r="A532" s="75">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66.478960000000001</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50.715200000000003</v>
      </c>
      <c r="AN532">
        <v>41.857750000000003</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35">
      <c r="A533" s="75">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66.716279999999998</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50.952080000000002</v>
      </c>
      <c r="AN533">
        <v>42.106169999999999</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35">
      <c r="A534" s="75">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66.815759999999997</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51.09346</v>
      </c>
      <c r="AN534">
        <v>42.304720000000003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35">
      <c r="A535" s="75">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66.909729999999996</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51.197069999999997</v>
      </c>
      <c r="AN535">
        <v>42.427630000000001</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35">
      <c r="A536" s="75">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66.983419999999995</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51.329929999999997</v>
      </c>
      <c r="AN536">
        <v>42.643189999999997</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35">
      <c r="A537" s="75">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67.132760000000005</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51.494520000000001</v>
      </c>
      <c r="AN537">
        <v>42.801270000000002</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35">
      <c r="A538" s="75">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67.249880000000005</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51.691310000000001</v>
      </c>
      <c r="AN538">
        <v>43.070050000000002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35">
      <c r="A539" s="75">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67.416480000000007</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51.92651</v>
      </c>
      <c r="AN539">
        <v>43.366529999999997</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35">
      <c r="A540" s="75">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67.418670000000006</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52.045409999999997</v>
      </c>
      <c r="AN540">
        <v>43.618639999999999</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35">
      <c r="A541" s="75">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67.454239999999999</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52.160040000000002</v>
      </c>
      <c r="AN541">
        <v>43.815930000000002</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35">
      <c r="A542" s="75">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67.625889999999998</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52.378509999999999</v>
      </c>
      <c r="AN542">
        <v>44.078539999999997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35">
      <c r="A543" s="75">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67.827569999999994</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52.619950000000003</v>
      </c>
      <c r="AN543">
        <v>44.426439999999999</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35">
      <c r="A544" s="75">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68.040480000000002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52.869320000000002</v>
      </c>
      <c r="AN544">
        <v>44.703989999999997</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35">
      <c r="A545" s="75">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68.173689999999993</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53.300289999999997</v>
      </c>
      <c r="AN545">
        <v>45.514429999999997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35">
      <c r="A546" s="75">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68.274069999999995</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53.516260000000003</v>
      </c>
      <c r="AN546">
        <v>45.924329999999998</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35">
      <c r="A547" s="75">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68.370570000000001</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53.63747</v>
      </c>
      <c r="AN547">
        <v>46.039929999999998</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35">
      <c r="A548" s="75">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68.422939999999997</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53.769350000000003</v>
      </c>
      <c r="AN548">
        <v>46.20044</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35">
      <c r="A549" s="75">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68.670630000000003</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54.015030000000003</v>
      </c>
      <c r="AN549">
        <v>46.439450000000001</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35">
      <c r="A550" s="75">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68.814530000000005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54.257040000000003</v>
      </c>
      <c r="AN550">
        <v>46.77608</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35">
      <c r="A551" s="75">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68.88991</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54.475769999999997</v>
      </c>
      <c r="AN551">
        <v>47.140250000000002</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35">
      <c r="A552" s="75">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68.958470000000005</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54.6723</v>
      </c>
      <c r="AN552">
        <v>47.498690000000003</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35">
      <c r="A553" s="75">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68.993709999999993</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54.887099999999997</v>
      </c>
      <c r="AN553">
        <v>47.945410000000003</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35">
      <c r="A554" s="75">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69.201970000000003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55.242449999999998</v>
      </c>
      <c r="AN554">
        <v>48.290019999999998</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35">
      <c r="A555" s="75">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69.425389999999993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55.604190000000003</v>
      </c>
      <c r="AN555">
        <v>48.669870000000003</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35">
      <c r="A556" s="75">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69.616990000000001</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55.990430000000003</v>
      </c>
      <c r="AN556">
        <v>49.0169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35">
      <c r="A557" s="75">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69.836470000000006</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56.474879999999999</v>
      </c>
      <c r="AN557">
        <v>49.374139999999997</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35">
      <c r="A558" s="75">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69.992940000000004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56.765659999999997</v>
      </c>
      <c r="AN558">
        <v>49.615020000000001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35">
      <c r="A559" s="75">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70.100989999999996</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56.978009999999998</v>
      </c>
      <c r="AN559">
        <v>49.802999999999997</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35">
      <c r="A560" s="75">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70.059830000000005</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57.073230000000002</v>
      </c>
      <c r="AN560">
        <v>49.894309999999997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35">
      <c r="A561" s="75">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70.216949999999997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57.310699999999997</v>
      </c>
      <c r="AN561">
        <v>50.149569999999997</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35">
      <c r="A562" s="75">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70.401210000000006</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57.674430000000001</v>
      </c>
      <c r="AN562">
        <v>50.601500000000001</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35">
      <c r="A563" s="75">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70.481620000000007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57.928379999999997</v>
      </c>
      <c r="AN563">
        <v>50.89414</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35">
      <c r="A564" s="75">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70.468639999999994</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58.109650000000002</v>
      </c>
      <c r="AN564">
        <v>51.179450000000003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35">
      <c r="A565" s="75">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70.510090000000005</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58.349460000000001</v>
      </c>
      <c r="AN565">
        <v>51.485729999999997</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35">
      <c r="A566" s="75">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47.18365</v>
      </c>
      <c r="U566">
        <v>70.752200000000002</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58.771639999999998</v>
      </c>
      <c r="AN566">
        <v>51.907209999999999</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35">
      <c r="A567" s="75">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47.461799999999997</v>
      </c>
      <c r="U567">
        <v>70.957319999999996</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59.075920000000004</v>
      </c>
      <c r="AN567">
        <v>52.270829999999997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35">
      <c r="A568" s="75">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47.789949999999997</v>
      </c>
      <c r="U568">
        <v>71.239819999999995</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59.454180000000001</v>
      </c>
      <c r="AN568">
        <v>52.651409999999998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35">
      <c r="A569" s="75">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48.184150000000002</v>
      </c>
      <c r="U569">
        <v>71.501530000000002</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59.857799999999997</v>
      </c>
      <c r="AN569">
        <v>53.046320000000001</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35">
      <c r="A570" s="75">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48.443629999999999</v>
      </c>
      <c r="U570">
        <v>71.661689999999993</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60.115349999999999</v>
      </c>
      <c r="AN570">
        <v>53.338050000000003</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35">
      <c r="A571" s="75">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48.558810000000001</v>
      </c>
      <c r="U571">
        <v>71.674509999999998</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60.223149999999997</v>
      </c>
      <c r="AN571">
        <v>53.483750000000001</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35">
      <c r="A572" s="75">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48.678750000000001</v>
      </c>
      <c r="U572">
        <v>71.700500000000005</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60.336950000000002</v>
      </c>
      <c r="AN572">
        <v>53.529139999999998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35">
      <c r="A573" s="75">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48.877719999999997</v>
      </c>
      <c r="U573">
        <v>71.783929999999998</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60.532530000000001</v>
      </c>
      <c r="AN573">
        <v>53.778919999999999</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35">
      <c r="A574" s="75">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49.158799999999999</v>
      </c>
      <c r="U574">
        <v>71.985320000000002</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60.850009999999997</v>
      </c>
      <c r="AN574">
        <v>54.153280000000002</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35">
      <c r="A575" s="75">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49.380600000000001</v>
      </c>
      <c r="U575">
        <v>72.152439999999999</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61.144689999999997</v>
      </c>
      <c r="AN575">
        <v>54.517420000000001</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35">
      <c r="A576" s="75">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49.565800000000003</v>
      </c>
      <c r="U576">
        <v>72.215320000000006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61.342669999999998</v>
      </c>
      <c r="AN576">
        <v>54.790599999999998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35">
      <c r="A577" s="75">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49.793660000000003</v>
      </c>
      <c r="U577">
        <v>72.283910000000006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61.576830000000001</v>
      </c>
      <c r="AN577">
        <v>55.089080000000003</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35">
      <c r="A578" s="75">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50.124319999999997</v>
      </c>
      <c r="U578">
        <v>72.471609999999998</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61.907510000000002</v>
      </c>
      <c r="AN578">
        <v>55.496490000000001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35">
      <c r="A579" s="75">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50.630369999999999</v>
      </c>
      <c r="U579">
        <v>72.603610000000003</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62.159149999999997</v>
      </c>
      <c r="AN579">
        <v>55.764580000000002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35">
      <c r="A580" s="75">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50.93056</v>
      </c>
      <c r="U580">
        <v>72.735050000000001</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62.398699999999998</v>
      </c>
      <c r="AN580">
        <v>56.050109999999997</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35">
      <c r="A581" s="75">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51.249639999999999</v>
      </c>
      <c r="U581">
        <v>73.001310000000004</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62.737380000000002</v>
      </c>
      <c r="AN581">
        <v>56.366790000000002</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35">
      <c r="A582" s="75">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51.388559999999998</v>
      </c>
      <c r="U582">
        <v>73.064970000000002</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62.910170000000001</v>
      </c>
      <c r="AN582">
        <v>56.682220000000001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35">
      <c r="A583" s="75">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51.5246</v>
      </c>
      <c r="U583">
        <v>73.132850000000005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63.058439999999997</v>
      </c>
      <c r="AN583">
        <v>56.86392</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35">
      <c r="A584" s="75">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51.637300000000003</v>
      </c>
      <c r="U584">
        <v>73.189869999999999</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63.240769999999998</v>
      </c>
      <c r="AN584">
        <v>57.209310000000002</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35">
      <c r="A585" s="75">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51.880629999999996</v>
      </c>
      <c r="U585">
        <v>73.321759999999998</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63.502569999999999</v>
      </c>
      <c r="AN585">
        <v>57.58952</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35">
      <c r="A586" s="75">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52.216439999999999</v>
      </c>
      <c r="U586">
        <v>73.497330000000005</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63.851930000000003</v>
      </c>
      <c r="AN586">
        <v>58.038809999999998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35">
      <c r="A587" s="75">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52.490720000000003</v>
      </c>
      <c r="U587">
        <v>73.631129999999999</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64.167630000000003</v>
      </c>
      <c r="AN587">
        <v>58.501010000000001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35">
      <c r="A588" s="75">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52.630949999999999</v>
      </c>
      <c r="U588">
        <v>73.558430000000001</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64.330799999999996</v>
      </c>
      <c r="AN588">
        <v>58.942450000000001</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35">
      <c r="A589" s="75">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52.873640000000002</v>
      </c>
      <c r="U589">
        <v>73.517160000000004</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64.5321</v>
      </c>
      <c r="AN589">
        <v>59.319940000000003</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35">
      <c r="A590" s="75">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53.302280000000003</v>
      </c>
      <c r="U590">
        <v>73.568960000000004</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64.822500000000005</v>
      </c>
      <c r="AN590">
        <v>59.626849999999997</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35">
      <c r="A591" s="75">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53.674390000000002</v>
      </c>
      <c r="U591">
        <v>73.697630000000004</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65.094200000000001</v>
      </c>
      <c r="AN591">
        <v>59.948779999999999</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35">
      <c r="A592" s="75">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53.905650000000001</v>
      </c>
      <c r="U592">
        <v>73.840220000000002</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65.335880000000003</v>
      </c>
      <c r="AN592">
        <v>60.236530000000002</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35">
      <c r="A593" s="75">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54.194099999999999</v>
      </c>
      <c r="U593">
        <v>73.981930000000006</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65.603620000000006</v>
      </c>
      <c r="AN593">
        <v>60.588679999999997</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35">
      <c r="A594" s="75">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54.455550000000002</v>
      </c>
      <c r="U594">
        <v>74.134860000000003</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65.805199999999999</v>
      </c>
      <c r="AN594">
        <v>60.838180000000001</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35">
      <c r="A595" s="75">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54.61336</v>
      </c>
      <c r="U595">
        <v>74.153419999999997</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65.900030000000001</v>
      </c>
      <c r="AN595">
        <v>60.968170000000001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35">
      <c r="A596" s="75">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54.869860000000003</v>
      </c>
      <c r="U596">
        <v>74.134649999999993</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65.98151</v>
      </c>
      <c r="AN596">
        <v>61.106110000000001</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35">
      <c r="A597" s="75">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55.153440000000003</v>
      </c>
      <c r="U597">
        <v>74.175489999999996</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66.111109999999996</v>
      </c>
      <c r="AN597">
        <v>61.274410000000003</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35">
      <c r="A598" s="75">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56.090179999999997</v>
      </c>
      <c r="U598">
        <v>74.300790000000006</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66.412869999999998</v>
      </c>
      <c r="AN598">
        <v>61.664859999999997</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35">
      <c r="A599" s="75">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56.51108</v>
      </c>
      <c r="U599">
        <v>74.47627</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66.727540000000005</v>
      </c>
      <c r="AN599">
        <v>61.992870000000003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35">
      <c r="A600" s="75">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56.752760000000002</v>
      </c>
      <c r="U600">
        <v>74.475340000000003</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66.872079999999997</v>
      </c>
      <c r="AN600">
        <v>62.238259999999997</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35">
      <c r="A601" s="75">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57.04195</v>
      </c>
      <c r="U601">
        <v>74.435860000000005</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67.00488</v>
      </c>
      <c r="AN601">
        <v>62.492100000000001</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35">
      <c r="A602" s="75">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57.242440000000002</v>
      </c>
      <c r="U602">
        <v>74.453540000000004</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67.191739999999996</v>
      </c>
      <c r="AN602">
        <v>62.673589999999997</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35">
      <c r="A603" s="75">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57.415489999999998</v>
      </c>
      <c r="U603">
        <v>74.505229999999997</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67.348960000000005</v>
      </c>
      <c r="AN603">
        <v>62.908920000000002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35">
      <c r="A604" s="75">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57.670250000000003</v>
      </c>
      <c r="U604">
        <v>74.701089999999994</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67.627359999999996</v>
      </c>
      <c r="AN604">
        <v>63.270130000000002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35">
      <c r="A605" s="75">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58.032919999999997</v>
      </c>
      <c r="U605">
        <v>75.136150000000001</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68.076260000000005</v>
      </c>
      <c r="AN605">
        <v>63.689799999999998</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35">
      <c r="A606" s="75">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58.160899999999998</v>
      </c>
      <c r="U606">
        <v>75.167529999999999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68.178479999999993</v>
      </c>
      <c r="AN606">
        <v>63.87959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35">
      <c r="A607" s="75">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58.203580000000002</v>
      </c>
      <c r="U607">
        <v>75.144810000000007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68.234489999999994</v>
      </c>
      <c r="AN607">
        <v>64.021870000000007</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35">
      <c r="A608" s="75">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58.371380000000002</v>
      </c>
      <c r="U608">
        <v>75.244460000000004</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68.398830000000004</v>
      </c>
      <c r="AN608">
        <v>64.216610000000003</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35">
      <c r="A609" s="75">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58.593989999999998</v>
      </c>
      <c r="U609">
        <v>75.393510000000006</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68.638350000000003</v>
      </c>
      <c r="AN609">
        <v>64.494420000000005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35">
      <c r="A610" s="75">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58.974170000000001</v>
      </c>
      <c r="U610">
        <v>75.635639999999995</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68.996120000000005</v>
      </c>
      <c r="AN610">
        <v>64.904899999999998</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35">
      <c r="A611" s="75">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59.268329999999999</v>
      </c>
      <c r="U611">
        <v>75.742720000000006</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69.260869999999997</v>
      </c>
      <c r="AN611">
        <v>65.28931</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35">
      <c r="A612" s="75">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59.396030000000003</v>
      </c>
      <c r="U612">
        <v>75.740809999999996</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69.398290000000003</v>
      </c>
      <c r="AN612">
        <v>65.620189999999994</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35">
      <c r="A613" s="75">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59.543680000000002</v>
      </c>
      <c r="U613">
        <v>75.783029999999997</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69.626540000000006</v>
      </c>
      <c r="AN613">
        <v>66.139309999999995</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35">
      <c r="A614" s="75">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59.799840000000003</v>
      </c>
      <c r="U614">
        <v>75.87585</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69.849230000000006</v>
      </c>
      <c r="AN614">
        <v>66.356710000000007</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35">
      <c r="A615" s="75">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60.080849999999998</v>
      </c>
      <c r="U615">
        <v>76.150120000000001</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70.180570000000003</v>
      </c>
      <c r="AN615">
        <v>66.678470000000004</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35">
      <c r="A616" s="75">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60.374499999999998</v>
      </c>
      <c r="U616">
        <v>76.574650000000005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70.608249999999998</v>
      </c>
      <c r="AN616">
        <v>67.012969999999996</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35">
      <c r="A617" s="75">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60.524120000000003</v>
      </c>
      <c r="U617">
        <v>76.636250000000004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70.744029999999995</v>
      </c>
      <c r="AN617">
        <v>67.220510000000004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35">
      <c r="A618" s="75">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60.656469999999999</v>
      </c>
      <c r="U618">
        <v>76.740520000000004</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70.887010000000004</v>
      </c>
      <c r="AN618">
        <v>67.43826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35">
      <c r="A619" s="75">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60.879840000000002</v>
      </c>
      <c r="U619">
        <v>77.022400000000005</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71.149699999999996</v>
      </c>
      <c r="AN619">
        <v>67.661730000000006</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35">
      <c r="A620" s="75">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61.089889999999997</v>
      </c>
      <c r="U620">
        <v>77.111850000000004</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71.328460000000007</v>
      </c>
      <c r="AN620">
        <v>67.807069999999996</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35">
      <c r="A621" s="75">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61.213090000000001</v>
      </c>
      <c r="U621">
        <v>77.134569999999997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71.420109999999994</v>
      </c>
      <c r="AN621">
        <v>67.924449999999993</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35">
      <c r="A622" s="75">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61.586300000000001</v>
      </c>
      <c r="U622">
        <v>77.440169999999995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71.793260000000004</v>
      </c>
      <c r="AN622">
        <v>68.368350000000007</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35">
      <c r="A623" s="75">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61.800109999999997</v>
      </c>
      <c r="U623">
        <v>77.521029999999996</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71.961939999999998</v>
      </c>
      <c r="AN623">
        <v>68.585160000000002</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35">
      <c r="A624" s="75">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61.970700000000001</v>
      </c>
      <c r="U624">
        <v>77.573509999999999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72.113740000000007</v>
      </c>
      <c r="AN624">
        <v>68.911469999999994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35">
      <c r="A625" s="75">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62.112909999999999</v>
      </c>
      <c r="U625">
        <v>77.628919999999994</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72.247439999999997</v>
      </c>
      <c r="AN625">
        <v>69.154970000000006</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35">
      <c r="A626" s="75">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62.333840000000002</v>
      </c>
      <c r="U626">
        <v>77.813289999999995</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72.489760000000004</v>
      </c>
      <c r="AN626">
        <v>69.191550000000007</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35">
      <c r="A627" s="75">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62.52628</v>
      </c>
      <c r="U627">
        <v>78.055179999999993</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72.744630000000001</v>
      </c>
      <c r="AN627">
        <v>69.520219999999995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35">
      <c r="A628" s="75">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62.811610000000002</v>
      </c>
      <c r="U628">
        <v>78.191460000000006</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73.035039999999995</v>
      </c>
      <c r="AN628">
        <v>69.967320000000001</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35">
      <c r="A629" s="75">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63.262419999999999</v>
      </c>
      <c r="U629">
        <v>78.509749999999997</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73.528000000000006</v>
      </c>
      <c r="AN629">
        <v>70.746619999999993</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35">
      <c r="A630" s="75">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63.608840000000001</v>
      </c>
      <c r="U630">
        <v>78.843440000000001</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73.916499999999999</v>
      </c>
      <c r="AN630">
        <v>71.307400000000001</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35">
      <c r="A631" s="75">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63.790239999999997</v>
      </c>
      <c r="U631">
        <v>78.930689999999998</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74.061840000000004</v>
      </c>
      <c r="AN631">
        <v>71.545169999999999</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35">
      <c r="A632" s="75">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63.792769999999997</v>
      </c>
      <c r="U632">
        <v>78.737570000000005</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73.962149999999994</v>
      </c>
      <c r="AN632">
        <v>71.561449999999994</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35">
      <c r="A633" s="75">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63.914099999999998</v>
      </c>
      <c r="U633">
        <v>78.773449999999997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74.078360000000004</v>
      </c>
      <c r="AN633">
        <v>71.72484</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35">
      <c r="A634" s="75">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64.221959999999996</v>
      </c>
      <c r="U634">
        <v>78.982929999999996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74.415800000000004</v>
      </c>
      <c r="AN634">
        <v>72.172420000000002</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35">
      <c r="A635" s="75">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64.366209999999995</v>
      </c>
      <c r="U635">
        <v>78.822640000000007</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74.467960000000005</v>
      </c>
      <c r="AN635">
        <v>72.505350000000007</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35">
      <c r="A636" s="75">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64.460620000000006</v>
      </c>
      <c r="U636">
        <v>78.651989999999998</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74.449190000000002</v>
      </c>
      <c r="AN636">
        <v>72.715770000000006</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35">
      <c r="A637" s="75">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64.562749999999994</v>
      </c>
      <c r="U637">
        <v>78.572010000000006</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74.496830000000003</v>
      </c>
      <c r="AN637">
        <v>73.105729999999994</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35">
      <c r="A638" s="75">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64.8142</v>
      </c>
      <c r="U638">
        <v>78.691839999999999</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74.751009999999994</v>
      </c>
      <c r="AN638">
        <v>73.459999999999994</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35">
      <c r="A639" s="75">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65.01849</v>
      </c>
      <c r="U639">
        <v>78.889049999999997</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74.95</v>
      </c>
      <c r="AN639">
        <v>73.683750000000003</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35">
      <c r="A640" s="75">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65.285259999999994</v>
      </c>
      <c r="U640">
        <v>79.235969999999995</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75.311070000000001</v>
      </c>
      <c r="AN640">
        <v>74.021159999999995</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35">
      <c r="A641" s="75">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65.599459999999993</v>
      </c>
      <c r="U641">
        <v>79.576459999999997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75.702439999999996</v>
      </c>
      <c r="AN641">
        <v>74.382170000000002</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35">
      <c r="A642" s="75">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65.727450000000005</v>
      </c>
      <c r="U642">
        <v>79.65804</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75.80968</v>
      </c>
      <c r="AN642">
        <v>74.534570000000002</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35">
      <c r="A643" s="75">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65.76688</v>
      </c>
      <c r="U643">
        <v>79.681020000000004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75.841350000000006</v>
      </c>
      <c r="AN643">
        <v>74.529340000000005</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35">
      <c r="A644" s="75">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65.852829999999997</v>
      </c>
      <c r="U644">
        <v>79.706620000000001</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75.863</v>
      </c>
      <c r="AN644">
        <v>74.496709999999993</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35">
      <c r="A645" s="75">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66.063460000000006</v>
      </c>
      <c r="U645">
        <v>79.919049999999999</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76.083150000000003</v>
      </c>
      <c r="AN645">
        <v>74.662139999999994</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35">
      <c r="A646" s="75">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66.294250000000005</v>
      </c>
      <c r="U646">
        <v>80.02413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76.298419999999993</v>
      </c>
      <c r="AN646">
        <v>74.995350000000002</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35">
      <c r="A647" s="75">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66.512249999999995</v>
      </c>
      <c r="U647">
        <v>80.104100000000003</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76.478620000000006</v>
      </c>
      <c r="AN647">
        <v>75.282300000000006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35">
      <c r="A648" s="75">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66.715869999999995</v>
      </c>
      <c r="U648">
        <v>80.104929999999996</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76.560699999999997</v>
      </c>
      <c r="AN648">
        <v>75.399550000000005</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35">
      <c r="A649" s="75">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66.848410000000001</v>
      </c>
      <c r="U649">
        <v>80.098320000000001</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76.627350000000007</v>
      </c>
      <c r="AN649">
        <v>75.704130000000006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35">
      <c r="A650" s="75">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67.131510000000006</v>
      </c>
      <c r="U650">
        <v>80.282240000000002</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76.872829999999993</v>
      </c>
      <c r="AN650">
        <v>75.865830000000003</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35">
      <c r="A651" s="75">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67.518619999999999</v>
      </c>
      <c r="U651">
        <v>80.708250000000007</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77.267120000000006</v>
      </c>
      <c r="AN651">
        <v>76.215329999999994</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35">
      <c r="A652" s="75">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67.880459999999999</v>
      </c>
      <c r="U652">
        <v>81.079740000000001</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77.67756</v>
      </c>
      <c r="AN652">
        <v>76.583370000000002</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35">
      <c r="A653" s="75">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67.98903</v>
      </c>
      <c r="U653">
        <v>81.007859999999994</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77.676190000000005</v>
      </c>
      <c r="AN653">
        <v>76.706419999999994</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35">
      <c r="A654" s="75">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67.978620000000006</v>
      </c>
      <c r="U654">
        <v>80.951210000000003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77.636340000000004</v>
      </c>
      <c r="AN654">
        <v>76.718980000000002</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35">
      <c r="A655" s="75">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67.979209999999995</v>
      </c>
      <c r="U655">
        <v>80.998829999999998</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77.662999999999997</v>
      </c>
      <c r="AN655">
        <v>76.774209999999997</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35">
      <c r="A656" s="75">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67.99879</v>
      </c>
      <c r="U656">
        <v>81.039550000000006</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77.65428</v>
      </c>
      <c r="AN656">
        <v>76.674170000000004</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35">
      <c r="A657" s="75">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68.159260000000003</v>
      </c>
      <c r="U657">
        <v>81.276359999999997</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77.863979999999998</v>
      </c>
      <c r="AN657">
        <v>76.802180000000007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35">
      <c r="A658" s="75">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68.43629</v>
      </c>
      <c r="U658">
        <v>81.470920000000007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78.111999999999995</v>
      </c>
      <c r="AN658">
        <v>77.058670000000006</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35">
      <c r="A659" s="75">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68.574560000000005</v>
      </c>
      <c r="U659">
        <v>81.438990000000004</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78.15361</v>
      </c>
      <c r="AN659">
        <v>77.212209999999999</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35">
      <c r="A660" s="75">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68.628240000000005</v>
      </c>
      <c r="U660">
        <v>81.279430000000005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78.101730000000003</v>
      </c>
      <c r="AN660">
        <v>77.314229999999995</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35">
      <c r="A661" s="75">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68.753799999999998</v>
      </c>
      <c r="U661">
        <v>81.331819999999993</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78.177959999999999</v>
      </c>
      <c r="AN661">
        <v>77.504329999999996</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35">
      <c r="A662" s="75">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68.992949999999993</v>
      </c>
      <c r="U662">
        <v>81.510639999999995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78.368350000000007</v>
      </c>
      <c r="AN662">
        <v>77.504679999999993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35">
      <c r="A663" s="75">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69.209329999999994</v>
      </c>
      <c r="U663">
        <v>81.820920000000001</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78.657849999999996</v>
      </c>
      <c r="AN663">
        <v>77.709639999999993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35">
      <c r="A664" s="75">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69.543670000000006</v>
      </c>
      <c r="U664">
        <v>82.209860000000006</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79.051249999999996</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35">
      <c r="A665" s="75">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69.788560000000004</v>
      </c>
      <c r="U665">
        <v>82.433149999999998</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79.305440000000004</v>
      </c>
      <c r="AN665">
        <v>78.379570000000001</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35">
      <c r="A666" s="75">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70.071950000000001</v>
      </c>
      <c r="U666">
        <v>82.804180000000002</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79.627669999999995</v>
      </c>
      <c r="AN666">
        <v>78.677700000000002</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35">
      <c r="A667" s="75">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70.209320000000005</v>
      </c>
      <c r="U667">
        <v>82.981350000000006</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79.774029999999996</v>
      </c>
      <c r="AN667">
        <v>78.717060000000004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35">
      <c r="A668" s="75">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70.232110000000006</v>
      </c>
      <c r="U668">
        <v>82.871279999999999</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79.690219999999997</v>
      </c>
      <c r="AN668">
        <v>78.620019999999997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35">
      <c r="A669" s="75">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70.414510000000007</v>
      </c>
      <c r="U669">
        <v>82.948840000000004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79.807429999999997</v>
      </c>
      <c r="AN669">
        <v>78.769670000000005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35">
      <c r="A670" s="75">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70.612489999999994</v>
      </c>
      <c r="U670">
        <v>83.070319999999995</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79.974050000000005</v>
      </c>
      <c r="AN670">
        <v>78.882800000000003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35">
      <c r="A671" s="75">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70.95317</v>
      </c>
      <c r="U671">
        <v>83.405230000000003</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80.345119999999994</v>
      </c>
      <c r="AN671">
        <v>79.209980000000002</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35">
      <c r="A672" s="75">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71.013249999999999</v>
      </c>
      <c r="U672">
        <v>83.425259999999994</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80.406009999999995</v>
      </c>
      <c r="AN672">
        <v>79.297200000000004</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35">
      <c r="A673" s="75">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71.015519999999995</v>
      </c>
      <c r="U673">
        <v>83.326030000000003</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80.342929999999996</v>
      </c>
      <c r="AN673">
        <v>79.523430000000005</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35">
      <c r="A674" s="75">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71.142139999999998</v>
      </c>
      <c r="U674">
        <v>83.283820000000006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80.341639999999998</v>
      </c>
      <c r="AN674">
        <v>79.287959999999998</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35">
      <c r="A675" s="75">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71.461650000000006</v>
      </c>
      <c r="U675">
        <v>83.621830000000003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80.639129999999994</v>
      </c>
      <c r="AN675">
        <v>79.548220000000001</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35">
      <c r="A676" s="75">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71.837479999999999</v>
      </c>
      <c r="U676">
        <v>84.135890000000003</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81.112660000000005</v>
      </c>
      <c r="AN676">
        <v>79.939920000000001</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35">
      <c r="A677" s="75">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72.178049999999999</v>
      </c>
      <c r="U677">
        <v>84.490080000000006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81.478610000000003</v>
      </c>
      <c r="AN677">
        <v>80.199619999999996</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35">
      <c r="A678" s="75">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72.219179999999994</v>
      </c>
      <c r="U678">
        <v>84.518069999999994</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81.527950000000004</v>
      </c>
      <c r="AN678">
        <v>80.402280000000005</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35">
      <c r="A679" s="75">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72.220979999999997</v>
      </c>
      <c r="U679">
        <v>84.518109999999993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81.533770000000004</v>
      </c>
      <c r="AN679">
        <v>80.454849999999993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35">
      <c r="A680" s="75">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72.448509999999999</v>
      </c>
      <c r="U680">
        <v>84.7804</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81.726740000000007</v>
      </c>
      <c r="AN680">
        <v>80.453670000000002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35">
      <c r="A681" s="75">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72.673580000000001</v>
      </c>
      <c r="U681">
        <v>85.093810000000005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81.994669999999999</v>
      </c>
      <c r="AN681">
        <v>80.637060000000005</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35">
      <c r="A682" s="75">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73.186329999999998</v>
      </c>
      <c r="U682">
        <v>85.767179999999996</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82.590969999999999</v>
      </c>
      <c r="AN682">
        <v>80.946089999999998</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35">
      <c r="A683" s="75">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73.557249999999996</v>
      </c>
      <c r="U683">
        <v>85.874709999999993</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82.762270000000001</v>
      </c>
      <c r="AN683">
        <v>81.197360000000003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35">
      <c r="A684" s="75">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73.425619999999995</v>
      </c>
      <c r="U684">
        <v>85.414169999999999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82.465459999999993</v>
      </c>
      <c r="AN684">
        <v>81.179569999999998</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35">
      <c r="A685" s="75">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73.435130000000001</v>
      </c>
      <c r="U685">
        <v>85.32199</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82.435360000000003</v>
      </c>
      <c r="AN685">
        <v>81.374210000000005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35">
      <c r="A686" s="75">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73.750370000000004</v>
      </c>
      <c r="U686">
        <v>85.665520000000001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82.73048</v>
      </c>
      <c r="AN686">
        <v>81.291610000000006</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35">
      <c r="A687" s="75">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73.934359999999998</v>
      </c>
      <c r="U687">
        <v>85.80153</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82.871179999999995</v>
      </c>
      <c r="AN687">
        <v>81.518159999999995</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35">
      <c r="A688" s="75">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74.17192</v>
      </c>
      <c r="U688">
        <v>86.146439999999998</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83.209639999999993</v>
      </c>
      <c r="AN688">
        <v>81.776730000000001</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35">
      <c r="A689" s="75">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74.625079999999997</v>
      </c>
      <c r="U689">
        <v>86.69341</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83.751919999999998</v>
      </c>
      <c r="AN689">
        <v>82.263990000000007</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35">
      <c r="A690" s="75">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74.909300000000002</v>
      </c>
      <c r="U690">
        <v>87.050920000000005</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84.072040000000001</v>
      </c>
      <c r="AN690">
        <v>82.587779999999995</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35">
      <c r="A691" s="75">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75.046850000000006</v>
      </c>
      <c r="U691">
        <v>87.175569999999993</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84.171840000000003</v>
      </c>
      <c r="AN691">
        <v>82.672309999999996</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35">
      <c r="A692" s="75">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75.173779999999994</v>
      </c>
      <c r="U692">
        <v>87.325980000000001</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84.310890000000001</v>
      </c>
      <c r="AN692">
        <v>82.724490000000003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35">
      <c r="A693" s="75">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75.340360000000004</v>
      </c>
      <c r="U693">
        <v>87.540750000000003</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84.510140000000007</v>
      </c>
      <c r="AN693">
        <v>82.818209999999993</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35">
      <c r="A694" s="75">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75.360550000000003</v>
      </c>
      <c r="U694">
        <v>87.252880000000005</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84.392359999999996</v>
      </c>
      <c r="AN694">
        <v>82.886790000000005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35">
      <c r="A695" s="75">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75.378919999999994</v>
      </c>
      <c r="U695">
        <v>86.963059999999999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84.217680000000001</v>
      </c>
      <c r="AN695">
        <v>82.979219999999998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35">
      <c r="A696" s="75">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75.408810000000003</v>
      </c>
      <c r="U696">
        <v>86.867099999999994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84.194689999999994</v>
      </c>
      <c r="AN696">
        <v>83.128780000000006</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35">
      <c r="A697" s="75">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75.686509999999998</v>
      </c>
      <c r="U697">
        <v>87.060839999999999</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84.378489999999999</v>
      </c>
      <c r="AN697">
        <v>83.373490000000004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35">
      <c r="A698" s="75">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75.811419999999998</v>
      </c>
      <c r="U698">
        <v>87.129320000000007</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84.458650000000006</v>
      </c>
      <c r="AN698">
        <v>83.266850000000005</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35">
      <c r="A699" s="75">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76.158420000000007</v>
      </c>
      <c r="U699">
        <v>87.434259999999995</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84.745379999999997</v>
      </c>
      <c r="AN699">
        <v>83.520650000000003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35">
      <c r="A700" s="75">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76.522639999999996</v>
      </c>
      <c r="U700">
        <v>88.013369999999995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85.294110000000003</v>
      </c>
      <c r="AN700">
        <v>83.942570000000003</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35">
      <c r="A701" s="75">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76.907210000000006</v>
      </c>
      <c r="U701">
        <v>88.477800000000002</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85.775289999999998</v>
      </c>
      <c r="AN701">
        <v>84.424660000000003</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35">
      <c r="A702" s="75">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77.21481</v>
      </c>
      <c r="U702">
        <v>88.872029999999995</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86.086020000000005</v>
      </c>
      <c r="AN702">
        <v>84.611980000000003</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35">
      <c r="A703" s="75">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77.385509999999996</v>
      </c>
      <c r="U703">
        <v>88.973140000000001</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86.172539999999998</v>
      </c>
      <c r="AN703">
        <v>84.684290000000004</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35">
      <c r="A704" s="75">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77.535560000000004</v>
      </c>
      <c r="U704">
        <v>88.959100000000007</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86.159729999999996</v>
      </c>
      <c r="AN704">
        <v>84.564700000000002</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35">
      <c r="A705" s="75">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77.706280000000007</v>
      </c>
      <c r="U705">
        <v>88.964190000000002</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86.181010000000001</v>
      </c>
      <c r="AN705">
        <v>84.639790000000005</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35">
      <c r="A706" s="75">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77.961039999999997</v>
      </c>
      <c r="U706">
        <v>89.135829999999999</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86.430210000000002</v>
      </c>
      <c r="AN706">
        <v>84.916129999999995</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35">
      <c r="A707" s="75">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78.312780000000004</v>
      </c>
      <c r="U707">
        <v>89.325850000000003</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86.718310000000002</v>
      </c>
      <c r="AN707">
        <v>85.362560000000002</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35">
      <c r="A708" s="75">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78.703770000000006</v>
      </c>
      <c r="U708">
        <v>89.732169999999996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87.153769999999994</v>
      </c>
      <c r="AN708">
        <v>85.881979999999999</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35">
      <c r="A709" s="75">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78.94659</v>
      </c>
      <c r="U709">
        <v>89.830439999999996</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87.294479999999993</v>
      </c>
      <c r="AN709">
        <v>86.204210000000003</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35">
      <c r="A710" s="75">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79.275790000000001</v>
      </c>
      <c r="U710">
        <v>90.021770000000004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87.517979999999994</v>
      </c>
      <c r="AN710">
        <v>86.202870000000004</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35">
      <c r="A711" s="75">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79.751599999999996</v>
      </c>
      <c r="U711">
        <v>90.250699999999995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87.785669999999996</v>
      </c>
      <c r="AN711">
        <v>86.570790000000002</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35">
      <c r="A712" s="75">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80.329599999999999</v>
      </c>
      <c r="U712">
        <v>90.877619999999993</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88.410030000000006</v>
      </c>
      <c r="AN712">
        <v>87.143029999999996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35">
      <c r="A713" s="75">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80.753270000000001</v>
      </c>
      <c r="U713">
        <v>91.269689999999997</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88.853189999999998</v>
      </c>
      <c r="AN713">
        <v>87.549769999999995</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35">
      <c r="A714" s="75">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81.291820000000001</v>
      </c>
      <c r="U714">
        <v>91.970510000000004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89.492400000000004</v>
      </c>
      <c r="AN714">
        <v>88.112269999999995</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35">
      <c r="A715" s="75">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81.798900000000003</v>
      </c>
      <c r="U715">
        <v>92.669439999999994</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90.069820000000007</v>
      </c>
      <c r="AN715">
        <v>88.389110000000002</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35">
      <c r="A716" s="75">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82.196640000000002</v>
      </c>
      <c r="U716">
        <v>93.039850000000001</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90.406229999999994</v>
      </c>
      <c r="AN716">
        <v>88.493970000000004</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35">
      <c r="A717" s="75">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82.235669999999999</v>
      </c>
      <c r="U717">
        <v>92.883610000000004</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90.297160000000005</v>
      </c>
      <c r="AN717">
        <v>88.462760000000003</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35">
      <c r="A718" s="75">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82.385930000000002</v>
      </c>
      <c r="U718">
        <v>92.818299999999994</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90.338859999999997</v>
      </c>
      <c r="AN718">
        <v>88.620320000000007</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35">
      <c r="A719" s="75">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82.302120000000002</v>
      </c>
      <c r="U719">
        <v>92.213980000000006</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90.005899999999997</v>
      </c>
      <c r="AN719">
        <v>88.746080000000006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35">
      <c r="A720" s="75">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81.722309999999993</v>
      </c>
      <c r="U720">
        <v>91.030349999999999</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89.170770000000005</v>
      </c>
      <c r="AN720">
        <v>88.49682</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35">
      <c r="A721" s="75">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81.391649999999998</v>
      </c>
      <c r="U721">
        <v>90.433989999999994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88.705619999999996</v>
      </c>
      <c r="AN721">
        <v>88.310839999999999</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35">
      <c r="A722" s="75">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81.56344</v>
      </c>
      <c r="U722">
        <v>90.473460000000003</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88.716520000000003</v>
      </c>
      <c r="AN722">
        <v>88.017679999999999</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35">
      <c r="A723" s="75">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81.881100000000004</v>
      </c>
      <c r="U723">
        <v>90.838499999999996</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89.031109999999998</v>
      </c>
      <c r="AN723">
        <v>88.334419999999994</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35">
      <c r="A724" s="75">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82.124709999999993</v>
      </c>
      <c r="U724">
        <v>91.008489999999995</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89.267110000000002</v>
      </c>
      <c r="AN724">
        <v>88.534040000000005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35">
      <c r="A725" s="75">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82.383899999999997</v>
      </c>
      <c r="U725">
        <v>91.187860000000001</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89.483909999999995</v>
      </c>
      <c r="AN725">
        <v>88.768050000000002</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35">
      <c r="A726" s="75">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82.548900000000003</v>
      </c>
      <c r="U726">
        <v>91.378230000000002</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89.638769999999994</v>
      </c>
      <c r="AN726">
        <v>88.930170000000004</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35">
      <c r="A727" s="75">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82.887529999999998</v>
      </c>
      <c r="U727">
        <v>91.85248</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90.004090000000005</v>
      </c>
      <c r="AN727">
        <v>89.074420000000003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35">
      <c r="A728" s="75">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83.105379999999997</v>
      </c>
      <c r="U728">
        <v>91.690370000000001</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89.872119999999995</v>
      </c>
      <c r="AN728">
        <v>88.859030000000004</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35">
      <c r="A729" s="75">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83.383189999999999</v>
      </c>
      <c r="U729">
        <v>91.925110000000004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90.058300000000003</v>
      </c>
      <c r="AN729">
        <v>89.022810000000007</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35">
      <c r="A730" s="75">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83.532679999999999</v>
      </c>
      <c r="U730">
        <v>91.906530000000004</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90.095249999999993</v>
      </c>
      <c r="AN730">
        <v>88.995639999999995</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35">
      <c r="A731" s="75">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83.709810000000004</v>
      </c>
      <c r="U731">
        <v>91.923259999999999</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90.198650000000001</v>
      </c>
      <c r="AN731">
        <v>89.242570000000001</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35">
      <c r="A732" s="75">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83.968410000000006</v>
      </c>
      <c r="U732">
        <v>91.969639999999998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90.311899999999994</v>
      </c>
      <c r="AN732">
        <v>89.43038</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35">
      <c r="A733" s="75">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84.154210000000006</v>
      </c>
      <c r="U733">
        <v>91.957920000000001</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90.333749999999995</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35">
      <c r="A734" s="75">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84.491519999999994</v>
      </c>
      <c r="U734">
        <v>92.090230000000005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90.533000000000001</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35">
      <c r="A735" s="75">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84.707149999999999</v>
      </c>
      <c r="U735">
        <v>92.203010000000006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90.705039999999997</v>
      </c>
      <c r="AN735">
        <v>89.914730000000006</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35">
      <c r="A736" s="75">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85.023349999999994</v>
      </c>
      <c r="U736">
        <v>92.551379999999995</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91.095489999999998</v>
      </c>
      <c r="AN736">
        <v>90.425389999999993</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35">
      <c r="A737" s="75">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85.230059999999995</v>
      </c>
      <c r="U737">
        <v>92.732929999999996</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91.332459999999998</v>
      </c>
      <c r="AN737">
        <v>90.812759999999997</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35">
      <c r="A738" s="75">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85.380290000000002</v>
      </c>
      <c r="U738">
        <v>92.799300000000002</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91.382480000000001</v>
      </c>
      <c r="AN738">
        <v>90.891580000000005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35">
      <c r="A739" s="75">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85.406270000000006</v>
      </c>
      <c r="U739">
        <v>92.728710000000007</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91.318650000000005</v>
      </c>
      <c r="AN739">
        <v>90.870919999999998</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35">
      <c r="A740" s="75">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85.596519999999998</v>
      </c>
      <c r="U740">
        <v>92.702100000000002</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91.28828</v>
      </c>
      <c r="AN740">
        <v>90.761600000000001</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35">
      <c r="A741" s="75">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85.791749999999993</v>
      </c>
      <c r="U741">
        <v>92.84554</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91.422539999999998</v>
      </c>
      <c r="AN741">
        <v>90.901669999999996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35">
      <c r="A742" s="75">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86.073849999999993</v>
      </c>
      <c r="U742">
        <v>92.880579999999995</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91.563749999999999</v>
      </c>
      <c r="AN742">
        <v>91.055109999999999</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35">
      <c r="A743" s="75">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86.425030000000007</v>
      </c>
      <c r="U743">
        <v>93.039249999999996</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91.804929999999999</v>
      </c>
      <c r="AN743">
        <v>91.381630000000001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35">
      <c r="A744" s="75">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86.672569999999993</v>
      </c>
      <c r="U744">
        <v>93.064160000000001</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91.869829999999993</v>
      </c>
      <c r="AN744">
        <v>91.527990000000003</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35">
      <c r="A745" s="75">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87.098399999999998</v>
      </c>
      <c r="U745">
        <v>93.283320000000003</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92.110759999999999</v>
      </c>
      <c r="AN745">
        <v>91.948629999999994</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35">
      <c r="A746" s="75">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87.547200000000004</v>
      </c>
      <c r="U746">
        <v>93.52337</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92.383840000000006</v>
      </c>
      <c r="AN746">
        <v>91.983850000000004</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35">
      <c r="A747" s="75">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87.881079999999997</v>
      </c>
      <c r="U747">
        <v>93.916600000000003</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92.761160000000004</v>
      </c>
      <c r="AN747">
        <v>92.383669999999995</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35">
      <c r="A748" s="75">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88.436869999999999</v>
      </c>
      <c r="U748">
        <v>94.627750000000006</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93.426540000000003</v>
      </c>
      <c r="AN748">
        <v>93.011610000000005</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35">
      <c r="A749" s="75">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88.854920000000007</v>
      </c>
      <c r="U749">
        <v>95.088120000000004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93.882230000000007</v>
      </c>
      <c r="AN749">
        <v>93.473399999999998</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35">
      <c r="A750" s="75">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89.116829999999993</v>
      </c>
      <c r="U750">
        <v>95.382400000000004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94.159679999999994</v>
      </c>
      <c r="AN750">
        <v>93.732699999999994</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35">
      <c r="A751" s="75">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89.176900000000003</v>
      </c>
      <c r="U751">
        <v>95.308030000000002</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94.059619999999995</v>
      </c>
      <c r="AN751">
        <v>93.611109999999996</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35">
      <c r="A752" s="75">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89.351590000000002</v>
      </c>
      <c r="U752">
        <v>95.367189999999994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94.098669999999998</v>
      </c>
      <c r="AN752">
        <v>93.497299999999996</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35">
      <c r="A753" s="75">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89.594949999999997</v>
      </c>
      <c r="U753">
        <v>95.620429999999999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94.315439999999995</v>
      </c>
      <c r="AN753">
        <v>93.68723</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35">
      <c r="A754" s="75">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89.977440000000001</v>
      </c>
      <c r="U754">
        <v>95.764629999999997</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94.50873</v>
      </c>
      <c r="AN754">
        <v>94.004080000000002</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35">
      <c r="A755" s="75">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90.156279999999995</v>
      </c>
      <c r="U755">
        <v>95.724559999999997</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94.633439999999993</v>
      </c>
      <c r="AN755">
        <v>94.449089999999998</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35">
      <c r="A756" s="75">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90.252610000000004</v>
      </c>
      <c r="U756">
        <v>95.650409999999994</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94.698830000000001</v>
      </c>
      <c r="AN756">
        <v>94.727260000000001</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35">
      <c r="A757" s="75">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90.307839999999999</v>
      </c>
      <c r="U757">
        <v>95.597849999999994</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94.736609999999999</v>
      </c>
      <c r="AN757">
        <v>94.961849999999998</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35">
      <c r="A758" s="75">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90.608649999999997</v>
      </c>
      <c r="U758">
        <v>95.834879999999998</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94.963750000000005</v>
      </c>
      <c r="AN758">
        <v>94.917959999999994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35">
      <c r="A759" s="75">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90.93329</v>
      </c>
      <c r="U759">
        <v>96.249669999999995</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95.348950000000002</v>
      </c>
      <c r="AN759">
        <v>95.356989999999996</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35">
      <c r="A760" s="75">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91.523240000000001</v>
      </c>
      <c r="U760">
        <v>96.861630000000005</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95.899029999999996</v>
      </c>
      <c r="AN760">
        <v>95.920779999999993</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35">
      <c r="A761" s="75">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91.928399999999996</v>
      </c>
      <c r="U761">
        <v>97.106219999999993</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96.194900000000004</v>
      </c>
      <c r="AN761">
        <v>96.341220000000007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35">
      <c r="A762" s="75">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91.895539999999997</v>
      </c>
      <c r="U762">
        <v>96.999260000000007</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96.103160000000003</v>
      </c>
      <c r="AN762">
        <v>96.298810000000003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35">
      <c r="A763" s="75">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91.867419999999996</v>
      </c>
      <c r="U763">
        <v>96.817570000000003</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95.941249999999997</v>
      </c>
      <c r="AN763">
        <v>96.134839999999997</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35">
      <c r="A764" s="75">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91.99033</v>
      </c>
      <c r="U764">
        <v>96.708510000000004</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95.869519999999994</v>
      </c>
      <c r="AN764">
        <v>96.077500000000001</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35">
      <c r="A765" s="75">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92.444810000000004</v>
      </c>
      <c r="U765">
        <v>97.165019999999998</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96.256259999999997</v>
      </c>
      <c r="AN765">
        <v>96.4</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35">
      <c r="A766" s="75">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92.86806</v>
      </c>
      <c r="U766">
        <v>97.436229999999995</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96.600210000000004</v>
      </c>
      <c r="AN766">
        <v>96.71114</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35">
      <c r="A767" s="75">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93.090999999999994</v>
      </c>
      <c r="U767">
        <v>97.461429999999993</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96.748990000000006</v>
      </c>
      <c r="AN767">
        <v>97.079719999999995</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35">
      <c r="A768" s="75">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93.036540000000002</v>
      </c>
      <c r="U768">
        <v>97.161450000000002</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96.534170000000003</v>
      </c>
      <c r="AN768">
        <v>97.052210000000002</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35">
      <c r="A769" s="75">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93.23236</v>
      </c>
      <c r="U769">
        <v>97.073599999999999</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96.500659999999996</v>
      </c>
      <c r="AN769">
        <v>97.239599999999996</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35">
      <c r="A770" s="75">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93.500110000000006</v>
      </c>
      <c r="U770">
        <v>97.164510000000007</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96.604579999999999</v>
      </c>
      <c r="AN770">
        <v>97.05171</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35">
      <c r="A771" s="75">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94.103309999999993</v>
      </c>
      <c r="U771">
        <v>97.728470000000002</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97.08099</v>
      </c>
      <c r="AN771">
        <v>97.362639999999999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35">
      <c r="A772" s="75">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94.39228</v>
      </c>
      <c r="U772">
        <v>98.022599999999997</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97.411349999999999</v>
      </c>
      <c r="AN772">
        <v>97.841120000000004</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35">
      <c r="A773" s="75">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94.529889999999995</v>
      </c>
      <c r="U773">
        <v>97.962289999999996</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97.413799999999995</v>
      </c>
      <c r="AN773">
        <v>97.867919999999998</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35">
      <c r="A774" s="75">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94.645610000000005</v>
      </c>
      <c r="U774">
        <v>98.132130000000004</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97.539050000000003</v>
      </c>
      <c r="AN774">
        <v>98.003219999999999</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35">
      <c r="A775" s="75">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94.896900000000002</v>
      </c>
      <c r="U775">
        <v>98.282719999999998</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97.675200000000004</v>
      </c>
      <c r="AN775">
        <v>98.107500000000002</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35">
      <c r="A776" s="75">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95.162279999999996</v>
      </c>
      <c r="U776">
        <v>98.361840000000001</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97.754859999999994</v>
      </c>
      <c r="AN776">
        <v>98.133439999999993</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35">
      <c r="A777" s="75">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95.432130000000001</v>
      </c>
      <c r="U777">
        <v>98.545000000000002</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97.893910000000005</v>
      </c>
      <c r="AN777">
        <v>98.241630000000001</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35">
      <c r="A778" s="75">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95.750370000000004</v>
      </c>
      <c r="U778">
        <v>98.644040000000004</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98.04589</v>
      </c>
      <c r="AN778">
        <v>98.368160000000003</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35">
      <c r="A779" s="75">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95.904579999999996</v>
      </c>
      <c r="U779">
        <v>98.478870000000001</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98.009739999999994</v>
      </c>
      <c r="AN779">
        <v>98.475359999999995</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35">
      <c r="A780" s="75">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95.976820000000004</v>
      </c>
      <c r="U780">
        <v>98.365939999999995</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97.948269999999994</v>
      </c>
      <c r="AN780">
        <v>98.430109999999999</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35">
      <c r="A781" s="75">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96.038520000000005</v>
      </c>
      <c r="U781">
        <v>98.458340000000007</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98.080089999999998</v>
      </c>
      <c r="AN781">
        <v>98.698840000000004</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35">
      <c r="A782" s="75">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96.165120000000002</v>
      </c>
      <c r="U782">
        <v>98.547880000000006</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98.204009999999997</v>
      </c>
      <c r="AN782">
        <v>98.457949999999997</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35">
      <c r="A783" s="75">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96.539760000000001</v>
      </c>
      <c r="U783">
        <v>98.877700000000004</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98.493579999999994</v>
      </c>
      <c r="AN783">
        <v>98.718770000000006</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35">
      <c r="A784" s="75">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96.978579999999994</v>
      </c>
      <c r="U784">
        <v>99.348590000000002</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98.950580000000002</v>
      </c>
      <c r="AN784">
        <v>99.108990000000006</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35">
      <c r="A785" s="75">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97.392690000000002</v>
      </c>
      <c r="U785">
        <v>99.827939999999998</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99.392719999999997</v>
      </c>
      <c r="AN785">
        <v>99.356300000000005</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35">
      <c r="A786" s="75">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97.642330000000001</v>
      </c>
      <c r="U786">
        <v>100.0805</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99.581339999999997</v>
      </c>
      <c r="AN786">
        <v>99.347149999999999</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35">
      <c r="A787" s="75">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97.836529999999996</v>
      </c>
      <c r="U787">
        <v>100.2135</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99.697850000000003</v>
      </c>
      <c r="AN787">
        <v>99.467740000000006</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35">
      <c r="A788" s="75">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98.019390000000001</v>
      </c>
      <c r="U788">
        <v>100.1846</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99.685249999999996</v>
      </c>
      <c r="AN788">
        <v>99.374790000000004</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35">
      <c r="A789" s="75">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98.128429999999994</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99.689809999999994</v>
      </c>
      <c r="AN789">
        <v>99.447620000000001</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35">
      <c r="A790" s="75">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98.363060000000004</v>
      </c>
      <c r="U790">
        <v>100.2133</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99.770099999999999</v>
      </c>
      <c r="AN790">
        <v>99.463759999999994</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35">
      <c r="A791" s="75">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98.397989999999993</v>
      </c>
      <c r="U791">
        <v>100.02670000000001</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99.732280000000003</v>
      </c>
      <c r="AN791">
        <v>99.629549999999995</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35">
      <c r="A792" s="75">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98.293750000000003</v>
      </c>
      <c r="U792">
        <v>99.638710000000003</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99.462479999999999</v>
      </c>
      <c r="AN792">
        <v>99.502740000000003</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35">
      <c r="A793" s="75">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98.392070000000004</v>
      </c>
      <c r="U793">
        <v>99.306569999999994</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99.191410000000005</v>
      </c>
      <c r="AN793">
        <v>99.36806</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35">
      <c r="A794" s="75">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98.304150000000007</v>
      </c>
      <c r="U794">
        <v>98.804519999999997</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98.779979999999995</v>
      </c>
      <c r="AN794">
        <v>98.722399999999993</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35">
      <c r="A795" s="75">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98.813829999999996</v>
      </c>
      <c r="U795">
        <v>99.19659</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99.131039999999999</v>
      </c>
      <c r="AN795">
        <v>99.144739999999999</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35">
      <c r="A796" s="75">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99.309809999999999</v>
      </c>
      <c r="U796">
        <v>99.68871</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99.633629999999997</v>
      </c>
      <c r="AN796">
        <v>99.663210000000007</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35">
      <c r="A797" s="75">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99.618740000000003</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100.12050000000001</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35">
      <c r="A798" s="75">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99.949129999999997</v>
      </c>
      <c r="U798">
        <v>100.3411</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100.2675</v>
      </c>
      <c r="AN798">
        <v>100.3561</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35">
      <c r="A799" s="75">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100.1965</v>
      </c>
      <c r="U799">
        <v>100.5119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100.39790000000001</v>
      </c>
      <c r="AN799">
        <v>100.34699999999999</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35">
      <c r="A800" s="75">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100.33069999999999</v>
      </c>
      <c r="U800">
        <v>100.48560000000001</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100.3647</v>
      </c>
      <c r="AN800">
        <v>100.19280000000001</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35">
      <c r="A801" s="75">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100.45229999999999</v>
      </c>
      <c r="U801">
        <v>100.471</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35">
      <c r="A802" s="75">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100.5968</v>
      </c>
      <c r="U802">
        <v>100.3201</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100.1896</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35">
      <c r="A803" s="75">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100.79049999999999</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100.4383</v>
      </c>
      <c r="AO803">
        <v>99.715100000000007</v>
      </c>
      <c r="AP803">
        <v>100.5788</v>
      </c>
      <c r="AQ803">
        <v>102.0347</v>
      </c>
      <c r="AR803">
        <v>100.4451</v>
      </c>
      <c r="AS803">
        <v>99.84196</v>
      </c>
      <c r="AT803">
        <v>100.06</v>
      </c>
      <c r="AU803">
        <v>100.3013</v>
      </c>
      <c r="AV803">
        <v>102.5385</v>
      </c>
      <c r="AW803">
        <v>100.3464</v>
      </c>
      <c r="AX803">
        <v>101.40649999999999</v>
      </c>
    </row>
    <row r="804" spans="1:50" x14ac:dyDescent="0.35">
      <c r="A804" s="75">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100.7861</v>
      </c>
      <c r="U804">
        <v>100.0518</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35">
      <c r="A805" s="75">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100.8515</v>
      </c>
      <c r="U805">
        <v>99.863820000000004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100.1463</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35">
      <c r="A806" s="75">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100.8673</v>
      </c>
      <c r="U806">
        <v>99.746440000000007</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99.823040000000006</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35">
      <c r="A807" s="75">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101.1814</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99.920090000000002</v>
      </c>
      <c r="AO807">
        <v>98.9011</v>
      </c>
      <c r="AP807">
        <v>98.637169999999998</v>
      </c>
      <c r="AQ807">
        <v>105.2449</v>
      </c>
      <c r="AR807">
        <v>102.0732</v>
      </c>
      <c r="AS807">
        <v>99.352540000000005</v>
      </c>
      <c r="AT807">
        <v>98.42</v>
      </c>
      <c r="AU807">
        <v>100.2534</v>
      </c>
      <c r="AV807">
        <v>105.29389999999999</v>
      </c>
      <c r="AW807">
        <v>100.0397</v>
      </c>
      <c r="AX807">
        <v>104.1071</v>
      </c>
    </row>
    <row r="808" spans="1:50" x14ac:dyDescent="0.35">
      <c r="A808" s="75">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101.53360000000001</v>
      </c>
      <c r="U808">
        <v>100.27460000000001</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100.56870000000001</v>
      </c>
      <c r="AN808">
        <v>100.40049999999999</v>
      </c>
      <c r="AO808">
        <v>98.982500000000002</v>
      </c>
      <c r="AP808">
        <v>100.54689999999999</v>
      </c>
      <c r="AQ808">
        <v>105.729</v>
      </c>
      <c r="AR808">
        <v>102.1872</v>
      </c>
      <c r="AS808">
        <v>99.352540000000005</v>
      </c>
      <c r="AT808">
        <v>99.15</v>
      </c>
      <c r="AU808">
        <v>100.7513</v>
      </c>
      <c r="AV808">
        <v>105.2516</v>
      </c>
      <c r="AW808">
        <v>100.4704</v>
      </c>
      <c r="AX808">
        <v>104.9173</v>
      </c>
    </row>
    <row r="809" spans="1:50" x14ac:dyDescent="0.35">
      <c r="A809" s="75">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101.85169999999999</v>
      </c>
      <c r="U809">
        <v>100.60080000000001</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100.88979999999999</v>
      </c>
      <c r="AN809">
        <v>100.6506</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35">
      <c r="A810" s="75">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102.1891</v>
      </c>
      <c r="U810">
        <v>100.95780000000001</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101.18899999999999</v>
      </c>
      <c r="AN810">
        <v>100.9871</v>
      </c>
      <c r="AO810">
        <v>99.389499999999998</v>
      </c>
      <c r="AP810">
        <v>101.1849</v>
      </c>
      <c r="AQ810">
        <v>106.6297</v>
      </c>
      <c r="AR810">
        <v>102.125</v>
      </c>
      <c r="AS810">
        <v>99.597239999999999</v>
      </c>
      <c r="AT810">
        <v>100.48</v>
      </c>
      <c r="AU810">
        <v>100.9141</v>
      </c>
      <c r="AV810">
        <v>106.69070000000001</v>
      </c>
      <c r="AW810">
        <v>101.3552</v>
      </c>
      <c r="AX810">
        <v>106.1326</v>
      </c>
    </row>
    <row r="811" spans="1:50" x14ac:dyDescent="0.35">
      <c r="A811" s="75">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102.4207</v>
      </c>
      <c r="U811">
        <v>101.1771</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101.4068</v>
      </c>
      <c r="AN811">
        <v>101.18340000000001</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35">
      <c r="A812" s="75">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102.5356</v>
      </c>
      <c r="U812">
        <v>101.0689</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101.36109999999999</v>
      </c>
      <c r="AN812">
        <v>101.2092</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35">
      <c r="A813" s="75">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102.5363</v>
      </c>
      <c r="U813">
        <v>101.15860000000001</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v>
      </c>
      <c r="AO813">
        <v>99.063900000000004</v>
      </c>
      <c r="AP813">
        <v>100.42449999999999</v>
      </c>
      <c r="AQ813">
        <v>107.6022</v>
      </c>
      <c r="AR813">
        <v>102.1561</v>
      </c>
      <c r="AS813">
        <v>99.230180000000004</v>
      </c>
      <c r="AT813">
        <v>100.16</v>
      </c>
      <c r="AU813">
        <v>100.9683</v>
      </c>
      <c r="AV813">
        <v>108.1259</v>
      </c>
      <c r="AW813">
        <v>101.6168</v>
      </c>
      <c r="AX813">
        <v>107.4828</v>
      </c>
    </row>
    <row r="814" spans="1:50" x14ac:dyDescent="0.35">
      <c r="A814" s="75">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102.78700000000001</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101.29170000000001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35">
      <c r="A815" s="75">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103.0317</v>
      </c>
      <c r="U815">
        <v>101.4843</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35">
      <c r="A816" s="75">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102.982</v>
      </c>
      <c r="U816">
        <v>101.32550000000001</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101.8082</v>
      </c>
      <c r="AN816">
        <v>101.59</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35">
      <c r="A817" s="75">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103.1375</v>
      </c>
      <c r="U817">
        <v>101.4427</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102.0261</v>
      </c>
      <c r="AN817">
        <v>102.1439</v>
      </c>
      <c r="AO817">
        <v>100.3663</v>
      </c>
      <c r="AP817">
        <v>100.9978</v>
      </c>
      <c r="AQ817">
        <v>109.1597</v>
      </c>
      <c r="AR817">
        <v>101.565</v>
      </c>
      <c r="AS817">
        <v>99.7196</v>
      </c>
      <c r="AT817">
        <v>100.26</v>
      </c>
      <c r="AU817">
        <v>102.0215</v>
      </c>
      <c r="AV817">
        <v>112.2628</v>
      </c>
      <c r="AW817">
        <v>101.8627</v>
      </c>
      <c r="AX817">
        <v>108.9682</v>
      </c>
    </row>
    <row r="818" spans="1:50" x14ac:dyDescent="0.35">
      <c r="A818" s="75">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103.4751</v>
      </c>
      <c r="U818">
        <v>101.7046</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102.41030000000001</v>
      </c>
      <c r="AN818">
        <v>102.1465</v>
      </c>
      <c r="AO818">
        <v>100.77330000000001</v>
      </c>
      <c r="AP818">
        <v>100.3997</v>
      </c>
      <c r="AQ818">
        <v>109.8365</v>
      </c>
      <c r="AR818">
        <v>101.3887</v>
      </c>
      <c r="AS818">
        <v>99.964309999999998</v>
      </c>
      <c r="AT818">
        <v>99.66</v>
      </c>
      <c r="AU818">
        <v>101.3257</v>
      </c>
      <c r="AV818">
        <v>115.0258</v>
      </c>
      <c r="AW818">
        <v>102.4564</v>
      </c>
      <c r="AX818">
        <v>109.6433</v>
      </c>
    </row>
    <row r="819" spans="1:50" x14ac:dyDescent="0.35">
      <c r="A819" s="75">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103.70869999999999</v>
      </c>
      <c r="U819">
        <v>102.00790000000001</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102.7383</v>
      </c>
      <c r="AN819">
        <v>102.56180000000001</v>
      </c>
      <c r="AO819">
        <v>101.0989</v>
      </c>
      <c r="AP819">
        <v>100.1688</v>
      </c>
      <c r="AQ819">
        <v>110.0782</v>
      </c>
      <c r="AR819">
        <v>101.4924</v>
      </c>
      <c r="AS819">
        <v>100.4537</v>
      </c>
      <c r="AT819">
        <v>100.64</v>
      </c>
      <c r="AU819">
        <v>102.03740000000001</v>
      </c>
      <c r="AV819">
        <v>115.95829999999999</v>
      </c>
      <c r="AW819">
        <v>102.7787</v>
      </c>
      <c r="AX819">
        <v>110.8586</v>
      </c>
    </row>
    <row r="820" spans="1:50" x14ac:dyDescent="0.35">
      <c r="A820" s="75">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103.92700000000001</v>
      </c>
      <c r="U820">
        <v>102.1416</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102.9404</v>
      </c>
      <c r="AN820">
        <v>102.91030000000001</v>
      </c>
      <c r="AO820">
        <v>101.0175</v>
      </c>
      <c r="AP820">
        <v>101.9243</v>
      </c>
      <c r="AQ820">
        <v>110.2213</v>
      </c>
      <c r="AR820">
        <v>101.4302</v>
      </c>
      <c r="AS820">
        <v>100.3314</v>
      </c>
      <c r="AT820">
        <v>100.99</v>
      </c>
      <c r="AU820">
        <v>102.0215</v>
      </c>
      <c r="AV820">
        <v>117.13639999999999</v>
      </c>
      <c r="AW820">
        <v>102.8622</v>
      </c>
      <c r="AX820">
        <v>111.39870000000001</v>
      </c>
    </row>
    <row r="821" spans="1:50" x14ac:dyDescent="0.35">
      <c r="A821" s="75">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104.2829</v>
      </c>
      <c r="U821">
        <v>102.4766</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103.30759999999999</v>
      </c>
      <c r="AN821">
        <v>103.4122</v>
      </c>
      <c r="AO821">
        <v>101.34310000000001</v>
      </c>
      <c r="AP821">
        <v>102.8956</v>
      </c>
      <c r="AQ821">
        <v>110.58499999999999</v>
      </c>
      <c r="AR821">
        <v>101.5132</v>
      </c>
      <c r="AS821">
        <v>100.4537</v>
      </c>
      <c r="AT821">
        <v>101.3</v>
      </c>
      <c r="AU821">
        <v>102.6151</v>
      </c>
      <c r="AV821">
        <v>118.66759999999999</v>
      </c>
      <c r="AW821">
        <v>103.1673</v>
      </c>
      <c r="AX821">
        <v>111.5337</v>
      </c>
    </row>
    <row r="822" spans="1:50" x14ac:dyDescent="0.35">
      <c r="A822" s="75">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104.41289999999999</v>
      </c>
      <c r="U822">
        <v>102.55410000000001</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103.37479999999999</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35">
      <c r="A823" s="75">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104.5288</v>
      </c>
      <c r="U823">
        <v>102.61360000000001</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103.4064</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35">
      <c r="A824" s="75">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104.645</v>
      </c>
      <c r="U824">
        <v>102.5699</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103.39530000000001</v>
      </c>
      <c r="AN824">
        <v>103.45959999999999</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35">
      <c r="A825" s="75">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104.89109999999999</v>
      </c>
      <c r="U825">
        <v>102.8653</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103.69880000000001</v>
      </c>
      <c r="AO825">
        <v>100.9361</v>
      </c>
      <c r="AP825">
        <v>101.565</v>
      </c>
      <c r="AQ825">
        <v>111.146</v>
      </c>
      <c r="AR825">
        <v>101.3991</v>
      </c>
      <c r="AS825">
        <v>100.75960000000001</v>
      </c>
      <c r="AT825">
        <v>101.36</v>
      </c>
      <c r="AU825">
        <v>103.1384</v>
      </c>
      <c r="AV825">
        <v>119.673</v>
      </c>
      <c r="AW825">
        <v>103.58710000000001</v>
      </c>
      <c r="AX825">
        <v>112.3439</v>
      </c>
    </row>
    <row r="826" spans="1:50" x14ac:dyDescent="0.35">
      <c r="A826" s="75">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105.258</v>
      </c>
      <c r="U826">
        <v>103.22</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104.00579999999999</v>
      </c>
      <c r="AN826">
        <v>103.87569999999999</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35">
      <c r="A827" s="75">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105.4522</v>
      </c>
      <c r="U827">
        <v>103.17019999999999</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104.1758</v>
      </c>
      <c r="AO827">
        <v>101.83150000000001</v>
      </c>
      <c r="AP827">
        <v>102.8807</v>
      </c>
      <c r="AQ827">
        <v>111.2012</v>
      </c>
      <c r="AR827">
        <v>100.8287</v>
      </c>
      <c r="AS827">
        <v>101.249</v>
      </c>
      <c r="AT827">
        <v>101.72</v>
      </c>
      <c r="AU827">
        <v>103.20229999999999</v>
      </c>
      <c r="AV827">
        <v>122.9541</v>
      </c>
      <c r="AW827">
        <v>104.0697</v>
      </c>
      <c r="AX827">
        <v>113.2891</v>
      </c>
    </row>
    <row r="828" spans="1:50" x14ac:dyDescent="0.35">
      <c r="A828" s="75">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105.574</v>
      </c>
      <c r="U828">
        <v>103.1999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104.2637</v>
      </c>
      <c r="AN828">
        <v>104.3386</v>
      </c>
      <c r="AO828">
        <v>102.3199</v>
      </c>
      <c r="AP828">
        <v>102.5224</v>
      </c>
      <c r="AQ828">
        <v>111.44580000000001</v>
      </c>
      <c r="AR828">
        <v>100.1339</v>
      </c>
      <c r="AS828">
        <v>101.5549</v>
      </c>
      <c r="AT828">
        <v>102.02</v>
      </c>
      <c r="AU828">
        <v>103.41289999999999</v>
      </c>
      <c r="AV828">
        <v>124.7885</v>
      </c>
      <c r="AW828">
        <v>104.0723</v>
      </c>
      <c r="AX828">
        <v>113.2891</v>
      </c>
    </row>
    <row r="829" spans="1:50" x14ac:dyDescent="0.35">
      <c r="A829" s="75">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105.71299999999999</v>
      </c>
      <c r="U829">
        <v>103.2959</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104.4179</v>
      </c>
      <c r="AN829">
        <v>104.6623</v>
      </c>
      <c r="AO829">
        <v>102.5641</v>
      </c>
      <c r="AP829">
        <v>102.4786</v>
      </c>
      <c r="AQ829">
        <v>111.9139</v>
      </c>
      <c r="AR829">
        <v>100.43470000000001</v>
      </c>
      <c r="AS829">
        <v>101.5549</v>
      </c>
      <c r="AT829">
        <v>102.01</v>
      </c>
      <c r="AU829">
        <v>103.7927</v>
      </c>
      <c r="AV829">
        <v>125.6442</v>
      </c>
      <c r="AW829">
        <v>104.0111</v>
      </c>
      <c r="AX829">
        <v>113.8292</v>
      </c>
    </row>
    <row r="830" spans="1:50" x14ac:dyDescent="0.35">
      <c r="A830" s="75">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106.07769999999999</v>
      </c>
      <c r="U830">
        <v>103.5746</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104.4575</v>
      </c>
      <c r="AO830">
        <v>102.8897</v>
      </c>
      <c r="AP830">
        <v>101.43559999999999</v>
      </c>
      <c r="AQ830">
        <v>112.2608</v>
      </c>
      <c r="AR830">
        <v>104.5827</v>
      </c>
      <c r="AS830">
        <v>102.4114</v>
      </c>
      <c r="AT830">
        <v>101.18</v>
      </c>
      <c r="AU830">
        <v>102.9246</v>
      </c>
      <c r="AV830">
        <v>126.926</v>
      </c>
      <c r="AW830">
        <v>104.57769999999999</v>
      </c>
      <c r="AX830">
        <v>114.3693</v>
      </c>
    </row>
    <row r="831" spans="1:50" x14ac:dyDescent="0.35">
      <c r="A831" s="75">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106.5287</v>
      </c>
      <c r="U831">
        <v>103.9205</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105.0097</v>
      </c>
      <c r="AN831">
        <v>104.7063</v>
      </c>
      <c r="AO831">
        <v>102.6455</v>
      </c>
      <c r="AP831">
        <v>100.747</v>
      </c>
      <c r="AQ831">
        <v>112.4966</v>
      </c>
      <c r="AR831">
        <v>104.479</v>
      </c>
      <c r="AS831">
        <v>102.595</v>
      </c>
      <c r="AT831">
        <v>101.87</v>
      </c>
      <c r="AU831">
        <v>103.6778</v>
      </c>
      <c r="AV831">
        <v>127.8546</v>
      </c>
      <c r="AW831">
        <v>105.05200000000001</v>
      </c>
      <c r="AX831">
        <v>115.0444</v>
      </c>
    </row>
    <row r="832" spans="1:50" x14ac:dyDescent="0.35">
      <c r="A832" s="75">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106.6636</v>
      </c>
      <c r="U832">
        <v>104.18389999999999</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105.2923</v>
      </c>
      <c r="AN832">
        <v>105.2075</v>
      </c>
      <c r="AO832">
        <v>102.5641</v>
      </c>
      <c r="AP832">
        <v>102.6259</v>
      </c>
      <c r="AQ832">
        <v>112.8228</v>
      </c>
      <c r="AR832">
        <v>104.3442</v>
      </c>
      <c r="AS832">
        <v>102.77849999999999</v>
      </c>
      <c r="AT832">
        <v>102.16</v>
      </c>
      <c r="AU832">
        <v>103.9618</v>
      </c>
      <c r="AV832">
        <v>129.12479999999999</v>
      </c>
      <c r="AW832">
        <v>105.2895</v>
      </c>
      <c r="AX832">
        <v>115.58459999999999</v>
      </c>
    </row>
    <row r="833" spans="1:50" x14ac:dyDescent="0.35">
      <c r="A833" s="75">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106.98269999999999</v>
      </c>
      <c r="U833">
        <v>104.48350000000001</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105.6559</v>
      </c>
      <c r="AN833">
        <v>105.70829999999999</v>
      </c>
      <c r="AO833">
        <v>103.05249999999999</v>
      </c>
      <c r="AP833">
        <v>103.3036</v>
      </c>
      <c r="AQ833">
        <v>113.2516</v>
      </c>
      <c r="AR833">
        <v>104.04349999999999</v>
      </c>
      <c r="AS833">
        <v>103.3903</v>
      </c>
      <c r="AT833">
        <v>102.86</v>
      </c>
      <c r="AU833">
        <v>104.3895</v>
      </c>
      <c r="AV833">
        <v>131.54249999999999</v>
      </c>
      <c r="AW833">
        <v>105.708</v>
      </c>
      <c r="AX833">
        <v>116.2597</v>
      </c>
    </row>
    <row r="834" spans="1:50" x14ac:dyDescent="0.35">
      <c r="A834" s="75">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107.3381</v>
      </c>
      <c r="U834">
        <v>104.9036</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106.0753</v>
      </c>
      <c r="AN834">
        <v>106.3079</v>
      </c>
      <c r="AO834">
        <v>103.2967</v>
      </c>
      <c r="AP834">
        <v>103.7236</v>
      </c>
      <c r="AQ834">
        <v>113.6819</v>
      </c>
      <c r="AR834">
        <v>103.80500000000001</v>
      </c>
      <c r="AS834">
        <v>103.3903</v>
      </c>
      <c r="AT834">
        <v>104.07</v>
      </c>
      <c r="AU834">
        <v>104.63200000000001</v>
      </c>
      <c r="AV834">
        <v>133.67609999999999</v>
      </c>
      <c r="AW834">
        <v>106.1477</v>
      </c>
      <c r="AX834">
        <v>116.6648</v>
      </c>
    </row>
    <row r="835" spans="1:50" x14ac:dyDescent="0.35">
      <c r="A835" s="75">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107.69240000000001</v>
      </c>
      <c r="U835">
        <v>105.01479999999999</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106.2915</v>
      </c>
      <c r="AN835">
        <v>106.6776</v>
      </c>
      <c r="AO835">
        <v>103.3781</v>
      </c>
      <c r="AP835">
        <v>103.7903</v>
      </c>
      <c r="AQ835">
        <v>114.239</v>
      </c>
      <c r="AR835">
        <v>104.002</v>
      </c>
      <c r="AS835">
        <v>103.51260000000001</v>
      </c>
      <c r="AT835">
        <v>104.07</v>
      </c>
      <c r="AU835">
        <v>104.8745</v>
      </c>
      <c r="AV835">
        <v>137.16829999999999</v>
      </c>
      <c r="AW835">
        <v>106.3168</v>
      </c>
      <c r="AX835">
        <v>116.9348</v>
      </c>
    </row>
    <row r="836" spans="1:50" x14ac:dyDescent="0.35">
      <c r="A836" s="75">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108.2045</v>
      </c>
      <c r="U836">
        <v>105.0899</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106.7821</v>
      </c>
      <c r="AO836">
        <v>103.1339</v>
      </c>
      <c r="AP836">
        <v>103.15730000000001</v>
      </c>
      <c r="AQ836">
        <v>114.5474</v>
      </c>
      <c r="AR836">
        <v>103.85680000000001</v>
      </c>
      <c r="AS836">
        <v>103.3903</v>
      </c>
      <c r="AT836">
        <v>103.12</v>
      </c>
      <c r="AU836">
        <v>105.4203</v>
      </c>
      <c r="AV836">
        <v>137.92429999999999</v>
      </c>
      <c r="AW836">
        <v>106.324</v>
      </c>
      <c r="AX836">
        <v>117.8801</v>
      </c>
    </row>
    <row r="837" spans="1:50" x14ac:dyDescent="0.35">
      <c r="A837" s="75">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108.54349999999999</v>
      </c>
      <c r="U837">
        <v>105.2963</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107.2315</v>
      </c>
      <c r="AO837">
        <v>103.1339</v>
      </c>
      <c r="AP837">
        <v>102.801</v>
      </c>
      <c r="AQ837">
        <v>114.55889999999999</v>
      </c>
      <c r="AR837">
        <v>103.7116</v>
      </c>
      <c r="AS837">
        <v>103.63500000000001</v>
      </c>
      <c r="AT837">
        <v>103.2</v>
      </c>
      <c r="AU837">
        <v>105.1969</v>
      </c>
      <c r="AV837">
        <v>141.09020000000001</v>
      </c>
      <c r="AW837">
        <v>106.3831</v>
      </c>
      <c r="AX837">
        <v>117.745</v>
      </c>
    </row>
    <row r="838" spans="1:50" x14ac:dyDescent="0.35">
      <c r="A838" s="75">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109.0664</v>
      </c>
      <c r="U838">
        <v>105.3433</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107.036</v>
      </c>
      <c r="AN838">
        <v>107.96299999999999</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35">
      <c r="A839" s="75">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109.4815</v>
      </c>
      <c r="U839">
        <v>105.5288</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107.3775</v>
      </c>
      <c r="AN839">
        <v>108.4911</v>
      </c>
      <c r="AO839">
        <v>103.7851</v>
      </c>
      <c r="AP839">
        <v>103.8669</v>
      </c>
      <c r="AQ839">
        <v>115.1438</v>
      </c>
      <c r="AR839">
        <v>102.98569999999999</v>
      </c>
      <c r="AS839">
        <v>103.7573</v>
      </c>
      <c r="AT839">
        <v>103.96</v>
      </c>
      <c r="AU839">
        <v>105.54470000000001</v>
      </c>
      <c r="AV839">
        <v>153.9881</v>
      </c>
      <c r="AW839">
        <v>106.6949</v>
      </c>
      <c r="AX839">
        <v>118.9603</v>
      </c>
    </row>
    <row r="840" spans="1:50" x14ac:dyDescent="0.35">
      <c r="A840" s="75">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109.2748</v>
      </c>
      <c r="U840">
        <v>105.2107</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107.0857</v>
      </c>
      <c r="AN840">
        <v>108.1195</v>
      </c>
      <c r="AO840">
        <v>103.7851</v>
      </c>
      <c r="AP840">
        <v>103.4021</v>
      </c>
      <c r="AQ840">
        <v>115.7195</v>
      </c>
      <c r="AR840">
        <v>102.768</v>
      </c>
      <c r="AS840">
        <v>103.6962</v>
      </c>
      <c r="AT840">
        <v>104.06</v>
      </c>
      <c r="AU840">
        <v>105.4426</v>
      </c>
      <c r="AV840">
        <v>151.7662</v>
      </c>
      <c r="AW840">
        <v>106.33750000000001</v>
      </c>
      <c r="AX840">
        <v>119.09529999999999</v>
      </c>
    </row>
    <row r="841" spans="1:50" x14ac:dyDescent="0.35">
      <c r="A841" s="75">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109.2513</v>
      </c>
      <c r="U841">
        <v>104.99209999999999</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v>
      </c>
      <c r="AO841">
        <v>103.7851</v>
      </c>
      <c r="AP841">
        <v>103.1593</v>
      </c>
      <c r="AQ841">
        <v>116.6915</v>
      </c>
      <c r="AR841">
        <v>102.3532</v>
      </c>
      <c r="AS841">
        <v>103.57380000000001</v>
      </c>
      <c r="AT841">
        <v>103.46</v>
      </c>
      <c r="AU841">
        <v>105.9117</v>
      </c>
      <c r="AV841">
        <v>151.15219999999999</v>
      </c>
      <c r="AW841">
        <v>105.9979</v>
      </c>
      <c r="AX841">
        <v>118.9603</v>
      </c>
    </row>
    <row r="842" spans="1:50" x14ac:dyDescent="0.35">
      <c r="A842" s="75">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109.53870000000001</v>
      </c>
      <c r="U842">
        <v>104.96510000000001</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106.86839999999999</v>
      </c>
      <c r="AN842">
        <v>107.6388</v>
      </c>
      <c r="AO842">
        <v>103.54089999999999</v>
      </c>
      <c r="AP842">
        <v>101.9183</v>
      </c>
      <c r="AQ842">
        <v>117.87009999999999</v>
      </c>
      <c r="AR842">
        <v>101.2747</v>
      </c>
      <c r="AS842">
        <v>104.675</v>
      </c>
      <c r="AT842">
        <v>102.32</v>
      </c>
      <c r="AU842">
        <v>104.8554</v>
      </c>
      <c r="AV842">
        <v>152.76009999999999</v>
      </c>
      <c r="AW842">
        <v>106.2</v>
      </c>
      <c r="AX842">
        <v>118.8252</v>
      </c>
    </row>
    <row r="843" spans="1:50" x14ac:dyDescent="0.35">
      <c r="A843" s="75">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110.03019999999999</v>
      </c>
      <c r="U843">
        <v>105.3207</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107.2075</v>
      </c>
      <c r="AN843">
        <v>107.95229999999999</v>
      </c>
      <c r="AO843">
        <v>103.9479</v>
      </c>
      <c r="AP843">
        <v>101.6934</v>
      </c>
      <c r="AQ843">
        <v>118.3887</v>
      </c>
      <c r="AR843">
        <v>101.0984</v>
      </c>
      <c r="AS843">
        <v>104.91970000000001</v>
      </c>
      <c r="AT843">
        <v>103.11</v>
      </c>
      <c r="AU843">
        <v>105.6405</v>
      </c>
      <c r="AV843">
        <v>153.00569999999999</v>
      </c>
      <c r="AW843">
        <v>106.6489</v>
      </c>
      <c r="AX843">
        <v>119.7705</v>
      </c>
    </row>
    <row r="844" spans="1:50" x14ac:dyDescent="0.35">
      <c r="A844" s="75">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110.5453</v>
      </c>
      <c r="U844">
        <v>105.80840000000001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107.6953</v>
      </c>
      <c r="AN844">
        <v>108.492</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35">
      <c r="A845" s="75">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111.172</v>
      </c>
      <c r="U845">
        <v>106.3486</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108.2826</v>
      </c>
      <c r="AN845">
        <v>109.2517</v>
      </c>
      <c r="AO845">
        <v>105.4131</v>
      </c>
      <c r="AP845">
        <v>104.0998</v>
      </c>
      <c r="AQ845">
        <v>119.11199999999999</v>
      </c>
      <c r="AR845">
        <v>101.04649999999999</v>
      </c>
      <c r="AS845">
        <v>105.7762</v>
      </c>
      <c r="AT845">
        <v>104.64</v>
      </c>
      <c r="AU845">
        <v>106.6266</v>
      </c>
      <c r="AV845">
        <v>157.19630000000001</v>
      </c>
      <c r="AW845">
        <v>107.8184</v>
      </c>
      <c r="AX845">
        <v>121.3908</v>
      </c>
    </row>
    <row r="846" spans="1:50" x14ac:dyDescent="0.35">
      <c r="A846" s="75">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111.4713</v>
      </c>
      <c r="U846">
        <v>106.5436</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108.4789</v>
      </c>
      <c r="AN846">
        <v>109.4804</v>
      </c>
      <c r="AO846">
        <v>105.65730000000001</v>
      </c>
      <c r="AP846">
        <v>104.1605</v>
      </c>
      <c r="AQ846">
        <v>119.517</v>
      </c>
      <c r="AR846">
        <v>101.0776</v>
      </c>
      <c r="AS846">
        <v>106.1433</v>
      </c>
      <c r="AT846">
        <v>105.56</v>
      </c>
      <c r="AU846">
        <v>106.8947</v>
      </c>
      <c r="AV846">
        <v>158.6891</v>
      </c>
      <c r="AW846">
        <v>108.0479</v>
      </c>
      <c r="AX846">
        <v>121.7959</v>
      </c>
    </row>
    <row r="847" spans="1:50" x14ac:dyDescent="0.35">
      <c r="A847" s="75">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111.6176</v>
      </c>
      <c r="U847">
        <v>106.5723</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108.5057</v>
      </c>
      <c r="AN847">
        <v>109.5954</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35">
      <c r="A848" s="75">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111.9011</v>
      </c>
      <c r="U848">
        <v>106.7371</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108.678</v>
      </c>
      <c r="AN848">
        <v>109.748</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35">
      <c r="A849" s="75">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112.2039</v>
      </c>
      <c r="U849">
        <v>106.807</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108.7672</v>
      </c>
      <c r="AN849">
        <v>109.93940000000001</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35">
      <c r="A850" s="75">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112.6144</v>
      </c>
      <c r="U850">
        <v>106.7962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108.8335</v>
      </c>
      <c r="AN850">
        <v>109.9734</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35">
      <c r="A851" s="75">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113.1525</v>
      </c>
      <c r="U851">
        <v>106.97620000000001</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109.14960000000001</v>
      </c>
      <c r="AN851">
        <v>110.306</v>
      </c>
      <c r="AO851">
        <v>106.22709999999999</v>
      </c>
      <c r="AP851">
        <v>103.8828</v>
      </c>
      <c r="AQ851">
        <v>119.4803</v>
      </c>
      <c r="AR851">
        <v>102.0732</v>
      </c>
      <c r="AS851">
        <v>106.6327</v>
      </c>
      <c r="AT851">
        <v>105.44</v>
      </c>
      <c r="AU851">
        <v>107.24250000000001</v>
      </c>
      <c r="AV851">
        <v>167.1585</v>
      </c>
      <c r="AW851">
        <v>108.577</v>
      </c>
      <c r="AX851">
        <v>123.2812</v>
      </c>
    </row>
    <row r="852" spans="1:50" x14ac:dyDescent="0.35">
      <c r="A852" s="75">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113.4213</v>
      </c>
      <c r="U852">
        <v>106.8811</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109.1168</v>
      </c>
      <c r="AN852">
        <v>110.21169999999999</v>
      </c>
      <c r="AO852">
        <v>106.3085</v>
      </c>
      <c r="AP852">
        <v>103.7296</v>
      </c>
      <c r="AQ852">
        <v>119.81480000000001</v>
      </c>
      <c r="AR852">
        <v>101.9383</v>
      </c>
      <c r="AS852">
        <v>106.755</v>
      </c>
      <c r="AT852">
        <v>105.52</v>
      </c>
      <c r="AU852">
        <v>107.3447</v>
      </c>
      <c r="AV852">
        <v>167.7955</v>
      </c>
      <c r="AW852">
        <v>108.5188</v>
      </c>
      <c r="AX852">
        <v>123.4162</v>
      </c>
    </row>
    <row r="853" spans="1:50" x14ac:dyDescent="0.35">
      <c r="A853" s="75">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113.7289</v>
      </c>
      <c r="U853">
        <v>106.9123</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109.2336</v>
      </c>
      <c r="AN853">
        <v>110.5402</v>
      </c>
      <c r="AO853">
        <v>107.1225</v>
      </c>
      <c r="AP853">
        <v>103.59220000000001</v>
      </c>
      <c r="AQ853">
        <v>120.2462</v>
      </c>
      <c r="AR853">
        <v>102.1665</v>
      </c>
      <c r="AS853">
        <v>106.6327</v>
      </c>
      <c r="AT853">
        <v>105.35</v>
      </c>
      <c r="AU853">
        <v>107.7659</v>
      </c>
      <c r="AV853">
        <v>169.0427</v>
      </c>
      <c r="AW853">
        <v>108.42010000000001</v>
      </c>
      <c r="AX853">
        <v>123.6863</v>
      </c>
    </row>
    <row r="854" spans="1:50" x14ac:dyDescent="0.35">
      <c r="A854" s="75">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114.0806</v>
      </c>
      <c r="U854">
        <v>107.068</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109.40989999999999</v>
      </c>
      <c r="AN854">
        <v>110.3874</v>
      </c>
      <c r="AO854">
        <v>108.0993</v>
      </c>
      <c r="AP854">
        <v>102.7334</v>
      </c>
      <c r="AQ854">
        <v>120.72709999999999</v>
      </c>
      <c r="AR854">
        <v>102.01090000000001</v>
      </c>
      <c r="AS854">
        <v>107.8562</v>
      </c>
      <c r="AT854">
        <v>104.45</v>
      </c>
      <c r="AU854">
        <v>106.2149</v>
      </c>
      <c r="AV854">
        <v>171.32599999999999</v>
      </c>
      <c r="AW854">
        <v>108.8407</v>
      </c>
      <c r="AX854">
        <v>123.9563</v>
      </c>
    </row>
    <row r="855" spans="1:50" x14ac:dyDescent="0.35">
      <c r="A855" s="75">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114.3857</v>
      </c>
      <c r="U855">
        <v>107.285</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109.64449999999999</v>
      </c>
      <c r="AN855">
        <v>110.604</v>
      </c>
      <c r="AO855">
        <v>108.8319</v>
      </c>
      <c r="AP855">
        <v>102.0795</v>
      </c>
      <c r="AQ855">
        <v>121.1255</v>
      </c>
      <c r="AR855">
        <v>102.3428</v>
      </c>
      <c r="AS855">
        <v>107.9786</v>
      </c>
      <c r="AT855">
        <v>105.14</v>
      </c>
      <c r="AU855">
        <v>106.7415</v>
      </c>
      <c r="AV855">
        <v>171.92850000000001</v>
      </c>
      <c r="AW855">
        <v>109.139</v>
      </c>
      <c r="AX855">
        <v>125.1716</v>
      </c>
    </row>
    <row r="856" spans="1:50" x14ac:dyDescent="0.35">
      <c r="A856" s="75">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114.18470000000001</v>
      </c>
      <c r="U856">
        <v>107.1459</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109.58069999999999</v>
      </c>
      <c r="AN856">
        <v>110.7316</v>
      </c>
      <c r="AO856">
        <v>109.0761</v>
      </c>
      <c r="AP856">
        <v>103.54349999999999</v>
      </c>
      <c r="AQ856">
        <v>121.79170000000001</v>
      </c>
      <c r="AR856">
        <v>102.488</v>
      </c>
      <c r="AS856">
        <v>107.9786</v>
      </c>
      <c r="AT856">
        <v>104.32</v>
      </c>
      <c r="AU856">
        <v>106.5628</v>
      </c>
      <c r="AV856">
        <v>172.9109</v>
      </c>
      <c r="AW856">
        <v>108.9015</v>
      </c>
      <c r="AX856">
        <v>125.71169999999999</v>
      </c>
    </row>
    <row r="857" spans="1:50" x14ac:dyDescent="0.35">
      <c r="A857" s="75">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113.9509</v>
      </c>
      <c r="U857">
        <v>106.73950000000001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109.2165</v>
      </c>
      <c r="AN857">
        <v>110.8994</v>
      </c>
      <c r="AO857">
        <v>108.99469999999999</v>
      </c>
      <c r="AP857">
        <v>103.8719</v>
      </c>
      <c r="AQ857">
        <v>122.8026</v>
      </c>
      <c r="AR857">
        <v>102.3635</v>
      </c>
      <c r="AS857">
        <v>107.9786</v>
      </c>
      <c r="AT857">
        <v>103.36</v>
      </c>
      <c r="AU857">
        <v>106.24039999999999</v>
      </c>
      <c r="AV857">
        <v>174.38839999999999</v>
      </c>
      <c r="AW857">
        <v>108.1733</v>
      </c>
      <c r="AX857">
        <v>124.9015</v>
      </c>
    </row>
    <row r="858" spans="1:50" x14ac:dyDescent="0.35">
      <c r="A858" s="75">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113.895</v>
      </c>
      <c r="U858">
        <v>106.73050000000001</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109.2548</v>
      </c>
      <c r="AN858">
        <v>110.97499999999999</v>
      </c>
      <c r="AO858">
        <v>108.7505</v>
      </c>
      <c r="AP858">
        <v>103.4061</v>
      </c>
      <c r="AQ858">
        <v>123.13420000000001</v>
      </c>
      <c r="AR858">
        <v>102.14579999999999</v>
      </c>
      <c r="AS858">
        <v>108.22329999999999</v>
      </c>
      <c r="AT858">
        <v>104.26</v>
      </c>
      <c r="AU858">
        <v>106.8819</v>
      </c>
      <c r="AV858">
        <v>176.7638</v>
      </c>
      <c r="AW858">
        <v>108.1754</v>
      </c>
      <c r="AX858">
        <v>124.2264</v>
      </c>
    </row>
    <row r="859" spans="1:50" x14ac:dyDescent="0.35">
      <c r="A859" s="75">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114.3107</v>
      </c>
      <c r="U859">
        <v>107.15730000000001</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109.69280000000001</v>
      </c>
      <c r="AN859">
        <v>111.40949999999999</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35">
      <c r="A860" s="75">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114.71680000000001</v>
      </c>
      <c r="U860">
        <v>107.4734</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109.9894</v>
      </c>
      <c r="AN860">
        <v>111.4085</v>
      </c>
      <c r="AO860">
        <v>109.1575</v>
      </c>
      <c r="AP860">
        <v>102.9782</v>
      </c>
      <c r="AQ860">
        <v>123.837</v>
      </c>
      <c r="AR860">
        <v>107.8078</v>
      </c>
      <c r="AS860">
        <v>108.22329999999999</v>
      </c>
      <c r="AT860">
        <v>105.48</v>
      </c>
      <c r="AU860">
        <v>107.7308</v>
      </c>
      <c r="AV860">
        <v>179.8108</v>
      </c>
      <c r="AW860">
        <v>109.3175</v>
      </c>
      <c r="AX860">
        <v>126.5219</v>
      </c>
    </row>
    <row r="861" spans="1:50" x14ac:dyDescent="0.35">
      <c r="A861" s="75">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115.14230000000001</v>
      </c>
      <c r="U861">
        <v>107.6446</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110.16370000000001</v>
      </c>
      <c r="AN861">
        <v>111.3931</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35">
      <c r="A862" s="75">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115.413</v>
      </c>
      <c r="U862">
        <v>107.6391</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110.25239999999999</v>
      </c>
      <c r="AN862">
        <v>111.414</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35">
      <c r="A863" s="75">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115.7559</v>
      </c>
      <c r="U863">
        <v>107.6913</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110.4427</v>
      </c>
      <c r="AN863">
        <v>111.7621</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35">
      <c r="A864" s="75">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115.77589999999999</v>
      </c>
      <c r="U864">
        <v>107.5437</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110.4008</v>
      </c>
      <c r="AN864">
        <v>111.78530000000001</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35">
      <c r="A865" s="75">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116.10080000000001</v>
      </c>
      <c r="U865">
        <v>107.6662</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110.59820000000001</v>
      </c>
      <c r="AN865">
        <v>112.1754</v>
      </c>
      <c r="AO865">
        <v>109.5645</v>
      </c>
      <c r="AP865">
        <v>103.3544</v>
      </c>
      <c r="AQ865">
        <v>126.1532</v>
      </c>
      <c r="AR865">
        <v>107.6108</v>
      </c>
      <c r="AS865">
        <v>108.28449999999999</v>
      </c>
      <c r="AT865">
        <v>104.21</v>
      </c>
      <c r="AU865">
        <v>108.2957</v>
      </c>
      <c r="AV865">
        <v>193.7218</v>
      </c>
      <c r="AW865">
        <v>109.8968</v>
      </c>
      <c r="AX865">
        <v>127.4671</v>
      </c>
    </row>
    <row r="866" spans="1:50" x14ac:dyDescent="0.35">
      <c r="A866" s="75">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116.63330000000001</v>
      </c>
      <c r="U866">
        <v>108.1317</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111.12220000000001</v>
      </c>
      <c r="AN866">
        <v>112.68429999999999</v>
      </c>
      <c r="AO866">
        <v>110.9483</v>
      </c>
      <c r="AP866">
        <v>103.0429</v>
      </c>
      <c r="AQ866">
        <v>126.9984</v>
      </c>
      <c r="AR866">
        <v>107.8493</v>
      </c>
      <c r="AS866">
        <v>108.6515</v>
      </c>
      <c r="AT866">
        <v>103.76</v>
      </c>
      <c r="AU866">
        <v>107.8968</v>
      </c>
      <c r="AV866">
        <v>196.97989999999999</v>
      </c>
      <c r="AW866">
        <v>110.3642</v>
      </c>
      <c r="AX866">
        <v>128.00720000000001</v>
      </c>
    </row>
    <row r="867" spans="1:50" x14ac:dyDescent="0.35">
      <c r="A867" s="75">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117.2311</v>
      </c>
      <c r="U867">
        <v>108.5765</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111.5684</v>
      </c>
      <c r="AN867">
        <v>113.01909999999999</v>
      </c>
      <c r="AO867">
        <v>111.5181</v>
      </c>
      <c r="AP867">
        <v>102.5712</v>
      </c>
      <c r="AQ867">
        <v>127.989</v>
      </c>
      <c r="AR867">
        <v>107.7145</v>
      </c>
      <c r="AS867">
        <v>108.8963</v>
      </c>
      <c r="AT867">
        <v>104.06</v>
      </c>
      <c r="AU867">
        <v>108.1904</v>
      </c>
      <c r="AV867">
        <v>198.76820000000001</v>
      </c>
      <c r="AW867">
        <v>110.9684</v>
      </c>
      <c r="AX867">
        <v>128.81739999999999</v>
      </c>
    </row>
    <row r="868" spans="1:50" x14ac:dyDescent="0.35">
      <c r="A868" s="75">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117.7972</v>
      </c>
      <c r="U868">
        <v>109.1823</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112.2115</v>
      </c>
      <c r="AN868">
        <v>113.6627</v>
      </c>
      <c r="AO868">
        <v>112.65770000000001</v>
      </c>
      <c r="AP868">
        <v>104.0142</v>
      </c>
      <c r="AQ868">
        <v>128.8338</v>
      </c>
      <c r="AR868">
        <v>107.559</v>
      </c>
      <c r="AS868">
        <v>109.4469</v>
      </c>
      <c r="AT868">
        <v>104.41</v>
      </c>
      <c r="AU868">
        <v>108.3595</v>
      </c>
      <c r="AV868">
        <v>200.9057</v>
      </c>
      <c r="AW868">
        <v>111.7544</v>
      </c>
      <c r="AX868">
        <v>129.6275</v>
      </c>
    </row>
    <row r="869" spans="1:50" x14ac:dyDescent="0.35">
      <c r="A869" s="75">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118.3177</v>
      </c>
      <c r="U869">
        <v>109.7816</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112.86369999999999</v>
      </c>
      <c r="AN869">
        <v>114.3882</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35">
      <c r="A870" s="75">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118.857</v>
      </c>
      <c r="U870">
        <v>110.46080000000001</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113.46939999999999</v>
      </c>
      <c r="AN870">
        <v>114.81659999999999</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35">
      <c r="A871" s="75">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119.4144</v>
      </c>
      <c r="U871">
        <v>111.16589999999999</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114.134</v>
      </c>
      <c r="AN871">
        <v>115.3124</v>
      </c>
      <c r="AO871">
        <v>113.9601</v>
      </c>
      <c r="AP871">
        <v>104.85209999999999</v>
      </c>
      <c r="AQ871">
        <v>131.44059999999999</v>
      </c>
      <c r="AR871">
        <v>108.1086</v>
      </c>
      <c r="AS871">
        <v>111.221</v>
      </c>
      <c r="AT871">
        <v>107.1</v>
      </c>
      <c r="AU871">
        <v>108.9276</v>
      </c>
      <c r="AV871">
        <v>210.09649999999999</v>
      </c>
      <c r="AW871">
        <v>114.6314</v>
      </c>
      <c r="AX871">
        <v>131.1129</v>
      </c>
    </row>
    <row r="872" spans="1:50" x14ac:dyDescent="0.35">
      <c r="A872" s="75">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119.95350000000001</v>
      </c>
      <c r="U872">
        <v>111.6568</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114.6561</v>
      </c>
      <c r="AN872">
        <v>115.81959999999999</v>
      </c>
      <c r="AO872">
        <v>114.4485</v>
      </c>
      <c r="AP872">
        <v>104.4879</v>
      </c>
      <c r="AQ872">
        <v>131.84809999999999</v>
      </c>
      <c r="AR872">
        <v>108.2745</v>
      </c>
      <c r="AS872">
        <v>111.77160000000001</v>
      </c>
      <c r="AT872">
        <v>107.54</v>
      </c>
      <c r="AU872">
        <v>109.218</v>
      </c>
      <c r="AV872">
        <v>213.88800000000001</v>
      </c>
      <c r="AW872">
        <v>115.1829</v>
      </c>
      <c r="AX872">
        <v>132.4632</v>
      </c>
    </row>
    <row r="873" spans="1:50" x14ac:dyDescent="0.35">
      <c r="A873" s="75">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120.2898</v>
      </c>
      <c r="U873">
        <v>111.91240000000001</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114.97069999999999</v>
      </c>
      <c r="AN873">
        <v>116.3019</v>
      </c>
      <c r="AO873">
        <v>114.7741</v>
      </c>
      <c r="AP873">
        <v>104.27889999999999</v>
      </c>
      <c r="AQ873">
        <v>132.07220000000001</v>
      </c>
      <c r="AR873">
        <v>108.3471</v>
      </c>
      <c r="AS873">
        <v>112.1998</v>
      </c>
      <c r="AT873">
        <v>107.64</v>
      </c>
      <c r="AU873">
        <v>109.77970000000001</v>
      </c>
      <c r="AV873">
        <v>216.2826</v>
      </c>
      <c r="AW873">
        <v>115.4208</v>
      </c>
      <c r="AX873">
        <v>133.0033</v>
      </c>
    </row>
    <row r="874" spans="1:50" x14ac:dyDescent="0.35">
      <c r="A874" s="75">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120.7384</v>
      </c>
      <c r="U874">
        <v>112.1383</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115.3319</v>
      </c>
      <c r="AN874">
        <v>116.6699</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35">
      <c r="A875" s="75">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121.804</v>
      </c>
      <c r="U875">
        <v>112.8865</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116.2354</v>
      </c>
      <c r="AN875">
        <v>117.7893</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35">
      <c r="A876" s="75">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122.55070000000001</v>
      </c>
      <c r="U876">
        <v>113.3322</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116.88290000000001</v>
      </c>
      <c r="AN876">
        <v>118.6361</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35">
      <c r="A877" s="75">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123.23520000000001</v>
      </c>
      <c r="U877">
        <v>113.6636</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117.85250000000001</v>
      </c>
      <c r="AN877">
        <v>120.82129999999999</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35">
      <c r="A878" s="75">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124.1983</v>
      </c>
      <c r="U878">
        <v>114.4323</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119.1067</v>
      </c>
      <c r="AN878">
        <v>122.6537</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35">
      <c r="A879" s="75">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125.20489999999999</v>
      </c>
      <c r="U879">
        <v>115.3946</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120.229</v>
      </c>
      <c r="AN879">
        <v>124.0848</v>
      </c>
      <c r="AO879">
        <v>121.0419</v>
      </c>
      <c r="AP879">
        <v>106.8734</v>
      </c>
      <c r="AQ879">
        <v>139.7107</v>
      </c>
      <c r="AR879">
        <v>109.4567</v>
      </c>
      <c r="AS879">
        <v>118.74590000000001</v>
      </c>
      <c r="AT879">
        <v>111.24</v>
      </c>
      <c r="AU879">
        <v>112.8338</v>
      </c>
      <c r="AV879">
        <v>306.97469999999998</v>
      </c>
      <c r="AW879">
        <v>119.7028</v>
      </c>
      <c r="AX879">
        <v>136.10890000000001</v>
      </c>
    </row>
    <row r="880" spans="1:50" x14ac:dyDescent="0.35">
      <c r="A880" s="75">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127.10380000000001</v>
      </c>
      <c r="U880">
        <v>116.9076</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122.0607</v>
      </c>
      <c r="AN880">
        <v>126.83150000000001</v>
      </c>
      <c r="AO880">
        <v>125.0305</v>
      </c>
      <c r="AP880">
        <v>109.5594</v>
      </c>
      <c r="AQ880">
        <v>150.34700000000001</v>
      </c>
      <c r="AR880">
        <v>109.7574</v>
      </c>
      <c r="AS880">
        <v>120.8259</v>
      </c>
      <c r="AT880">
        <v>110.01</v>
      </c>
      <c r="AU880">
        <v>114.8252</v>
      </c>
      <c r="AV880">
        <v>323.74849999999998</v>
      </c>
      <c r="AW880">
        <v>121.301</v>
      </c>
      <c r="AX880">
        <v>137.5942</v>
      </c>
    </row>
    <row r="881" spans="1:50" x14ac:dyDescent="0.35">
      <c r="A881" s="75">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128.3963</v>
      </c>
      <c r="U881">
        <v>117.63939999999999</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123.2371</v>
      </c>
      <c r="AN881">
        <v>128.80269999999999</v>
      </c>
      <c r="AO881">
        <v>127.5539</v>
      </c>
      <c r="AP881">
        <v>111.97069999999999</v>
      </c>
      <c r="AR881">
        <v>110.22410000000001</v>
      </c>
      <c r="AS881">
        <v>122.5389</v>
      </c>
      <c r="AT881">
        <v>112.83</v>
      </c>
      <c r="AU881">
        <v>115.5337</v>
      </c>
      <c r="AV881">
        <v>347.2149</v>
      </c>
      <c r="AW881">
        <v>121.9782</v>
      </c>
      <c r="AX881">
        <v>138.40440000000001</v>
      </c>
    </row>
    <row r="882" spans="1:50" x14ac:dyDescent="0.35">
      <c r="A882" s="75">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129.38229999999999</v>
      </c>
      <c r="U882">
        <v>118.74850000000001</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124.4337</v>
      </c>
      <c r="AN882">
        <v>130.2038</v>
      </c>
      <c r="AO882">
        <v>129.7517</v>
      </c>
      <c r="AP882">
        <v>113.06740000000001</v>
      </c>
      <c r="AR882">
        <v>110.35890000000001</v>
      </c>
      <c r="AS882">
        <v>124.4966</v>
      </c>
      <c r="AT882">
        <v>115.12</v>
      </c>
      <c r="AU882">
        <v>116.74639999999999</v>
      </c>
      <c r="AV882">
        <v>357.56470000000002</v>
      </c>
      <c r="AW882">
        <v>123.3228</v>
      </c>
      <c r="AX882">
        <v>139.34960000000001</v>
      </c>
    </row>
    <row r="883" spans="1:50" x14ac:dyDescent="0.35">
      <c r="A883" s="75">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130.45949999999999</v>
      </c>
      <c r="U883">
        <v>119.9269</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125.85939999999999</v>
      </c>
      <c r="AN883">
        <v>131.92420000000001</v>
      </c>
      <c r="AO883">
        <v>131.70529999999999</v>
      </c>
      <c r="AP883">
        <v>114.0029</v>
      </c>
      <c r="AR883">
        <v>110.6078</v>
      </c>
      <c r="AS883">
        <v>125.9648</v>
      </c>
      <c r="AT883">
        <v>118.27</v>
      </c>
      <c r="AU883">
        <v>118.3836</v>
      </c>
      <c r="AV883">
        <v>375.27100000000002</v>
      </c>
      <c r="AW883">
        <v>125.0168</v>
      </c>
      <c r="AX883">
        <v>140.8349</v>
      </c>
    </row>
    <row r="884" spans="1:50" x14ac:dyDescent="0.35">
      <c r="A884" s="75">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131.01480000000001</v>
      </c>
      <c r="U884">
        <v>120.1725</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126.4003</v>
      </c>
      <c r="AN884">
        <v>132.9409</v>
      </c>
      <c r="AO884">
        <v>132.35650000000001</v>
      </c>
      <c r="AP884">
        <v>113.9551</v>
      </c>
      <c r="AR884">
        <v>111.1678</v>
      </c>
      <c r="AS884">
        <v>127.0048</v>
      </c>
      <c r="AT884">
        <v>119.41</v>
      </c>
      <c r="AU884">
        <v>118.4889</v>
      </c>
      <c r="AV884">
        <v>384.1472</v>
      </c>
      <c r="AW884">
        <v>125.002</v>
      </c>
      <c r="AX884">
        <v>143.13040000000001</v>
      </c>
    </row>
    <row r="885" spans="1:50" x14ac:dyDescent="0.35">
      <c r="A885" s="75">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131.3629</v>
      </c>
      <c r="U885">
        <v>120.3408</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126.76739999999999</v>
      </c>
      <c r="AN885">
        <v>133.80269999999999</v>
      </c>
      <c r="AO885">
        <v>133.41470000000001</v>
      </c>
      <c r="AP885">
        <v>113.6058</v>
      </c>
      <c r="AR885">
        <v>111.5929</v>
      </c>
      <c r="AS885">
        <v>127.9837</v>
      </c>
      <c r="AT885">
        <v>119.44</v>
      </c>
      <c r="AU885">
        <v>120.5729</v>
      </c>
      <c r="AV885">
        <v>389.7577</v>
      </c>
      <c r="AW885">
        <v>124.9577</v>
      </c>
      <c r="AX885">
        <v>143.53550000000001</v>
      </c>
    </row>
    <row r="886" spans="1:50" x14ac:dyDescent="0.35">
      <c r="A886" s="75">
        <v>44805</v>
      </c>
      <c r="B886">
        <v>123.8108</v>
      </c>
      <c r="C886">
        <v>124.1198</v>
      </c>
      <c r="D886">
        <v>147.7996</v>
      </c>
      <c r="E886">
        <v>120.64790000000001</v>
      </c>
      <c r="F886">
        <v>104.8348</v>
      </c>
      <c r="G886">
        <v>138.10069999999999</v>
      </c>
      <c r="H886">
        <v>115.3387</v>
      </c>
      <c r="I886">
        <v>143.33090000000001</v>
      </c>
      <c r="K886">
        <v>138.5</v>
      </c>
      <c r="L886">
        <v>121.1202</v>
      </c>
      <c r="M886">
        <v>116.4</v>
      </c>
      <c r="N886">
        <v>119.26</v>
      </c>
      <c r="O886">
        <v>117.221</v>
      </c>
      <c r="P886">
        <v>144.2244</v>
      </c>
      <c r="Q886">
        <v>121.56</v>
      </c>
      <c r="R886">
        <v>114.92</v>
      </c>
      <c r="S886">
        <v>112.74</v>
      </c>
      <c r="T886">
        <v>132.23849999999999</v>
      </c>
      <c r="U886">
        <v>120.7653</v>
      </c>
      <c r="V886">
        <v>122.3</v>
      </c>
      <c r="W886">
        <v>114.371</v>
      </c>
      <c r="X886">
        <v>143.59729999999999</v>
      </c>
      <c r="Y886">
        <v>125.29989999999999</v>
      </c>
      <c r="Z886">
        <v>144.6611</v>
      </c>
      <c r="AA886">
        <v>113.4314</v>
      </c>
      <c r="AB886">
        <v>129.80959999999999</v>
      </c>
      <c r="AC886">
        <v>107.8629</v>
      </c>
      <c r="AD886">
        <v>114.2</v>
      </c>
      <c r="AF886">
        <v>114.8313</v>
      </c>
      <c r="AG886">
        <v>147.0213</v>
      </c>
      <c r="AH886">
        <v>117</v>
      </c>
      <c r="AI886">
        <v>139.13220000000001</v>
      </c>
      <c r="AJ886">
        <v>142.11580000000001</v>
      </c>
      <c r="AK886">
        <v>126.89</v>
      </c>
      <c r="AL886">
        <v>125.6</v>
      </c>
      <c r="AM886">
        <v>127.4978</v>
      </c>
      <c r="AN886">
        <v>135.27019999999999</v>
      </c>
      <c r="AO886">
        <v>135.53110000000001</v>
      </c>
      <c r="AP886">
        <v>114.9991</v>
      </c>
      <c r="AR886">
        <v>111.8937</v>
      </c>
      <c r="AS886">
        <v>129.14609999999999</v>
      </c>
      <c r="AT886">
        <v>118.34</v>
      </c>
      <c r="AU886">
        <v>122.2962</v>
      </c>
      <c r="AV886">
        <v>401.74610000000001</v>
      </c>
      <c r="AW886">
        <v>125.2265</v>
      </c>
      <c r="AX886">
        <v>143.6705</v>
      </c>
    </row>
    <row r="887" spans="1:50" x14ac:dyDescent="0.35">
      <c r="A887" s="75">
        <v>44835</v>
      </c>
      <c r="B887">
        <v>125.00020000000001</v>
      </c>
      <c r="C887">
        <v>127.0633</v>
      </c>
      <c r="D887">
        <v>148.67179999999999</v>
      </c>
      <c r="E887">
        <v>121.517</v>
      </c>
      <c r="F887">
        <v>104.89109999999999</v>
      </c>
      <c r="G887">
        <v>138.81979999999999</v>
      </c>
      <c r="H887">
        <v>115.4502</v>
      </c>
      <c r="I887">
        <v>144.35589999999999</v>
      </c>
      <c r="K887">
        <v>136.5</v>
      </c>
      <c r="L887">
        <v>122.2204</v>
      </c>
      <c r="M887">
        <v>117.6</v>
      </c>
      <c r="N887">
        <v>121.03</v>
      </c>
      <c r="O887">
        <v>117.61499999999999</v>
      </c>
      <c r="P887">
        <v>142.63499999999999</v>
      </c>
      <c r="Q887">
        <v>123.26</v>
      </c>
      <c r="R887">
        <v>115.99</v>
      </c>
      <c r="S887">
        <v>113.9</v>
      </c>
      <c r="T887">
        <v>133.33009999999999</v>
      </c>
      <c r="U887">
        <v>121.6923</v>
      </c>
      <c r="V887">
        <v>124.3</v>
      </c>
      <c r="W887">
        <v>113.0521</v>
      </c>
      <c r="X887">
        <v>146.48410000000001</v>
      </c>
      <c r="Y887">
        <v>125.1666</v>
      </c>
      <c r="Z887">
        <v>145.98320000000001</v>
      </c>
      <c r="AA887">
        <v>115.2255</v>
      </c>
      <c r="AB887">
        <v>130.6771</v>
      </c>
      <c r="AC887">
        <v>108.46769999999999</v>
      </c>
      <c r="AD887">
        <v>118.1</v>
      </c>
      <c r="AF887">
        <v>115.1264</v>
      </c>
      <c r="AG887">
        <v>148.77969999999999</v>
      </c>
      <c r="AH887">
        <v>118.02</v>
      </c>
      <c r="AI887">
        <v>140.23570000000001</v>
      </c>
      <c r="AJ887">
        <v>142.92009999999999</v>
      </c>
      <c r="AK887">
        <v>128.25</v>
      </c>
      <c r="AL887">
        <v>126</v>
      </c>
      <c r="AM887">
        <v>128.64420000000001</v>
      </c>
      <c r="AN887">
        <v>137.38919999999999</v>
      </c>
      <c r="AO887">
        <v>137.97309999999999</v>
      </c>
      <c r="AP887">
        <v>116.4272</v>
      </c>
      <c r="AR887">
        <v>112.1114</v>
      </c>
      <c r="AS887">
        <v>130.73670000000001</v>
      </c>
      <c r="AT887">
        <v>119.24</v>
      </c>
      <c r="AU887">
        <v>122.5611</v>
      </c>
      <c r="AV887">
        <v>415.9871</v>
      </c>
      <c r="AW887">
        <v>125.73439999999999</v>
      </c>
      <c r="AX887">
        <v>144.07560000000001</v>
      </c>
    </row>
    <row r="888" spans="1:50" x14ac:dyDescent="0.35">
      <c r="A888" s="75">
        <v>44866</v>
      </c>
      <c r="B888">
        <v>125.3246</v>
      </c>
      <c r="C888">
        <v>126.7758</v>
      </c>
      <c r="D888">
        <v>149.28129999999999</v>
      </c>
      <c r="E888">
        <v>121.675</v>
      </c>
      <c r="F888">
        <v>104.8951</v>
      </c>
      <c r="G888">
        <v>140.17089999999999</v>
      </c>
      <c r="H888">
        <v>115.22709999999999</v>
      </c>
      <c r="I888">
        <v>145.47120000000001</v>
      </c>
      <c r="K888">
        <v>138.1</v>
      </c>
      <c r="L888">
        <v>121.6203</v>
      </c>
      <c r="M888">
        <v>116.6</v>
      </c>
      <c r="N888">
        <v>120.95</v>
      </c>
      <c r="O888">
        <v>117.47369999999999</v>
      </c>
      <c r="P888">
        <v>143.8655</v>
      </c>
      <c r="Q888">
        <v>123.4</v>
      </c>
      <c r="R888">
        <v>117.4</v>
      </c>
      <c r="S888">
        <v>114.26</v>
      </c>
      <c r="T888">
        <v>133.60429999999999</v>
      </c>
      <c r="U888">
        <v>121.6854</v>
      </c>
      <c r="V888">
        <v>124.8</v>
      </c>
      <c r="W888">
        <v>113.04040000000001</v>
      </c>
      <c r="X888">
        <v>149.14879999999999</v>
      </c>
      <c r="Y888">
        <v>125.27760000000001</v>
      </c>
      <c r="Z888">
        <v>145.98320000000001</v>
      </c>
      <c r="AA888">
        <v>115.6242</v>
      </c>
      <c r="AB888">
        <v>131.03550000000001</v>
      </c>
      <c r="AC888">
        <v>108.5686</v>
      </c>
      <c r="AD888">
        <v>118.7</v>
      </c>
      <c r="AF888">
        <v>115.01049999999999</v>
      </c>
      <c r="AG888">
        <v>149.38310000000001</v>
      </c>
      <c r="AH888">
        <v>117.78</v>
      </c>
      <c r="AI888">
        <v>141.82749999999999</v>
      </c>
      <c r="AJ888">
        <v>143.74260000000001</v>
      </c>
      <c r="AK888">
        <v>124.35</v>
      </c>
      <c r="AL888">
        <v>125.8</v>
      </c>
      <c r="AM888">
        <v>128.86859999999999</v>
      </c>
      <c r="AN888">
        <v>137.97730000000001</v>
      </c>
      <c r="AO888">
        <v>138.94990000000001</v>
      </c>
      <c r="AP888">
        <v>116.7247</v>
      </c>
      <c r="AR888">
        <v>112.25660000000001</v>
      </c>
      <c r="AS888">
        <v>131.96019999999999</v>
      </c>
      <c r="AT888">
        <v>120.27</v>
      </c>
      <c r="AU888">
        <v>123.80249999999999</v>
      </c>
      <c r="AV888">
        <v>427.98320000000001</v>
      </c>
      <c r="AW888">
        <v>125.6074</v>
      </c>
      <c r="AX888">
        <v>144.6157</v>
      </c>
    </row>
    <row r="889" spans="1:50" x14ac:dyDescent="0.35">
      <c r="A889" s="75">
        <v>44896</v>
      </c>
      <c r="B889">
        <v>125.54089999999999</v>
      </c>
      <c r="C889">
        <v>126.5776</v>
      </c>
      <c r="D889">
        <v>150.20679999999999</v>
      </c>
      <c r="E889">
        <v>120.9639</v>
      </c>
      <c r="F889">
        <v>104.6662</v>
      </c>
      <c r="G889">
        <v>140.57400000000001</v>
      </c>
      <c r="H889">
        <v>115.1156</v>
      </c>
      <c r="I889">
        <v>147.29750000000001</v>
      </c>
      <c r="K889">
        <v>138.1</v>
      </c>
      <c r="L889">
        <v>120.62009999999999</v>
      </c>
      <c r="M889">
        <v>115.9</v>
      </c>
      <c r="N889">
        <v>120.52</v>
      </c>
      <c r="O889">
        <v>117.6503</v>
      </c>
      <c r="P889">
        <v>143.71170000000001</v>
      </c>
      <c r="Q889">
        <v>123.18</v>
      </c>
      <c r="R889">
        <v>117.32</v>
      </c>
      <c r="S889">
        <v>114.16</v>
      </c>
      <c r="V889">
        <v>125.3</v>
      </c>
      <c r="W889">
        <v>112.4277</v>
      </c>
      <c r="X889">
        <v>152.03550000000001</v>
      </c>
      <c r="AA889">
        <v>115.42489999999999</v>
      </c>
      <c r="AB889">
        <v>131.90119999999999</v>
      </c>
      <c r="AC889">
        <v>108.871</v>
      </c>
      <c r="AD889">
        <v>119</v>
      </c>
      <c r="AF889">
        <v>115.2002</v>
      </c>
      <c r="AG889">
        <v>149.78790000000001</v>
      </c>
      <c r="AH889">
        <v>117.06</v>
      </c>
      <c r="AI889">
        <v>141.18219999999999</v>
      </c>
      <c r="AJ889">
        <v>144.29140000000001</v>
      </c>
      <c r="AK889">
        <v>124.94</v>
      </c>
      <c r="AL889">
        <v>125.9</v>
      </c>
      <c r="AO889">
        <v>139.11269999999999</v>
      </c>
      <c r="AP889">
        <v>116.37739999999999</v>
      </c>
      <c r="AR889">
        <v>112.547</v>
      </c>
      <c r="AS889">
        <v>132.20490000000001</v>
      </c>
      <c r="AT889">
        <v>120.51</v>
      </c>
      <c r="AU889">
        <v>126.3652</v>
      </c>
      <c r="AV889">
        <v>433.04489999999998</v>
      </c>
      <c r="AW889">
        <v>125.2218</v>
      </c>
      <c r="AX889">
        <v>145.1558</v>
      </c>
    </row>
    <row r="890" spans="1:50" x14ac:dyDescent="0.35">
      <c r="A890" s="75">
        <v>44927</v>
      </c>
    </row>
    <row r="891" spans="1:50" x14ac:dyDescent="0.35">
      <c r="A891" s="75">
        <v>44958</v>
      </c>
    </row>
    <row r="892" spans="1:50" x14ac:dyDescent="0.35">
      <c r="A892" s="75">
        <v>44986</v>
      </c>
    </row>
    <row r="893" spans="1:50" x14ac:dyDescent="0.35">
      <c r="A893" s="75">
        <v>45017</v>
      </c>
    </row>
    <row r="894" spans="1:50" x14ac:dyDescent="0.35">
      <c r="A894" s="75">
        <v>45047</v>
      </c>
    </row>
    <row r="895" spans="1:50" x14ac:dyDescent="0.35">
      <c r="A895" s="75">
        <v>45078</v>
      </c>
    </row>
    <row r="896" spans="1:50" x14ac:dyDescent="0.35">
      <c r="A896" s="75">
        <v>45108</v>
      </c>
    </row>
    <row r="897" spans="1:1" x14ac:dyDescent="0.35">
      <c r="A897" s="75">
        <v>45139</v>
      </c>
    </row>
    <row r="898" spans="1:1" x14ac:dyDescent="0.35">
      <c r="A898" s="75">
        <v>45170</v>
      </c>
    </row>
    <row r="899" spans="1:1" x14ac:dyDescent="0.35">
      <c r="A899" s="75">
        <v>45200</v>
      </c>
    </row>
    <row r="900" spans="1:1" x14ac:dyDescent="0.35">
      <c r="A900" s="75">
        <v>45231</v>
      </c>
    </row>
    <row r="901" spans="1:1" x14ac:dyDescent="0.35">
      <c r="A901" s="75">
        <v>45261</v>
      </c>
    </row>
    <row r="902" spans="1:1" x14ac:dyDescent="0.35">
      <c r="A902" s="75">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902"/>
  <sheetViews>
    <sheetView zoomScale="120" zoomScaleNormal="120" workbookViewId="0">
      <pane xSplit="1" ySplit="1" topLeftCell="B875" activePane="bottomRight" state="frozen"/>
      <selection activeCell="T26" sqref="T26"/>
      <selection pane="topRight" activeCell="T26" sqref="T26"/>
      <selection pane="bottomLeft" activeCell="T26" sqref="T26"/>
      <selection pane="bottomRight" activeCell="T26" sqref="T26"/>
    </sheetView>
  </sheetViews>
  <sheetFormatPr defaultColWidth="9.1796875" defaultRowHeight="14.5" x14ac:dyDescent="0.35"/>
  <cols>
    <col min="1" max="1" width="11.1796875" style="72" customWidth="1"/>
    <col min="2" max="4" width="9.1796875" style="72" customWidth="1"/>
    <col min="5" max="5" width="10.6328125" style="72" bestFit="1" customWidth="1"/>
    <col min="6" max="29" width="9.1796875" style="72" customWidth="1"/>
    <col min="30"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35">
      <c r="A3" s="75">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35">
      <c r="A4" s="75">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35">
      <c r="A5" s="75">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35">
      <c r="A6" s="75">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35">
      <c r="A7" s="75">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35">
      <c r="A8" s="75">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35">
      <c r="A9" s="75">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35">
      <c r="A10" s="75">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35">
      <c r="A11" s="75">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35">
      <c r="A12" s="75">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35">
      <c r="A13" s="75">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35">
      <c r="A14" s="75">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35">
      <c r="A15" s="75">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35">
      <c r="A16" s="75">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35">
      <c r="A17" s="75">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35">
      <c r="A18" s="75">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35">
      <c r="A19" s="75">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35">
      <c r="A20" s="75">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35">
      <c r="A21" s="75">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35">
      <c r="A22" s="75">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35">
      <c r="A23" s="75">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35">
      <c r="A24" s="75">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35">
      <c r="A25" s="75">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35">
      <c r="A26" s="75">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35">
      <c r="A27" s="75">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35">
      <c r="A28" s="75">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35">
      <c r="A29" s="75">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35">
      <c r="A30" s="75">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35">
      <c r="A31" s="75">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35">
      <c r="A32" s="75">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35">
      <c r="A33" s="75">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35">
      <c r="A34" s="75">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35">
      <c r="A35" s="75">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35">
      <c r="A36" s="75">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35">
      <c r="A37" s="75">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35">
      <c r="A38" s="75">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35">
      <c r="A39" s="75">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35">
      <c r="A40" s="75">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35">
      <c r="A41" s="75">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35">
      <c r="A42" s="75">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35">
      <c r="A43" s="75">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35">
      <c r="A44" s="75">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35">
      <c r="A45" s="75">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35">
      <c r="A46" s="75">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35">
      <c r="A47" s="75">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35">
      <c r="A48" s="75">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35">
      <c r="A49" s="75">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35">
      <c r="A50" s="75">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35">
      <c r="A51" s="75">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35">
      <c r="A52" s="75">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35">
      <c r="A53" s="75">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35">
      <c r="A54" s="75">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35">
      <c r="A55" s="75">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35">
      <c r="A56" s="75">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35">
      <c r="A57" s="75">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35">
      <c r="A58" s="75">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35">
      <c r="A59" s="75">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35">
      <c r="A60" s="75">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35">
      <c r="A61" s="75">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35">
      <c r="A62" s="75">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35">
      <c r="A63" s="75">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35">
      <c r="A64" s="75">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35">
      <c r="A65" s="75">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35">
      <c r="A66" s="75">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35">
      <c r="A67" s="75">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35">
      <c r="A68" s="75">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35">
      <c r="A69" s="75">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35">
      <c r="A70" s="75">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35">
      <c r="A71" s="75">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35">
      <c r="A72" s="75">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35">
      <c r="A73" s="75">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35">
      <c r="A74" s="75">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35">
      <c r="A75" s="75">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35">
      <c r="A76" s="75">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35">
      <c r="A77" s="75">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35">
      <c r="A78" s="75">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35">
      <c r="A79" s="75">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35">
      <c r="A80" s="75">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35">
      <c r="A81" s="75">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35">
      <c r="A82" s="75">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35">
      <c r="A83" s="75">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35">
      <c r="A84" s="75">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35">
      <c r="A85" s="75">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35">
      <c r="A86" s="75">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35">
      <c r="A87" s="75">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35">
      <c r="A88" s="75">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35">
      <c r="A89" s="75">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35">
      <c r="A90" s="75">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35">
      <c r="A91" s="75">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35">
      <c r="A92" s="75">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35">
      <c r="A93" s="75">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35">
      <c r="A94" s="75">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35">
      <c r="A95" s="75">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35">
      <c r="A96" s="75">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35">
      <c r="A97" s="75">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35">
      <c r="A98" s="75">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35">
      <c r="A99" s="75">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35">
      <c r="A100" s="75">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35">
      <c r="A101" s="75">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35">
      <c r="A102" s="75">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35">
      <c r="A103" s="75">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35">
      <c r="A104" s="75">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35">
      <c r="A105" s="75">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35">
      <c r="A106" s="75">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35">
      <c r="A107" s="75">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35">
      <c r="A108" s="75">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35">
      <c r="A109" s="75">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35">
      <c r="A110" s="75">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35">
      <c r="A111" s="75">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35">
      <c r="A112" s="75">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35">
      <c r="A113" s="75">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35">
      <c r="A114" s="75">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35">
      <c r="A115" s="75">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35">
      <c r="A116" s="75">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35">
      <c r="A117" s="75">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35">
      <c r="A118" s="75">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35">
      <c r="A119" s="75">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35">
      <c r="A120" s="75">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35">
      <c r="A121" s="75">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35">
      <c r="A122" s="75">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35">
      <c r="A123" s="75">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35">
      <c r="A124" s="75">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35">
      <c r="A125" s="75">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35">
      <c r="A126" s="75">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35">
      <c r="A127" s="75">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35">
      <c r="A128" s="75">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35">
      <c r="A129" s="75">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35">
      <c r="A130" s="75">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35">
      <c r="A131" s="75">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35">
      <c r="A132" s="75">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35">
      <c r="A133" s="75">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35">
      <c r="A134" s="75">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35">
      <c r="A135" s="75">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35">
      <c r="A136" s="75">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35">
      <c r="A137" s="75">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35">
      <c r="A138" s="75">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35">
      <c r="A139" s="75">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35">
      <c r="A140" s="75">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35">
      <c r="A141" s="75">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35">
      <c r="A142" s="75">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35">
      <c r="A143" s="75">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35">
      <c r="A144" s="75">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35">
      <c r="A145" s="75">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35">
      <c r="A146" s="75">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35">
      <c r="A147" s="75">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35">
      <c r="A148" s="75">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35">
      <c r="A149" s="75">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35">
      <c r="A150" s="75">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35">
      <c r="A151" s="75">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35">
      <c r="A152" s="75">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35">
      <c r="A153" s="75">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35">
      <c r="A154" s="75">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35">
      <c r="A155" s="75">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35">
      <c r="A156" s="75">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35">
      <c r="A157" s="75">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35">
      <c r="A158" s="75">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35">
      <c r="A159" s="75">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35">
      <c r="A160" s="75">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35">
      <c r="A161" s="75">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35">
      <c r="A162" s="75">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35">
      <c r="A163" s="75">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35">
      <c r="A164" s="75">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35">
      <c r="A165" s="75">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35">
      <c r="A166" s="75">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35">
      <c r="A167" s="75">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35">
      <c r="A168" s="75">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35">
      <c r="A169" s="75">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35">
      <c r="A170" s="75">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35">
      <c r="A171" s="75">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35">
      <c r="A172" s="75">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35">
      <c r="A173" s="75">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35">
      <c r="A174" s="75">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35">
      <c r="A175" s="75">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35">
      <c r="A176" s="75">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35">
      <c r="A177" s="75">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35">
      <c r="A178" s="75">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35">
      <c r="A179" s="75">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35">
      <c r="A180" s="75">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35">
      <c r="A181" s="75">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35">
      <c r="A182" s="75">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35">
      <c r="A183" s="75">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35">
      <c r="A184" s="75">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35">
      <c r="A185" s="75">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35">
      <c r="A186" s="75">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35">
      <c r="A187" s="75">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35">
      <c r="A188" s="75">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35">
      <c r="A189" s="75">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35">
      <c r="A190" s="75">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35">
      <c r="A191" s="75">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35">
      <c r="A192" s="75">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35">
      <c r="A193" s="75">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35">
      <c r="A194" s="75">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35">
      <c r="A195" s="75">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35">
      <c r="A196" s="75">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35">
      <c r="A197" s="75">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35">
      <c r="A198" s="75">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35">
      <c r="A199" s="75">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35">
      <c r="A200" s="75">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35">
      <c r="A201" s="75">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35">
      <c r="A202" s="75">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35">
      <c r="A203" s="75">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35">
      <c r="A204" s="75">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35">
      <c r="A205" s="75">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35">
      <c r="A206" s="75">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35">
      <c r="A207" s="75">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35">
      <c r="A208" s="75">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35">
      <c r="A209" s="75">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35">
      <c r="A210" s="75">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35">
      <c r="A211" s="75">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35">
      <c r="A212" s="75">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35">
      <c r="A213" s="75">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35">
      <c r="A214" s="75">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35">
      <c r="A215" s="75">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35">
      <c r="A216" s="75">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35">
      <c r="A217" s="75">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35">
      <c r="A218" s="75">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35">
      <c r="A219" s="75">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35">
      <c r="A220" s="75">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35">
      <c r="A221" s="75">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35">
      <c r="A222" s="75">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35">
      <c r="A223" s="75">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35">
      <c r="A224" s="75">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35">
      <c r="A225" s="75">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35">
      <c r="A226" s="75">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35">
      <c r="A227" s="75">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35">
      <c r="A228" s="75">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35">
      <c r="A229" s="75">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35">
      <c r="A230" s="75">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35">
      <c r="A231" s="75">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35">
      <c r="A232" s="75">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35">
      <c r="A233" s="75">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35">
      <c r="A234" s="75">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35">
      <c r="A235" s="75">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35">
      <c r="A236" s="75">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35">
      <c r="A237" s="75">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35">
      <c r="A238" s="75">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35">
      <c r="A239" s="75">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35">
      <c r="A240" s="75">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35">
      <c r="A241" s="75">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35">
      <c r="A242" s="75">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35">
      <c r="A243" s="75">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35">
      <c r="A244" s="75">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35">
      <c r="A245" s="75">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35">
      <c r="A246" s="75">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35">
      <c r="A247" s="75">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35">
      <c r="A248" s="75">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35">
      <c r="A249" s="75">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35">
      <c r="A250" s="75">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35">
      <c r="A251" s="75">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35">
      <c r="A252" s="75">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35">
      <c r="A253" s="75">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35">
      <c r="A254" s="75">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16.47776</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7.2973759999999999</v>
      </c>
      <c r="AN254">
        <v>5.3068580000000001</v>
      </c>
      <c r="AO254"/>
      <c r="AP254">
        <v>1.5384100000000001</v>
      </c>
      <c r="AQ254"/>
      <c r="AR254"/>
      <c r="AS254"/>
      <c r="AT254"/>
      <c r="AU254">
        <v>14.10826</v>
      </c>
      <c r="AV254"/>
      <c r="AW254">
        <v>16.346979999999999</v>
      </c>
      <c r="AX254"/>
    </row>
    <row r="255" spans="1:50" x14ac:dyDescent="0.35">
      <c r="A255" s="75">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16.535509999999999</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7.3231950000000001</v>
      </c>
      <c r="AN255">
        <v>5.3314370000000002</v>
      </c>
      <c r="AO255"/>
      <c r="AP255">
        <v>1.5151969999999999</v>
      </c>
      <c r="AQ255"/>
      <c r="AR255"/>
      <c r="AS255"/>
      <c r="AT255"/>
      <c r="AU255">
        <v>14.31235</v>
      </c>
      <c r="AV255"/>
      <c r="AW255">
        <v>16.429549999999999</v>
      </c>
      <c r="AX255"/>
    </row>
    <row r="256" spans="1:50" x14ac:dyDescent="0.35">
      <c r="A256" s="75">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16.643439999999998</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7.3703519999999996</v>
      </c>
      <c r="AN256">
        <v>5.3540159999999997</v>
      </c>
      <c r="AO256"/>
      <c r="AP256">
        <v>1.545093</v>
      </c>
      <c r="AQ256"/>
      <c r="AR256"/>
      <c r="AS256"/>
      <c r="AT256"/>
      <c r="AU256">
        <v>14.395210000000001</v>
      </c>
      <c r="AV256"/>
      <c r="AW256">
        <v>16.55339</v>
      </c>
      <c r="AX256"/>
    </row>
    <row r="257" spans="1:50" x14ac:dyDescent="0.35">
      <c r="A257" s="75">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16.739239999999999</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7.4121360000000003</v>
      </c>
      <c r="AN257">
        <v>5.3787719999999997</v>
      </c>
      <c r="AO257"/>
      <c r="AP257">
        <v>1.540006</v>
      </c>
      <c r="AQ257"/>
      <c r="AR257"/>
      <c r="AS257"/>
      <c r="AT257"/>
      <c r="AU257">
        <v>14.41994</v>
      </c>
      <c r="AV257"/>
      <c r="AW257">
        <v>16.635950000000001</v>
      </c>
      <c r="AX257"/>
    </row>
    <row r="258" spans="1:50" x14ac:dyDescent="0.35">
      <c r="A258" s="75">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16.802340000000001</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7.4403189999999997</v>
      </c>
      <c r="AN258">
        <v>5.3903879999999997</v>
      </c>
      <c r="AO258"/>
      <c r="AP258">
        <v>1.5261659999999999</v>
      </c>
      <c r="AQ258"/>
      <c r="AR258"/>
      <c r="AS258"/>
      <c r="AT258"/>
      <c r="AU258">
        <v>14.467040000000001</v>
      </c>
      <c r="AV258"/>
      <c r="AW258">
        <v>16.718509999999998</v>
      </c>
      <c r="AX258"/>
    </row>
    <row r="259" spans="1:50" x14ac:dyDescent="0.35">
      <c r="A259" s="75">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16.887440000000002</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7.4763970000000004</v>
      </c>
      <c r="AN259">
        <v>5.4005549999999998</v>
      </c>
      <c r="AO259"/>
      <c r="AP259">
        <v>1.5540909999999999</v>
      </c>
      <c r="AQ259"/>
      <c r="AR259"/>
      <c r="AS259"/>
      <c r="AT259"/>
      <c r="AU259">
        <v>14.51742</v>
      </c>
      <c r="AV259"/>
      <c r="AW259">
        <v>16.84235</v>
      </c>
      <c r="AX259"/>
    </row>
    <row r="260" spans="1:50" x14ac:dyDescent="0.35">
      <c r="A260" s="75">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16.926290000000002</v>
      </c>
      <c r="V260">
        <v>9.3133590000000002</v>
      </c>
      <c r="W260">
        <v>1.4257299999999999</v>
      </c>
      <c r="X260"/>
      <c r="Y260"/>
      <c r="Z260"/>
      <c r="AA260"/>
      <c r="AB260"/>
      <c r="AC260">
        <v>1.530848E-3</v>
      </c>
      <c r="AD260">
        <v>5.5291480000000002</v>
      </c>
      <c r="AE260">
        <v>31.73874</v>
      </c>
      <c r="AF260"/>
      <c r="AG260"/>
      <c r="AH260">
        <v>20.20815</v>
      </c>
      <c r="AI260"/>
      <c r="AJ260"/>
      <c r="AK260">
        <v>21.6127</v>
      </c>
      <c r="AL260"/>
      <c r="AM260">
        <v>7.494186</v>
      </c>
      <c r="AN260">
        <v>5.4059119999999998</v>
      </c>
      <c r="AO260"/>
      <c r="AP260">
        <v>1.5696049999999999</v>
      </c>
      <c r="AQ260"/>
      <c r="AR260"/>
      <c r="AS260"/>
      <c r="AT260"/>
      <c r="AU260">
        <v>14.59829</v>
      </c>
      <c r="AV260"/>
      <c r="AW260">
        <v>16.88363</v>
      </c>
      <c r="AX260"/>
    </row>
    <row r="261" spans="1:50" x14ac:dyDescent="0.35">
      <c r="A261" s="75">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16.94828</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7.5053770000000002</v>
      </c>
      <c r="AN261">
        <v>5.4135720000000003</v>
      </c>
      <c r="AO261"/>
      <c r="AP261">
        <v>1.586203</v>
      </c>
      <c r="AQ261"/>
      <c r="AR261"/>
      <c r="AS261"/>
      <c r="AT261"/>
      <c r="AU261">
        <v>14.65879</v>
      </c>
      <c r="AV261"/>
      <c r="AW261">
        <v>16.924910000000001</v>
      </c>
      <c r="AX261"/>
    </row>
    <row r="262" spans="1:50" x14ac:dyDescent="0.35">
      <c r="A262" s="75">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17.06514</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7.5567149999999996</v>
      </c>
      <c r="AN262">
        <v>5.4386010000000002</v>
      </c>
      <c r="AO262"/>
      <c r="AP262">
        <v>1.60782</v>
      </c>
      <c r="AQ262"/>
      <c r="AR262"/>
      <c r="AS262"/>
      <c r="AT262"/>
      <c r="AU262">
        <v>14.700240000000001</v>
      </c>
      <c r="AV262"/>
      <c r="AW262">
        <v>17.048749999999998</v>
      </c>
      <c r="AX262"/>
    </row>
    <row r="263" spans="1:50" x14ac:dyDescent="0.35">
      <c r="A263" s="75">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17.189710000000002</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7.6119339999999998</v>
      </c>
      <c r="AN263">
        <v>5.4644240000000002</v>
      </c>
      <c r="AO263"/>
      <c r="AP263">
        <v>1.6119479999999999</v>
      </c>
      <c r="AQ263"/>
      <c r="AR263"/>
      <c r="AS263"/>
      <c r="AT263"/>
      <c r="AU263">
        <v>14.78758</v>
      </c>
      <c r="AV263"/>
      <c r="AW263">
        <v>17.17259</v>
      </c>
      <c r="AX263"/>
    </row>
    <row r="264" spans="1:50" x14ac:dyDescent="0.35">
      <c r="A264" s="75">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17.290859999999999</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7.6564750000000004</v>
      </c>
      <c r="AN264">
        <v>5.4958200000000001</v>
      </c>
      <c r="AO264"/>
      <c r="AP264">
        <v>1.6237600000000001</v>
      </c>
      <c r="AQ264"/>
      <c r="AR264"/>
      <c r="AS264"/>
      <c r="AT264"/>
      <c r="AU264">
        <v>14.86018</v>
      </c>
      <c r="AV264"/>
      <c r="AW264">
        <v>17.296430000000001</v>
      </c>
      <c r="AX264"/>
    </row>
    <row r="265" spans="1:50" x14ac:dyDescent="0.35">
      <c r="A265" s="75">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17.374009999999998</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7.6922879999999996</v>
      </c>
      <c r="AN265">
        <v>5.5229609999999996</v>
      </c>
      <c r="AO265"/>
      <c r="AP265">
        <v>1.6341950000000001</v>
      </c>
      <c r="AQ265"/>
      <c r="AR265"/>
      <c r="AS265"/>
      <c r="AT265"/>
      <c r="AU265">
        <v>14.982519999999999</v>
      </c>
      <c r="AV265"/>
      <c r="AW265">
        <v>17.378990000000002</v>
      </c>
      <c r="AX265"/>
    </row>
    <row r="266" spans="1:50" x14ac:dyDescent="0.35">
      <c r="A266" s="75">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17.452909999999999</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7.73698</v>
      </c>
      <c r="AN266">
        <v>5.5747210000000003</v>
      </c>
      <c r="AO266"/>
      <c r="AP266">
        <v>1.6659280000000001</v>
      </c>
      <c r="AQ266"/>
      <c r="AR266"/>
      <c r="AS266"/>
      <c r="AT266"/>
      <c r="AU266">
        <v>15.400069999999999</v>
      </c>
      <c r="AV266"/>
      <c r="AW266">
        <v>17.378990000000002</v>
      </c>
      <c r="AX266"/>
    </row>
    <row r="267" spans="1:50" x14ac:dyDescent="0.35">
      <c r="A267" s="75">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17.490600000000001</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7.7603289999999996</v>
      </c>
      <c r="AN267">
        <v>5.609286</v>
      </c>
      <c r="AO267"/>
      <c r="AP267">
        <v>1.6911350000000001</v>
      </c>
      <c r="AQ267"/>
      <c r="AR267"/>
      <c r="AS267"/>
      <c r="AT267"/>
      <c r="AU267">
        <v>15.414709999999999</v>
      </c>
      <c r="AV267"/>
      <c r="AW267">
        <v>17.378990000000002</v>
      </c>
      <c r="AX267"/>
    </row>
    <row r="268" spans="1:50" x14ac:dyDescent="0.35">
      <c r="A268" s="75">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17.54964</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7.7914979999999998</v>
      </c>
      <c r="AN268">
        <v>5.6396449999999998</v>
      </c>
      <c r="AO268"/>
      <c r="AP268">
        <v>1.7295199999999999</v>
      </c>
      <c r="AQ268"/>
      <c r="AR268"/>
      <c r="AS268"/>
      <c r="AT268"/>
      <c r="AU268">
        <v>15.44994</v>
      </c>
      <c r="AV268"/>
      <c r="AW268">
        <v>17.420269999999999</v>
      </c>
      <c r="AX268"/>
    </row>
    <row r="269" spans="1:50" x14ac:dyDescent="0.35">
      <c r="A269" s="75">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17.66272</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7.846279</v>
      </c>
      <c r="AN269">
        <v>5.6930170000000002</v>
      </c>
      <c r="AO269"/>
      <c r="AP269">
        <v>1.7660229999999999</v>
      </c>
      <c r="AQ269"/>
      <c r="AR269"/>
      <c r="AS269"/>
      <c r="AT269"/>
      <c r="AU269">
        <v>15.4154</v>
      </c>
      <c r="AV269"/>
      <c r="AW269">
        <v>17.461549999999999</v>
      </c>
      <c r="AX269"/>
    </row>
    <row r="270" spans="1:50" x14ac:dyDescent="0.35">
      <c r="A270" s="75">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17.767109999999999</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7.8922689999999998</v>
      </c>
      <c r="AN270">
        <v>5.7272080000000001</v>
      </c>
      <c r="AO270"/>
      <c r="AP270">
        <v>1.780675</v>
      </c>
      <c r="AQ270"/>
      <c r="AR270"/>
      <c r="AS270"/>
      <c r="AT270"/>
      <c r="AU270">
        <v>15.368790000000001</v>
      </c>
      <c r="AV270"/>
      <c r="AW270">
        <v>17.58539</v>
      </c>
      <c r="AX270"/>
    </row>
    <row r="271" spans="1:50" x14ac:dyDescent="0.35">
      <c r="A271" s="75">
        <v>26085</v>
      </c>
      <c r="B271">
        <v>22.67521</v>
      </c>
      <c r="C271"/>
      <c r="D271"/>
      <c r="E271">
        <v>17.748799999999999</v>
      </c>
      <c r="F271">
        <v>35.35107</v>
      </c>
      <c r="G271"/>
      <c r="H271"/>
      <c r="I271"/>
      <c r="J271"/>
      <c r="K271"/>
      <c r="L271">
        <v>31.756989999999998</v>
      </c>
      <c r="M271">
        <v>15.12612</v>
      </c>
      <c r="N271"/>
      <c r="O271"/>
      <c r="P271"/>
      <c r="Q271"/>
      <c r="R271">
        <v>13.00761</v>
      </c>
      <c r="S271">
        <v>16.0657</v>
      </c>
      <c r="T271"/>
      <c r="U271">
        <v>17.84122</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7.9232170000000002</v>
      </c>
      <c r="AN271">
        <v>5.746556</v>
      </c>
      <c r="AO271"/>
      <c r="AP271">
        <v>1.7986930000000001</v>
      </c>
      <c r="AQ271"/>
      <c r="AR271"/>
      <c r="AS271"/>
      <c r="AT271"/>
      <c r="AU271">
        <v>15.41699</v>
      </c>
      <c r="AV271"/>
      <c r="AW271">
        <v>17.667950000000001</v>
      </c>
      <c r="AX271"/>
    </row>
    <row r="272" spans="1:50" x14ac:dyDescent="0.35">
      <c r="A272" s="75">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17.903839999999999</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7.9664910000000004</v>
      </c>
      <c r="AN272">
        <v>5.7907489999999999</v>
      </c>
      <c r="AO272"/>
      <c r="AP272">
        <v>1.80063</v>
      </c>
      <c r="AQ272"/>
      <c r="AR272"/>
      <c r="AS272"/>
      <c r="AT272"/>
      <c r="AU272">
        <v>15.47099</v>
      </c>
      <c r="AV272"/>
      <c r="AW272">
        <v>17.709230000000002</v>
      </c>
      <c r="AX272"/>
    </row>
    <row r="273" spans="1:50" x14ac:dyDescent="0.35">
      <c r="A273" s="75">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17.92088</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7.9852030000000003</v>
      </c>
      <c r="AN273">
        <v>5.8133980000000003</v>
      </c>
      <c r="AO273"/>
      <c r="AP273">
        <v>1.803698</v>
      </c>
      <c r="AQ273"/>
      <c r="AR273"/>
      <c r="AS273"/>
      <c r="AT273"/>
      <c r="AU273">
        <v>15.64955</v>
      </c>
      <c r="AV273"/>
      <c r="AW273">
        <v>17.709230000000002</v>
      </c>
      <c r="AX273"/>
    </row>
    <row r="274" spans="1:50" x14ac:dyDescent="0.35">
      <c r="A274" s="75">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18.007809999999999</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8.0293980000000005</v>
      </c>
      <c r="AN274">
        <v>5.8465249999999997</v>
      </c>
      <c r="AO274"/>
      <c r="AP274">
        <v>1.8679950000000001</v>
      </c>
      <c r="AQ274"/>
      <c r="AR274"/>
      <c r="AS274"/>
      <c r="AT274"/>
      <c r="AU274">
        <v>15.647729999999999</v>
      </c>
      <c r="AV274"/>
      <c r="AW274">
        <v>17.791789999999999</v>
      </c>
      <c r="AX274"/>
    </row>
    <row r="275" spans="1:50" x14ac:dyDescent="0.35">
      <c r="A275" s="75">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18.076509999999999</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8.0682930000000006</v>
      </c>
      <c r="AN275">
        <v>5.8848339999999997</v>
      </c>
      <c r="AO275"/>
      <c r="AP275">
        <v>1.9013500000000001</v>
      </c>
      <c r="AQ275"/>
      <c r="AR275"/>
      <c r="AS275"/>
      <c r="AT275"/>
      <c r="AU275">
        <v>15.843220000000001</v>
      </c>
      <c r="AV275"/>
      <c r="AW275">
        <v>17.833069999999999</v>
      </c>
      <c r="AX275"/>
    </row>
    <row r="276" spans="1:50" x14ac:dyDescent="0.35">
      <c r="A276" s="75">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18.116910000000001</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8.0946709999999999</v>
      </c>
      <c r="AN276">
        <v>5.9170790000000002</v>
      </c>
      <c r="AO276"/>
      <c r="AP276">
        <v>1.9598990000000001</v>
      </c>
      <c r="AQ276"/>
      <c r="AR276"/>
      <c r="AS276"/>
      <c r="AT276"/>
      <c r="AU276">
        <v>15.816409999999999</v>
      </c>
      <c r="AV276"/>
      <c r="AW276">
        <v>17.874359999999999</v>
      </c>
      <c r="AX276"/>
    </row>
    <row r="277" spans="1:50" x14ac:dyDescent="0.35">
      <c r="A277" s="75">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18.165089999999999</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8.1172620000000002</v>
      </c>
      <c r="AN277">
        <v>5.9370909999999997</v>
      </c>
      <c r="AO277"/>
      <c r="AP277">
        <v>1.908075</v>
      </c>
      <c r="AQ277"/>
      <c r="AR277"/>
      <c r="AS277"/>
      <c r="AT277"/>
      <c r="AU277">
        <v>15.98739</v>
      </c>
      <c r="AV277"/>
      <c r="AW277">
        <v>17.91564</v>
      </c>
      <c r="AX277"/>
    </row>
    <row r="278" spans="1:50" x14ac:dyDescent="0.35">
      <c r="A278" s="75">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18.21311</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8.1437849999999994</v>
      </c>
      <c r="AN278">
        <v>5.9719569999999997</v>
      </c>
      <c r="AO278"/>
      <c r="AP278">
        <v>1.9283360000000001</v>
      </c>
      <c r="AQ278"/>
      <c r="AR278"/>
      <c r="AS278"/>
      <c r="AT278"/>
      <c r="AU278">
        <v>16.114339999999999</v>
      </c>
      <c r="AV278"/>
      <c r="AW278">
        <v>17.91564</v>
      </c>
      <c r="AX278"/>
    </row>
    <row r="279" spans="1:50" x14ac:dyDescent="0.35">
      <c r="A279" s="75">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18.284579999999998</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8.1766009999999998</v>
      </c>
      <c r="AN279">
        <v>5.999676</v>
      </c>
      <c r="AO279"/>
      <c r="AP279">
        <v>1.9702120000000001</v>
      </c>
      <c r="AQ279"/>
      <c r="AR279"/>
      <c r="AS279"/>
      <c r="AT279"/>
      <c r="AU279">
        <v>16.169170000000001</v>
      </c>
      <c r="AV279"/>
      <c r="AW279">
        <v>17.956910000000001</v>
      </c>
      <c r="AX279"/>
    </row>
    <row r="280" spans="1:50" x14ac:dyDescent="0.35">
      <c r="A280" s="75">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18.353480000000001</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8.2138039999999997</v>
      </c>
      <c r="AN280">
        <v>6.0337259999999997</v>
      </c>
      <c r="AO280"/>
      <c r="AP280">
        <v>1.973101</v>
      </c>
      <c r="AQ280"/>
      <c r="AR280"/>
      <c r="AS280"/>
      <c r="AT280"/>
      <c r="AU280">
        <v>16.232620000000001</v>
      </c>
      <c r="AV280"/>
      <c r="AW280">
        <v>17.998200000000001</v>
      </c>
      <c r="AX280"/>
    </row>
    <row r="281" spans="1:50" x14ac:dyDescent="0.35">
      <c r="A281" s="75">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18.438559999999999</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8.2565570000000008</v>
      </c>
      <c r="AN281">
        <v>6.0694419999999996</v>
      </c>
      <c r="AO281"/>
      <c r="AP281">
        <v>1.972262</v>
      </c>
      <c r="AQ281"/>
      <c r="AR281"/>
      <c r="AS281"/>
      <c r="AT281"/>
      <c r="AU281">
        <v>16.269259999999999</v>
      </c>
      <c r="AV281"/>
      <c r="AW281">
        <v>18.039480000000001</v>
      </c>
      <c r="AX281"/>
    </row>
    <row r="282" spans="1:50" x14ac:dyDescent="0.35">
      <c r="A282" s="75">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18.516089999999998</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8.2926719999999996</v>
      </c>
      <c r="AN282">
        <v>6.097099</v>
      </c>
      <c r="AO282"/>
      <c r="AP282">
        <v>2.0095329999999998</v>
      </c>
      <c r="AQ282"/>
      <c r="AR282"/>
      <c r="AS282"/>
      <c r="AT282"/>
      <c r="AU282">
        <v>16.363330000000001</v>
      </c>
      <c r="AV282"/>
      <c r="AW282">
        <v>18.122039999999998</v>
      </c>
      <c r="AX282"/>
    </row>
    <row r="283" spans="1:50" x14ac:dyDescent="0.35">
      <c r="A283" s="75">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18.572040000000001</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8.3262199999999993</v>
      </c>
      <c r="AN283">
        <v>6.134309</v>
      </c>
      <c r="AO283"/>
      <c r="AP283">
        <v>1.9842470000000001</v>
      </c>
      <c r="AQ283"/>
      <c r="AR283"/>
      <c r="AS283"/>
      <c r="AT283"/>
      <c r="AU283">
        <v>16.445399999999999</v>
      </c>
      <c r="AV283"/>
      <c r="AW283">
        <v>18.163319999999999</v>
      </c>
      <c r="AX283"/>
    </row>
    <row r="284" spans="1:50" x14ac:dyDescent="0.35">
      <c r="A284" s="75">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18.650079999999999</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8.3675010000000007</v>
      </c>
      <c r="AN284">
        <v>6.1750910000000001</v>
      </c>
      <c r="AO284"/>
      <c r="AP284">
        <v>2.0218759999999998</v>
      </c>
      <c r="AQ284"/>
      <c r="AR284"/>
      <c r="AS284"/>
      <c r="AT284"/>
      <c r="AU284">
        <v>16.518360000000001</v>
      </c>
      <c r="AV284"/>
      <c r="AW284">
        <v>18.204599999999999</v>
      </c>
      <c r="AX284"/>
    </row>
    <row r="285" spans="1:50" x14ac:dyDescent="0.35">
      <c r="A285" s="75">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18.725650000000002</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8.4000219999999999</v>
      </c>
      <c r="AN285">
        <v>6.1947340000000004</v>
      </c>
      <c r="AO285"/>
      <c r="AP285">
        <v>2.0144139999999999</v>
      </c>
      <c r="AQ285"/>
      <c r="AR285"/>
      <c r="AS285"/>
      <c r="AT285"/>
      <c r="AU285">
        <v>16.567679999999999</v>
      </c>
      <c r="AV285"/>
      <c r="AW285">
        <v>18.28716</v>
      </c>
      <c r="AX285"/>
    </row>
    <row r="286" spans="1:50" x14ac:dyDescent="0.35">
      <c r="A286" s="75">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18.792100000000001</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8.4353350000000002</v>
      </c>
      <c r="AN286">
        <v>6.2411209999999997</v>
      </c>
      <c r="AO286"/>
      <c r="AP286">
        <v>2.06162</v>
      </c>
      <c r="AQ286"/>
      <c r="AR286"/>
      <c r="AS286"/>
      <c r="AT286"/>
      <c r="AU286">
        <v>16.621960000000001</v>
      </c>
      <c r="AV286"/>
      <c r="AW286">
        <v>18.28716</v>
      </c>
      <c r="AX286"/>
    </row>
    <row r="287" spans="1:50" x14ac:dyDescent="0.35">
      <c r="A287" s="75">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18.90887</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8.4875910000000001</v>
      </c>
      <c r="AN287">
        <v>6.2952079999999997</v>
      </c>
      <c r="AO287"/>
      <c r="AP287">
        <v>2.0710769999999998</v>
      </c>
      <c r="AQ287"/>
      <c r="AR287"/>
      <c r="AS287"/>
      <c r="AT287"/>
      <c r="AU287">
        <v>16.683720000000001</v>
      </c>
      <c r="AV287"/>
      <c r="AW287">
        <v>18.369720000000001</v>
      </c>
      <c r="AX287"/>
    </row>
    <row r="288" spans="1:50" x14ac:dyDescent="0.35">
      <c r="A288" s="75">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18.972460000000002</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8.5164170000000006</v>
      </c>
      <c r="AN288">
        <v>6.3305449999999999</v>
      </c>
      <c r="AO288"/>
      <c r="AP288">
        <v>2.0988739999999999</v>
      </c>
      <c r="AQ288"/>
      <c r="AR288"/>
      <c r="AS288"/>
      <c r="AT288"/>
      <c r="AU288">
        <v>16.698229999999999</v>
      </c>
      <c r="AV288"/>
      <c r="AW288">
        <v>18.411000000000001</v>
      </c>
      <c r="AX288"/>
    </row>
    <row r="289" spans="1:50" x14ac:dyDescent="0.35">
      <c r="A289" s="75">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19.041899999999998</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8.5503649999999993</v>
      </c>
      <c r="AN289">
        <v>6.3597229999999998</v>
      </c>
      <c r="AO289"/>
      <c r="AP289">
        <v>2.1178560000000002</v>
      </c>
      <c r="AQ289"/>
      <c r="AR289"/>
      <c r="AS289"/>
      <c r="AT289"/>
      <c r="AU289">
        <v>16.962209999999999</v>
      </c>
      <c r="AV289"/>
      <c r="AW289">
        <v>18.452279999999998</v>
      </c>
      <c r="AX289"/>
    </row>
    <row r="290" spans="1:50" x14ac:dyDescent="0.35">
      <c r="A290" s="75">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19.087050000000001</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8.5825510000000005</v>
      </c>
      <c r="AN290">
        <v>6.4033040000000003</v>
      </c>
      <c r="AO290"/>
      <c r="AP290">
        <v>2.1601140000000001</v>
      </c>
      <c r="AQ290"/>
      <c r="AR290"/>
      <c r="AS290"/>
      <c r="AT290"/>
      <c r="AU290">
        <v>17.02928</v>
      </c>
      <c r="AV290"/>
      <c r="AW290">
        <v>18.411000000000001</v>
      </c>
      <c r="AX290"/>
    </row>
    <row r="291" spans="1:50" x14ac:dyDescent="0.35">
      <c r="A291" s="75">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19.16628</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8.6208310000000008</v>
      </c>
      <c r="AN291">
        <v>6.4409789999999996</v>
      </c>
      <c r="AO291"/>
      <c r="AP291">
        <v>2.246251</v>
      </c>
      <c r="AQ291"/>
      <c r="AR291"/>
      <c r="AS291"/>
      <c r="AT291"/>
      <c r="AU291">
        <v>17.165759999999999</v>
      </c>
      <c r="AV291"/>
      <c r="AW291">
        <v>18.452279999999998</v>
      </c>
      <c r="AX291"/>
    </row>
    <row r="292" spans="1:50" x14ac:dyDescent="0.35">
      <c r="A292" s="75">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19.30217</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8.6793750000000003</v>
      </c>
      <c r="AN292">
        <v>6.4845090000000001</v>
      </c>
      <c r="AO292"/>
      <c r="AP292">
        <v>2.200142</v>
      </c>
      <c r="AQ292"/>
      <c r="AR292"/>
      <c r="AS292"/>
      <c r="AT292"/>
      <c r="AU292">
        <v>17.23874</v>
      </c>
      <c r="AV292"/>
      <c r="AW292">
        <v>18.534839999999999</v>
      </c>
      <c r="AX292"/>
    </row>
    <row r="293" spans="1:50" x14ac:dyDescent="0.35">
      <c r="A293" s="75">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19.471810000000001</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8.7576920000000005</v>
      </c>
      <c r="AN293">
        <v>6.5395409999999998</v>
      </c>
      <c r="AO293"/>
      <c r="AP293">
        <v>2.21705</v>
      </c>
      <c r="AQ293"/>
      <c r="AR293"/>
      <c r="AS293"/>
      <c r="AT293"/>
      <c r="AU293">
        <v>17.343610000000002</v>
      </c>
      <c r="AV293"/>
      <c r="AW293">
        <v>18.6174</v>
      </c>
      <c r="AX293"/>
    </row>
    <row r="294" spans="1:50" x14ac:dyDescent="0.35">
      <c r="A294" s="75">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19.618510000000001</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8.8268609999999992</v>
      </c>
      <c r="AN294">
        <v>6.6029640000000001</v>
      </c>
      <c r="AO294"/>
      <c r="AP294">
        <v>2.2858559999999999</v>
      </c>
      <c r="AQ294"/>
      <c r="AR294"/>
      <c r="AS294"/>
      <c r="AT294"/>
      <c r="AU294">
        <v>17.405460000000001</v>
      </c>
      <c r="AV294"/>
      <c r="AW294">
        <v>18.699960000000001</v>
      </c>
      <c r="AX294"/>
    </row>
    <row r="295" spans="1:50" x14ac:dyDescent="0.35">
      <c r="A295" s="75">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19.7119</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8.8773929999999996</v>
      </c>
      <c r="AN295">
        <v>6.6547689999999999</v>
      </c>
      <c r="AO295"/>
      <c r="AP295">
        <v>2.3083849999999999</v>
      </c>
      <c r="AQ295"/>
      <c r="AR295"/>
      <c r="AS295"/>
      <c r="AT295"/>
      <c r="AU295">
        <v>17.52028</v>
      </c>
      <c r="AV295"/>
      <c r="AW295">
        <v>18.741240000000001</v>
      </c>
      <c r="AX295"/>
    </row>
    <row r="296" spans="1:50" x14ac:dyDescent="0.35">
      <c r="A296" s="75">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19.8017</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8.9222040000000007</v>
      </c>
      <c r="AN296">
        <v>6.6843159999999999</v>
      </c>
      <c r="AO296"/>
      <c r="AP296">
        <v>2.3108949999999999</v>
      </c>
      <c r="AQ296"/>
      <c r="AR296"/>
      <c r="AS296"/>
      <c r="AT296"/>
      <c r="AU296">
        <v>17.566569999999999</v>
      </c>
      <c r="AV296"/>
      <c r="AW296">
        <v>18.782520000000002</v>
      </c>
      <c r="AX296"/>
    </row>
    <row r="297" spans="1:50" x14ac:dyDescent="0.35">
      <c r="A297" s="75">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19.890560000000001</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8.9708190000000005</v>
      </c>
      <c r="AN297">
        <v>6.7227569999999996</v>
      </c>
      <c r="AO297"/>
      <c r="AP297">
        <v>2.340525</v>
      </c>
      <c r="AQ297"/>
      <c r="AR297"/>
      <c r="AS297"/>
      <c r="AT297"/>
      <c r="AU297">
        <v>17.60089</v>
      </c>
      <c r="AV297"/>
      <c r="AW297">
        <v>18.865079999999999</v>
      </c>
      <c r="AX297"/>
    </row>
    <row r="298" spans="1:50" x14ac:dyDescent="0.35">
      <c r="A298" s="75">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20.046279999999999</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9.0679660000000002</v>
      </c>
      <c r="AN298">
        <v>6.8050430000000004</v>
      </c>
      <c r="AO298"/>
      <c r="AP298">
        <v>2.4032650000000002</v>
      </c>
      <c r="AQ298"/>
      <c r="AR298"/>
      <c r="AS298"/>
      <c r="AT298"/>
      <c r="AU298">
        <v>17.66142</v>
      </c>
      <c r="AV298"/>
      <c r="AW298">
        <v>18.98892</v>
      </c>
      <c r="AX298"/>
    </row>
    <row r="299" spans="1:50" x14ac:dyDescent="0.35">
      <c r="A299" s="75">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20.215890000000002</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9.1596890000000002</v>
      </c>
      <c r="AN299">
        <v>6.8794420000000001</v>
      </c>
      <c r="AO299"/>
      <c r="AP299">
        <v>2.4635349999999998</v>
      </c>
      <c r="AQ299"/>
      <c r="AR299"/>
      <c r="AS299"/>
      <c r="AT299"/>
      <c r="AU299">
        <v>17.802600000000002</v>
      </c>
      <c r="AV299"/>
      <c r="AW299">
        <v>19.154039999999998</v>
      </c>
      <c r="AX299"/>
    </row>
    <row r="300" spans="1:50" x14ac:dyDescent="0.35">
      <c r="A300" s="75">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20.344709999999999</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9.2203780000000002</v>
      </c>
      <c r="AN300">
        <v>6.9321950000000001</v>
      </c>
      <c r="AO300"/>
      <c r="AP300">
        <v>2.4735309999999999</v>
      </c>
      <c r="AQ300"/>
      <c r="AR300"/>
      <c r="AS300"/>
      <c r="AT300"/>
      <c r="AU300">
        <v>17.953420000000001</v>
      </c>
      <c r="AV300"/>
      <c r="AW300">
        <v>19.236599999999999</v>
      </c>
      <c r="AX300"/>
    </row>
    <row r="301" spans="1:50" x14ac:dyDescent="0.35">
      <c r="A301" s="75">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20.491050000000001</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9.3108210000000007</v>
      </c>
      <c r="AN301">
        <v>6.997109</v>
      </c>
      <c r="AO301"/>
      <c r="AP301">
        <v>2.5888399999999998</v>
      </c>
      <c r="AQ301"/>
      <c r="AR301"/>
      <c r="AS301"/>
      <c r="AT301"/>
      <c r="AU301">
        <v>18.083320000000001</v>
      </c>
      <c r="AV301"/>
      <c r="AW301">
        <v>19.31916</v>
      </c>
      <c r="AX301"/>
    </row>
    <row r="302" spans="1:50" x14ac:dyDescent="0.35">
      <c r="A302" s="75">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20.66094</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9.3995960000000007</v>
      </c>
      <c r="AN302">
        <v>7.0693510000000002</v>
      </c>
      <c r="AO302"/>
      <c r="AP302">
        <v>2.6142690000000002</v>
      </c>
      <c r="AQ302"/>
      <c r="AR302"/>
      <c r="AS302"/>
      <c r="AT302"/>
      <c r="AU302">
        <v>18.282550000000001</v>
      </c>
      <c r="AV302"/>
      <c r="AW302">
        <v>19.31916</v>
      </c>
      <c r="AX302"/>
    </row>
    <row r="303" spans="1:50" x14ac:dyDescent="0.35">
      <c r="A303" s="75">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20.89386</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9.5049299999999999</v>
      </c>
      <c r="AN303">
        <v>7.1432739999999999</v>
      </c>
      <c r="AO303"/>
      <c r="AP303">
        <v>2.7718989999999999</v>
      </c>
      <c r="AQ303"/>
      <c r="AR303"/>
      <c r="AS303"/>
      <c r="AT303"/>
      <c r="AU303">
        <v>18.588940000000001</v>
      </c>
      <c r="AV303"/>
      <c r="AW303">
        <v>19.443000000000001</v>
      </c>
      <c r="AX303"/>
    </row>
    <row r="304" spans="1:50" x14ac:dyDescent="0.35">
      <c r="A304" s="75">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21.078410000000002</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9.6113920000000004</v>
      </c>
      <c r="AN304">
        <v>7.2473229999999997</v>
      </c>
      <c r="AO304"/>
      <c r="AP304">
        <v>2.890587</v>
      </c>
      <c r="AQ304"/>
      <c r="AR304"/>
      <c r="AS304"/>
      <c r="AT304"/>
      <c r="AU304">
        <v>18.736139999999999</v>
      </c>
      <c r="AV304"/>
      <c r="AW304">
        <v>19.608129999999999</v>
      </c>
      <c r="AX304"/>
    </row>
    <row r="305" spans="1:50" x14ac:dyDescent="0.35">
      <c r="A305" s="75">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21.35304</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9.7390570000000007</v>
      </c>
      <c r="AN305">
        <v>7.3581649999999996</v>
      </c>
      <c r="AO305"/>
      <c r="AP305">
        <v>2.7796509999999999</v>
      </c>
      <c r="AQ305"/>
      <c r="AR305"/>
      <c r="AS305"/>
      <c r="AT305"/>
      <c r="AU305">
        <v>18.709040000000002</v>
      </c>
      <c r="AV305"/>
      <c r="AW305">
        <v>19.773250000000001</v>
      </c>
      <c r="AX305"/>
    </row>
    <row r="306" spans="1:50" x14ac:dyDescent="0.35">
      <c r="A306" s="75">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21.59938</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9.8460599999999996</v>
      </c>
      <c r="AN306">
        <v>7.4396139999999997</v>
      </c>
      <c r="AO306"/>
      <c r="AP306">
        <v>2.8179880000000002</v>
      </c>
      <c r="AQ306"/>
      <c r="AR306"/>
      <c r="AS306"/>
      <c r="AT306"/>
      <c r="AU306">
        <v>18.700220000000002</v>
      </c>
      <c r="AV306"/>
      <c r="AW306">
        <v>19.979649999999999</v>
      </c>
      <c r="AX306"/>
    </row>
    <row r="307" spans="1:50" x14ac:dyDescent="0.35">
      <c r="A307" s="75">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21.814640000000001</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9.9415200000000006</v>
      </c>
      <c r="AN307">
        <v>7.512505</v>
      </c>
      <c r="AO307"/>
      <c r="AP307">
        <v>2.8333330000000001</v>
      </c>
      <c r="AQ307"/>
      <c r="AR307"/>
      <c r="AS307"/>
      <c r="AT307"/>
      <c r="AU307">
        <v>18.864409999999999</v>
      </c>
      <c r="AV307"/>
      <c r="AW307">
        <v>20.227329999999998</v>
      </c>
      <c r="AX307"/>
    </row>
    <row r="308" spans="1:50" x14ac:dyDescent="0.35">
      <c r="A308" s="75">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22.04541</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10.055020000000001</v>
      </c>
      <c r="AN308">
        <v>7.5780669999999999</v>
      </c>
      <c r="AO308"/>
      <c r="AP308">
        <v>2.8215150000000002</v>
      </c>
      <c r="AQ308"/>
      <c r="AR308"/>
      <c r="AS308"/>
      <c r="AT308"/>
      <c r="AU308">
        <v>18.91948</v>
      </c>
      <c r="AV308"/>
      <c r="AW308">
        <v>20.433730000000001</v>
      </c>
      <c r="AX308"/>
    </row>
    <row r="309" spans="1:50" x14ac:dyDescent="0.35">
      <c r="A309" s="75">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22.249580000000002</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10.14574</v>
      </c>
      <c r="AN309">
        <v>7.6335459999999999</v>
      </c>
      <c r="AO309"/>
      <c r="AP309">
        <v>2.9632170000000002</v>
      </c>
      <c r="AQ309"/>
      <c r="AR309"/>
      <c r="AS309"/>
      <c r="AT309"/>
      <c r="AU309">
        <v>19.094139999999999</v>
      </c>
      <c r="AV309"/>
      <c r="AW309">
        <v>20.68141</v>
      </c>
      <c r="AX309"/>
    </row>
    <row r="310" spans="1:50" x14ac:dyDescent="0.35">
      <c r="A310" s="75">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22.5108</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10.271850000000001</v>
      </c>
      <c r="AN310">
        <v>7.7395589999999999</v>
      </c>
      <c r="AO310"/>
      <c r="AP310">
        <v>3.0126240000000002</v>
      </c>
      <c r="AQ310"/>
      <c r="AR310"/>
      <c r="AS310"/>
      <c r="AT310"/>
      <c r="AU310">
        <v>19.286709999999999</v>
      </c>
      <c r="AV310"/>
      <c r="AW310">
        <v>20.929089999999999</v>
      </c>
      <c r="AX310"/>
    </row>
    <row r="311" spans="1:50" x14ac:dyDescent="0.35">
      <c r="A311" s="75">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22.83324</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10.42231</v>
      </c>
      <c r="AN311">
        <v>7.8413930000000001</v>
      </c>
      <c r="AO311"/>
      <c r="AP311">
        <v>2.8827060000000002</v>
      </c>
      <c r="AQ311"/>
      <c r="AR311"/>
      <c r="AS311"/>
      <c r="AT311"/>
      <c r="AU311">
        <v>19.92859</v>
      </c>
      <c r="AV311"/>
      <c r="AW311">
        <v>21.176780000000001</v>
      </c>
      <c r="AX311"/>
    </row>
    <row r="312" spans="1:50" x14ac:dyDescent="0.35">
      <c r="A312" s="75">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23.069579999999998</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10.541589999999999</v>
      </c>
      <c r="AN312">
        <v>7.9416180000000001</v>
      </c>
      <c r="AO312"/>
      <c r="AP312">
        <v>2.827102</v>
      </c>
      <c r="AQ312"/>
      <c r="AR312"/>
      <c r="AS312"/>
      <c r="AT312"/>
      <c r="AU312">
        <v>20.107420000000001</v>
      </c>
      <c r="AV312"/>
      <c r="AW312">
        <v>21.383179999999999</v>
      </c>
      <c r="AX312"/>
    </row>
    <row r="313" spans="1:50" x14ac:dyDescent="0.35">
      <c r="A313" s="75">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23.173629999999999</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10.60435</v>
      </c>
      <c r="AN313">
        <v>8.0071010000000005</v>
      </c>
      <c r="AO313"/>
      <c r="AP313">
        <v>2.8320720000000001</v>
      </c>
      <c r="AQ313"/>
      <c r="AR313"/>
      <c r="AS313"/>
      <c r="AT313"/>
      <c r="AU313">
        <v>20.186689999999999</v>
      </c>
      <c r="AV313"/>
      <c r="AW313">
        <v>21.46574</v>
      </c>
      <c r="AX313"/>
    </row>
    <row r="314" spans="1:50" x14ac:dyDescent="0.35">
      <c r="A314" s="75">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23.341660000000001</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10.706429999999999</v>
      </c>
      <c r="AN314">
        <v>8.1027489999999993</v>
      </c>
      <c r="AO314"/>
      <c r="AP314">
        <v>3.060816</v>
      </c>
      <c r="AQ314"/>
      <c r="AR314"/>
      <c r="AS314"/>
      <c r="AT314"/>
      <c r="AU314">
        <v>20.06447</v>
      </c>
      <c r="AV314"/>
      <c r="AW314">
        <v>21.548300000000001</v>
      </c>
      <c r="AX314"/>
    </row>
    <row r="315" spans="1:50" x14ac:dyDescent="0.35">
      <c r="A315" s="75">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23.529779999999999</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10.78762</v>
      </c>
      <c r="AN315">
        <v>8.1756879999999992</v>
      </c>
      <c r="AO315"/>
      <c r="AP315">
        <v>2.910148</v>
      </c>
      <c r="AQ315"/>
      <c r="AR315"/>
      <c r="AS315"/>
      <c r="AT315"/>
      <c r="AU315">
        <v>20.294409999999999</v>
      </c>
      <c r="AV315"/>
      <c r="AW315">
        <v>21.713419999999999</v>
      </c>
      <c r="AX315"/>
    </row>
    <row r="316" spans="1:50" x14ac:dyDescent="0.35">
      <c r="A316" s="75">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23.663730000000001</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10.86598</v>
      </c>
      <c r="AN316">
        <v>8.2561129999999991</v>
      </c>
      <c r="AO316"/>
      <c r="AP316">
        <v>3.0959439999999998</v>
      </c>
      <c r="AQ316"/>
      <c r="AR316"/>
      <c r="AS316"/>
      <c r="AT316"/>
      <c r="AU316">
        <v>20.409099999999999</v>
      </c>
      <c r="AV316"/>
      <c r="AW316">
        <v>21.837260000000001</v>
      </c>
      <c r="AX316"/>
    </row>
    <row r="317" spans="1:50" x14ac:dyDescent="0.35">
      <c r="A317" s="75">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23.965260000000001</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11.002179999999999</v>
      </c>
      <c r="AN317">
        <v>8.3667470000000002</v>
      </c>
      <c r="AO317"/>
      <c r="AP317">
        <v>2.9977659999999999</v>
      </c>
      <c r="AQ317"/>
      <c r="AR317"/>
      <c r="AS317"/>
      <c r="AT317"/>
      <c r="AU317">
        <v>20.458400000000001</v>
      </c>
      <c r="AV317"/>
      <c r="AW317">
        <v>22.002379999999999</v>
      </c>
      <c r="AX317"/>
    </row>
    <row r="318" spans="1:50" x14ac:dyDescent="0.35">
      <c r="A318" s="75">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24.187760000000001</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11.10121</v>
      </c>
      <c r="AN318">
        <v>8.4801739999999999</v>
      </c>
      <c r="AO318"/>
      <c r="AP318">
        <v>3.0369090000000001</v>
      </c>
      <c r="AQ318"/>
      <c r="AR318"/>
      <c r="AS318"/>
      <c r="AT318"/>
      <c r="AU318">
        <v>20.820270000000001</v>
      </c>
      <c r="AV318"/>
      <c r="AW318">
        <v>22.08494</v>
      </c>
      <c r="AX318"/>
    </row>
    <row r="319" spans="1:50" x14ac:dyDescent="0.35">
      <c r="A319" s="75">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24.325279999999999</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11.17188</v>
      </c>
      <c r="AN319">
        <v>8.5542669999999994</v>
      </c>
      <c r="AO319"/>
      <c r="AP319">
        <v>3.1683180000000002</v>
      </c>
      <c r="AQ319"/>
      <c r="AR319"/>
      <c r="AS319"/>
      <c r="AT319"/>
      <c r="AU319">
        <v>20.938279999999999</v>
      </c>
      <c r="AV319"/>
      <c r="AW319">
        <v>22.1675</v>
      </c>
      <c r="AX319"/>
    </row>
    <row r="320" spans="1:50" x14ac:dyDescent="0.35">
      <c r="A320" s="75">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24.45656</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11.23746</v>
      </c>
      <c r="AN320">
        <v>8.6032919999999997</v>
      </c>
      <c r="AO320"/>
      <c r="AP320">
        <v>3.2123200000000001</v>
      </c>
      <c r="AQ320"/>
      <c r="AR320"/>
      <c r="AS320"/>
      <c r="AT320"/>
      <c r="AU320">
        <v>21.075949999999999</v>
      </c>
      <c r="AV320"/>
      <c r="AW320">
        <v>22.291340000000002</v>
      </c>
      <c r="AX320"/>
    </row>
    <row r="321" spans="1:50" x14ac:dyDescent="0.35">
      <c r="A321" s="75">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24.53248</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11.27675</v>
      </c>
      <c r="AN321">
        <v>8.6381320000000006</v>
      </c>
      <c r="AO321"/>
      <c r="AP321">
        <v>3.059196</v>
      </c>
      <c r="AQ321"/>
      <c r="AR321"/>
      <c r="AS321"/>
      <c r="AT321"/>
      <c r="AU321">
        <v>21.31634</v>
      </c>
      <c r="AV321"/>
      <c r="AW321">
        <v>22.373909999999999</v>
      </c>
      <c r="AX321"/>
    </row>
    <row r="322" spans="1:50" x14ac:dyDescent="0.35">
      <c r="A322" s="75">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24.740559999999999</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11.383850000000001</v>
      </c>
      <c r="AN322">
        <v>8.7204829999999998</v>
      </c>
      <c r="AO322"/>
      <c r="AP322">
        <v>3.275576</v>
      </c>
      <c r="AQ322"/>
      <c r="AR322"/>
      <c r="AS322"/>
      <c r="AT322"/>
      <c r="AU322">
        <v>21.377739999999999</v>
      </c>
      <c r="AV322"/>
      <c r="AW322">
        <v>22.53903</v>
      </c>
      <c r="AX322"/>
    </row>
    <row r="323" spans="1:50" x14ac:dyDescent="0.35">
      <c r="A323" s="75">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24.913350000000001</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11.479900000000001</v>
      </c>
      <c r="AN323">
        <v>8.7930279999999996</v>
      </c>
      <c r="AO323"/>
      <c r="AP323">
        <v>3.244262</v>
      </c>
      <c r="AQ323"/>
      <c r="AR323"/>
      <c r="AS323"/>
      <c r="AT323"/>
      <c r="AU323">
        <v>21.557829999999999</v>
      </c>
      <c r="AV323"/>
      <c r="AW323">
        <v>22.662870000000002</v>
      </c>
      <c r="AX323"/>
    </row>
    <row r="324" spans="1:50" x14ac:dyDescent="0.35">
      <c r="A324" s="75">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25.087630000000001</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11.557869999999999</v>
      </c>
      <c r="AN324">
        <v>8.8604789999999998</v>
      </c>
      <c r="AO324"/>
      <c r="AP324">
        <v>3.174836</v>
      </c>
      <c r="AQ324"/>
      <c r="AR324"/>
      <c r="AS324"/>
      <c r="AT324"/>
      <c r="AU324">
        <v>21.770910000000001</v>
      </c>
      <c r="AV324"/>
      <c r="AW324">
        <v>22.82799</v>
      </c>
      <c r="AX324"/>
    </row>
    <row r="325" spans="1:50" x14ac:dyDescent="0.35">
      <c r="A325" s="75">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25.18281</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11.61835</v>
      </c>
      <c r="AN325">
        <v>8.9232849999999999</v>
      </c>
      <c r="AO325"/>
      <c r="AP325">
        <v>3.4286720000000002</v>
      </c>
      <c r="AQ325"/>
      <c r="AR325"/>
      <c r="AS325"/>
      <c r="AT325"/>
      <c r="AU325">
        <v>21.85493</v>
      </c>
      <c r="AV325"/>
      <c r="AW325">
        <v>22.910550000000001</v>
      </c>
      <c r="AX325"/>
    </row>
    <row r="326" spans="1:50" x14ac:dyDescent="0.35">
      <c r="A326" s="75">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25.390160000000002</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11.72087</v>
      </c>
      <c r="AN326">
        <v>9.005903</v>
      </c>
      <c r="AO326"/>
      <c r="AP326">
        <v>3.6276670000000002</v>
      </c>
      <c r="AQ326"/>
      <c r="AR326"/>
      <c r="AS326"/>
      <c r="AT326"/>
      <c r="AU326">
        <v>22.079609999999999</v>
      </c>
      <c r="AV326"/>
      <c r="AW326">
        <v>22.993110000000001</v>
      </c>
      <c r="AX326"/>
    </row>
    <row r="327" spans="1:50" x14ac:dyDescent="0.35">
      <c r="A327" s="75">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25.576160000000002</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11.807460000000001</v>
      </c>
      <c r="AN327">
        <v>9.0833209999999998</v>
      </c>
      <c r="AO327"/>
      <c r="AP327">
        <v>3.464159</v>
      </c>
      <c r="AQ327"/>
      <c r="AR327"/>
      <c r="AS327"/>
      <c r="AT327"/>
      <c r="AU327">
        <v>22.25178</v>
      </c>
      <c r="AV327"/>
      <c r="AW327">
        <v>23.116949999999999</v>
      </c>
      <c r="AX327"/>
    </row>
    <row r="328" spans="1:50" x14ac:dyDescent="0.35">
      <c r="A328" s="75">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25.747430000000001</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11.901809999999999</v>
      </c>
      <c r="AN328">
        <v>9.1701200000000007</v>
      </c>
      <c r="AO328"/>
      <c r="AP328">
        <v>3.566249</v>
      </c>
      <c r="AQ328"/>
      <c r="AR328"/>
      <c r="AS328"/>
      <c r="AT328"/>
      <c r="AU328">
        <v>22.422740000000001</v>
      </c>
      <c r="AV328"/>
      <c r="AW328">
        <v>23.282070000000001</v>
      </c>
      <c r="AX328"/>
    </row>
    <row r="329" spans="1:50" x14ac:dyDescent="0.35">
      <c r="A329" s="75">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26.003150000000002</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12.018980000000001</v>
      </c>
      <c r="AN329">
        <v>9.2596640000000008</v>
      </c>
      <c r="AO329"/>
      <c r="AP329">
        <v>3.2282350000000002</v>
      </c>
      <c r="AQ329"/>
      <c r="AR329"/>
      <c r="AS329"/>
      <c r="AT329"/>
      <c r="AU329">
        <v>22.597519999999999</v>
      </c>
      <c r="AV329"/>
      <c r="AW329">
        <v>23.405909999999999</v>
      </c>
      <c r="AX329"/>
    </row>
    <row r="330" spans="1:50" x14ac:dyDescent="0.35">
      <c r="A330" s="75">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26.18242</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12.114380000000001</v>
      </c>
      <c r="AN330">
        <v>9.3606929999999995</v>
      </c>
      <c r="AO330"/>
      <c r="AP330">
        <v>3.1028030000000002</v>
      </c>
      <c r="AQ330"/>
      <c r="AR330"/>
      <c r="AS330"/>
      <c r="AT330"/>
      <c r="AU330">
        <v>22.81964</v>
      </c>
      <c r="AV330"/>
      <c r="AW330">
        <v>23.52975</v>
      </c>
      <c r="AX330"/>
    </row>
    <row r="331" spans="1:50" x14ac:dyDescent="0.35">
      <c r="A331" s="75">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26.286269999999998</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12.18347</v>
      </c>
      <c r="AN331">
        <v>9.4360520000000001</v>
      </c>
      <c r="AO331"/>
      <c r="AP331">
        <v>3.465862</v>
      </c>
      <c r="AQ331"/>
      <c r="AR331"/>
      <c r="AS331"/>
      <c r="AT331"/>
      <c r="AU331">
        <v>22.993690000000001</v>
      </c>
      <c r="AV331"/>
      <c r="AW331">
        <v>23.612310000000001</v>
      </c>
      <c r="AX331"/>
    </row>
    <row r="332" spans="1:50" x14ac:dyDescent="0.35">
      <c r="A332" s="75">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26.446999999999999</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12.27129</v>
      </c>
      <c r="AN332">
        <v>9.5006740000000001</v>
      </c>
      <c r="AO332"/>
      <c r="AP332">
        <v>3.9202979999999998</v>
      </c>
      <c r="AQ332"/>
      <c r="AR332"/>
      <c r="AS332"/>
      <c r="AT332"/>
      <c r="AU332">
        <v>23.017710000000001</v>
      </c>
      <c r="AV332"/>
      <c r="AW332">
        <v>23.777429999999999</v>
      </c>
      <c r="AX332"/>
    </row>
    <row r="333" spans="1:50" x14ac:dyDescent="0.35">
      <c r="A333" s="75">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26.554939999999998</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12.32926</v>
      </c>
      <c r="AN333">
        <v>9.5640020000000003</v>
      </c>
      <c r="AO333"/>
      <c r="AP333">
        <v>3.9273120000000001</v>
      </c>
      <c r="AQ333"/>
      <c r="AR333"/>
      <c r="AS333"/>
      <c r="AT333"/>
      <c r="AU333">
        <v>23.139500000000002</v>
      </c>
      <c r="AV333"/>
      <c r="AW333">
        <v>23.90127</v>
      </c>
      <c r="AX333"/>
    </row>
    <row r="334" spans="1:50" x14ac:dyDescent="0.35">
      <c r="A334" s="75">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26.791070000000001</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12.46022</v>
      </c>
      <c r="AN334">
        <v>9.6629570000000005</v>
      </c>
      <c r="AO334"/>
      <c r="AP334">
        <v>4.093121</v>
      </c>
      <c r="AQ334"/>
      <c r="AR334"/>
      <c r="AS334"/>
      <c r="AT334"/>
      <c r="AU334">
        <v>23.214919999999999</v>
      </c>
      <c r="AV334"/>
      <c r="AW334">
        <v>24.066389999999998</v>
      </c>
      <c r="AX334"/>
    </row>
    <row r="335" spans="1:50" x14ac:dyDescent="0.35">
      <c r="A335" s="75">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26.975020000000001</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12.59421</v>
      </c>
      <c r="AN335">
        <v>9.7662560000000003</v>
      </c>
      <c r="AO335"/>
      <c r="AP335">
        <v>4.2190219999999998</v>
      </c>
      <c r="AQ335"/>
      <c r="AR335"/>
      <c r="AS335"/>
      <c r="AT335"/>
      <c r="AU335">
        <v>23.622900000000001</v>
      </c>
      <c r="AV335"/>
      <c r="AW335">
        <v>24.190239999999999</v>
      </c>
      <c r="AX335"/>
    </row>
    <row r="336" spans="1:50" x14ac:dyDescent="0.35">
      <c r="A336" s="75">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27.1569</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12.70834</v>
      </c>
      <c r="AN336">
        <v>9.8607250000000004</v>
      </c>
      <c r="AO336"/>
      <c r="AP336">
        <v>4.2329100000000004</v>
      </c>
      <c r="AQ336"/>
      <c r="AR336"/>
      <c r="AS336"/>
      <c r="AT336"/>
      <c r="AU336">
        <v>23.814350000000001</v>
      </c>
      <c r="AV336"/>
      <c r="AW336">
        <v>24.314080000000001</v>
      </c>
      <c r="AX336"/>
    </row>
    <row r="337" spans="1:50" x14ac:dyDescent="0.35">
      <c r="A337" s="75">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27.243079999999999</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12.77591</v>
      </c>
      <c r="AN337">
        <v>9.9215099999999996</v>
      </c>
      <c r="AO337"/>
      <c r="AP337">
        <v>4.4095620000000002</v>
      </c>
      <c r="AQ337"/>
      <c r="AR337"/>
      <c r="AS337"/>
      <c r="AT337"/>
      <c r="AU337">
        <v>23.852070000000001</v>
      </c>
      <c r="AV337"/>
      <c r="AW337">
        <v>24.314080000000001</v>
      </c>
      <c r="AX337"/>
    </row>
    <row r="338" spans="1:50" x14ac:dyDescent="0.35">
      <c r="A338" s="75">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27.456849999999999</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12.895390000000001</v>
      </c>
      <c r="AN338">
        <v>10.05092</v>
      </c>
      <c r="AO338"/>
      <c r="AP338">
        <v>4.324236</v>
      </c>
      <c r="AQ338"/>
      <c r="AR338"/>
      <c r="AS338"/>
      <c r="AT338"/>
      <c r="AU338">
        <v>24.05986</v>
      </c>
      <c r="AV338"/>
      <c r="AW338">
        <v>24.437919999999998</v>
      </c>
      <c r="AX338"/>
    </row>
    <row r="339" spans="1:50" x14ac:dyDescent="0.35">
      <c r="A339" s="75">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27.637499999999999</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12.99841</v>
      </c>
      <c r="AN339">
        <v>10.15399</v>
      </c>
      <c r="AO339"/>
      <c r="AP339">
        <v>4.4088349999999998</v>
      </c>
      <c r="AQ339"/>
      <c r="AR339"/>
      <c r="AS339"/>
      <c r="AT339"/>
      <c r="AU339">
        <v>24.378</v>
      </c>
      <c r="AV339"/>
      <c r="AW339">
        <v>24.56176</v>
      </c>
      <c r="AX339"/>
    </row>
    <row r="340" spans="1:50" x14ac:dyDescent="0.35">
      <c r="A340" s="75">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27.824269999999999</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13.10758</v>
      </c>
      <c r="AN340">
        <v>10.259370000000001</v>
      </c>
      <c r="AO340"/>
      <c r="AP340">
        <v>4.5555060000000003</v>
      </c>
      <c r="AQ340"/>
      <c r="AR340"/>
      <c r="AS340"/>
      <c r="AT340"/>
      <c r="AU340">
        <v>24.59975</v>
      </c>
      <c r="AV340"/>
      <c r="AW340">
        <v>24.726880000000001</v>
      </c>
      <c r="AX340"/>
    </row>
    <row r="341" spans="1:50" x14ac:dyDescent="0.35">
      <c r="A341" s="75">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28.111809999999998</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13.257580000000001</v>
      </c>
      <c r="AN341">
        <v>10.397550000000001</v>
      </c>
      <c r="AO341"/>
      <c r="AP341">
        <v>4.7180249999999999</v>
      </c>
      <c r="AQ341"/>
      <c r="AR341"/>
      <c r="AS341"/>
      <c r="AT341"/>
      <c r="AU341">
        <v>24.837569999999999</v>
      </c>
      <c r="AV341"/>
      <c r="AW341">
        <v>24.891999999999999</v>
      </c>
      <c r="AX341"/>
    </row>
    <row r="342" spans="1:50" x14ac:dyDescent="0.35">
      <c r="A342" s="75">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28.30416</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13.34958</v>
      </c>
      <c r="AN342">
        <v>10.47364</v>
      </c>
      <c r="AO342"/>
      <c r="AP342">
        <v>4.7408650000000003</v>
      </c>
      <c r="AQ342"/>
      <c r="AR342"/>
      <c r="AS342"/>
      <c r="AT342"/>
      <c r="AU342">
        <v>25.179040000000001</v>
      </c>
      <c r="AV342"/>
      <c r="AW342">
        <v>25.015840000000001</v>
      </c>
      <c r="AX342"/>
    </row>
    <row r="343" spans="1:50" x14ac:dyDescent="0.35">
      <c r="A343" s="75">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28.46095</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13.43871</v>
      </c>
      <c r="AN343">
        <v>10.554790000000001</v>
      </c>
      <c r="AO343"/>
      <c r="AP343">
        <v>4.7575810000000001</v>
      </c>
      <c r="AQ343"/>
      <c r="AR343"/>
      <c r="AS343"/>
      <c r="AT343"/>
      <c r="AU343">
        <v>25.70252</v>
      </c>
      <c r="AV343"/>
      <c r="AW343">
        <v>25.180959999999999</v>
      </c>
      <c r="AX343"/>
    </row>
    <row r="344" spans="1:50" x14ac:dyDescent="0.35">
      <c r="A344" s="75">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28.55592</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13.50905</v>
      </c>
      <c r="AN344">
        <v>10.619020000000001</v>
      </c>
      <c r="AO344"/>
      <c r="AP344">
        <v>4.8418929999999998</v>
      </c>
      <c r="AQ344"/>
      <c r="AR344"/>
      <c r="AS344"/>
      <c r="AT344"/>
      <c r="AU344">
        <v>25.892810000000001</v>
      </c>
      <c r="AV344"/>
      <c r="AW344">
        <v>25.26352</v>
      </c>
      <c r="AX344"/>
    </row>
    <row r="345" spans="1:50" x14ac:dyDescent="0.35">
      <c r="A345" s="75">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28.673179999999999</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13.57502</v>
      </c>
      <c r="AN345">
        <v>10.6784</v>
      </c>
      <c r="AO345"/>
      <c r="AP345">
        <v>4.9200189999999999</v>
      </c>
      <c r="AQ345"/>
      <c r="AR345"/>
      <c r="AS345"/>
      <c r="AT345"/>
      <c r="AU345">
        <v>25.98546</v>
      </c>
      <c r="AV345"/>
      <c r="AW345">
        <v>25.387360000000001</v>
      </c>
      <c r="AX345"/>
    </row>
    <row r="346" spans="1:50" x14ac:dyDescent="0.35">
      <c r="A346" s="75">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28.88259</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13.69232</v>
      </c>
      <c r="AN346">
        <v>10.781499999999999</v>
      </c>
      <c r="AO346"/>
      <c r="AP346">
        <v>4.9378289999999998</v>
      </c>
      <c r="AQ346"/>
      <c r="AR346"/>
      <c r="AS346"/>
      <c r="AT346"/>
      <c r="AU346">
        <v>26.20392</v>
      </c>
      <c r="AV346"/>
      <c r="AW346">
        <v>25.552479999999999</v>
      </c>
      <c r="AX346"/>
    </row>
    <row r="347" spans="1:50" x14ac:dyDescent="0.35">
      <c r="A347" s="75">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13.81011</v>
      </c>
      <c r="AN347">
        <v>10.921810000000001</v>
      </c>
      <c r="AO347"/>
      <c r="AP347">
        <v>5.1064629999999998</v>
      </c>
      <c r="AQ347"/>
      <c r="AR347"/>
      <c r="AS347"/>
      <c r="AT347"/>
      <c r="AU347">
        <v>26.409549999999999</v>
      </c>
      <c r="AV347"/>
      <c r="AW347">
        <v>25.63505</v>
      </c>
      <c r="AX347"/>
    </row>
    <row r="348" spans="1:50" x14ac:dyDescent="0.35">
      <c r="A348" s="75">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29.149809999999999</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13.907069999999999</v>
      </c>
      <c r="AN348">
        <v>11.044460000000001</v>
      </c>
      <c r="AO348"/>
      <c r="AP348">
        <v>5.1659350000000002</v>
      </c>
      <c r="AQ348"/>
      <c r="AR348"/>
      <c r="AS348"/>
      <c r="AT348"/>
      <c r="AU348">
        <v>26.6585</v>
      </c>
      <c r="AV348"/>
      <c r="AW348">
        <v>25.758890000000001</v>
      </c>
      <c r="AX348"/>
    </row>
    <row r="349" spans="1:50" x14ac:dyDescent="0.35">
      <c r="A349" s="75">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29.26538</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13.993069999999999</v>
      </c>
      <c r="AN349">
        <v>11.1333</v>
      </c>
      <c r="AO349"/>
      <c r="AP349">
        <v>5.2413049999999997</v>
      </c>
      <c r="AQ349"/>
      <c r="AR349"/>
      <c r="AS349"/>
      <c r="AT349"/>
      <c r="AU349">
        <v>26.885349999999999</v>
      </c>
      <c r="AV349"/>
      <c r="AW349">
        <v>25.882729999999999</v>
      </c>
      <c r="AX349"/>
    </row>
    <row r="350" spans="1:50" x14ac:dyDescent="0.35">
      <c r="A350" s="75">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29.413540000000001</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14.107900000000001</v>
      </c>
      <c r="AN350">
        <v>11.24905</v>
      </c>
      <c r="AO350"/>
      <c r="AP350">
        <v>5.3950519999999997</v>
      </c>
      <c r="AQ350"/>
      <c r="AR350"/>
      <c r="AS350"/>
      <c r="AT350"/>
      <c r="AU350">
        <v>27.331</v>
      </c>
      <c r="AV350"/>
      <c r="AW350">
        <v>26.00657</v>
      </c>
      <c r="AX350"/>
    </row>
    <row r="351" spans="1:50" x14ac:dyDescent="0.35">
      <c r="A351" s="75">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29.555959999999999</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14.20125</v>
      </c>
      <c r="AN351">
        <v>11.345039999999999</v>
      </c>
      <c r="AO351"/>
      <c r="AP351">
        <v>5.4121350000000001</v>
      </c>
      <c r="AQ351"/>
      <c r="AR351"/>
      <c r="AS351"/>
      <c r="AT351"/>
      <c r="AU351">
        <v>27.67277</v>
      </c>
      <c r="AV351"/>
      <c r="AW351">
        <v>26.089130000000001</v>
      </c>
      <c r="AX351"/>
    </row>
    <row r="352" spans="1:50" x14ac:dyDescent="0.35">
      <c r="A352" s="75">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29.774000000000001</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14.3133</v>
      </c>
      <c r="AN352">
        <v>11.44347</v>
      </c>
      <c r="AO352"/>
      <c r="AP352">
        <v>5.4285819999999996</v>
      </c>
      <c r="AQ352"/>
      <c r="AR352"/>
      <c r="AS352"/>
      <c r="AT352"/>
      <c r="AU352">
        <v>27.71265</v>
      </c>
      <c r="AV352"/>
      <c r="AW352">
        <v>26.295529999999999</v>
      </c>
      <c r="AX352"/>
    </row>
    <row r="353" spans="1:50" x14ac:dyDescent="0.35">
      <c r="A353" s="75">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30.036149999999999</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14.4544</v>
      </c>
      <c r="AN353">
        <v>11.57653</v>
      </c>
      <c r="AO353"/>
      <c r="AP353">
        <v>5.6563400000000001</v>
      </c>
      <c r="AQ353"/>
      <c r="AR353"/>
      <c r="AS353"/>
      <c r="AT353"/>
      <c r="AU353">
        <v>27.77486</v>
      </c>
      <c r="AV353"/>
      <c r="AW353">
        <v>26.501930000000002</v>
      </c>
      <c r="AX353"/>
    </row>
    <row r="354" spans="1:50" x14ac:dyDescent="0.35">
      <c r="A354" s="75">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30.258209999999998</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14.575570000000001</v>
      </c>
      <c r="AN354">
        <v>11.67958</v>
      </c>
      <c r="AO354"/>
      <c r="AP354">
        <v>5.708475</v>
      </c>
      <c r="AQ354"/>
      <c r="AR354"/>
      <c r="AS354"/>
      <c r="AT354"/>
      <c r="AU354">
        <v>27.966519999999999</v>
      </c>
      <c r="AV354"/>
      <c r="AW354">
        <v>26.70833</v>
      </c>
      <c r="AX354"/>
    </row>
    <row r="355" spans="1:50" x14ac:dyDescent="0.35">
      <c r="A355" s="75">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30.461200000000002</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14.700390000000001</v>
      </c>
      <c r="AN355">
        <v>11.797230000000001</v>
      </c>
      <c r="AO355"/>
      <c r="AP355">
        <v>5.7824650000000002</v>
      </c>
      <c r="AQ355"/>
      <c r="AR355"/>
      <c r="AS355"/>
      <c r="AT355"/>
      <c r="AU355">
        <v>28.010950000000001</v>
      </c>
      <c r="AV355"/>
      <c r="AW355">
        <v>26.956009999999999</v>
      </c>
      <c r="AX355"/>
    </row>
    <row r="356" spans="1:50" x14ac:dyDescent="0.35">
      <c r="A356" s="75">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30.616700000000002</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14.794370000000001</v>
      </c>
      <c r="AN356">
        <v>11.865640000000001</v>
      </c>
      <c r="AO356"/>
      <c r="AP356">
        <v>5.8978849999999996</v>
      </c>
      <c r="AQ356"/>
      <c r="AR356"/>
      <c r="AS356"/>
      <c r="AT356"/>
      <c r="AU356">
        <v>28.107530000000001</v>
      </c>
      <c r="AV356"/>
      <c r="AW356">
        <v>27.12114</v>
      </c>
      <c r="AX356"/>
    </row>
    <row r="357" spans="1:50" x14ac:dyDescent="0.35">
      <c r="A357" s="75">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30.75264</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14.877980000000001</v>
      </c>
      <c r="AN357">
        <v>11.9458</v>
      </c>
      <c r="AO357"/>
      <c r="AP357">
        <v>6.0124940000000002</v>
      </c>
      <c r="AQ357"/>
      <c r="AR357"/>
      <c r="AS357"/>
      <c r="AT357"/>
      <c r="AU357">
        <v>28.071190000000001</v>
      </c>
      <c r="AV357"/>
      <c r="AW357">
        <v>27.286259999999999</v>
      </c>
      <c r="AX357"/>
    </row>
    <row r="358" spans="1:50" x14ac:dyDescent="0.35">
      <c r="A358" s="75">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31.018529999999998</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15.03012</v>
      </c>
      <c r="AN358">
        <v>12.071490000000001</v>
      </c>
      <c r="AO358"/>
      <c r="AP358">
        <v>6.0926130000000001</v>
      </c>
      <c r="AQ358"/>
      <c r="AR358"/>
      <c r="AS358"/>
      <c r="AT358"/>
      <c r="AU358">
        <v>28.26802</v>
      </c>
      <c r="AV358"/>
      <c r="AW358">
        <v>27.575220000000002</v>
      </c>
      <c r="AX358"/>
    </row>
    <row r="359" spans="1:50" x14ac:dyDescent="0.35">
      <c r="A359" s="75">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31.24268</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15.17629</v>
      </c>
      <c r="AN359">
        <v>12.212910000000001</v>
      </c>
      <c r="AO359"/>
      <c r="AP359">
        <v>6.2577309999999997</v>
      </c>
      <c r="AQ359"/>
      <c r="AR359"/>
      <c r="AS359"/>
      <c r="AT359"/>
      <c r="AU359">
        <v>28.44445</v>
      </c>
      <c r="AV359"/>
      <c r="AW359">
        <v>27.78162</v>
      </c>
      <c r="AX359"/>
    </row>
    <row r="360" spans="1:50" x14ac:dyDescent="0.35">
      <c r="A360" s="75">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31.424060000000001</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15.281370000000001</v>
      </c>
      <c r="AN360">
        <v>12.311450000000001</v>
      </c>
      <c r="AO360"/>
      <c r="AP360">
        <v>6.4549529999999997</v>
      </c>
      <c r="AQ360"/>
      <c r="AR360"/>
      <c r="AS360"/>
      <c r="AT360"/>
      <c r="AU360">
        <v>28.548269999999999</v>
      </c>
      <c r="AV360"/>
      <c r="AW360">
        <v>27.988019999999999</v>
      </c>
      <c r="AX360"/>
    </row>
    <row r="361" spans="1:50" x14ac:dyDescent="0.35">
      <c r="A361" s="75">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31.524260000000002</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15.35159</v>
      </c>
      <c r="AN361">
        <v>12.39766</v>
      </c>
      <c r="AO361"/>
      <c r="AP361">
        <v>6.548171</v>
      </c>
      <c r="AQ361"/>
      <c r="AR361"/>
      <c r="AS361"/>
      <c r="AT361"/>
      <c r="AU361">
        <v>28.735009999999999</v>
      </c>
      <c r="AV361"/>
      <c r="AW361">
        <v>28.07058</v>
      </c>
      <c r="AX361"/>
    </row>
    <row r="362" spans="1:50" x14ac:dyDescent="0.35">
      <c r="A362" s="75">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31.73535</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15.483000000000001</v>
      </c>
      <c r="AN362">
        <v>12.53654</v>
      </c>
      <c r="AO362"/>
      <c r="AP362">
        <v>6.5771790000000001</v>
      </c>
      <c r="AQ362"/>
      <c r="AR362"/>
      <c r="AS362"/>
      <c r="AT362"/>
      <c r="AU362">
        <v>28.86243</v>
      </c>
      <c r="AV362"/>
      <c r="AW362">
        <v>28.235700000000001</v>
      </c>
      <c r="AX362"/>
    </row>
    <row r="363" spans="1:50" x14ac:dyDescent="0.35">
      <c r="A363" s="75">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31.945820000000001</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15.596819999999999</v>
      </c>
      <c r="AN363">
        <v>12.62167</v>
      </c>
      <c r="AO363"/>
      <c r="AP363">
        <v>6.6395799999999996</v>
      </c>
      <c r="AQ363"/>
      <c r="AR363"/>
      <c r="AS363"/>
      <c r="AT363"/>
      <c r="AU363">
        <v>29.1069</v>
      </c>
      <c r="AV363"/>
      <c r="AW363">
        <v>28.48338</v>
      </c>
      <c r="AX363"/>
    </row>
    <row r="364" spans="1:50" x14ac:dyDescent="0.35">
      <c r="A364" s="75">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32.207070000000002</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15.73433</v>
      </c>
      <c r="AN364">
        <v>12.73035</v>
      </c>
      <c r="AO364"/>
      <c r="AP364">
        <v>6.6995269999999998</v>
      </c>
      <c r="AQ364"/>
      <c r="AR364"/>
      <c r="AS364"/>
      <c r="AT364"/>
      <c r="AU364">
        <v>29.23518</v>
      </c>
      <c r="AV364"/>
      <c r="AW364">
        <v>28.731069999999999</v>
      </c>
      <c r="AX364"/>
    </row>
    <row r="365" spans="1:50" x14ac:dyDescent="0.35">
      <c r="A365" s="75">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32.499290000000002</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15.900040000000001</v>
      </c>
      <c r="AN365">
        <v>12.887869999999999</v>
      </c>
      <c r="AO365"/>
      <c r="AP365">
        <v>6.7992049999999997</v>
      </c>
      <c r="AQ365"/>
      <c r="AR365"/>
      <c r="AS365"/>
      <c r="AT365"/>
      <c r="AU365">
        <v>29.446870000000001</v>
      </c>
      <c r="AV365"/>
      <c r="AW365">
        <v>28.978750000000002</v>
      </c>
      <c r="AX365"/>
    </row>
    <row r="366" spans="1:50" x14ac:dyDescent="0.35">
      <c r="A366" s="75">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32.765120000000003</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16.047879999999999</v>
      </c>
      <c r="AN366">
        <v>13.00264</v>
      </c>
      <c r="AO366"/>
      <c r="AP366">
        <v>6.8888350000000003</v>
      </c>
      <c r="AQ366"/>
      <c r="AR366"/>
      <c r="AS366"/>
      <c r="AT366"/>
      <c r="AU366">
        <v>29.613330000000001</v>
      </c>
      <c r="AV366"/>
      <c r="AW366">
        <v>29.226430000000001</v>
      </c>
      <c r="AX366"/>
    </row>
    <row r="367" spans="1:50" x14ac:dyDescent="0.35">
      <c r="A367" s="75">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32.987670000000001</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16.204650000000001</v>
      </c>
      <c r="AN367">
        <v>13.177569999999999</v>
      </c>
      <c r="AO367"/>
      <c r="AP367">
        <v>6.9187209999999997</v>
      </c>
      <c r="AQ367"/>
      <c r="AR367"/>
      <c r="AS367"/>
      <c r="AT367"/>
      <c r="AU367">
        <v>29.683589999999999</v>
      </c>
      <c r="AV367"/>
      <c r="AW367">
        <v>29.47411</v>
      </c>
      <c r="AX367"/>
    </row>
    <row r="368" spans="1:50" x14ac:dyDescent="0.35">
      <c r="A368" s="75">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33.321530000000003</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16.393969999999999</v>
      </c>
      <c r="AN368">
        <v>13.395110000000001</v>
      </c>
      <c r="AO368"/>
      <c r="AP368">
        <v>6.8973490000000002</v>
      </c>
      <c r="AQ368"/>
      <c r="AR368"/>
      <c r="AS368"/>
      <c r="AT368"/>
      <c r="AU368">
        <v>29.812280000000001</v>
      </c>
      <c r="AV368"/>
      <c r="AW368">
        <v>29.721789999999999</v>
      </c>
      <c r="AX368"/>
    </row>
    <row r="369" spans="1:50" x14ac:dyDescent="0.35">
      <c r="A369" s="75">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33.521079999999998</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16.509810000000002</v>
      </c>
      <c r="AN369">
        <v>13.517580000000001</v>
      </c>
      <c r="AO369"/>
      <c r="AP369">
        <v>6.9931859999999997</v>
      </c>
      <c r="AQ369"/>
      <c r="AR369"/>
      <c r="AS369"/>
      <c r="AT369"/>
      <c r="AU369">
        <v>30.08652</v>
      </c>
      <c r="AV369"/>
      <c r="AW369">
        <v>30.010750000000002</v>
      </c>
      <c r="AX369"/>
    </row>
    <row r="370" spans="1:50" x14ac:dyDescent="0.35">
      <c r="A370" s="75">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33.891710000000003</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16.702159999999999</v>
      </c>
      <c r="AN370">
        <v>13.702719999999999</v>
      </c>
      <c r="AO370"/>
      <c r="AP370">
        <v>7.178833</v>
      </c>
      <c r="AQ370"/>
      <c r="AR370"/>
      <c r="AS370"/>
      <c r="AT370"/>
      <c r="AU370">
        <v>30.231339999999999</v>
      </c>
      <c r="AV370"/>
      <c r="AW370">
        <v>30.299720000000001</v>
      </c>
      <c r="AX370"/>
    </row>
    <row r="371" spans="1:50" x14ac:dyDescent="0.35">
      <c r="A371" s="75">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34.213929999999998</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16.909849999999999</v>
      </c>
      <c r="AN371">
        <v>13.920159999999999</v>
      </c>
      <c r="AO371"/>
      <c r="AP371">
        <v>7.366835</v>
      </c>
      <c r="AQ371"/>
      <c r="AR371"/>
      <c r="AS371"/>
      <c r="AT371"/>
      <c r="AU371">
        <v>30.605820000000001</v>
      </c>
      <c r="AV371"/>
      <c r="AW371">
        <v>30.58868</v>
      </c>
      <c r="AX371"/>
    </row>
    <row r="372" spans="1:50" x14ac:dyDescent="0.35">
      <c r="A372" s="75">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34.532089999999997</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17.102360000000001</v>
      </c>
      <c r="AN372">
        <v>14.10928</v>
      </c>
      <c r="AO372"/>
      <c r="AP372">
        <v>7.4379910000000002</v>
      </c>
      <c r="AQ372"/>
      <c r="AR372"/>
      <c r="AS372"/>
      <c r="AT372"/>
      <c r="AU372">
        <v>31.12265</v>
      </c>
      <c r="AV372"/>
      <c r="AW372">
        <v>30.9602</v>
      </c>
      <c r="AX372"/>
    </row>
    <row r="373" spans="1:50" x14ac:dyDescent="0.35">
      <c r="A373" s="75">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34.807130000000001</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17.264420000000001</v>
      </c>
      <c r="AN373">
        <v>14.257149999999999</v>
      </c>
      <c r="AO373"/>
      <c r="AP373">
        <v>7.5021009999999997</v>
      </c>
      <c r="AQ373"/>
      <c r="AR373"/>
      <c r="AS373"/>
      <c r="AT373"/>
      <c r="AU373">
        <v>31.440729999999999</v>
      </c>
      <c r="AV373"/>
      <c r="AW373">
        <v>31.24916</v>
      </c>
      <c r="AX373"/>
    </row>
    <row r="374" spans="1:50" x14ac:dyDescent="0.35">
      <c r="A374" s="75">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35.238860000000003</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17.546250000000001</v>
      </c>
      <c r="AN374">
        <v>14.521879999999999</v>
      </c>
      <c r="AO374"/>
      <c r="AP374">
        <v>7.5686989999999996</v>
      </c>
      <c r="AQ374"/>
      <c r="AR374"/>
      <c r="AS374"/>
      <c r="AT374"/>
      <c r="AU374">
        <v>32.14358</v>
      </c>
      <c r="AV374"/>
      <c r="AW374">
        <v>31.62068</v>
      </c>
      <c r="AX374"/>
    </row>
    <row r="375" spans="1:50" x14ac:dyDescent="0.35">
      <c r="A375" s="75">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35.598559999999999</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17.774640000000002</v>
      </c>
      <c r="AN375">
        <v>14.78314</v>
      </c>
      <c r="AO375"/>
      <c r="AP375">
        <v>7.7034339999999997</v>
      </c>
      <c r="AQ375"/>
      <c r="AR375"/>
      <c r="AS375"/>
      <c r="AT375"/>
      <c r="AU375">
        <v>32.615180000000002</v>
      </c>
      <c r="AV375"/>
      <c r="AW375">
        <v>31.909649999999999</v>
      </c>
      <c r="AX375"/>
    </row>
    <row r="376" spans="1:50" x14ac:dyDescent="0.35">
      <c r="A376" s="75">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35.969970000000004</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17.970859999999998</v>
      </c>
      <c r="AN376">
        <v>14.924429999999999</v>
      </c>
      <c r="AO376"/>
      <c r="AP376">
        <v>7.7791519999999998</v>
      </c>
      <c r="AQ376"/>
      <c r="AR376"/>
      <c r="AS376"/>
      <c r="AT376"/>
      <c r="AU376">
        <v>32.787689999999998</v>
      </c>
      <c r="AV376"/>
      <c r="AW376">
        <v>32.322450000000003</v>
      </c>
      <c r="AX376"/>
    </row>
    <row r="377" spans="1:50" x14ac:dyDescent="0.35">
      <c r="A377" s="75">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36.475900000000003</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18.231739999999999</v>
      </c>
      <c r="AN377">
        <v>15.164490000000001</v>
      </c>
      <c r="AO377"/>
      <c r="AP377">
        <v>7.829904</v>
      </c>
      <c r="AQ377"/>
      <c r="AR377"/>
      <c r="AS377"/>
      <c r="AT377"/>
      <c r="AU377">
        <v>33.034619999999997</v>
      </c>
      <c r="AV377"/>
      <c r="AW377">
        <v>32.735250000000001</v>
      </c>
      <c r="AX377"/>
    </row>
    <row r="378" spans="1:50" x14ac:dyDescent="0.35">
      <c r="A378" s="75">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36.85275</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18.404640000000001</v>
      </c>
      <c r="AN378">
        <v>15.247030000000001</v>
      </c>
      <c r="AO378"/>
      <c r="AP378">
        <v>7.8983059999999998</v>
      </c>
      <c r="AQ378"/>
      <c r="AR378"/>
      <c r="AS378"/>
      <c r="AT378"/>
      <c r="AU378">
        <v>33.132840000000002</v>
      </c>
      <c r="AV378"/>
      <c r="AW378">
        <v>33.106769999999997</v>
      </c>
      <c r="AX378"/>
    </row>
    <row r="379" spans="1:50" x14ac:dyDescent="0.35">
      <c r="A379" s="75">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37.163510000000002</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18.596589999999999</v>
      </c>
      <c r="AN379">
        <v>15.41046</v>
      </c>
      <c r="AO379"/>
      <c r="AP379">
        <v>7.9838769999999997</v>
      </c>
      <c r="AQ379"/>
      <c r="AR379"/>
      <c r="AS379"/>
      <c r="AT379"/>
      <c r="AU379">
        <v>33.175409999999999</v>
      </c>
      <c r="AV379"/>
      <c r="AW379">
        <v>33.478290000000001</v>
      </c>
      <c r="AX379"/>
    </row>
    <row r="380" spans="1:50" x14ac:dyDescent="0.35">
      <c r="A380" s="75">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37.265819999999998</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18.692329999999998</v>
      </c>
      <c r="AN380">
        <v>15.56001</v>
      </c>
      <c r="AO380"/>
      <c r="AP380">
        <v>8.0679230000000004</v>
      </c>
      <c r="AQ380"/>
      <c r="AR380"/>
      <c r="AS380"/>
      <c r="AT380"/>
      <c r="AU380">
        <v>33.404139999999998</v>
      </c>
      <c r="AV380"/>
      <c r="AW380">
        <v>33.395740000000004</v>
      </c>
      <c r="AX380"/>
    </row>
    <row r="381" spans="1:50" x14ac:dyDescent="0.35">
      <c r="A381" s="75">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37.436709999999998</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18.812149999999999</v>
      </c>
      <c r="AN381">
        <v>15.69927</v>
      </c>
      <c r="AO381"/>
      <c r="AP381">
        <v>8.1459259999999993</v>
      </c>
      <c r="AQ381"/>
      <c r="AR381"/>
      <c r="AS381"/>
      <c r="AT381"/>
      <c r="AU381">
        <v>33.584510000000002</v>
      </c>
      <c r="AV381"/>
      <c r="AW381">
        <v>33.560859999999998</v>
      </c>
      <c r="AX381"/>
    </row>
    <row r="382" spans="1:50" x14ac:dyDescent="0.35">
      <c r="A382" s="75">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37.835819999999998</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19.030560000000001</v>
      </c>
      <c r="AN382">
        <v>15.887650000000001</v>
      </c>
      <c r="AO382"/>
      <c r="AP382">
        <v>8.1314949999999993</v>
      </c>
      <c r="AQ382"/>
      <c r="AR382"/>
      <c r="AS382"/>
      <c r="AT382"/>
      <c r="AU382">
        <v>34.635559999999998</v>
      </c>
      <c r="AV382"/>
      <c r="AW382">
        <v>33.932380000000002</v>
      </c>
      <c r="AX382"/>
    </row>
    <row r="383" spans="1:50" x14ac:dyDescent="0.35">
      <c r="A383" s="75">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38.208979999999997</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19.256399999999999</v>
      </c>
      <c r="AN383">
        <v>16.07743</v>
      </c>
      <c r="AO383"/>
      <c r="AP383">
        <v>8.2710640000000009</v>
      </c>
      <c r="AQ383"/>
      <c r="AR383"/>
      <c r="AS383"/>
      <c r="AT383"/>
      <c r="AU383">
        <v>34.988289999999999</v>
      </c>
      <c r="AV383"/>
      <c r="AW383">
        <v>34.345179999999999</v>
      </c>
      <c r="AX383"/>
    </row>
    <row r="384" spans="1:50" x14ac:dyDescent="0.35">
      <c r="A384" s="75">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38.563299999999998</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19.44407</v>
      </c>
      <c r="AN384">
        <v>16.238900000000001</v>
      </c>
      <c r="AO384"/>
      <c r="AP384">
        <v>8.3674660000000003</v>
      </c>
      <c r="AQ384"/>
      <c r="AR384"/>
      <c r="AS384"/>
      <c r="AT384"/>
      <c r="AU384">
        <v>35.187440000000002</v>
      </c>
      <c r="AV384"/>
      <c r="AW384">
        <v>34.716709999999999</v>
      </c>
      <c r="AX384"/>
    </row>
    <row r="385" spans="1:50" x14ac:dyDescent="0.35">
      <c r="A385" s="75">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38.778100000000002</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19.606719999999999</v>
      </c>
      <c r="AN385">
        <v>16.36018</v>
      </c>
      <c r="AO385"/>
      <c r="AP385">
        <v>8.595618</v>
      </c>
      <c r="AQ385"/>
      <c r="AR385"/>
      <c r="AS385"/>
      <c r="AT385"/>
      <c r="AU385">
        <v>35.36195</v>
      </c>
      <c r="AV385"/>
      <c r="AW385">
        <v>35.046950000000002</v>
      </c>
      <c r="AX385"/>
    </row>
    <row r="386" spans="1:50" x14ac:dyDescent="0.35">
      <c r="A386" s="75">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39.05856</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19.794709999999998</v>
      </c>
      <c r="AN386">
        <v>16.545950000000001</v>
      </c>
      <c r="AO386"/>
      <c r="AP386">
        <v>8.8869369999999996</v>
      </c>
      <c r="AQ386"/>
      <c r="AR386"/>
      <c r="AS386"/>
      <c r="AT386"/>
      <c r="AU386">
        <v>35.77637</v>
      </c>
      <c r="AV386"/>
      <c r="AW386">
        <v>35.212069999999997</v>
      </c>
      <c r="AX386"/>
    </row>
    <row r="387" spans="1:50" x14ac:dyDescent="0.35">
      <c r="A387" s="75">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39.28886</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19.936219999999999</v>
      </c>
      <c r="AN387">
        <v>16.704910000000002</v>
      </c>
      <c r="AO387"/>
      <c r="AP387">
        <v>8.9845089999999992</v>
      </c>
      <c r="AQ387"/>
      <c r="AR387"/>
      <c r="AS387"/>
      <c r="AT387"/>
      <c r="AU387">
        <v>36.502580000000002</v>
      </c>
      <c r="AV387"/>
      <c r="AW387">
        <v>35.377189999999999</v>
      </c>
      <c r="AX387"/>
    </row>
    <row r="388" spans="1:50" x14ac:dyDescent="0.35">
      <c r="A388" s="75">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39.527209999999997</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20.083590000000001</v>
      </c>
      <c r="AN388">
        <v>16.857810000000001</v>
      </c>
      <c r="AO388"/>
      <c r="AP388">
        <v>9.0723749999999992</v>
      </c>
      <c r="AQ388"/>
      <c r="AR388"/>
      <c r="AS388"/>
      <c r="AT388"/>
      <c r="AU388">
        <v>36.735129999999998</v>
      </c>
      <c r="AV388"/>
      <c r="AW388">
        <v>35.542310000000001</v>
      </c>
      <c r="AX388"/>
    </row>
    <row r="389" spans="1:50" x14ac:dyDescent="0.35">
      <c r="A389" s="75">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39.951070000000001</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20.31551</v>
      </c>
      <c r="AN389">
        <v>17.080089999999998</v>
      </c>
      <c r="AO389"/>
      <c r="AP389">
        <v>9.195392</v>
      </c>
      <c r="AQ389"/>
      <c r="AR389"/>
      <c r="AS389"/>
      <c r="AT389"/>
      <c r="AU389">
        <v>37.041829999999997</v>
      </c>
      <c r="AV389"/>
      <c r="AW389">
        <v>35.831270000000004</v>
      </c>
      <c r="AX389"/>
    </row>
    <row r="390" spans="1:50" x14ac:dyDescent="0.35">
      <c r="A390" s="75">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40.371639999999999</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20.531079999999999</v>
      </c>
      <c r="AN390">
        <v>17.228560000000002</v>
      </c>
      <c r="AO390"/>
      <c r="AP390">
        <v>9.2565760000000008</v>
      </c>
      <c r="AQ390"/>
      <c r="AR390"/>
      <c r="AS390"/>
      <c r="AT390"/>
      <c r="AU390">
        <v>37.195129999999999</v>
      </c>
      <c r="AV390"/>
      <c r="AW390">
        <v>36.244070000000001</v>
      </c>
      <c r="AX390"/>
    </row>
    <row r="391" spans="1:50" x14ac:dyDescent="0.35">
      <c r="A391" s="75">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40.682200000000002</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20.71848</v>
      </c>
      <c r="AN391">
        <v>17.38054</v>
      </c>
      <c r="AO391"/>
      <c r="AP391">
        <v>9.3451170000000001</v>
      </c>
      <c r="AQ391"/>
      <c r="AR391"/>
      <c r="AS391"/>
      <c r="AT391"/>
      <c r="AU391">
        <v>37.333820000000003</v>
      </c>
      <c r="AV391"/>
      <c r="AW391">
        <v>36.615600000000001</v>
      </c>
      <c r="AX391"/>
    </row>
    <row r="392" spans="1:50" x14ac:dyDescent="0.35">
      <c r="A392" s="75">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41.043309999999998</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20.89959</v>
      </c>
      <c r="AN392">
        <v>17.473310000000001</v>
      </c>
      <c r="AO392"/>
      <c r="AP392">
        <v>9.4847619999999999</v>
      </c>
      <c r="AQ392"/>
      <c r="AR392"/>
      <c r="AS392"/>
      <c r="AT392"/>
      <c r="AU392">
        <v>37.499139999999997</v>
      </c>
      <c r="AV392"/>
      <c r="AW392">
        <v>37.110959999999999</v>
      </c>
      <c r="AX392"/>
    </row>
    <row r="393" spans="1:50" x14ac:dyDescent="0.35">
      <c r="A393" s="75">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41.29616</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21.04429</v>
      </c>
      <c r="AN393">
        <v>17.588740000000001</v>
      </c>
      <c r="AO393"/>
      <c r="AP393">
        <v>9.5957939999999997</v>
      </c>
      <c r="AQ393"/>
      <c r="AR393"/>
      <c r="AS393"/>
      <c r="AT393"/>
      <c r="AU393">
        <v>37.71528</v>
      </c>
      <c r="AV393"/>
      <c r="AW393">
        <v>37.441200000000002</v>
      </c>
      <c r="AX393"/>
    </row>
    <row r="394" spans="1:50" x14ac:dyDescent="0.35">
      <c r="A394" s="75">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41.767710000000001</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21.30472</v>
      </c>
      <c r="AN394">
        <v>17.790579999999999</v>
      </c>
      <c r="AO394"/>
      <c r="AP394">
        <v>9.7629180000000009</v>
      </c>
      <c r="AQ394"/>
      <c r="AR394"/>
      <c r="AS394"/>
      <c r="AT394"/>
      <c r="AU394">
        <v>38.037739999999999</v>
      </c>
      <c r="AV394"/>
      <c r="AW394">
        <v>37.936570000000003</v>
      </c>
      <c r="AX394"/>
    </row>
    <row r="395" spans="1:50" x14ac:dyDescent="0.35">
      <c r="A395" s="75">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42.069560000000003</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21.51567</v>
      </c>
      <c r="AN395">
        <v>18.018899999999999</v>
      </c>
      <c r="AO395"/>
      <c r="AP395">
        <v>9.9396979999999999</v>
      </c>
      <c r="AQ395"/>
      <c r="AR395"/>
      <c r="AS395"/>
      <c r="AT395"/>
      <c r="AU395">
        <v>38.157389999999999</v>
      </c>
      <c r="AV395"/>
      <c r="AW395">
        <v>38.101680000000002</v>
      </c>
      <c r="AX395"/>
    </row>
    <row r="396" spans="1:50" x14ac:dyDescent="0.35">
      <c r="A396" s="75">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42.331989999999998</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21.677969999999998</v>
      </c>
      <c r="AN396">
        <v>18.209510000000002</v>
      </c>
      <c r="AO396"/>
      <c r="AP396">
        <v>10.07981</v>
      </c>
      <c r="AQ396"/>
      <c r="AR396"/>
      <c r="AS396"/>
      <c r="AT396"/>
      <c r="AU396">
        <v>38.31964</v>
      </c>
      <c r="AV396"/>
      <c r="AW396">
        <v>38.26681</v>
      </c>
      <c r="AX396"/>
    </row>
    <row r="397" spans="1:50" x14ac:dyDescent="0.35">
      <c r="A397" s="75">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42.491489999999999</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21.799199999999999</v>
      </c>
      <c r="AN397">
        <v>18.33043</v>
      </c>
      <c r="AO397"/>
      <c r="AP397">
        <v>10.269170000000001</v>
      </c>
      <c r="AQ397"/>
      <c r="AR397"/>
      <c r="AS397"/>
      <c r="AT397"/>
      <c r="AU397">
        <v>38.119169999999997</v>
      </c>
      <c r="AV397"/>
      <c r="AW397">
        <v>38.390650000000001</v>
      </c>
      <c r="AX397"/>
    </row>
    <row r="398" spans="1:50" x14ac:dyDescent="0.35">
      <c r="A398" s="75">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42.660069999999997</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21.97824</v>
      </c>
      <c r="AN398">
        <v>18.54203</v>
      </c>
      <c r="AO398"/>
      <c r="AP398">
        <v>10.482799999999999</v>
      </c>
      <c r="AQ398"/>
      <c r="AR398"/>
      <c r="AS398"/>
      <c r="AT398"/>
      <c r="AU398">
        <v>38.873100000000001</v>
      </c>
      <c r="AV398"/>
      <c r="AW398">
        <v>38.473210000000002</v>
      </c>
      <c r="AX398"/>
    </row>
    <row r="399" spans="1:50" x14ac:dyDescent="0.35">
      <c r="A399" s="75">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42.847900000000003</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22.122969999999999</v>
      </c>
      <c r="AN399">
        <v>18.670159999999999</v>
      </c>
      <c r="AO399"/>
      <c r="AP399">
        <v>10.687379999999999</v>
      </c>
      <c r="AQ399"/>
      <c r="AR399"/>
      <c r="AS399"/>
      <c r="AT399"/>
      <c r="AU399">
        <v>39.36683</v>
      </c>
      <c r="AV399"/>
      <c r="AW399">
        <v>38.597050000000003</v>
      </c>
      <c r="AX399"/>
    </row>
    <row r="400" spans="1:50" x14ac:dyDescent="0.35">
      <c r="A400" s="75">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43.021160000000002</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22.279019999999999</v>
      </c>
      <c r="AN400">
        <v>18.823650000000001</v>
      </c>
      <c r="AO400"/>
      <c r="AP400">
        <v>10.828279999999999</v>
      </c>
      <c r="AQ400"/>
      <c r="AR400"/>
      <c r="AS400"/>
      <c r="AT400"/>
      <c r="AU400">
        <v>39.383209999999998</v>
      </c>
      <c r="AV400"/>
      <c r="AW400">
        <v>38.679609999999997</v>
      </c>
      <c r="AX400"/>
    </row>
    <row r="401" spans="1:50" x14ac:dyDescent="0.35">
      <c r="A401" s="75">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43.398269999999997</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22.545539999999999</v>
      </c>
      <c r="AN401">
        <v>19.013369999999998</v>
      </c>
      <c r="AO401"/>
      <c r="AP401">
        <v>11.043530000000001</v>
      </c>
      <c r="AQ401"/>
      <c r="AR401"/>
      <c r="AS401"/>
      <c r="AT401"/>
      <c r="AU401">
        <v>39.669960000000003</v>
      </c>
      <c r="AV401"/>
      <c r="AW401">
        <v>39.00985</v>
      </c>
      <c r="AX401"/>
    </row>
    <row r="402" spans="1:50" x14ac:dyDescent="0.35">
      <c r="A402" s="75">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43.781089999999999</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22.800660000000001</v>
      </c>
      <c r="AN402">
        <v>19.16038</v>
      </c>
      <c r="AO402"/>
      <c r="AP402">
        <v>11.113530000000001</v>
      </c>
      <c r="AQ402"/>
      <c r="AR402"/>
      <c r="AS402"/>
      <c r="AT402"/>
      <c r="AU402">
        <v>39.903910000000003</v>
      </c>
      <c r="AV402"/>
      <c r="AW402">
        <v>39.381369999999997</v>
      </c>
      <c r="AX402"/>
    </row>
    <row r="403" spans="1:50" x14ac:dyDescent="0.35">
      <c r="A403" s="75">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44.10848</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23.051269999999999</v>
      </c>
      <c r="AN403">
        <v>19.335470000000001</v>
      </c>
      <c r="AO403"/>
      <c r="AP403">
        <v>11.255940000000001</v>
      </c>
      <c r="AQ403"/>
      <c r="AR403"/>
      <c r="AS403"/>
      <c r="AT403"/>
      <c r="AU403">
        <v>39.973799999999997</v>
      </c>
      <c r="AV403"/>
      <c r="AW403">
        <v>39.752899999999997</v>
      </c>
      <c r="AX403"/>
    </row>
    <row r="404" spans="1:50" x14ac:dyDescent="0.35">
      <c r="A404" s="75">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44.256630000000001</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23.211179999999999</v>
      </c>
      <c r="AN404">
        <v>19.421779999999998</v>
      </c>
      <c r="AO404"/>
      <c r="AP404">
        <v>11.32424</v>
      </c>
      <c r="AQ404"/>
      <c r="AR404"/>
      <c r="AS404"/>
      <c r="AT404"/>
      <c r="AU404">
        <v>40.130380000000002</v>
      </c>
      <c r="AV404"/>
      <c r="AW404">
        <v>39.918019999999999</v>
      </c>
      <c r="AX404"/>
    </row>
    <row r="405" spans="1:50" x14ac:dyDescent="0.35">
      <c r="A405" s="75">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44.418460000000003</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23.434239999999999</v>
      </c>
      <c r="AN405">
        <v>19.516649999999998</v>
      </c>
      <c r="AO405"/>
      <c r="AP405">
        <v>11.450150000000001</v>
      </c>
      <c r="AQ405"/>
      <c r="AR405"/>
      <c r="AS405"/>
      <c r="AT405"/>
      <c r="AU405">
        <v>40.220359999999999</v>
      </c>
      <c r="AV405"/>
      <c r="AW405">
        <v>40.08314</v>
      </c>
      <c r="AX405"/>
    </row>
    <row r="406" spans="1:50" x14ac:dyDescent="0.35">
      <c r="A406" s="75">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44.633339999999997</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23.658159999999999</v>
      </c>
      <c r="AN406">
        <v>19.67681</v>
      </c>
      <c r="AO406"/>
      <c r="AP406">
        <v>11.57222</v>
      </c>
      <c r="AQ406"/>
      <c r="AR406"/>
      <c r="AS406"/>
      <c r="AT406"/>
      <c r="AU406">
        <v>40.482019999999999</v>
      </c>
      <c r="AV406"/>
      <c r="AW406">
        <v>40.165700000000001</v>
      </c>
      <c r="AX406"/>
    </row>
    <row r="407" spans="1:50" x14ac:dyDescent="0.35">
      <c r="A407" s="75">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44.886629999999997</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23.89696</v>
      </c>
      <c r="AN407">
        <v>19.852150000000002</v>
      </c>
      <c r="AO407"/>
      <c r="AP407">
        <v>11.73133</v>
      </c>
      <c r="AQ407"/>
      <c r="AR407"/>
      <c r="AS407"/>
      <c r="AT407"/>
      <c r="AU407">
        <v>40.919170000000001</v>
      </c>
      <c r="AV407"/>
      <c r="AW407">
        <v>40.330820000000003</v>
      </c>
      <c r="AX407"/>
    </row>
    <row r="408" spans="1:50" x14ac:dyDescent="0.35">
      <c r="A408" s="75">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44.975490000000001</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24.067740000000001</v>
      </c>
      <c r="AN408">
        <v>20.013000000000002</v>
      </c>
      <c r="AO408"/>
      <c r="AP408">
        <v>11.83155</v>
      </c>
      <c r="AQ408"/>
      <c r="AR408"/>
      <c r="AS408"/>
      <c r="AT408"/>
      <c r="AU408">
        <v>41.267139999999998</v>
      </c>
      <c r="AV408"/>
      <c r="AW408">
        <v>40.289540000000002</v>
      </c>
      <c r="AX408"/>
    </row>
    <row r="409" spans="1:50" x14ac:dyDescent="0.35">
      <c r="A409" s="75">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44.968220000000002</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24.273520000000001</v>
      </c>
      <c r="AN409">
        <v>20.14284</v>
      </c>
      <c r="AO409"/>
      <c r="AP409">
        <v>11.99817</v>
      </c>
      <c r="AQ409"/>
      <c r="AR409"/>
      <c r="AS409"/>
      <c r="AT409"/>
      <c r="AU409">
        <v>41.472360000000002</v>
      </c>
      <c r="AV409"/>
      <c r="AW409">
        <v>40.124420000000001</v>
      </c>
      <c r="AX409"/>
    </row>
    <row r="410" spans="1:50" x14ac:dyDescent="0.35">
      <c r="A410" s="75">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45.125450000000001</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24.559740000000001</v>
      </c>
      <c r="AN410">
        <v>20.343119999999999</v>
      </c>
      <c r="AO410"/>
      <c r="AP410">
        <v>12.43412</v>
      </c>
      <c r="AQ410"/>
      <c r="AR410"/>
      <c r="AS410"/>
      <c r="AT410"/>
      <c r="AU410">
        <v>42.407739999999997</v>
      </c>
      <c r="AV410"/>
      <c r="AW410">
        <v>40.289540000000002</v>
      </c>
      <c r="AX410"/>
    </row>
    <row r="411" spans="1:50" x14ac:dyDescent="0.35">
      <c r="A411" s="75">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45.284999999999997</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24.740559999999999</v>
      </c>
      <c r="AN411">
        <v>20.503789999999999</v>
      </c>
      <c r="AO411"/>
      <c r="AP411">
        <v>12.67178</v>
      </c>
      <c r="AQ411"/>
      <c r="AR411"/>
      <c r="AS411"/>
      <c r="AT411"/>
      <c r="AU411">
        <v>42.39828</v>
      </c>
      <c r="AV411"/>
      <c r="AW411">
        <v>40.413379999999997</v>
      </c>
      <c r="AX411"/>
    </row>
    <row r="412" spans="1:50" x14ac:dyDescent="0.35">
      <c r="A412" s="75">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45.459530000000001</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24.926279999999998</v>
      </c>
      <c r="AN412">
        <v>20.667000000000002</v>
      </c>
      <c r="AO412"/>
      <c r="AP412">
        <v>12.879899999999999</v>
      </c>
      <c r="AQ412"/>
      <c r="AR412"/>
      <c r="AS412"/>
      <c r="AT412"/>
      <c r="AU412">
        <v>42.627090000000003</v>
      </c>
      <c r="AV412"/>
      <c r="AW412">
        <v>40.495939999999997</v>
      </c>
      <c r="AX412"/>
    </row>
    <row r="413" spans="1:50" x14ac:dyDescent="0.35">
      <c r="A413" s="75">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45.769590000000001</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25.183489999999999</v>
      </c>
      <c r="AN413">
        <v>20.8627</v>
      </c>
      <c r="AO413"/>
      <c r="AP413">
        <v>13.110849999999999</v>
      </c>
      <c r="AQ413"/>
      <c r="AR413"/>
      <c r="AS413"/>
      <c r="AT413"/>
      <c r="AU413">
        <v>43.01164</v>
      </c>
      <c r="AV413"/>
      <c r="AW413">
        <v>40.70234</v>
      </c>
      <c r="AX413"/>
    </row>
    <row r="414" spans="1:50" x14ac:dyDescent="0.35">
      <c r="A414" s="75">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45.967689999999997</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25.356570000000001</v>
      </c>
      <c r="AN414">
        <v>20.979330000000001</v>
      </c>
      <c r="AO414"/>
      <c r="AP414">
        <v>13.17557</v>
      </c>
      <c r="AQ414"/>
      <c r="AR414"/>
      <c r="AS414"/>
      <c r="AT414"/>
      <c r="AU414">
        <v>43.21763</v>
      </c>
      <c r="AV414"/>
      <c r="AW414">
        <v>40.7849</v>
      </c>
      <c r="AX414"/>
    </row>
    <row r="415" spans="1:50" x14ac:dyDescent="0.35">
      <c r="A415" s="75">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46.10331</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25.512090000000001</v>
      </c>
      <c r="AN415">
        <v>21.10614</v>
      </c>
      <c r="AO415"/>
      <c r="AP415">
        <v>13.38264</v>
      </c>
      <c r="AQ415"/>
      <c r="AR415"/>
      <c r="AS415"/>
      <c r="AT415"/>
      <c r="AU415">
        <v>43.426470000000002</v>
      </c>
      <c r="AV415"/>
      <c r="AW415">
        <v>40.908740000000002</v>
      </c>
      <c r="AX415"/>
    </row>
    <row r="416" spans="1:50" x14ac:dyDescent="0.35">
      <c r="A416" s="75">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46.318750000000001</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25.706140000000001</v>
      </c>
      <c r="AN416">
        <v>21.239909999999998</v>
      </c>
      <c r="AO416"/>
      <c r="AP416">
        <v>13.61411</v>
      </c>
      <c r="AQ416"/>
      <c r="AR416"/>
      <c r="AS416"/>
      <c r="AT416"/>
      <c r="AU416">
        <v>43.640329999999999</v>
      </c>
      <c r="AV416"/>
      <c r="AW416">
        <v>41.11515</v>
      </c>
      <c r="AX416"/>
    </row>
    <row r="417" spans="1:50" x14ac:dyDescent="0.35">
      <c r="A417" s="75">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46.447200000000002</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25.861080000000001</v>
      </c>
      <c r="AN417">
        <v>21.357790000000001</v>
      </c>
      <c r="AO417"/>
      <c r="AP417">
        <v>13.91741</v>
      </c>
      <c r="AQ417"/>
      <c r="AR417"/>
      <c r="AS417"/>
      <c r="AT417"/>
      <c r="AU417">
        <v>43.78857</v>
      </c>
      <c r="AV417"/>
      <c r="AW417">
        <v>41.280270000000002</v>
      </c>
      <c r="AX417"/>
    </row>
    <row r="418" spans="1:50" x14ac:dyDescent="0.35">
      <c r="A418" s="75">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46.797069999999998</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26.112580000000001</v>
      </c>
      <c r="AN418">
        <v>21.529910000000001</v>
      </c>
      <c r="AO418"/>
      <c r="AP418">
        <v>14.24301</v>
      </c>
      <c r="AQ418"/>
      <c r="AR418"/>
      <c r="AS418"/>
      <c r="AT418"/>
      <c r="AU418">
        <v>44.151859999999999</v>
      </c>
      <c r="AV418"/>
      <c r="AW418">
        <v>41.569229999999997</v>
      </c>
      <c r="AX418"/>
    </row>
    <row r="419" spans="1:50" x14ac:dyDescent="0.35">
      <c r="A419" s="75">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47.096269999999997</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26.38128</v>
      </c>
      <c r="AN419">
        <v>21.755400000000002</v>
      </c>
      <c r="AO419"/>
      <c r="AP419">
        <v>14.50295</v>
      </c>
      <c r="AQ419"/>
      <c r="AR419"/>
      <c r="AS419"/>
      <c r="AT419"/>
      <c r="AU419">
        <v>44.527340000000002</v>
      </c>
      <c r="AV419"/>
      <c r="AW419">
        <v>41.81691</v>
      </c>
      <c r="AX419"/>
    </row>
    <row r="420" spans="1:50" x14ac:dyDescent="0.35">
      <c r="A420" s="75">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47.300629999999998</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26.623380000000001</v>
      </c>
      <c r="AN420">
        <v>21.940049999999999</v>
      </c>
      <c r="AO420"/>
      <c r="AP420">
        <v>14.750920000000001</v>
      </c>
      <c r="AQ420"/>
      <c r="AR420"/>
      <c r="AS420"/>
      <c r="AT420"/>
      <c r="AU420">
        <v>44.837359999999997</v>
      </c>
      <c r="AV420"/>
      <c r="AW420">
        <v>42.023310000000002</v>
      </c>
      <c r="AX420"/>
    </row>
    <row r="421" spans="1:50" x14ac:dyDescent="0.35">
      <c r="A421" s="75">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47.354469999999999</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26.772290000000002</v>
      </c>
      <c r="AN421">
        <v>22.070979999999999</v>
      </c>
      <c r="AO421"/>
      <c r="AP421">
        <v>15.112679999999999</v>
      </c>
      <c r="AQ421"/>
      <c r="AR421"/>
      <c r="AS421"/>
      <c r="AT421"/>
      <c r="AU421">
        <v>45.202959999999997</v>
      </c>
      <c r="AV421"/>
      <c r="AW421">
        <v>42.064590000000003</v>
      </c>
      <c r="AX421"/>
    </row>
    <row r="422" spans="1:50" x14ac:dyDescent="0.35">
      <c r="A422" s="75">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47.512949999999996</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26.95269</v>
      </c>
      <c r="AN422">
        <v>22.23593</v>
      </c>
      <c r="AO422"/>
      <c r="AP422">
        <v>15.51385</v>
      </c>
      <c r="AQ422"/>
      <c r="AR422"/>
      <c r="AS422"/>
      <c r="AT422"/>
      <c r="AU422">
        <v>45.643360000000001</v>
      </c>
      <c r="AV422"/>
      <c r="AW422">
        <v>42.229709999999997</v>
      </c>
      <c r="AX422"/>
    </row>
    <row r="423" spans="1:50" x14ac:dyDescent="0.35">
      <c r="A423" s="75">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47.679479999999998</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27.113510000000002</v>
      </c>
      <c r="AN423">
        <v>22.364940000000001</v>
      </c>
      <c r="AO423"/>
      <c r="AP423">
        <v>15.82142</v>
      </c>
      <c r="AQ423"/>
      <c r="AR423"/>
      <c r="AS423"/>
      <c r="AT423"/>
      <c r="AU423">
        <v>45.882829999999998</v>
      </c>
      <c r="AV423"/>
      <c r="AW423">
        <v>42.353549999999998</v>
      </c>
      <c r="AX423"/>
    </row>
    <row r="424" spans="1:50" x14ac:dyDescent="0.35">
      <c r="A424" s="75">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47.84843</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27.283930000000002</v>
      </c>
      <c r="AN424">
        <v>22.506260000000001</v>
      </c>
      <c r="AO424"/>
      <c r="AP424">
        <v>16.170829999999999</v>
      </c>
      <c r="AQ424"/>
      <c r="AR424"/>
      <c r="AS424"/>
      <c r="AT424"/>
      <c r="AU424">
        <v>46.129379999999998</v>
      </c>
      <c r="AV424"/>
      <c r="AW424">
        <v>42.51867</v>
      </c>
      <c r="AX424"/>
    </row>
    <row r="425" spans="1:50" x14ac:dyDescent="0.35">
      <c r="A425" s="75">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48.119140000000002</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27.497969999999999</v>
      </c>
      <c r="AN425">
        <v>22.690570000000001</v>
      </c>
      <c r="AO425"/>
      <c r="AP425">
        <v>16.56897</v>
      </c>
      <c r="AQ425"/>
      <c r="AR425"/>
      <c r="AS425"/>
      <c r="AT425"/>
      <c r="AU425">
        <v>46.501429999999999</v>
      </c>
      <c r="AV425"/>
      <c r="AW425">
        <v>42.725070000000002</v>
      </c>
      <c r="AX425"/>
    </row>
    <row r="426" spans="1:50" x14ac:dyDescent="0.35">
      <c r="A426" s="75">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48.373860000000001</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27.681049999999999</v>
      </c>
      <c r="AN426">
        <v>22.812480000000001</v>
      </c>
      <c r="AO426"/>
      <c r="AP426">
        <v>16.642389999999999</v>
      </c>
      <c r="AQ426"/>
      <c r="AR426"/>
      <c r="AS426"/>
      <c r="AT426"/>
      <c r="AU426">
        <v>46.647190000000002</v>
      </c>
      <c r="AV426"/>
      <c r="AW426">
        <v>42.8902</v>
      </c>
      <c r="AX426"/>
    </row>
    <row r="427" spans="1:50" x14ac:dyDescent="0.35">
      <c r="A427" s="75">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48.49371</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27.85765</v>
      </c>
      <c r="AN427">
        <v>23.01904</v>
      </c>
      <c r="AO427"/>
      <c r="AP427">
        <v>17.08203</v>
      </c>
      <c r="AQ427"/>
      <c r="AR427"/>
      <c r="AS427"/>
      <c r="AT427"/>
      <c r="AU427">
        <v>46.645859999999999</v>
      </c>
      <c r="AV427"/>
      <c r="AW427">
        <v>43.014040000000001</v>
      </c>
      <c r="AX427"/>
    </row>
    <row r="428" spans="1:50" x14ac:dyDescent="0.35">
      <c r="A428" s="75">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48.613439999999997</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27.97982</v>
      </c>
      <c r="AN428">
        <v>23.0702</v>
      </c>
      <c r="AO428"/>
      <c r="AP428">
        <v>17.37735</v>
      </c>
      <c r="AQ428"/>
      <c r="AR428"/>
      <c r="AS428"/>
      <c r="AT428"/>
      <c r="AU428">
        <v>46.918799999999997</v>
      </c>
      <c r="AV428"/>
      <c r="AW428">
        <v>43.179160000000003</v>
      </c>
      <c r="AX428"/>
    </row>
    <row r="429" spans="1:50" x14ac:dyDescent="0.35">
      <c r="A429" s="75">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48.751429999999999</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28.113579999999999</v>
      </c>
      <c r="AN429">
        <v>23.193190000000001</v>
      </c>
      <c r="AO429"/>
      <c r="AP429">
        <v>17.606300000000001</v>
      </c>
      <c r="AQ429"/>
      <c r="AR429"/>
      <c r="AS429"/>
      <c r="AT429"/>
      <c r="AU429">
        <v>47.064500000000002</v>
      </c>
      <c r="AV429"/>
      <c r="AW429">
        <v>43.385559999999998</v>
      </c>
      <c r="AX429"/>
    </row>
    <row r="430" spans="1:50" x14ac:dyDescent="0.35">
      <c r="A430" s="75">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49.085709999999999</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28.375119999999999</v>
      </c>
      <c r="AN430">
        <v>23.37424</v>
      </c>
      <c r="AO430"/>
      <c r="AP430">
        <v>17.774619999999999</v>
      </c>
      <c r="AQ430"/>
      <c r="AR430"/>
      <c r="AS430"/>
      <c r="AT430"/>
      <c r="AU430">
        <v>47.39284</v>
      </c>
      <c r="AV430"/>
      <c r="AW430">
        <v>43.674520000000001</v>
      </c>
      <c r="AX430"/>
    </row>
    <row r="431" spans="1:50" x14ac:dyDescent="0.35">
      <c r="A431" s="75">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49.359279999999998</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28.628440000000001</v>
      </c>
      <c r="AN431">
        <v>23.60155</v>
      </c>
      <c r="AO431"/>
      <c r="AP431">
        <v>18.035979999999999</v>
      </c>
      <c r="AQ431"/>
      <c r="AR431"/>
      <c r="AS431"/>
      <c r="AT431"/>
      <c r="AU431">
        <v>47.852960000000003</v>
      </c>
      <c r="AV431"/>
      <c r="AW431">
        <v>43.880920000000003</v>
      </c>
      <c r="AX431"/>
    </row>
    <row r="432" spans="1:50" x14ac:dyDescent="0.35">
      <c r="A432" s="75">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49.483989999999999</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28.78715</v>
      </c>
      <c r="AN432">
        <v>23.761230000000001</v>
      </c>
      <c r="AO432"/>
      <c r="AP432">
        <v>18.351780000000002</v>
      </c>
      <c r="AQ432"/>
      <c r="AR432"/>
      <c r="AS432"/>
      <c r="AT432"/>
      <c r="AU432">
        <v>48.165129999999998</v>
      </c>
      <c r="AV432"/>
      <c r="AW432">
        <v>43.963479999999997</v>
      </c>
      <c r="AX432"/>
    </row>
    <row r="433" spans="1:50" x14ac:dyDescent="0.35">
      <c r="A433" s="75">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49.575949999999999</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28.936170000000001</v>
      </c>
      <c r="AN433">
        <v>23.891559999999998</v>
      </c>
      <c r="AO433"/>
      <c r="AP433">
        <v>18.563220000000001</v>
      </c>
      <c r="AQ433"/>
      <c r="AR433"/>
      <c r="AS433"/>
      <c r="AT433"/>
      <c r="AU433">
        <v>48.707590000000003</v>
      </c>
      <c r="AV433"/>
      <c r="AW433">
        <v>44.046039999999998</v>
      </c>
      <c r="AX433"/>
    </row>
    <row r="434" spans="1:50" x14ac:dyDescent="0.35">
      <c r="A434" s="75">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49.702060000000003</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29.153980000000001</v>
      </c>
      <c r="AN434">
        <v>24.118269999999999</v>
      </c>
      <c r="AO434"/>
      <c r="AP434">
        <v>19.227820000000001</v>
      </c>
      <c r="AQ434"/>
      <c r="AR434"/>
      <c r="AS434"/>
      <c r="AT434"/>
      <c r="AU434">
        <v>48.95064</v>
      </c>
      <c r="AV434"/>
      <c r="AW434">
        <v>44.128599999999999</v>
      </c>
      <c r="AX434"/>
    </row>
    <row r="435" spans="1:50" x14ac:dyDescent="0.35">
      <c r="A435" s="75">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49.922020000000003</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29.343240000000002</v>
      </c>
      <c r="AN435">
        <v>24.289729999999999</v>
      </c>
      <c r="AO435"/>
      <c r="AP435">
        <v>19.723960000000002</v>
      </c>
      <c r="AQ435"/>
      <c r="AR435"/>
      <c r="AS435"/>
      <c r="AT435"/>
      <c r="AU435">
        <v>49.205440000000003</v>
      </c>
      <c r="AV435"/>
      <c r="AW435">
        <v>44.335009999999997</v>
      </c>
      <c r="AX435"/>
    </row>
    <row r="436" spans="1:50" x14ac:dyDescent="0.35">
      <c r="A436" s="75">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50.152360000000002</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29.56231</v>
      </c>
      <c r="AN436">
        <v>24.486750000000001</v>
      </c>
      <c r="AO436"/>
      <c r="AP436">
        <v>20.058450000000001</v>
      </c>
      <c r="AQ436"/>
      <c r="AR436"/>
      <c r="AS436"/>
      <c r="AT436"/>
      <c r="AU436">
        <v>49.498170000000002</v>
      </c>
      <c r="AV436"/>
      <c r="AW436">
        <v>44.541409999999999</v>
      </c>
      <c r="AX436"/>
    </row>
    <row r="437" spans="1:50" x14ac:dyDescent="0.35">
      <c r="A437" s="75">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50.432670000000002</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29.773969999999998</v>
      </c>
      <c r="AN437">
        <v>24.671869999999998</v>
      </c>
      <c r="AO437"/>
      <c r="AP437">
        <v>20.291550000000001</v>
      </c>
      <c r="AQ437"/>
      <c r="AR437"/>
      <c r="AS437"/>
      <c r="AT437"/>
      <c r="AU437">
        <v>49.733089999999997</v>
      </c>
      <c r="AV437"/>
      <c r="AW437">
        <v>44.66525</v>
      </c>
      <c r="AX437"/>
    </row>
    <row r="438" spans="1:50" x14ac:dyDescent="0.35">
      <c r="A438" s="75">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50.62847</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29.943300000000001</v>
      </c>
      <c r="AN438">
        <v>24.81241</v>
      </c>
      <c r="AO438"/>
      <c r="AP438">
        <v>20.514790000000001</v>
      </c>
      <c r="AQ438"/>
      <c r="AR438"/>
      <c r="AS438"/>
      <c r="AT438"/>
      <c r="AU438">
        <v>50.348550000000003</v>
      </c>
      <c r="AV438"/>
      <c r="AW438">
        <v>44.830370000000002</v>
      </c>
      <c r="AX438"/>
    </row>
    <row r="439" spans="1:50" x14ac:dyDescent="0.35">
      <c r="A439" s="75">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50.741259999999997</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30.079879999999999</v>
      </c>
      <c r="AN439">
        <v>24.946909999999999</v>
      </c>
      <c r="AO439"/>
      <c r="AP439">
        <v>20.65043</v>
      </c>
      <c r="AQ439"/>
      <c r="AR439"/>
      <c r="AS439"/>
      <c r="AT439"/>
      <c r="AU439">
        <v>50.208919999999999</v>
      </c>
      <c r="AV439"/>
      <c r="AW439">
        <v>44.912930000000003</v>
      </c>
      <c r="AX439"/>
    </row>
    <row r="440" spans="1:50" x14ac:dyDescent="0.35">
      <c r="A440" s="75">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50.842210000000001</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30.21997</v>
      </c>
      <c r="AN440">
        <v>25.018550000000001</v>
      </c>
      <c r="AO440"/>
      <c r="AP440">
        <v>20.79561</v>
      </c>
      <c r="AQ440"/>
      <c r="AR440"/>
      <c r="AS440"/>
      <c r="AT440"/>
      <c r="AU440">
        <v>50.023029999999999</v>
      </c>
      <c r="AV440"/>
      <c r="AW440">
        <v>44.995489999999997</v>
      </c>
      <c r="AX440"/>
    </row>
    <row r="441" spans="1:50" x14ac:dyDescent="0.35">
      <c r="A441" s="75">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50.939509999999999</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30.35773</v>
      </c>
      <c r="AN441">
        <v>25.074149999999999</v>
      </c>
      <c r="AO441"/>
      <c r="AP441">
        <v>20.900259999999999</v>
      </c>
      <c r="AQ441"/>
      <c r="AR441"/>
      <c r="AS441"/>
      <c r="AT441"/>
      <c r="AU441">
        <v>50.126159999999999</v>
      </c>
      <c r="AV441"/>
      <c r="AW441">
        <v>45.160609999999998</v>
      </c>
      <c r="AX441"/>
    </row>
    <row r="442" spans="1:50" x14ac:dyDescent="0.35">
      <c r="A442" s="75">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51.142829999999996</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30.58436</v>
      </c>
      <c r="AN442">
        <v>25.216100000000001</v>
      </c>
      <c r="AO442"/>
      <c r="AP442">
        <v>21.022629999999999</v>
      </c>
      <c r="AQ442"/>
      <c r="AR442"/>
      <c r="AS442"/>
      <c r="AT442"/>
      <c r="AU442">
        <v>50.411940000000001</v>
      </c>
      <c r="AV442"/>
      <c r="AW442">
        <v>45.408290000000001</v>
      </c>
      <c r="AX442"/>
    </row>
    <row r="443" spans="1:50" x14ac:dyDescent="0.35">
      <c r="A443" s="75">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51.437159999999999</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30.897410000000001</v>
      </c>
      <c r="AN443">
        <v>25.482060000000001</v>
      </c>
      <c r="AO443"/>
      <c r="AP443">
        <v>21.389320000000001</v>
      </c>
      <c r="AQ443"/>
      <c r="AR443"/>
      <c r="AS443"/>
      <c r="AT443"/>
      <c r="AU443">
        <v>50.926830000000002</v>
      </c>
      <c r="AV443"/>
      <c r="AW443">
        <v>45.697249999999997</v>
      </c>
      <c r="AX443"/>
    </row>
    <row r="444" spans="1:50" x14ac:dyDescent="0.35">
      <c r="A444" s="75">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51.611820000000002</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31.149570000000001</v>
      </c>
      <c r="AN444">
        <v>25.709540000000001</v>
      </c>
      <c r="AO444"/>
      <c r="AP444">
        <v>21.7074</v>
      </c>
      <c r="AQ444"/>
      <c r="AR444"/>
      <c r="AS444"/>
      <c r="AT444"/>
      <c r="AU444">
        <v>51.221649999999997</v>
      </c>
      <c r="AV444"/>
      <c r="AW444">
        <v>45.903660000000002</v>
      </c>
      <c r="AX444"/>
    </row>
    <row r="445" spans="1:50" x14ac:dyDescent="0.35">
      <c r="A445" s="75">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51.682969999999997</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31.342279999999999</v>
      </c>
      <c r="AN445">
        <v>25.844180000000001</v>
      </c>
      <c r="AO445"/>
      <c r="AP445">
        <v>22.089739999999999</v>
      </c>
      <c r="AQ445"/>
      <c r="AR445"/>
      <c r="AS445"/>
      <c r="AT445"/>
      <c r="AU445">
        <v>51.416150000000002</v>
      </c>
      <c r="AV445"/>
      <c r="AW445">
        <v>45.944929999999999</v>
      </c>
      <c r="AX445"/>
    </row>
    <row r="446" spans="1:50" x14ac:dyDescent="0.35">
      <c r="A446" s="75">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51.808500000000002</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31.591529999999999</v>
      </c>
      <c r="AN446">
        <v>26.04851</v>
      </c>
      <c r="AO446"/>
      <c r="AP446">
        <v>22.88617</v>
      </c>
      <c r="AQ446"/>
      <c r="AR446"/>
      <c r="AS446"/>
      <c r="AT446"/>
      <c r="AU446">
        <v>51.916409999999999</v>
      </c>
      <c r="AV446"/>
      <c r="AW446">
        <v>46.068779999999997</v>
      </c>
      <c r="AX446"/>
    </row>
    <row r="447" spans="1:50" x14ac:dyDescent="0.35">
      <c r="A447" s="75">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51.942990000000002</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31.75591</v>
      </c>
      <c r="AN447">
        <v>26.151209999999999</v>
      </c>
      <c r="AO447"/>
      <c r="AP447">
        <v>23.194769999999998</v>
      </c>
      <c r="AQ447"/>
      <c r="AR447"/>
      <c r="AS447"/>
      <c r="AT447"/>
      <c r="AU447">
        <v>51.914999999999999</v>
      </c>
      <c r="AV447"/>
      <c r="AW447">
        <v>46.192619999999998</v>
      </c>
      <c r="AX447"/>
    </row>
    <row r="448" spans="1:50" x14ac:dyDescent="0.35">
      <c r="A448" s="75">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52.090429999999998</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31.943090000000002</v>
      </c>
      <c r="AN448">
        <v>26.271180000000001</v>
      </c>
      <c r="AO448"/>
      <c r="AP448">
        <v>23.455580000000001</v>
      </c>
      <c r="AQ448"/>
      <c r="AR448"/>
      <c r="AS448"/>
      <c r="AT448"/>
      <c r="AU448">
        <v>51.96414</v>
      </c>
      <c r="AV448"/>
      <c r="AW448">
        <v>46.35774</v>
      </c>
      <c r="AX448"/>
    </row>
    <row r="449" spans="1:50" x14ac:dyDescent="0.35">
      <c r="A449" s="75">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52.330440000000003</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32.17398</v>
      </c>
      <c r="AN449">
        <v>26.411940000000001</v>
      </c>
      <c r="AO449"/>
      <c r="AP449">
        <v>23.681889999999999</v>
      </c>
      <c r="AQ449"/>
      <c r="AR449"/>
      <c r="AS449"/>
      <c r="AT449"/>
      <c r="AU449">
        <v>52.331699999999998</v>
      </c>
      <c r="AV449"/>
      <c r="AW449">
        <v>46.522860000000001</v>
      </c>
      <c r="AX449"/>
    </row>
    <row r="450" spans="1:50" x14ac:dyDescent="0.35">
      <c r="A450" s="75">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52.474040000000002</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32.33728</v>
      </c>
      <c r="AN450">
        <v>26.49005</v>
      </c>
      <c r="AO450"/>
      <c r="AP450">
        <v>23.742529999999999</v>
      </c>
      <c r="AQ450"/>
      <c r="AR450"/>
      <c r="AS450"/>
      <c r="AT450"/>
      <c r="AU450">
        <v>52.317770000000003</v>
      </c>
      <c r="AV450"/>
      <c r="AW450">
        <v>46.605420000000002</v>
      </c>
      <c r="AX450"/>
    </row>
    <row r="451" spans="1:50" x14ac:dyDescent="0.35">
      <c r="A451" s="75">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52.547440000000002</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32.527099999999997</v>
      </c>
      <c r="AN451">
        <v>26.60735</v>
      </c>
      <c r="AO451"/>
      <c r="AP451">
        <v>23.875319999999999</v>
      </c>
      <c r="AQ451"/>
      <c r="AR451"/>
      <c r="AS451"/>
      <c r="AT451"/>
      <c r="AU451">
        <v>52.312370000000001</v>
      </c>
      <c r="AV451"/>
      <c r="AW451">
        <v>46.687980000000003</v>
      </c>
      <c r="AX451"/>
    </row>
    <row r="452" spans="1:50" x14ac:dyDescent="0.35">
      <c r="A452" s="75">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52.664990000000003</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32.724060000000001</v>
      </c>
      <c r="AN452">
        <v>26.656829999999999</v>
      </c>
      <c r="AO452"/>
      <c r="AP452">
        <v>23.899190000000001</v>
      </c>
      <c r="AQ452"/>
      <c r="AR452"/>
      <c r="AS452"/>
      <c r="AT452"/>
      <c r="AU452">
        <v>52.519100000000002</v>
      </c>
      <c r="AV452"/>
      <c r="AW452">
        <v>46.853099999999998</v>
      </c>
      <c r="AX452"/>
    </row>
    <row r="453" spans="1:50" x14ac:dyDescent="0.35">
      <c r="A453" s="75">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52.737050000000004</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32.938929999999999</v>
      </c>
      <c r="AN453">
        <v>26.70711</v>
      </c>
      <c r="AO453"/>
      <c r="AP453">
        <v>24.059889999999999</v>
      </c>
      <c r="AQ453"/>
      <c r="AR453"/>
      <c r="AS453"/>
      <c r="AT453"/>
      <c r="AU453">
        <v>52.601840000000003</v>
      </c>
      <c r="AV453"/>
      <c r="AW453">
        <v>46.976939999999999</v>
      </c>
      <c r="AX453"/>
    </row>
    <row r="454" spans="1:50" x14ac:dyDescent="0.35">
      <c r="A454" s="75">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52.983359999999998</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33.23095</v>
      </c>
      <c r="AN454">
        <v>26.848230000000001</v>
      </c>
      <c r="AO454"/>
      <c r="AP454">
        <v>24.237960000000001</v>
      </c>
      <c r="AQ454"/>
      <c r="AR454"/>
      <c r="AS454"/>
      <c r="AT454"/>
      <c r="AU454">
        <v>53.020740000000004</v>
      </c>
      <c r="AV454"/>
      <c r="AW454">
        <v>47.265900000000002</v>
      </c>
      <c r="AX454"/>
    </row>
    <row r="455" spans="1:50" x14ac:dyDescent="0.35">
      <c r="A455" s="75">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53.206110000000002</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33.578279999999999</v>
      </c>
      <c r="AN455">
        <v>27.071999999999999</v>
      </c>
      <c r="AO455"/>
      <c r="AP455">
        <v>24.569990000000001</v>
      </c>
      <c r="AQ455"/>
      <c r="AR455"/>
      <c r="AS455"/>
      <c r="AT455"/>
      <c r="AU455">
        <v>53.293019999999999</v>
      </c>
      <c r="AV455"/>
      <c r="AW455">
        <v>47.513590000000001</v>
      </c>
      <c r="AX455"/>
    </row>
    <row r="456" spans="1:50" x14ac:dyDescent="0.35">
      <c r="A456" s="75">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53.349930000000001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33.847610000000003</v>
      </c>
      <c r="AN456">
        <v>27.221070000000001</v>
      </c>
      <c r="AO456"/>
      <c r="AP456">
        <v>24.80875</v>
      </c>
      <c r="AQ456"/>
      <c r="AR456"/>
      <c r="AS456"/>
      <c r="AT456"/>
      <c r="AU456">
        <v>53.41189</v>
      </c>
      <c r="AV456"/>
      <c r="AW456">
        <v>47.637430000000002</v>
      </c>
      <c r="AX456"/>
    </row>
    <row r="457" spans="1:50" x14ac:dyDescent="0.35">
      <c r="A457" s="75">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53.413249999999998</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34.101669999999999</v>
      </c>
      <c r="AN457">
        <v>27.3277</v>
      </c>
      <c r="AO457"/>
      <c r="AP457">
        <v>25.104040000000001</v>
      </c>
      <c r="AQ457"/>
      <c r="AR457"/>
      <c r="AS457"/>
      <c r="AT457"/>
      <c r="AU457">
        <v>53.580350000000003</v>
      </c>
      <c r="AV457"/>
      <c r="AW457">
        <v>47.678710000000002</v>
      </c>
      <c r="AX457"/>
    </row>
    <row r="458" spans="1:50" x14ac:dyDescent="0.35">
      <c r="A458" s="75">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53.55077</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34.345669999999998</v>
      </c>
      <c r="AN458">
        <v>27.487760000000002</v>
      </c>
      <c r="AO458"/>
      <c r="AP458">
        <v>25.535499999999999</v>
      </c>
      <c r="AQ458"/>
      <c r="AR458"/>
      <c r="AS458"/>
      <c r="AT458"/>
      <c r="AU458">
        <v>54.055790000000002</v>
      </c>
      <c r="AV458"/>
      <c r="AW458">
        <v>47.802549999999997</v>
      </c>
      <c r="AX458"/>
    </row>
    <row r="459" spans="1:50" x14ac:dyDescent="0.35">
      <c r="A459" s="75">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53.684710000000003</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34.557110000000002</v>
      </c>
      <c r="AN459">
        <v>27.62668</v>
      </c>
      <c r="AO459"/>
      <c r="AP459">
        <v>25.768750000000001</v>
      </c>
      <c r="AQ459"/>
      <c r="AR459"/>
      <c r="AS459"/>
      <c r="AT459"/>
      <c r="AU459">
        <v>54.218020000000003</v>
      </c>
      <c r="AV459"/>
      <c r="AW459">
        <v>47.926389999999998</v>
      </c>
      <c r="AX459"/>
    </row>
    <row r="460" spans="1:50" x14ac:dyDescent="0.35">
      <c r="A460" s="75">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53.904690000000002</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34.818019999999997</v>
      </c>
      <c r="AN460">
        <v>27.742260000000002</v>
      </c>
      <c r="AO460"/>
      <c r="AP460">
        <v>26.045739999999999</v>
      </c>
      <c r="AQ460"/>
      <c r="AR460"/>
      <c r="AS460"/>
      <c r="AT460"/>
      <c r="AU460">
        <v>54.365949999999998</v>
      </c>
      <c r="AV460"/>
      <c r="AW460">
        <v>48.215350000000001</v>
      </c>
      <c r="AX460"/>
    </row>
    <row r="461" spans="1:50" x14ac:dyDescent="0.35">
      <c r="A461" s="75">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54.22439</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35.17313</v>
      </c>
      <c r="AN461">
        <v>27.933350000000001</v>
      </c>
      <c r="AO461"/>
      <c r="AP461">
        <v>26.224879999999999</v>
      </c>
      <c r="AQ461"/>
      <c r="AR461"/>
      <c r="AS461"/>
      <c r="AT461"/>
      <c r="AU461">
        <v>54.574939999999998</v>
      </c>
      <c r="AV461"/>
      <c r="AW461">
        <v>48.463030000000003</v>
      </c>
      <c r="AX461"/>
    </row>
    <row r="462" spans="1:50" x14ac:dyDescent="0.35">
      <c r="A462" s="75">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54.318770000000001</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35.388199999999998</v>
      </c>
      <c r="AN462">
        <v>27.999700000000001</v>
      </c>
      <c r="AO462"/>
      <c r="AP462">
        <v>26.37116</v>
      </c>
      <c r="AQ462"/>
      <c r="AR462"/>
      <c r="AS462"/>
      <c r="AT462"/>
      <c r="AU462">
        <v>54.667810000000003</v>
      </c>
      <c r="AV462"/>
      <c r="AW462">
        <v>48.545589999999997</v>
      </c>
      <c r="AX462"/>
    </row>
    <row r="463" spans="1:50" x14ac:dyDescent="0.35">
      <c r="A463" s="75">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54.384030000000003</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35.612290000000002</v>
      </c>
      <c r="AN463">
        <v>28.117229999999999</v>
      </c>
      <c r="AO463"/>
      <c r="AP463">
        <v>26.414090000000002</v>
      </c>
      <c r="AQ463"/>
      <c r="AR463"/>
      <c r="AS463"/>
      <c r="AT463"/>
      <c r="AU463">
        <v>54.675989999999999</v>
      </c>
      <c r="AV463"/>
      <c r="AW463">
        <v>48.586869999999998</v>
      </c>
      <c r="AX463"/>
    </row>
    <row r="464" spans="1:50" x14ac:dyDescent="0.35">
      <c r="A464" s="75">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54.486969999999999</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35.883299999999998</v>
      </c>
      <c r="AN464">
        <v>28.191040000000001</v>
      </c>
      <c r="AO464"/>
      <c r="AP464">
        <v>26.568480000000001</v>
      </c>
      <c r="AQ464"/>
      <c r="AR464"/>
      <c r="AS464"/>
      <c r="AT464"/>
      <c r="AU464">
        <v>54.875459999999997</v>
      </c>
      <c r="AV464"/>
      <c r="AW464">
        <v>48.710709999999999</v>
      </c>
      <c r="AX464"/>
    </row>
    <row r="465" spans="1:50" x14ac:dyDescent="0.35">
      <c r="A465" s="75">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54.649900000000002</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36.16592</v>
      </c>
      <c r="AN465">
        <v>28.25121</v>
      </c>
      <c r="AO465"/>
      <c r="AP465">
        <v>26.71912</v>
      </c>
      <c r="AQ465"/>
      <c r="AR465"/>
      <c r="AS465"/>
      <c r="AT465"/>
      <c r="AU465">
        <v>55.105289999999997</v>
      </c>
      <c r="AV465"/>
      <c r="AW465">
        <v>48.958399999999997</v>
      </c>
      <c r="AX465"/>
    </row>
    <row r="466" spans="1:50" x14ac:dyDescent="0.35">
      <c r="A466" s="75">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54.91724</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36.535649999999997</v>
      </c>
      <c r="AN466">
        <v>28.415990000000001</v>
      </c>
      <c r="AO466"/>
      <c r="AP466">
        <v>26.858350000000002</v>
      </c>
      <c r="AQ466"/>
      <c r="AR466"/>
      <c r="AS466"/>
      <c r="AT466"/>
      <c r="AU466">
        <v>55.645629999999997</v>
      </c>
      <c r="AV466"/>
      <c r="AW466">
        <v>49.288640000000001</v>
      </c>
      <c r="AX466"/>
    </row>
    <row r="467" spans="1:50" x14ac:dyDescent="0.35">
      <c r="A467" s="75">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55.178040000000003</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36.972520000000003</v>
      </c>
      <c r="AN467">
        <v>28.625260000000001</v>
      </c>
      <c r="AO467"/>
      <c r="AP467">
        <v>27.258669999999999</v>
      </c>
      <c r="AQ467"/>
      <c r="AR467"/>
      <c r="AS467"/>
      <c r="AT467"/>
      <c r="AU467">
        <v>56.075299999999999</v>
      </c>
      <c r="AV467"/>
      <c r="AW467">
        <v>49.577599999999997</v>
      </c>
      <c r="AX467"/>
    </row>
    <row r="468" spans="1:50" x14ac:dyDescent="0.35">
      <c r="A468" s="75">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55.332610000000003</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37.4054</v>
      </c>
      <c r="AN468">
        <v>28.865069999999999</v>
      </c>
      <c r="AO468"/>
      <c r="AP468">
        <v>27.516159999999999</v>
      </c>
      <c r="AQ468"/>
      <c r="AR468"/>
      <c r="AS468"/>
      <c r="AT468"/>
      <c r="AU468">
        <v>56.308570000000003</v>
      </c>
      <c r="AV468"/>
      <c r="AW468">
        <v>49.742719999999998</v>
      </c>
      <c r="AX468"/>
    </row>
    <row r="469" spans="1:50" x14ac:dyDescent="0.35">
      <c r="A469" s="75">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55.315959999999997</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37.99689</v>
      </c>
      <c r="AN469">
        <v>29.139589999999998</v>
      </c>
      <c r="AO469"/>
      <c r="AP469">
        <v>27.753350000000001</v>
      </c>
      <c r="AQ469"/>
      <c r="AR469"/>
      <c r="AS469"/>
      <c r="AT469"/>
      <c r="AU469">
        <v>56.350940000000001</v>
      </c>
      <c r="AV469"/>
      <c r="AW469">
        <v>49.701439999999998</v>
      </c>
      <c r="AX469"/>
    </row>
    <row r="470" spans="1:50" x14ac:dyDescent="0.35">
      <c r="A470" s="75">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55.442309999999999</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38.328890000000001</v>
      </c>
      <c r="AN470">
        <v>29.296859999999999</v>
      </c>
      <c r="AO470"/>
      <c r="AP470">
        <v>28.370139999999999</v>
      </c>
      <c r="AQ470"/>
      <c r="AR470"/>
      <c r="AS470"/>
      <c r="AT470"/>
      <c r="AU470">
        <v>56.631830000000001</v>
      </c>
      <c r="AV470"/>
      <c r="AW470">
        <v>49.86656</v>
      </c>
      <c r="AX470"/>
    </row>
    <row r="471" spans="1:50" x14ac:dyDescent="0.35">
      <c r="A471" s="75">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55.579560000000001</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38.611739999999998</v>
      </c>
      <c r="AN471">
        <v>29.436620000000001</v>
      </c>
      <c r="AO471"/>
      <c r="AP471">
        <v>28.71838</v>
      </c>
      <c r="AQ471"/>
      <c r="AR471"/>
      <c r="AS471"/>
      <c r="AT471"/>
      <c r="AU471">
        <v>57.109490000000001</v>
      </c>
      <c r="AV471"/>
      <c r="AW471">
        <v>49.990400000000001</v>
      </c>
      <c r="AX471"/>
    </row>
    <row r="472" spans="1:50" x14ac:dyDescent="0.35">
      <c r="A472" s="75">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55.861370000000001</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38.947159999999997</v>
      </c>
      <c r="AN472">
        <v>29.623529999999999</v>
      </c>
      <c r="AO472"/>
      <c r="AP472">
        <v>28.906949999999998</v>
      </c>
      <c r="AQ472"/>
      <c r="AR472"/>
      <c r="AS472"/>
      <c r="AT472"/>
      <c r="AU472">
        <v>57.381599999999999</v>
      </c>
      <c r="AV472"/>
      <c r="AW472">
        <v>50.320639999999997</v>
      </c>
      <c r="AX472"/>
    </row>
    <row r="473" spans="1:50" x14ac:dyDescent="0.35">
      <c r="A473" s="75">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56.134770000000003</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39.239550000000001</v>
      </c>
      <c r="AN473">
        <v>29.876570000000001</v>
      </c>
      <c r="AO473"/>
      <c r="AP473">
        <v>29.13918</v>
      </c>
      <c r="AQ473"/>
      <c r="AR473"/>
      <c r="AS473"/>
      <c r="AT473"/>
      <c r="AU473">
        <v>57.96895</v>
      </c>
      <c r="AV473"/>
      <c r="AW473">
        <v>50.527050000000003</v>
      </c>
      <c r="AX473"/>
    </row>
    <row r="474" spans="1:50" x14ac:dyDescent="0.35">
      <c r="A474" s="75">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56.292920000000002</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39.422069999999998</v>
      </c>
      <c r="AN474">
        <v>30.034770000000002</v>
      </c>
      <c r="AO474"/>
      <c r="AP474">
        <v>29.503399999999999</v>
      </c>
      <c r="AQ474"/>
      <c r="AR474"/>
      <c r="AS474"/>
      <c r="AT474"/>
      <c r="AU474">
        <v>58.22101</v>
      </c>
      <c r="AV474"/>
      <c r="AW474">
        <v>50.650889999999997</v>
      </c>
      <c r="AX474"/>
    </row>
    <row r="475" spans="1:50" x14ac:dyDescent="0.35">
      <c r="A475" s="75">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56.39573</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39.55688</v>
      </c>
      <c r="AN475">
        <v>30.15615</v>
      </c>
      <c r="AO475"/>
      <c r="AP475">
        <v>29.606649999999998</v>
      </c>
      <c r="AQ475"/>
      <c r="AR475"/>
      <c r="AS475"/>
      <c r="AT475"/>
      <c r="AU475">
        <v>58.348239999999997</v>
      </c>
      <c r="AV475"/>
      <c r="AW475">
        <v>50.774729999999998</v>
      </c>
      <c r="AX475"/>
    </row>
    <row r="476" spans="1:50" x14ac:dyDescent="0.35">
      <c r="A476" s="75">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56.512709999999998</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39.701599999999999</v>
      </c>
      <c r="AN476">
        <v>30.281569999999999</v>
      </c>
      <c r="AO476"/>
      <c r="AP476">
        <v>29.781669999999998</v>
      </c>
      <c r="AQ476"/>
      <c r="AR476"/>
      <c r="AS476"/>
      <c r="AT476"/>
      <c r="AU476">
        <v>58.477449999999997</v>
      </c>
      <c r="AV476"/>
      <c r="AW476">
        <v>50.898569999999999</v>
      </c>
      <c r="AX476"/>
    </row>
    <row r="477" spans="1:50" x14ac:dyDescent="0.35">
      <c r="A477" s="75">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56.694830000000003</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39.862430000000003</v>
      </c>
      <c r="AN477">
        <v>30.429120000000001</v>
      </c>
      <c r="AO477"/>
      <c r="AP477">
        <v>30.04636</v>
      </c>
      <c r="AQ477"/>
      <c r="AR477"/>
      <c r="AS477"/>
      <c r="AT477"/>
      <c r="AU477">
        <v>58.568080000000002</v>
      </c>
      <c r="AV477"/>
      <c r="AW477">
        <v>51.104970000000002</v>
      </c>
      <c r="AX477"/>
    </row>
    <row r="478" spans="1:50" x14ac:dyDescent="0.35">
      <c r="A478" s="75">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57.01023</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40.142589999999998</v>
      </c>
      <c r="AN478">
        <v>30.67587</v>
      </c>
      <c r="AO478"/>
      <c r="AP478">
        <v>30.394960000000001</v>
      </c>
      <c r="AQ478"/>
      <c r="AR478"/>
      <c r="AS478"/>
      <c r="AT478"/>
      <c r="AU478">
        <v>59.121090000000002</v>
      </c>
      <c r="AV478"/>
      <c r="AW478">
        <v>51.476489999999998</v>
      </c>
      <c r="AX478"/>
    </row>
    <row r="479" spans="1:50" x14ac:dyDescent="0.35">
      <c r="A479" s="75">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57.345689999999998</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40.436729999999997</v>
      </c>
      <c r="AN479">
        <v>30.948599999999999</v>
      </c>
      <c r="AO479"/>
      <c r="AP479">
        <v>30.840920000000001</v>
      </c>
      <c r="AQ479"/>
      <c r="AR479"/>
      <c r="AS479"/>
      <c r="AT479"/>
      <c r="AU479">
        <v>59.661250000000003</v>
      </c>
      <c r="AV479"/>
      <c r="AW479">
        <v>51.806730000000002</v>
      </c>
      <c r="AX479"/>
    </row>
    <row r="480" spans="1:50" x14ac:dyDescent="0.35">
      <c r="A480" s="75">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57.516869999999997</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40.6233</v>
      </c>
      <c r="AN480">
        <v>31.161770000000001</v>
      </c>
      <c r="AO480"/>
      <c r="AP480">
        <v>31.492979999999999</v>
      </c>
      <c r="AQ480"/>
      <c r="AR480"/>
      <c r="AS480"/>
      <c r="AT480"/>
      <c r="AU480">
        <v>59.751379999999997</v>
      </c>
      <c r="AV480"/>
      <c r="AW480">
        <v>51.930579999999999</v>
      </c>
      <c r="AX480"/>
    </row>
    <row r="481" spans="1:50" x14ac:dyDescent="0.35">
      <c r="A481" s="75">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57.596139999999998</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40.757710000000003</v>
      </c>
      <c r="AN481">
        <v>31.304279999999999</v>
      </c>
      <c r="AO481"/>
      <c r="AP481">
        <v>31.832039999999999</v>
      </c>
      <c r="AQ481"/>
      <c r="AR481"/>
      <c r="AS481"/>
      <c r="AT481"/>
      <c r="AU481">
        <v>59.851730000000003</v>
      </c>
      <c r="AV481"/>
      <c r="AW481">
        <v>52.013129999999997</v>
      </c>
      <c r="AX481"/>
    </row>
    <row r="482" spans="1:50" x14ac:dyDescent="0.35">
      <c r="A482" s="75">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57.793849999999999</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40.991639999999997</v>
      </c>
      <c r="AN482">
        <v>31.5745</v>
      </c>
      <c r="AO482"/>
      <c r="AP482">
        <v>32.584020000000002</v>
      </c>
      <c r="AQ482"/>
      <c r="AR482"/>
      <c r="AS482"/>
      <c r="AT482"/>
      <c r="AU482">
        <v>60.374450000000003</v>
      </c>
      <c r="AV482"/>
      <c r="AW482">
        <v>52.178260000000002</v>
      </c>
      <c r="AX482"/>
    </row>
    <row r="483" spans="1:50" x14ac:dyDescent="0.35">
      <c r="A483" s="75">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58.002029999999998</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41.186129999999999</v>
      </c>
      <c r="AN483">
        <v>31.770710000000001</v>
      </c>
      <c r="AO483"/>
      <c r="AP483">
        <v>33.262349999999998</v>
      </c>
      <c r="AQ483"/>
      <c r="AR483"/>
      <c r="AS483"/>
      <c r="AT483"/>
      <c r="AU483">
        <v>60.742469999999997</v>
      </c>
      <c r="AV483"/>
      <c r="AW483">
        <v>52.384659999999997</v>
      </c>
      <c r="AX483"/>
    </row>
    <row r="484" spans="1:50" x14ac:dyDescent="0.35">
      <c r="A484" s="75">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58.269019999999998</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41.420059999999999</v>
      </c>
      <c r="AN484">
        <v>31.949010000000001</v>
      </c>
      <c r="AO484"/>
      <c r="AP484">
        <v>33.360939999999999</v>
      </c>
      <c r="AQ484"/>
      <c r="AR484"/>
      <c r="AS484"/>
      <c r="AT484"/>
      <c r="AU484">
        <v>60.985610000000001</v>
      </c>
      <c r="AV484"/>
      <c r="AW484">
        <v>52.67362</v>
      </c>
      <c r="AX484"/>
    </row>
    <row r="485" spans="1:50" x14ac:dyDescent="0.35">
      <c r="A485" s="75">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58.656790000000001</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41.753430000000002</v>
      </c>
      <c r="AN485">
        <v>32.261539999999997</v>
      </c>
      <c r="AO485"/>
      <c r="AP485">
        <v>33.798720000000003</v>
      </c>
      <c r="AQ485"/>
      <c r="AR485"/>
      <c r="AS485"/>
      <c r="AT485"/>
      <c r="AU485">
        <v>61.471139999999998</v>
      </c>
      <c r="AV485"/>
      <c r="AW485">
        <v>52.838740000000001</v>
      </c>
      <c r="AX485"/>
    </row>
    <row r="486" spans="1:50" x14ac:dyDescent="0.35">
      <c r="A486" s="75">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58.855530000000002</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41.937390000000001</v>
      </c>
      <c r="AN486">
        <v>32.415579999999999</v>
      </c>
      <c r="AO486"/>
      <c r="AP486">
        <v>34.025970000000001</v>
      </c>
      <c r="AQ486"/>
      <c r="AR486"/>
      <c r="AS486"/>
      <c r="AT486"/>
      <c r="AU486">
        <v>61.715440000000001</v>
      </c>
      <c r="AV486"/>
      <c r="AW486">
        <v>52.962580000000003</v>
      </c>
      <c r="AX486"/>
    </row>
    <row r="487" spans="1:50" x14ac:dyDescent="0.35">
      <c r="A487" s="75">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58.955469999999998</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42.060969999999998</v>
      </c>
      <c r="AN487">
        <v>32.550229999999999</v>
      </c>
      <c r="AO487"/>
      <c r="AP487">
        <v>34.240560000000002</v>
      </c>
      <c r="AQ487"/>
      <c r="AR487"/>
      <c r="AS487"/>
      <c r="AT487"/>
      <c r="AU487">
        <v>62.050379999999997</v>
      </c>
      <c r="AV487"/>
      <c r="AW487">
        <v>53.045140000000004</v>
      </c>
      <c r="AX487"/>
    </row>
    <row r="488" spans="1:50" x14ac:dyDescent="0.35">
      <c r="A488" s="75">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59.09516</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42.22974</v>
      </c>
      <c r="AN488">
        <v>32.68656</v>
      </c>
      <c r="AO488"/>
      <c r="AP488">
        <v>34.408909999999999</v>
      </c>
      <c r="AQ488"/>
      <c r="AR488"/>
      <c r="AS488"/>
      <c r="AT488"/>
      <c r="AU488">
        <v>61.918059999999997</v>
      </c>
      <c r="AV488"/>
      <c r="AW488">
        <v>53.251539999999999</v>
      </c>
      <c r="AX488"/>
    </row>
    <row r="489" spans="1:50" x14ac:dyDescent="0.35">
      <c r="A489" s="75">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59.196770000000001</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42.352890000000002</v>
      </c>
      <c r="AN489">
        <v>32.811360000000001</v>
      </c>
      <c r="AO489"/>
      <c r="AP489">
        <v>34.62247</v>
      </c>
      <c r="AQ489"/>
      <c r="AR489"/>
      <c r="AS489"/>
      <c r="AT489"/>
      <c r="AU489">
        <v>62.221939999999996</v>
      </c>
      <c r="AV489"/>
      <c r="AW489">
        <v>53.375390000000003</v>
      </c>
      <c r="AX489"/>
    </row>
    <row r="490" spans="1:50" x14ac:dyDescent="0.35">
      <c r="A490" s="75">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59.475969999999997</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42.626719999999999</v>
      </c>
      <c r="AN490">
        <v>33.041939999999997</v>
      </c>
      <c r="AO490"/>
      <c r="AP490">
        <v>34.712009999999999</v>
      </c>
      <c r="AQ490"/>
      <c r="AR490"/>
      <c r="AS490"/>
      <c r="AT490"/>
      <c r="AU490">
        <v>62.78604</v>
      </c>
      <c r="AV490"/>
      <c r="AW490">
        <v>53.664340000000003</v>
      </c>
      <c r="AX490"/>
    </row>
    <row r="491" spans="1:50" x14ac:dyDescent="0.35">
      <c r="A491" s="75">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59.80733</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42.952550000000002</v>
      </c>
      <c r="AN491">
        <v>33.328859999999999</v>
      </c>
      <c r="AO491"/>
      <c r="AP491">
        <v>35.008620000000001</v>
      </c>
      <c r="AQ491"/>
      <c r="AR491"/>
      <c r="AS491"/>
      <c r="AT491"/>
      <c r="AU491">
        <v>63.434980000000003</v>
      </c>
      <c r="AV491"/>
      <c r="AW491">
        <v>54.035870000000003</v>
      </c>
      <c r="AX491"/>
    </row>
    <row r="492" spans="1:50" x14ac:dyDescent="0.35">
      <c r="A492" s="75">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59.979289999999999</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43.145569999999999</v>
      </c>
      <c r="AN492">
        <v>33.55247</v>
      </c>
      <c r="AO492"/>
      <c r="AP492">
        <v>35.36497</v>
      </c>
      <c r="AQ492"/>
      <c r="AR492"/>
      <c r="AS492"/>
      <c r="AT492"/>
      <c r="AU492">
        <v>63.594819999999999</v>
      </c>
      <c r="AV492"/>
      <c r="AW492">
        <v>54.200989999999997</v>
      </c>
      <c r="AX492"/>
    </row>
    <row r="493" spans="1:50" x14ac:dyDescent="0.35">
      <c r="A493" s="75">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60.071379999999998</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43.307980000000001</v>
      </c>
      <c r="AN493">
        <v>33.696939999999998</v>
      </c>
      <c r="AO493"/>
      <c r="AP493">
        <v>35.553469999999997</v>
      </c>
      <c r="AQ493"/>
      <c r="AR493"/>
      <c r="AS493"/>
      <c r="AT493"/>
      <c r="AU493">
        <v>63.828310000000002</v>
      </c>
      <c r="AV493"/>
      <c r="AW493">
        <v>54.283549999999998</v>
      </c>
      <c r="AX493"/>
    </row>
    <row r="494" spans="1:50" x14ac:dyDescent="0.35">
      <c r="A494" s="75">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60.291879999999999</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43.62677</v>
      </c>
      <c r="AN494">
        <v>33.940849999999998</v>
      </c>
      <c r="AO494"/>
      <c r="AP494">
        <v>36.377450000000003</v>
      </c>
      <c r="AQ494"/>
      <c r="AR494"/>
      <c r="AS494"/>
      <c r="AT494"/>
      <c r="AU494">
        <v>65.292460000000005</v>
      </c>
      <c r="AV494"/>
      <c r="AW494">
        <v>54.48995</v>
      </c>
      <c r="AX494"/>
    </row>
    <row r="495" spans="1:50" x14ac:dyDescent="0.35">
      <c r="A495" s="75">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60.580770000000001</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43.889719999999997</v>
      </c>
      <c r="AN495">
        <v>34.179650000000002</v>
      </c>
      <c r="AO495"/>
      <c r="AP495">
        <v>37.45008</v>
      </c>
      <c r="AQ495"/>
      <c r="AR495"/>
      <c r="AS495"/>
      <c r="AT495"/>
      <c r="AU495">
        <v>65.547799999999995</v>
      </c>
      <c r="AV495"/>
      <c r="AW495">
        <v>54.820189999999997</v>
      </c>
      <c r="AX495"/>
    </row>
    <row r="496" spans="1:50" x14ac:dyDescent="0.35">
      <c r="A496" s="75">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60.95861</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44.219160000000002</v>
      </c>
      <c r="AN496">
        <v>34.432200000000002</v>
      </c>
      <c r="AO496"/>
      <c r="AP496">
        <v>37.510269999999998</v>
      </c>
      <c r="AQ496"/>
      <c r="AR496"/>
      <c r="AS496"/>
      <c r="AT496"/>
      <c r="AU496">
        <v>66.506590000000003</v>
      </c>
      <c r="AV496"/>
      <c r="AW496">
        <v>55.274279999999997</v>
      </c>
      <c r="AX496"/>
    </row>
    <row r="497" spans="1:50" x14ac:dyDescent="0.35">
      <c r="A497" s="75">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61.314120000000003</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44.551859999999998</v>
      </c>
      <c r="AN497">
        <v>34.801900000000003</v>
      </c>
      <c r="AO497"/>
      <c r="AP497">
        <v>37.914340000000003</v>
      </c>
      <c r="AQ497"/>
      <c r="AR497"/>
      <c r="AS497"/>
      <c r="AT497"/>
      <c r="AU497">
        <v>66.841610000000003</v>
      </c>
      <c r="AV497"/>
      <c r="AW497">
        <v>55.398119999999999</v>
      </c>
      <c r="AX497"/>
    </row>
    <row r="498" spans="1:50" x14ac:dyDescent="0.35">
      <c r="A498" s="75">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61.47766</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44.744779999999999</v>
      </c>
      <c r="AN498">
        <v>34.996020000000001</v>
      </c>
      <c r="AO498"/>
      <c r="AP498">
        <v>38.491390000000003</v>
      </c>
      <c r="AQ498"/>
      <c r="AR498"/>
      <c r="AS498"/>
      <c r="AT498"/>
      <c r="AU498">
        <v>67.260490000000004</v>
      </c>
      <c r="AV498"/>
      <c r="AW498">
        <v>55.48068</v>
      </c>
      <c r="AX498"/>
    </row>
    <row r="499" spans="1:50" x14ac:dyDescent="0.35">
      <c r="A499" s="75">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61.640169999999998</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44.929259999999999</v>
      </c>
      <c r="AN499">
        <v>35.152439999999999</v>
      </c>
      <c r="AO499"/>
      <c r="AP499">
        <v>38.66489</v>
      </c>
      <c r="AQ499"/>
      <c r="AR499"/>
      <c r="AS499"/>
      <c r="AT499"/>
      <c r="AU499">
        <v>67.18571</v>
      </c>
      <c r="AV499"/>
      <c r="AW499">
        <v>55.645800000000001</v>
      </c>
      <c r="AX499"/>
    </row>
    <row r="500" spans="1:50" x14ac:dyDescent="0.35">
      <c r="A500" s="75">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61.831139999999998</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45.11694</v>
      </c>
      <c r="AN500">
        <v>35.261800000000001</v>
      </c>
      <c r="AO500"/>
      <c r="AP500">
        <v>38.996969999999997</v>
      </c>
      <c r="AQ500"/>
      <c r="AR500"/>
      <c r="AS500"/>
      <c r="AT500"/>
      <c r="AU500">
        <v>67.61506</v>
      </c>
      <c r="AV500"/>
      <c r="AW500">
        <v>55.934759999999997</v>
      </c>
      <c r="AX500"/>
    </row>
    <row r="501" spans="1:50" x14ac:dyDescent="0.35">
      <c r="A501" s="75">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62.111960000000003</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45.355820000000001</v>
      </c>
      <c r="AN501">
        <v>35.437390000000001</v>
      </c>
      <c r="AO501"/>
      <c r="AP501">
        <v>39.384039999999999</v>
      </c>
      <c r="AQ501"/>
      <c r="AR501"/>
      <c r="AS501"/>
      <c r="AT501"/>
      <c r="AU501">
        <v>67.933009999999996</v>
      </c>
      <c r="AV501"/>
      <c r="AW501">
        <v>56.306280000000001</v>
      </c>
      <c r="AX501"/>
    </row>
    <row r="502" spans="1:50" x14ac:dyDescent="0.35">
      <c r="A502" s="75">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62.441200000000002</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45.713799999999999</v>
      </c>
      <c r="AN502">
        <v>35.806109999999997</v>
      </c>
      <c r="AO502"/>
      <c r="AP502">
        <v>39.614330000000002</v>
      </c>
      <c r="AQ502"/>
      <c r="AR502"/>
      <c r="AS502"/>
      <c r="AT502"/>
      <c r="AU502">
        <v>68.570700000000002</v>
      </c>
      <c r="AV502"/>
      <c r="AW502">
        <v>56.636519999999997</v>
      </c>
      <c r="AX502"/>
    </row>
    <row r="503" spans="1:50" x14ac:dyDescent="0.35">
      <c r="A503" s="75">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62.743589999999998</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46.048479999999998</v>
      </c>
      <c r="AN503">
        <v>36.152239999999999</v>
      </c>
      <c r="AO503"/>
      <c r="AP503">
        <v>39.97598</v>
      </c>
      <c r="AQ503"/>
      <c r="AR503"/>
      <c r="AS503"/>
      <c r="AT503"/>
      <c r="AU503">
        <v>69.072460000000007</v>
      </c>
      <c r="AV503"/>
      <c r="AW503">
        <v>56.884210000000003</v>
      </c>
      <c r="AX503"/>
    </row>
    <row r="504" spans="1:50" x14ac:dyDescent="0.35">
      <c r="A504" s="75">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62.894919999999999</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46.277259999999998</v>
      </c>
      <c r="AN504">
        <v>36.359200000000001</v>
      </c>
      <c r="AO504"/>
      <c r="AP504">
        <v>40.500860000000003</v>
      </c>
      <c r="AQ504"/>
      <c r="AR504"/>
      <c r="AS504"/>
      <c r="AT504"/>
      <c r="AU504">
        <v>69.461200000000005</v>
      </c>
      <c r="AV504"/>
      <c r="AW504">
        <v>57.049329999999998</v>
      </c>
      <c r="AX504"/>
    </row>
    <row r="505" spans="1:50" x14ac:dyDescent="0.35">
      <c r="A505" s="75">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62.954729999999998</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46.418460000000003</v>
      </c>
      <c r="AN505">
        <v>36.472389999999997</v>
      </c>
      <c r="AO505"/>
      <c r="AP505">
        <v>40.66536</v>
      </c>
      <c r="AQ505"/>
      <c r="AR505"/>
      <c r="AS505"/>
      <c r="AT505"/>
      <c r="AU505">
        <v>69.658529999999999</v>
      </c>
      <c r="AV505"/>
      <c r="AW505">
        <v>57.090609999999998</v>
      </c>
      <c r="AX505"/>
    </row>
    <row r="506" spans="1:50" x14ac:dyDescent="0.35">
      <c r="A506" s="75">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63.314169999999997</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46.798839999999998</v>
      </c>
      <c r="AN506">
        <v>36.750100000000003</v>
      </c>
      <c r="AO506"/>
      <c r="AP506">
        <v>42.103200000000001</v>
      </c>
      <c r="AQ506"/>
      <c r="AR506"/>
      <c r="AS506"/>
      <c r="AT506"/>
      <c r="AU506">
        <v>71.169499999999999</v>
      </c>
      <c r="AV506"/>
      <c r="AW506">
        <v>57.544690000000003</v>
      </c>
      <c r="AX506"/>
    </row>
    <row r="507" spans="1:50" x14ac:dyDescent="0.35">
      <c r="A507" s="75">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63.626620000000003</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47.103029999999997</v>
      </c>
      <c r="AN507">
        <v>37.031379999999999</v>
      </c>
      <c r="AO507"/>
      <c r="AP507">
        <v>42.86571</v>
      </c>
      <c r="AQ507"/>
      <c r="AR507"/>
      <c r="AS507"/>
      <c r="AT507"/>
      <c r="AU507">
        <v>73.939430000000002</v>
      </c>
      <c r="AV507"/>
      <c r="AW507">
        <v>57.91621</v>
      </c>
      <c r="AX507"/>
    </row>
    <row r="508" spans="1:50" x14ac:dyDescent="0.35">
      <c r="A508" s="75">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63.908810000000003</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47.379829999999998</v>
      </c>
      <c r="AN508">
        <v>37.25808</v>
      </c>
      <c r="AO508"/>
      <c r="AP508">
        <v>43.288600000000002</v>
      </c>
      <c r="AQ508"/>
      <c r="AR508"/>
      <c r="AS508"/>
      <c r="AT508"/>
      <c r="AU508">
        <v>74.314850000000007</v>
      </c>
      <c r="AV508"/>
      <c r="AW508">
        <v>58.163890000000002</v>
      </c>
      <c r="AX508"/>
    </row>
    <row r="509" spans="1:50" x14ac:dyDescent="0.35">
      <c r="A509" s="75">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64.118480000000005</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47.626719999999999</v>
      </c>
      <c r="AN509">
        <v>37.558329999999998</v>
      </c>
      <c r="AO509"/>
      <c r="AP509">
        <v>43.854100000000003</v>
      </c>
      <c r="AQ509"/>
      <c r="AR509"/>
      <c r="AS509"/>
      <c r="AT509"/>
      <c r="AU509">
        <v>74.90634</v>
      </c>
      <c r="AV509"/>
      <c r="AW509">
        <v>58.246459999999999</v>
      </c>
      <c r="AX509"/>
    </row>
    <row r="510" spans="1:50" x14ac:dyDescent="0.35">
      <c r="A510" s="75">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64.306139999999999</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47.83079</v>
      </c>
      <c r="AN510">
        <v>37.788150000000002</v>
      </c>
      <c r="AO510"/>
      <c r="AP510">
        <v>44.220840000000003</v>
      </c>
      <c r="AQ510"/>
      <c r="AR510"/>
      <c r="AS510"/>
      <c r="AT510"/>
      <c r="AU510">
        <v>74.906139999999994</v>
      </c>
      <c r="AV510"/>
      <c r="AW510">
        <v>58.32902</v>
      </c>
      <c r="AX510"/>
    </row>
    <row r="511" spans="1:50" x14ac:dyDescent="0.35">
      <c r="A511" s="75">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64.437889999999996</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48.000309999999999</v>
      </c>
      <c r="AN511">
        <v>38.02478</v>
      </c>
      <c r="AO511"/>
      <c r="AP511">
        <v>44.448439999999998</v>
      </c>
      <c r="AQ511"/>
      <c r="AR511"/>
      <c r="AS511"/>
      <c r="AT511"/>
      <c r="AU511">
        <v>74.666730000000001</v>
      </c>
      <c r="AV511"/>
      <c r="AW511">
        <v>58.411580000000001</v>
      </c>
      <c r="AX511"/>
    </row>
    <row r="512" spans="1:50" x14ac:dyDescent="0.35">
      <c r="A512" s="75">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64.620080000000002</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48.188850000000002</v>
      </c>
      <c r="AN512">
        <v>38.222659999999998</v>
      </c>
      <c r="AO512"/>
      <c r="AP512">
        <v>44.744909999999997</v>
      </c>
      <c r="AQ512"/>
      <c r="AR512"/>
      <c r="AS512"/>
      <c r="AT512"/>
      <c r="AU512">
        <v>74.528369999999995</v>
      </c>
      <c r="AV512"/>
      <c r="AW512">
        <v>58.617980000000003</v>
      </c>
      <c r="AX512"/>
    </row>
    <row r="513" spans="1:50" x14ac:dyDescent="0.35">
      <c r="A513" s="75">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64.820130000000006</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48.381459999999997</v>
      </c>
      <c r="AN513">
        <v>38.382129999999997</v>
      </c>
      <c r="AO513"/>
      <c r="AP513">
        <v>44.991840000000003</v>
      </c>
      <c r="AQ513"/>
      <c r="AR513"/>
      <c r="AS513"/>
      <c r="AT513"/>
      <c r="AU513">
        <v>74.548869999999994</v>
      </c>
      <c r="AV513"/>
      <c r="AW513">
        <v>58.906939999999999</v>
      </c>
      <c r="AX513"/>
    </row>
    <row r="514" spans="1:50" x14ac:dyDescent="0.35">
      <c r="A514" s="75">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65.096689999999995</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48.69585</v>
      </c>
      <c r="AN514">
        <v>38.705590000000001</v>
      </c>
      <c r="AO514"/>
      <c r="AP514">
        <v>45.288499999999999</v>
      </c>
      <c r="AQ514"/>
      <c r="AR514"/>
      <c r="AS514"/>
      <c r="AT514"/>
      <c r="AU514">
        <v>75.775760000000005</v>
      </c>
      <c r="AV514"/>
      <c r="AW514">
        <v>59.195900000000002</v>
      </c>
      <c r="AX514"/>
    </row>
    <row r="515" spans="1:50" x14ac:dyDescent="0.35">
      <c r="A515" s="75">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65.445210000000003</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49.058019999999999</v>
      </c>
      <c r="AN515">
        <v>39.151820000000001</v>
      </c>
      <c r="AO515"/>
      <c r="AP515">
        <v>45.668129999999998</v>
      </c>
      <c r="AQ515"/>
      <c r="AR515"/>
      <c r="AS515"/>
      <c r="AT515"/>
      <c r="AU515">
        <v>76.211780000000005</v>
      </c>
      <c r="AV515"/>
      <c r="AW515">
        <v>59.402299999999997</v>
      </c>
      <c r="AX515"/>
    </row>
    <row r="516" spans="1:50" x14ac:dyDescent="0.35">
      <c r="A516" s="75">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65.654309999999995</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49.320259999999998</v>
      </c>
      <c r="AN516">
        <v>39.432749999999999</v>
      </c>
      <c r="AO516"/>
      <c r="AP516">
        <v>46.056480000000001</v>
      </c>
      <c r="AQ516"/>
      <c r="AR516"/>
      <c r="AS516"/>
      <c r="AT516"/>
      <c r="AU516">
        <v>76.420969999999997</v>
      </c>
      <c r="AV516"/>
      <c r="AW516">
        <v>59.608699999999999</v>
      </c>
      <c r="AX516"/>
    </row>
    <row r="517" spans="1:50" x14ac:dyDescent="0.35">
      <c r="A517" s="75">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65.700509999999994</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49.466239999999999</v>
      </c>
      <c r="AN517">
        <v>39.633270000000003</v>
      </c>
      <c r="AO517"/>
      <c r="AP517">
        <v>46.377719999999997</v>
      </c>
      <c r="AQ517"/>
      <c r="AR517"/>
      <c r="AS517"/>
      <c r="AT517"/>
      <c r="AU517">
        <v>76.667370000000005</v>
      </c>
      <c r="AV517"/>
      <c r="AW517">
        <v>59.608699999999999</v>
      </c>
      <c r="AX517"/>
    </row>
    <row r="518" spans="1:50" x14ac:dyDescent="0.35">
      <c r="A518" s="75">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65.85848</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49.726280000000003</v>
      </c>
      <c r="AN518">
        <v>39.976399999999998</v>
      </c>
      <c r="AO518"/>
      <c r="AP518">
        <v>47.47775</v>
      </c>
      <c r="AQ518"/>
      <c r="AR518"/>
      <c r="AS518"/>
      <c r="AT518"/>
      <c r="AU518">
        <v>76.997569999999996</v>
      </c>
      <c r="AV518"/>
      <c r="AW518">
        <v>59.815109999999997</v>
      </c>
      <c r="AX518"/>
    </row>
    <row r="519" spans="1:50" x14ac:dyDescent="0.35">
      <c r="A519" s="75">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66.136030000000005</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49.998530000000002</v>
      </c>
      <c r="AN519">
        <v>40.260190000000001</v>
      </c>
      <c r="AO519"/>
      <c r="AP519">
        <v>48.124879999999997</v>
      </c>
      <c r="AQ519"/>
      <c r="AR519"/>
      <c r="AS519"/>
      <c r="AT519"/>
      <c r="AU519">
        <v>77.095249999999993</v>
      </c>
      <c r="AV519"/>
      <c r="AW519">
        <v>60.10407</v>
      </c>
      <c r="AX519"/>
    </row>
    <row r="520" spans="1:50" x14ac:dyDescent="0.35">
      <c r="A520" s="75">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66.486019999999996</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50.324219999999997</v>
      </c>
      <c r="AN520">
        <v>40.547800000000002</v>
      </c>
      <c r="AO520"/>
      <c r="AP520">
        <v>48.530259999999998</v>
      </c>
      <c r="AQ520"/>
      <c r="AR520"/>
      <c r="AS520"/>
      <c r="AT520"/>
      <c r="AU520">
        <v>77.557140000000004</v>
      </c>
      <c r="AV520"/>
      <c r="AW520">
        <v>60.434310000000004</v>
      </c>
      <c r="AX520"/>
    </row>
    <row r="521" spans="1:50" x14ac:dyDescent="0.35">
      <c r="A521" s="75">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66.775670000000005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50.598190000000002</v>
      </c>
      <c r="AN521">
        <v>40.8812</v>
      </c>
      <c r="AO521"/>
      <c r="AP521">
        <v>48.851309999999998</v>
      </c>
      <c r="AQ521"/>
      <c r="AR521"/>
      <c r="AS521"/>
      <c r="AT521"/>
      <c r="AU521">
        <v>77.749039999999994</v>
      </c>
      <c r="AV521"/>
      <c r="AW521">
        <v>60.516869999999997</v>
      </c>
      <c r="AX521"/>
    </row>
    <row r="522" spans="1:50" x14ac:dyDescent="0.35">
      <c r="A522" s="75">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66.899870000000007</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50.753990000000002</v>
      </c>
      <c r="AN522">
        <v>41.084380000000003</v>
      </c>
      <c r="AO522"/>
      <c r="AP522">
        <v>49.69173</v>
      </c>
      <c r="AQ522"/>
      <c r="AR522"/>
      <c r="AS522"/>
      <c r="AT522"/>
      <c r="AU522">
        <v>77.672389999999993</v>
      </c>
      <c r="AV522"/>
      <c r="AW522">
        <v>60.558149999999998</v>
      </c>
      <c r="AX522"/>
    </row>
    <row r="523" spans="1:50" x14ac:dyDescent="0.35">
      <c r="A523" s="75">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67.01343</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50.890970000000003</v>
      </c>
      <c r="AN523">
        <v>41.241160000000001</v>
      </c>
      <c r="AO523"/>
      <c r="AP523">
        <v>50.170409999999997</v>
      </c>
      <c r="AQ523"/>
      <c r="AR523"/>
      <c r="AS523"/>
      <c r="AT523"/>
      <c r="AU523">
        <v>77.36206</v>
      </c>
      <c r="AV523"/>
      <c r="AW523">
        <v>60.640709999999999</v>
      </c>
      <c r="AX523"/>
    </row>
    <row r="524" spans="1:50" x14ac:dyDescent="0.35">
      <c r="A524" s="75">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67.102530000000002</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51.019959999999998</v>
      </c>
      <c r="AN524">
        <v>41.421300000000002</v>
      </c>
      <c r="AO524"/>
      <c r="AP524">
        <v>50.42747</v>
      </c>
      <c r="AQ524"/>
      <c r="AR524"/>
      <c r="AS524"/>
      <c r="AT524"/>
      <c r="AU524">
        <v>77.447040000000001</v>
      </c>
      <c r="AV524"/>
      <c r="AW524">
        <v>60.80583</v>
      </c>
      <c r="AX524"/>
    </row>
    <row r="525" spans="1:50" x14ac:dyDescent="0.35">
      <c r="A525" s="75">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67.254130000000004</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51.193669999999997</v>
      </c>
      <c r="AN525">
        <v>41.618560000000002</v>
      </c>
      <c r="AO525"/>
      <c r="AP525">
        <v>50.671129999999998</v>
      </c>
      <c r="AQ525"/>
      <c r="AR525"/>
      <c r="AS525"/>
      <c r="AT525"/>
      <c r="AU525">
        <v>77.599260000000001</v>
      </c>
      <c r="AV525"/>
      <c r="AW525">
        <v>60.970950000000002</v>
      </c>
      <c r="AX525"/>
    </row>
    <row r="526" spans="1:50" x14ac:dyDescent="0.35">
      <c r="A526" s="75">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67.452060000000003</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51.48854</v>
      </c>
      <c r="AN526">
        <v>41.988140000000001</v>
      </c>
      <c r="AO526"/>
      <c r="AP526">
        <v>50.928330000000003</v>
      </c>
      <c r="AQ526"/>
      <c r="AR526"/>
      <c r="AS526"/>
      <c r="AT526"/>
      <c r="AU526">
        <v>79.18817</v>
      </c>
      <c r="AV526"/>
      <c r="AW526">
        <v>61.136069999999997</v>
      </c>
      <c r="AX526"/>
    </row>
    <row r="527" spans="1:50" x14ac:dyDescent="0.35">
      <c r="A527" s="75">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67.707840000000004</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51.801400000000001</v>
      </c>
      <c r="AN527">
        <v>42.319580000000002</v>
      </c>
      <c r="AO527"/>
      <c r="AP527">
        <v>51.402140000000003</v>
      </c>
      <c r="AQ527"/>
      <c r="AR527"/>
      <c r="AS527"/>
      <c r="AT527"/>
      <c r="AU527">
        <v>79.356229999999996</v>
      </c>
      <c r="AV527"/>
      <c r="AW527">
        <v>61.507599999999996</v>
      </c>
      <c r="AX527"/>
    </row>
    <row r="528" spans="1:50" x14ac:dyDescent="0.35">
      <c r="A528" s="75">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67.889020000000002</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52.024650000000001</v>
      </c>
      <c r="AN528">
        <v>42.602310000000003</v>
      </c>
      <c r="AO528"/>
      <c r="AP528">
        <v>51.852249999999998</v>
      </c>
      <c r="AQ528"/>
      <c r="AR528"/>
      <c r="AS528"/>
      <c r="AT528"/>
      <c r="AU528">
        <v>79.016779999999997</v>
      </c>
      <c r="AV528"/>
      <c r="AW528">
        <v>61.631439999999998</v>
      </c>
      <c r="AX528"/>
    </row>
    <row r="529" spans="1:50" x14ac:dyDescent="0.35">
      <c r="A529" s="75">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67.883889999999994</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52.111640000000001</v>
      </c>
      <c r="AN529">
        <v>42.737099999999998</v>
      </c>
      <c r="AO529"/>
      <c r="AP529">
        <v>52.050649999999997</v>
      </c>
      <c r="AQ529"/>
      <c r="AR529"/>
      <c r="AS529"/>
      <c r="AT529"/>
      <c r="AU529">
        <v>79.220349999999996</v>
      </c>
      <c r="AV529"/>
      <c r="AW529">
        <v>61.590159999999997</v>
      </c>
      <c r="AX529"/>
    </row>
    <row r="530" spans="1:50" x14ac:dyDescent="0.35">
      <c r="A530" s="75">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68.118589999999998</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52.392800000000001</v>
      </c>
      <c r="AN530">
        <v>43.123159999999999</v>
      </c>
      <c r="AO530"/>
      <c r="AP530">
        <v>53.164619999999999</v>
      </c>
      <c r="AQ530"/>
      <c r="AR530"/>
      <c r="AS530"/>
      <c r="AT530"/>
      <c r="AU530">
        <v>80.565960000000004</v>
      </c>
      <c r="AV530"/>
      <c r="AW530">
        <v>61.87912</v>
      </c>
      <c r="AX530"/>
    </row>
    <row r="531" spans="1:50" x14ac:dyDescent="0.35">
      <c r="A531" s="75">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68.470089999999999</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52.708489999999998</v>
      </c>
      <c r="AN531">
        <v>43.45158</v>
      </c>
      <c r="AO531"/>
      <c r="AP531">
        <v>53.854399999999998</v>
      </c>
      <c r="AQ531"/>
      <c r="AR531"/>
      <c r="AS531"/>
      <c r="AT531"/>
      <c r="AU531">
        <v>80.795940000000002</v>
      </c>
      <c r="AV531"/>
      <c r="AW531">
        <v>62.250639999999997</v>
      </c>
      <c r="AX531"/>
    </row>
    <row r="532" spans="1:50" x14ac:dyDescent="0.35">
      <c r="A532" s="75">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68.704030000000003</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52.972630000000002</v>
      </c>
      <c r="AN532">
        <v>43.724229999999999</v>
      </c>
      <c r="AO532"/>
      <c r="AP532">
        <v>54.255020000000002</v>
      </c>
      <c r="AQ532"/>
      <c r="AR532"/>
      <c r="AS532"/>
      <c r="AT532"/>
      <c r="AU532">
        <v>81.165980000000005</v>
      </c>
      <c r="AV532"/>
      <c r="AW532">
        <v>62.49832</v>
      </c>
      <c r="AX532"/>
    </row>
    <row r="533" spans="1:50" x14ac:dyDescent="0.35">
      <c r="A533" s="75">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68.967730000000003</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53.242100000000001</v>
      </c>
      <c r="AN533">
        <v>44.014099999999999</v>
      </c>
      <c r="AO533"/>
      <c r="AP533">
        <v>54.776069999999997</v>
      </c>
      <c r="AQ533"/>
      <c r="AR533"/>
      <c r="AS533"/>
      <c r="AT533"/>
      <c r="AU533">
        <v>81.591139999999996</v>
      </c>
      <c r="AV533"/>
      <c r="AW533">
        <v>62.622169999999997</v>
      </c>
      <c r="AX533"/>
    </row>
    <row r="534" spans="1:50" x14ac:dyDescent="0.35">
      <c r="A534" s="75">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69.028440000000003</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53.366759999999999</v>
      </c>
      <c r="AN534">
        <v>44.232869999999998</v>
      </c>
      <c r="AO534"/>
      <c r="AP534">
        <v>55.150230000000001</v>
      </c>
      <c r="AQ534"/>
      <c r="AR534"/>
      <c r="AS534"/>
      <c r="AT534"/>
      <c r="AU534">
        <v>81.386970000000005</v>
      </c>
      <c r="AV534"/>
      <c r="AW534">
        <v>62.622169999999997</v>
      </c>
      <c r="AX534"/>
    </row>
    <row r="535" spans="1:50" x14ac:dyDescent="0.35">
      <c r="A535" s="75">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69.122249999999994</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53.495820000000002</v>
      </c>
      <c r="AN535">
        <v>44.423090000000002</v>
      </c>
      <c r="AO535"/>
      <c r="AP535">
        <v>55.443600000000004</v>
      </c>
      <c r="AQ535"/>
      <c r="AR535"/>
      <c r="AS535"/>
      <c r="AT535"/>
      <c r="AU535">
        <v>81.189769999999996</v>
      </c>
      <c r="AV535"/>
      <c r="AW535">
        <v>62.663440000000001</v>
      </c>
      <c r="AX535"/>
    </row>
    <row r="536" spans="1:50" x14ac:dyDescent="0.35">
      <c r="A536" s="75">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69.228030000000004</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53.645969999999998</v>
      </c>
      <c r="AN536">
        <v>44.66489</v>
      </c>
      <c r="AO536"/>
      <c r="AP536">
        <v>55.523449999999997</v>
      </c>
      <c r="AQ536"/>
      <c r="AR536"/>
      <c r="AS536"/>
      <c r="AT536"/>
      <c r="AU536">
        <v>80.917959999999994</v>
      </c>
      <c r="AV536"/>
      <c r="AW536">
        <v>62.746009999999998</v>
      </c>
      <c r="AX536"/>
    </row>
    <row r="537" spans="1:50" x14ac:dyDescent="0.35">
      <c r="A537" s="75">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69.419510000000002</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53.861420000000003</v>
      </c>
      <c r="AN537">
        <v>44.910550000000001</v>
      </c>
      <c r="AO537"/>
      <c r="AP537">
        <v>55.838000000000001</v>
      </c>
      <c r="AQ537"/>
      <c r="AR537"/>
      <c r="AS537"/>
      <c r="AT537"/>
      <c r="AU537">
        <v>81.106579999999994</v>
      </c>
      <c r="AV537"/>
      <c r="AW537">
        <v>62.993690000000001</v>
      </c>
      <c r="AX537"/>
    </row>
    <row r="538" spans="1:50" x14ac:dyDescent="0.35">
      <c r="A538" s="75">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69.576419999999999</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54.092979999999997</v>
      </c>
      <c r="AN538">
        <v>45.217680000000001</v>
      </c>
      <c r="AO538"/>
      <c r="AP538">
        <v>55.977589999999999</v>
      </c>
      <c r="AQ538"/>
      <c r="AR538"/>
      <c r="AS538"/>
      <c r="AT538"/>
      <c r="AU538">
        <v>82.170900000000003</v>
      </c>
      <c r="AV538"/>
      <c r="AW538">
        <v>63.117530000000002</v>
      </c>
      <c r="AX538"/>
    </row>
    <row r="539" spans="1:50" x14ac:dyDescent="0.35">
      <c r="A539" s="75">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69.777240000000006</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54.360010000000003</v>
      </c>
      <c r="AN539">
        <v>45.527360000000002</v>
      </c>
      <c r="AO539"/>
      <c r="AP539">
        <v>56.277149999999999</v>
      </c>
      <c r="AQ539"/>
      <c r="AR539"/>
      <c r="AS539"/>
      <c r="AT539"/>
      <c r="AU539">
        <v>82.649959999999993</v>
      </c>
      <c r="AV539"/>
      <c r="AW539">
        <v>63.365209999999998</v>
      </c>
      <c r="AX539"/>
    </row>
    <row r="540" spans="1:50" x14ac:dyDescent="0.35">
      <c r="A540" s="75">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69.903390000000002</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54.547580000000004</v>
      </c>
      <c r="AN540">
        <v>45.774929999999998</v>
      </c>
      <c r="AO540"/>
      <c r="AP540">
        <v>56.603090000000002</v>
      </c>
      <c r="AQ540"/>
      <c r="AR540"/>
      <c r="AS540"/>
      <c r="AT540"/>
      <c r="AU540">
        <v>82.661959999999993</v>
      </c>
      <c r="AV540"/>
      <c r="AW540">
        <v>63.530329999999999</v>
      </c>
      <c r="AX540"/>
    </row>
    <row r="541" spans="1:50" x14ac:dyDescent="0.35">
      <c r="A541" s="75">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69.916560000000004</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54.634320000000002</v>
      </c>
      <c r="AN541">
        <v>45.956969999999998</v>
      </c>
      <c r="AO541"/>
      <c r="AP541">
        <v>56.668129999999998</v>
      </c>
      <c r="AQ541"/>
      <c r="AR541"/>
      <c r="AS541"/>
      <c r="AT541"/>
      <c r="AU541">
        <v>82.319379999999995</v>
      </c>
      <c r="AV541"/>
      <c r="AW541">
        <v>63.530329999999999</v>
      </c>
      <c r="AX541"/>
    </row>
    <row r="542" spans="1:50" x14ac:dyDescent="0.35">
      <c r="A542" s="75">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69.974220000000003</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54.801400000000001</v>
      </c>
      <c r="AN542">
        <v>46.197659999999999</v>
      </c>
      <c r="AO542"/>
      <c r="AP542">
        <v>57.5152</v>
      </c>
      <c r="AQ542"/>
      <c r="AR542"/>
      <c r="AS542"/>
      <c r="AT542"/>
      <c r="AU542">
        <v>82.539709999999999</v>
      </c>
      <c r="AV542">
        <v>0.32922960000000001</v>
      </c>
      <c r="AW542">
        <v>63.695450000000001</v>
      </c>
      <c r="AX542"/>
    </row>
    <row r="543" spans="1:50" x14ac:dyDescent="0.35">
      <c r="A543" s="75">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70.223979999999997</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55.071649999999998</v>
      </c>
      <c r="AN543">
        <v>46.566029999999998</v>
      </c>
      <c r="AO543"/>
      <c r="AP543">
        <v>57.99427</v>
      </c>
      <c r="AQ543"/>
      <c r="AR543"/>
      <c r="AS543"/>
      <c r="AT543"/>
      <c r="AU543">
        <v>82.606610000000003</v>
      </c>
      <c r="AV543">
        <v>0.34598679999999998</v>
      </c>
      <c r="AW543">
        <v>63.984409999999997</v>
      </c>
      <c r="AX543"/>
    </row>
    <row r="544" spans="1:50" x14ac:dyDescent="0.35">
      <c r="A544" s="75">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70.509519999999995</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55.374609999999997</v>
      </c>
      <c r="AN544">
        <v>46.858899999999998</v>
      </c>
      <c r="AO544"/>
      <c r="AP544">
        <v>58.317779999999999</v>
      </c>
      <c r="AQ544"/>
      <c r="AR544"/>
      <c r="AS544"/>
      <c r="AT544"/>
      <c r="AU544">
        <v>83.053730000000002</v>
      </c>
      <c r="AV544">
        <v>0.36274390000000001</v>
      </c>
      <c r="AW544">
        <v>64.31465</v>
      </c>
      <c r="AX544"/>
    </row>
    <row r="545" spans="1:50" x14ac:dyDescent="0.35">
      <c r="A545" s="75">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70.680729999999997</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55.785089999999997</v>
      </c>
      <c r="AN545">
        <v>47.567860000000003</v>
      </c>
      <c r="AO545"/>
      <c r="AP545">
        <v>58.560169999999999</v>
      </c>
      <c r="AQ545"/>
      <c r="AR545"/>
      <c r="AS545"/>
      <c r="AT545"/>
      <c r="AU545">
        <v>83.346549999999993</v>
      </c>
      <c r="AV545">
        <v>0.43223699999999998</v>
      </c>
      <c r="AW545">
        <v>64.355930000000001</v>
      </c>
      <c r="AX545"/>
    </row>
    <row r="546" spans="1:50" x14ac:dyDescent="0.35">
      <c r="A546" s="75">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70.798789999999997</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56.020229999999998</v>
      </c>
      <c r="AN546">
        <v>47.980029999999999</v>
      </c>
      <c r="AO546"/>
      <c r="AP546">
        <v>58.700949999999999</v>
      </c>
      <c r="AQ546"/>
      <c r="AR546"/>
      <c r="AS546"/>
      <c r="AT546"/>
      <c r="AU546">
        <v>83.459770000000006</v>
      </c>
      <c r="AV546">
        <v>0.46969430000000001</v>
      </c>
      <c r="AW546">
        <v>64.397220000000004</v>
      </c>
      <c r="AX546"/>
    </row>
    <row r="547" spans="1:50" x14ac:dyDescent="0.35">
      <c r="A547" s="75">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70.848979999999997</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56.153469999999999</v>
      </c>
      <c r="AN547">
        <v>48.175739999999998</v>
      </c>
      <c r="AO547"/>
      <c r="AP547">
        <v>58.882719999999999</v>
      </c>
      <c r="AQ547"/>
      <c r="AR547"/>
      <c r="AS547"/>
      <c r="AT547"/>
      <c r="AU547">
        <v>83.368979999999993</v>
      </c>
      <c r="AV547">
        <v>0.48842289999999999</v>
      </c>
      <c r="AW547">
        <v>64.479770000000002</v>
      </c>
      <c r="AX547"/>
    </row>
    <row r="548" spans="1:50" x14ac:dyDescent="0.35">
      <c r="A548" s="75">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70.872889999999998</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56.282159999999998</v>
      </c>
      <c r="AN548">
        <v>48.411149999999999</v>
      </c>
      <c r="AO548"/>
      <c r="AP548">
        <v>59.01529</v>
      </c>
      <c r="AQ548"/>
      <c r="AR548"/>
      <c r="AS548"/>
      <c r="AT548"/>
      <c r="AU548">
        <v>83.219250000000002</v>
      </c>
      <c r="AV548">
        <v>0.51010869999999997</v>
      </c>
      <c r="AW548">
        <v>64.562340000000006</v>
      </c>
      <c r="AX548"/>
    </row>
    <row r="549" spans="1:50" x14ac:dyDescent="0.35">
      <c r="A549" s="75">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71.073400000000007</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56.52093</v>
      </c>
      <c r="AN549">
        <v>48.711359999999999</v>
      </c>
      <c r="AO549"/>
      <c r="AP549">
        <v>59.204880000000003</v>
      </c>
      <c r="AQ549"/>
      <c r="AR549"/>
      <c r="AS549"/>
      <c r="AT549"/>
      <c r="AU549">
        <v>83.141390000000001</v>
      </c>
      <c r="AV549">
        <v>0.53080870000000002</v>
      </c>
      <c r="AW549">
        <v>64.810019999999994</v>
      </c>
      <c r="AX549"/>
    </row>
    <row r="550" spans="1:50" x14ac:dyDescent="0.35">
      <c r="A550" s="75">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71.27713</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56.813960000000002</v>
      </c>
      <c r="AN550">
        <v>49.090850000000003</v>
      </c>
      <c r="AO550"/>
      <c r="AP550">
        <v>59.380249999999997</v>
      </c>
      <c r="AQ550"/>
      <c r="AR550"/>
      <c r="AS550"/>
      <c r="AT550"/>
      <c r="AU550">
        <v>84.21593</v>
      </c>
      <c r="AV550">
        <v>0.56284460000000003</v>
      </c>
      <c r="AW550">
        <v>65.016419999999997</v>
      </c>
      <c r="AX550"/>
    </row>
    <row r="551" spans="1:50" x14ac:dyDescent="0.35">
      <c r="A551" s="75">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71.436319999999995</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57.074840000000002</v>
      </c>
      <c r="AN551">
        <v>49.435250000000003</v>
      </c>
      <c r="AO551"/>
      <c r="AP551">
        <v>59.807560000000002</v>
      </c>
      <c r="AQ551"/>
      <c r="AR551"/>
      <c r="AS551"/>
      <c r="AT551"/>
      <c r="AU551">
        <v>84.55265</v>
      </c>
      <c r="AV551">
        <v>0.59438749999999996</v>
      </c>
      <c r="AW551">
        <v>65.222819999999999</v>
      </c>
      <c r="AX551"/>
    </row>
    <row r="552" spans="1:50" x14ac:dyDescent="0.35">
      <c r="A552" s="75">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71.545320000000004</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57.279220000000002</v>
      </c>
      <c r="AN552">
        <v>49.769159999999999</v>
      </c>
      <c r="AO552"/>
      <c r="AP552">
        <v>59.986130000000003</v>
      </c>
      <c r="AQ552"/>
      <c r="AR552"/>
      <c r="AS552"/>
      <c r="AT552"/>
      <c r="AU552">
        <v>84.495069999999998</v>
      </c>
      <c r="AV552">
        <v>0.62494470000000002</v>
      </c>
      <c r="AW552">
        <v>65.30538</v>
      </c>
      <c r="AX552"/>
    </row>
    <row r="553" spans="1:50" x14ac:dyDescent="0.35">
      <c r="A553" s="75">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71.536969999999997</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57.442570000000003</v>
      </c>
      <c r="AN553">
        <v>50.166260000000001</v>
      </c>
      <c r="AO553"/>
      <c r="AP553">
        <v>60.0227</v>
      </c>
      <c r="AQ553"/>
      <c r="AR553"/>
      <c r="AS553"/>
      <c r="AT553"/>
      <c r="AU553">
        <v>84.391530000000003</v>
      </c>
      <c r="AV553">
        <v>0.66240200000000005</v>
      </c>
      <c r="AW553">
        <v>65.181539999999998</v>
      </c>
      <c r="AX553"/>
    </row>
    <row r="554" spans="1:50" x14ac:dyDescent="0.35">
      <c r="A554" s="75">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71.702430000000007</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57.758830000000003</v>
      </c>
      <c r="AN554">
        <v>50.441699999999997</v>
      </c>
      <c r="AO554">
        <v>35.669550000000001</v>
      </c>
      <c r="AP554">
        <v>60.658799999999999</v>
      </c>
      <c r="AQ554"/>
      <c r="AR554"/>
      <c r="AS554">
        <v>39.723700000000001</v>
      </c>
      <c r="AT554"/>
      <c r="AU554">
        <v>84.594549999999998</v>
      </c>
      <c r="AV554">
        <v>0.70725210000000005</v>
      </c>
      <c r="AW554">
        <v>65.511780000000002</v>
      </c>
      <c r="AX554"/>
    </row>
    <row r="555" spans="1:50" x14ac:dyDescent="0.35">
      <c r="A555" s="75">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72.027900000000002</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58.134590000000003</v>
      </c>
      <c r="AN555">
        <v>50.791240000000002</v>
      </c>
      <c r="AO555">
        <v>36.535559999999997</v>
      </c>
      <c r="AP555">
        <v>61.060040000000001</v>
      </c>
      <c r="AQ555"/>
      <c r="AR555"/>
      <c r="AS555">
        <v>40.071719999999999</v>
      </c>
      <c r="AT555"/>
      <c r="AU555">
        <v>84.862629999999996</v>
      </c>
      <c r="AV555">
        <v>0.72943080000000005</v>
      </c>
      <c r="AW555">
        <v>65.883309999999994</v>
      </c>
      <c r="AX555"/>
    </row>
    <row r="556" spans="1:50" x14ac:dyDescent="0.35">
      <c r="A556" s="75">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72.317359999999994</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58.576889999999999</v>
      </c>
      <c r="AN556">
        <v>51.138530000000003</v>
      </c>
      <c r="AO556">
        <v>37.301439999999999</v>
      </c>
      <c r="AP556">
        <v>61.323349999999998</v>
      </c>
      <c r="AQ556"/>
      <c r="AR556"/>
      <c r="AS556">
        <v>40.420999999999999</v>
      </c>
      <c r="AT556"/>
      <c r="AU556">
        <v>85.164230000000003</v>
      </c>
      <c r="AV556">
        <v>0.76146659999999999</v>
      </c>
      <c r="AW556">
        <v>66.213549999999998</v>
      </c>
      <c r="AX556"/>
    </row>
    <row r="557" spans="1:50" x14ac:dyDescent="0.35">
      <c r="A557" s="75">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72.531599999999997</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59.063139999999997</v>
      </c>
      <c r="AN557">
        <v>51.540030000000002</v>
      </c>
      <c r="AO557">
        <v>38.059840000000001</v>
      </c>
      <c r="AP557">
        <v>61.659080000000003</v>
      </c>
      <c r="AQ557"/>
      <c r="AR557"/>
      <c r="AS557">
        <v>40.778399999999998</v>
      </c>
      <c r="AT557"/>
      <c r="AU557">
        <v>85.690349999999995</v>
      </c>
      <c r="AV557">
        <v>0.81025959999999997</v>
      </c>
      <c r="AW557">
        <v>66.337389999999999</v>
      </c>
      <c r="AX557"/>
    </row>
    <row r="558" spans="1:50" x14ac:dyDescent="0.35">
      <c r="A558" s="75">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72.610659999999996</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59.303820000000002</v>
      </c>
      <c r="AN558">
        <v>51.750839999999997</v>
      </c>
      <c r="AO558">
        <v>38.830190000000002</v>
      </c>
      <c r="AP558">
        <v>61.941070000000003</v>
      </c>
      <c r="AQ558"/>
      <c r="AR558"/>
      <c r="AS558">
        <v>41.044580000000003</v>
      </c>
      <c r="AT558"/>
      <c r="AU558">
        <v>85.68365</v>
      </c>
      <c r="AV558">
        <v>0.84525260000000002</v>
      </c>
      <c r="AW558">
        <v>66.37867</v>
      </c>
      <c r="AX558"/>
    </row>
    <row r="559" spans="1:50" x14ac:dyDescent="0.35">
      <c r="A559" s="75">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72.692989999999995</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59.512079999999997</v>
      </c>
      <c r="AN559">
        <v>52.004849999999998</v>
      </c>
      <c r="AO559">
        <v>39.365859999999998</v>
      </c>
      <c r="AP559">
        <v>62.22195</v>
      </c>
      <c r="AQ559"/>
      <c r="AR559"/>
      <c r="AS559">
        <v>41.406910000000003</v>
      </c>
      <c r="AT559"/>
      <c r="AU559">
        <v>85.626679999999993</v>
      </c>
      <c r="AV559">
        <v>0.87433119999999998</v>
      </c>
      <c r="AW559">
        <v>66.419939999999997</v>
      </c>
      <c r="AX559"/>
    </row>
    <row r="560" spans="1:50" x14ac:dyDescent="0.35">
      <c r="A560" s="75">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72.742490000000004</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59.678089999999997</v>
      </c>
      <c r="AN560">
        <v>52.183700000000002</v>
      </c>
      <c r="AO560">
        <v>39.948189999999997</v>
      </c>
      <c r="AP560">
        <v>62.39085</v>
      </c>
      <c r="AQ560"/>
      <c r="AR560"/>
      <c r="AS560">
        <v>41.828270000000003</v>
      </c>
      <c r="AT560"/>
      <c r="AU560">
        <v>85.640079999999998</v>
      </c>
      <c r="AV560">
        <v>0.90242420000000001</v>
      </c>
      <c r="AW560">
        <v>66.502510000000001</v>
      </c>
      <c r="AX560"/>
    </row>
    <row r="561" spans="1:50" x14ac:dyDescent="0.35">
      <c r="A561" s="75">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72.932119999999998</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59.952309999999997</v>
      </c>
      <c r="AN561">
        <v>52.513649999999998</v>
      </c>
      <c r="AO561">
        <v>40.50564</v>
      </c>
      <c r="AP561">
        <v>62.413919999999997</v>
      </c>
      <c r="AQ561"/>
      <c r="AR561"/>
      <c r="AS561">
        <v>41.86262</v>
      </c>
      <c r="AT561"/>
      <c r="AU561">
        <v>85.579769999999996</v>
      </c>
      <c r="AV561">
        <v>0.9453028</v>
      </c>
      <c r="AW561">
        <v>66.708910000000003</v>
      </c>
      <c r="AX561"/>
    </row>
    <row r="562" spans="1:50" x14ac:dyDescent="0.35">
      <c r="A562" s="75">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73.188860000000005</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60.354259999999996</v>
      </c>
      <c r="AN562">
        <v>52.991570000000003</v>
      </c>
      <c r="AO562">
        <v>41.584310000000002</v>
      </c>
      <c r="AP562">
        <v>62.616309999999999</v>
      </c>
      <c r="AQ562"/>
      <c r="AR562"/>
      <c r="AS562">
        <v>41.809449999999998</v>
      </c>
      <c r="AT562"/>
      <c r="AU562">
        <v>86.320350000000005</v>
      </c>
      <c r="AV562">
        <v>1.024653</v>
      </c>
      <c r="AW562">
        <v>66.915310000000005</v>
      </c>
      <c r="AX562"/>
    </row>
    <row r="563" spans="1:50" x14ac:dyDescent="0.35">
      <c r="A563" s="75">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73.328710000000001</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60.64611</v>
      </c>
      <c r="AN563">
        <v>53.287260000000003</v>
      </c>
      <c r="AO563">
        <v>42.204810000000002</v>
      </c>
      <c r="AP563">
        <v>62.863750000000003</v>
      </c>
      <c r="AQ563"/>
      <c r="AR563"/>
      <c r="AS563">
        <v>42.015610000000002</v>
      </c>
      <c r="AT563"/>
      <c r="AU563">
        <v>86.782799999999995</v>
      </c>
      <c r="AV563">
        <v>1.0906960000000001</v>
      </c>
      <c r="AW563">
        <v>67.204279999999997</v>
      </c>
      <c r="AX563"/>
    </row>
    <row r="564" spans="1:50" x14ac:dyDescent="0.35">
      <c r="A564" s="75">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73.431399999999996</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60.869430000000001</v>
      </c>
      <c r="AN564">
        <v>53.557209999999998</v>
      </c>
      <c r="AO564">
        <v>42.750369999999997</v>
      </c>
      <c r="AP564">
        <v>62.947839999999999</v>
      </c>
      <c r="AQ564"/>
      <c r="AR564"/>
      <c r="AS564">
        <v>42.272419999999997</v>
      </c>
      <c r="AT564"/>
      <c r="AU564">
        <v>86.836420000000004</v>
      </c>
      <c r="AV564">
        <v>1.139489</v>
      </c>
      <c r="AW564">
        <v>67.286829999999995</v>
      </c>
      <c r="AX564"/>
    </row>
    <row r="565" spans="1:50" x14ac:dyDescent="0.35">
      <c r="A565" s="75">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73.395949999999999</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61.033659999999998</v>
      </c>
      <c r="AN565">
        <v>53.820920000000001</v>
      </c>
      <c r="AO565">
        <v>43.388559999999998</v>
      </c>
      <c r="AP565">
        <v>62.850859999999997</v>
      </c>
      <c r="AQ565"/>
      <c r="AR565"/>
      <c r="AS565">
        <v>42.728549999999998</v>
      </c>
      <c r="AT565"/>
      <c r="AU565">
        <v>86.598489999999998</v>
      </c>
      <c r="AV565">
        <v>1.1823680000000001</v>
      </c>
      <c r="AW565">
        <v>67.162989999999994</v>
      </c>
      <c r="AX565"/>
    </row>
    <row r="566" spans="1:50" x14ac:dyDescent="0.35">
      <c r="A566" s="75">
        <v>35065</v>
      </c>
      <c r="B566">
        <v>71.732820000000004</v>
      </c>
      <c r="C566">
        <v>72.484790000000004</v>
      </c>
      <c r="D566"/>
      <c r="E566">
        <v>72.668710000000004</v>
      </c>
      <c r="F566">
        <v>92.733339999999998</v>
      </c>
      <c r="G566"/>
      <c r="H566"/>
      <c r="I566">
        <v>27.76972</v>
      </c>
      <c r="J566">
        <v>20.443480000000001</v>
      </c>
      <c r="K566">
        <v>70.3</v>
      </c>
      <c r="L566">
        <v>79.256919999999994</v>
      </c>
      <c r="M566">
        <v>70.501779999999997</v>
      </c>
      <c r="N566">
        <v>75.099999999999994</v>
      </c>
      <c r="O566">
        <v>67.778660000000002</v>
      </c>
      <c r="P566"/>
      <c r="Q566"/>
      <c r="R566">
        <v>76.473219999999998</v>
      </c>
      <c r="S566">
        <v>78.982320000000001</v>
      </c>
      <c r="T566"/>
      <c r="U566">
        <v>73.612120000000004</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61.443840000000002</v>
      </c>
      <c r="AN566">
        <v>54.346029999999999</v>
      </c>
      <c r="AO566">
        <v>44.80677</v>
      </c>
      <c r="AP566">
        <v>63.18909</v>
      </c>
      <c r="AQ566"/>
      <c r="AR566"/>
      <c r="AS566">
        <v>42.992899999999999</v>
      </c>
      <c r="AT566"/>
      <c r="AU566">
        <v>87.131309999999999</v>
      </c>
      <c r="AV566">
        <v>1.2769969999999999</v>
      </c>
      <c r="AW566">
        <v>67.45196</v>
      </c>
      <c r="AX566"/>
    </row>
    <row r="567" spans="1:50" x14ac:dyDescent="0.35">
      <c r="A567" s="75">
        <v>35096</v>
      </c>
      <c r="B567">
        <v>72.106080000000006</v>
      </c>
      <c r="C567">
        <v>72.613720000000001</v>
      </c>
      <c r="D567"/>
      <c r="E567">
        <v>72.787360000000007</v>
      </c>
      <c r="F567">
        <v>92.928709999999995</v>
      </c>
      <c r="G567"/>
      <c r="H567"/>
      <c r="I567">
        <v>28.325600000000001</v>
      </c>
      <c r="J567">
        <v>20.772200000000002</v>
      </c>
      <c r="K567">
        <v>70.599999999999994</v>
      </c>
      <c r="L567">
        <v>79.734920000000002</v>
      </c>
      <c r="M567">
        <v>70.876959999999997</v>
      </c>
      <c r="N567">
        <v>75.42</v>
      </c>
      <c r="O567">
        <v>68.116829999999993</v>
      </c>
      <c r="P567"/>
      <c r="Q567"/>
      <c r="R567">
        <v>76.779730000000001</v>
      </c>
      <c r="S567">
        <v>79.281829999999999</v>
      </c>
      <c r="T567"/>
      <c r="U567">
        <v>73.885429999999999</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61.779089999999997</v>
      </c>
      <c r="AN567">
        <v>54.724539999999998</v>
      </c>
      <c r="AO567">
        <v>45.42454</v>
      </c>
      <c r="AP567">
        <v>63.545499999999997</v>
      </c>
      <c r="AQ567"/>
      <c r="AR567"/>
      <c r="AS567">
        <v>43.27084</v>
      </c>
      <c r="AT567"/>
      <c r="AU567">
        <v>87.218440000000001</v>
      </c>
      <c r="AV567">
        <v>1.328254</v>
      </c>
      <c r="AW567">
        <v>67.782200000000003</v>
      </c>
      <c r="AX567"/>
    </row>
    <row r="568" spans="1:50" x14ac:dyDescent="0.35">
      <c r="A568" s="75">
        <v>35125</v>
      </c>
      <c r="B568">
        <v>72.423969999999997</v>
      </c>
      <c r="C568">
        <v>72.570880000000002</v>
      </c>
      <c r="D568"/>
      <c r="E568">
        <v>73.053020000000004</v>
      </c>
      <c r="F568">
        <v>92.963059999999999</v>
      </c>
      <c r="G568"/>
      <c r="H568"/>
      <c r="I568">
        <v>29.60904</v>
      </c>
      <c r="J568">
        <v>20.945779999999999</v>
      </c>
      <c r="K568">
        <v>71</v>
      </c>
      <c r="L568">
        <v>79.618989999999997</v>
      </c>
      <c r="M568">
        <v>71.292320000000004</v>
      </c>
      <c r="N568">
        <v>75.69</v>
      </c>
      <c r="O568">
        <v>68.446449999999999</v>
      </c>
      <c r="P568"/>
      <c r="Q568"/>
      <c r="R568">
        <v>76.703100000000006</v>
      </c>
      <c r="S568">
        <v>79.725859999999997</v>
      </c>
      <c r="T568"/>
      <c r="U568">
        <v>74.151889999999995</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62.151769999999999</v>
      </c>
      <c r="AN568">
        <v>55.052320000000002</v>
      </c>
      <c r="AO568">
        <v>45.842089999999999</v>
      </c>
      <c r="AP568">
        <v>63.865459999999999</v>
      </c>
      <c r="AQ568"/>
      <c r="AR568"/>
      <c r="AS568">
        <v>43.497689999999999</v>
      </c>
      <c r="AT568"/>
      <c r="AU568">
        <v>87.439610000000002</v>
      </c>
      <c r="AV568">
        <v>1.3829610000000001</v>
      </c>
      <c r="AW568">
        <v>68.071160000000006</v>
      </c>
      <c r="AX568"/>
    </row>
    <row r="569" spans="1:50" x14ac:dyDescent="0.35">
      <c r="A569" s="75">
        <v>35156</v>
      </c>
      <c r="B569">
        <v>72.291799999999995</v>
      </c>
      <c r="C569">
        <v>72.571560000000005</v>
      </c>
      <c r="D569"/>
      <c r="E569">
        <v>73.031009999999995</v>
      </c>
      <c r="F569">
        <v>92.961060000000003</v>
      </c>
      <c r="G569"/>
      <c r="H569"/>
      <c r="I569">
        <v>30.246670000000002</v>
      </c>
      <c r="J569">
        <v>21.091149999999999</v>
      </c>
      <c r="K569">
        <v>71.400000000000006</v>
      </c>
      <c r="L569">
        <v>79.485950000000003</v>
      </c>
      <c r="M569">
        <v>71.391630000000006</v>
      </c>
      <c r="N569">
        <v>75.72</v>
      </c>
      <c r="O569">
        <v>68.699700000000007</v>
      </c>
      <c r="P569"/>
      <c r="Q569"/>
      <c r="R569">
        <v>76.779730000000001</v>
      </c>
      <c r="S569">
        <v>79.788570000000007</v>
      </c>
      <c r="T569"/>
      <c r="U569">
        <v>74.259640000000005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62.419980000000002</v>
      </c>
      <c r="AN569">
        <v>55.351230000000001</v>
      </c>
      <c r="AO569">
        <v>46.551969999999997</v>
      </c>
      <c r="AP569">
        <v>64.032629999999997</v>
      </c>
      <c r="AQ569"/>
      <c r="AR569"/>
      <c r="AS569">
        <v>43.663580000000003</v>
      </c>
      <c r="AT569"/>
      <c r="AU569">
        <v>87.523380000000003</v>
      </c>
      <c r="AV569">
        <v>1.46034</v>
      </c>
      <c r="AW569">
        <v>68.112440000000007</v>
      </c>
      <c r="AX569"/>
    </row>
    <row r="570" spans="1:50" x14ac:dyDescent="0.35">
      <c r="A570" s="75">
        <v>35186</v>
      </c>
      <c r="B570">
        <v>72.156260000000003</v>
      </c>
      <c r="C570">
        <v>72.374889999999994</v>
      </c>
      <c r="D570"/>
      <c r="E570">
        <v>73.199929999999995</v>
      </c>
      <c r="F570">
        <v>92.679789999999997</v>
      </c>
      <c r="G570"/>
      <c r="H570"/>
      <c r="I570">
        <v>30.908829999999998</v>
      </c>
      <c r="J570">
        <v>21.404679999999999</v>
      </c>
      <c r="K570">
        <v>71.8</v>
      </c>
      <c r="L570">
        <v>79.670180000000002</v>
      </c>
      <c r="M570">
        <v>71.682289999999995</v>
      </c>
      <c r="N570">
        <v>75.88</v>
      </c>
      <c r="O570">
        <v>68.827240000000003</v>
      </c>
      <c r="P570"/>
      <c r="Q570"/>
      <c r="R570">
        <v>76.856350000000006</v>
      </c>
      <c r="S570">
        <v>79.863050000000001</v>
      </c>
      <c r="T570"/>
      <c r="U570">
        <v>74.366789999999995</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62.640619999999998</v>
      </c>
      <c r="AN570">
        <v>55.630009999999999</v>
      </c>
      <c r="AO570">
        <v>47.261249999999997</v>
      </c>
      <c r="AP570">
        <v>64.113519999999994</v>
      </c>
      <c r="AQ570"/>
      <c r="AR570"/>
      <c r="AS570">
        <v>43.79954</v>
      </c>
      <c r="AT570"/>
      <c r="AU570">
        <v>87.3994</v>
      </c>
      <c r="AV570">
        <v>1.5288470000000001</v>
      </c>
      <c r="AW570">
        <v>68.153720000000007</v>
      </c>
      <c r="AX570"/>
    </row>
    <row r="571" spans="1:50" x14ac:dyDescent="0.35">
      <c r="A571" s="75">
        <v>35217</v>
      </c>
      <c r="B571">
        <v>72.469480000000004</v>
      </c>
      <c r="C571">
        <v>72.439899999999994</v>
      </c>
      <c r="D571"/>
      <c r="E571">
        <v>73.21105</v>
      </c>
      <c r="F571">
        <v>92.699420000000003</v>
      </c>
      <c r="G571"/>
      <c r="H571"/>
      <c r="I571">
        <v>31.521940000000001</v>
      </c>
      <c r="J571">
        <v>21.584769999999999</v>
      </c>
      <c r="K571">
        <v>72.2</v>
      </c>
      <c r="L571">
        <v>79.872020000000006</v>
      </c>
      <c r="M571">
        <v>71.684489999999997</v>
      </c>
      <c r="N571">
        <v>76</v>
      </c>
      <c r="O571">
        <v>68.974590000000006</v>
      </c>
      <c r="P571"/>
      <c r="Q571"/>
      <c r="R571">
        <v>76.856350000000006</v>
      </c>
      <c r="S571">
        <v>79.916939999999997</v>
      </c>
      <c r="T571"/>
      <c r="U571">
        <v>74.429159999999996</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62.828220000000002</v>
      </c>
      <c r="AN571">
        <v>55.892949999999999</v>
      </c>
      <c r="AO571">
        <v>47.936070000000001</v>
      </c>
      <c r="AP571">
        <v>64.408060000000006</v>
      </c>
      <c r="AQ571"/>
      <c r="AR571"/>
      <c r="AS571">
        <v>44.156309999999998</v>
      </c>
      <c r="AT571"/>
      <c r="AU571">
        <v>87.174869999999999</v>
      </c>
      <c r="AV571">
        <v>1.5899620000000001</v>
      </c>
      <c r="AW571">
        <v>68.194999999999993</v>
      </c>
      <c r="AX571"/>
    </row>
    <row r="572" spans="1:50" x14ac:dyDescent="0.35">
      <c r="A572" s="75">
        <v>35247</v>
      </c>
      <c r="B572">
        <v>73.186840000000004</v>
      </c>
      <c r="C572">
        <v>73.154240000000001</v>
      </c>
      <c r="D572"/>
      <c r="E572">
        <v>73.420010000000005</v>
      </c>
      <c r="F572">
        <v>92.730739999999997</v>
      </c>
      <c r="G572"/>
      <c r="H572"/>
      <c r="I572">
        <v>31.930679999999999</v>
      </c>
      <c r="J572">
        <v>21.8126</v>
      </c>
      <c r="K572">
        <v>72.8</v>
      </c>
      <c r="L572">
        <v>79.983029999999999</v>
      </c>
      <c r="M572">
        <v>71.328310000000002</v>
      </c>
      <c r="N572">
        <v>76.040000000000006</v>
      </c>
      <c r="O572">
        <v>69.084919999999997</v>
      </c>
      <c r="P572"/>
      <c r="Q572"/>
      <c r="R572">
        <v>76.856350000000006</v>
      </c>
      <c r="S572">
        <v>79.770690000000002</v>
      </c>
      <c r="T572"/>
      <c r="U572">
        <v>74.449860000000001</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62.96951</v>
      </c>
      <c r="AN572">
        <v>56.040579999999999</v>
      </c>
      <c r="AO572">
        <v>48.483159999999998</v>
      </c>
      <c r="AP572">
        <v>64.456609999999998</v>
      </c>
      <c r="AQ572"/>
      <c r="AR572"/>
      <c r="AS572">
        <v>44.191800000000001</v>
      </c>
      <c r="AT572"/>
      <c r="AU572">
        <v>86.632000000000005</v>
      </c>
      <c r="AV572">
        <v>1.6446689999999999</v>
      </c>
      <c r="AW572">
        <v>68.318839999999994</v>
      </c>
      <c r="AX572"/>
    </row>
    <row r="573" spans="1:50" x14ac:dyDescent="0.35">
      <c r="A573" s="75">
        <v>35278</v>
      </c>
      <c r="B573">
        <v>73.666790000000006</v>
      </c>
      <c r="C573">
        <v>73.520359999999997</v>
      </c>
      <c r="D573"/>
      <c r="E573">
        <v>73.461539999999999</v>
      </c>
      <c r="F573">
        <v>93.175290000000004</v>
      </c>
      <c r="G573"/>
      <c r="H573"/>
      <c r="I573">
        <v>32.290370000000003</v>
      </c>
      <c r="J573">
        <v>22.029579999999999</v>
      </c>
      <c r="K573">
        <v>73</v>
      </c>
      <c r="L573">
        <v>80.08672</v>
      </c>
      <c r="M573">
        <v>71.549880000000002</v>
      </c>
      <c r="N573">
        <v>76.12</v>
      </c>
      <c r="O573">
        <v>69.154560000000004</v>
      </c>
      <c r="P573"/>
      <c r="Q573"/>
      <c r="R573">
        <v>76.856350000000006</v>
      </c>
      <c r="S573">
        <v>79.828379999999996</v>
      </c>
      <c r="T573"/>
      <c r="U573">
        <v>74.542360000000002</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63.178019999999997</v>
      </c>
      <c r="AN573">
        <v>56.326810000000002</v>
      </c>
      <c r="AO573">
        <v>48.932540000000003</v>
      </c>
      <c r="AP573">
        <v>64.611540000000005</v>
      </c>
      <c r="AQ573"/>
      <c r="AR573"/>
      <c r="AS573">
        <v>44.290489999999998</v>
      </c>
      <c r="AT573"/>
      <c r="AU573">
        <v>86.377319999999997</v>
      </c>
      <c r="AV573">
        <v>1.7190909999999999</v>
      </c>
      <c r="AW573">
        <v>68.442679999999996</v>
      </c>
      <c r="AX573"/>
    </row>
    <row r="574" spans="1:50" x14ac:dyDescent="0.35">
      <c r="A574" s="75">
        <v>35309</v>
      </c>
      <c r="B574">
        <v>72.861369999999994</v>
      </c>
      <c r="C574">
        <v>73.224209999999999</v>
      </c>
      <c r="D574"/>
      <c r="E574">
        <v>73.564499999999995</v>
      </c>
      <c r="F574">
        <v>93.184330000000003</v>
      </c>
      <c r="G574"/>
      <c r="H574"/>
      <c r="I574">
        <v>32.658230000000003</v>
      </c>
      <c r="J574">
        <v>22.1858</v>
      </c>
      <c r="K574">
        <v>73.2</v>
      </c>
      <c r="L574">
        <v>80.064800000000005</v>
      </c>
      <c r="M574">
        <v>71.889759999999995</v>
      </c>
      <c r="N574">
        <v>76.25</v>
      </c>
      <c r="O574">
        <v>69.288799999999995</v>
      </c>
      <c r="P574"/>
      <c r="Q574"/>
      <c r="R574">
        <v>77.009609999999995</v>
      </c>
      <c r="S574">
        <v>79.973619999999997</v>
      </c>
      <c r="T574"/>
      <c r="U574">
        <v>74.791730000000001</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63.557920000000003</v>
      </c>
      <c r="AN574">
        <v>56.770650000000003</v>
      </c>
      <c r="AO574">
        <v>49.759619999999998</v>
      </c>
      <c r="AP574">
        <v>64.737049999999996</v>
      </c>
      <c r="AQ574"/>
      <c r="AR574"/>
      <c r="AS574">
        <v>44.373390000000001</v>
      </c>
      <c r="AT574"/>
      <c r="AU574">
        <v>86.816310000000001</v>
      </c>
      <c r="AV574">
        <v>1.8413200000000001</v>
      </c>
      <c r="AW574">
        <v>68.690359999999998</v>
      </c>
      <c r="AX574"/>
    </row>
    <row r="575" spans="1:50" x14ac:dyDescent="0.35">
      <c r="A575" s="75">
        <v>35339</v>
      </c>
      <c r="B575">
        <v>72.583510000000004</v>
      </c>
      <c r="C575">
        <v>73.238720000000001</v>
      </c>
      <c r="D575"/>
      <c r="E575">
        <v>73.543139999999994</v>
      </c>
      <c r="F575">
        <v>93.128820000000005</v>
      </c>
      <c r="G575"/>
      <c r="H575"/>
      <c r="I575">
        <v>33.091500000000003</v>
      </c>
      <c r="J575">
        <v>22.446169999999999</v>
      </c>
      <c r="K575">
        <v>73.5</v>
      </c>
      <c r="L575">
        <v>79.995109999999997</v>
      </c>
      <c r="M575">
        <v>71.896360000000001</v>
      </c>
      <c r="N575">
        <v>76.31</v>
      </c>
      <c r="O575">
        <v>69.425330000000002</v>
      </c>
      <c r="P575"/>
      <c r="Q575"/>
      <c r="R575">
        <v>77.086240000000004</v>
      </c>
      <c r="S575">
        <v>80.078419999999994</v>
      </c>
      <c r="T575"/>
      <c r="U575">
        <v>74.959879999999998</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63.866070000000001</v>
      </c>
      <c r="AN575">
        <v>57.141370000000002</v>
      </c>
      <c r="AO575">
        <v>50.553750000000001</v>
      </c>
      <c r="AP575">
        <v>65.020250000000004</v>
      </c>
      <c r="AQ575"/>
      <c r="AR575"/>
      <c r="AS575">
        <v>44.634619999999998</v>
      </c>
      <c r="AT575"/>
      <c r="AU575">
        <v>86.947010000000006</v>
      </c>
      <c r="AV575">
        <v>1.961084</v>
      </c>
      <c r="AW575">
        <v>68.938040000000001</v>
      </c>
      <c r="AX575"/>
    </row>
    <row r="576" spans="1:50" x14ac:dyDescent="0.35">
      <c r="A576" s="75">
        <v>35370</v>
      </c>
      <c r="B576">
        <v>72.738659999999996</v>
      </c>
      <c r="C576">
        <v>73.444569999999999</v>
      </c>
      <c r="D576"/>
      <c r="E576">
        <v>73.861130000000003</v>
      </c>
      <c r="F576">
        <v>93.083250000000007</v>
      </c>
      <c r="G576"/>
      <c r="H576"/>
      <c r="I576">
        <v>33.38579</v>
      </c>
      <c r="J576">
        <v>22.642530000000001</v>
      </c>
      <c r="K576">
        <v>73.8</v>
      </c>
      <c r="L576">
        <v>79.914460000000005</v>
      </c>
      <c r="M576">
        <v>72.144840000000002</v>
      </c>
      <c r="N576">
        <v>76.260000000000005</v>
      </c>
      <c r="O576">
        <v>69.461439999999996</v>
      </c>
      <c r="P576"/>
      <c r="Q576"/>
      <c r="R576">
        <v>76.856350000000006</v>
      </c>
      <c r="S576">
        <v>79.849879999999999</v>
      </c>
      <c r="T576"/>
      <c r="U576">
        <v>75.020579999999995</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64.048389999999998</v>
      </c>
      <c r="AN576">
        <v>57.379730000000002</v>
      </c>
      <c r="AO576">
        <v>50.923609999999996</v>
      </c>
      <c r="AP576">
        <v>65.338430000000002</v>
      </c>
      <c r="AQ576"/>
      <c r="AR576"/>
      <c r="AS576">
        <v>44.806840000000001</v>
      </c>
      <c r="AT576"/>
      <c r="AU576">
        <v>86.890039999999999</v>
      </c>
      <c r="AV576">
        <v>2.04487</v>
      </c>
      <c r="AW576">
        <v>69.020610000000005</v>
      </c>
      <c r="AX576"/>
    </row>
    <row r="577" spans="1:50" x14ac:dyDescent="0.35">
      <c r="A577" s="75">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75.010750000000002</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64.249470000000002</v>
      </c>
      <c r="AN577">
        <v>57.705460000000002</v>
      </c>
      <c r="AO577">
        <v>51.2729</v>
      </c>
      <c r="AP577">
        <v>65.144260000000003</v>
      </c>
      <c r="AQ577"/>
      <c r="AR577"/>
      <c r="AS577">
        <v>45.055810000000001</v>
      </c>
      <c r="AT577"/>
      <c r="AU577">
        <v>86.635350000000003</v>
      </c>
      <c r="AV577">
        <v>2.1325989999999999</v>
      </c>
      <c r="AW577">
        <v>68.938040000000001</v>
      </c>
      <c r="AX577"/>
    </row>
    <row r="578" spans="1:50" x14ac:dyDescent="0.35">
      <c r="A578" s="75">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75.099969999999999</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64.502359999999996</v>
      </c>
      <c r="AN578">
        <v>58.02328</v>
      </c>
      <c r="AO578">
        <v>52.71978</v>
      </c>
      <c r="AP578">
        <v>66.895259999999993</v>
      </c>
      <c r="AQ578"/>
      <c r="AR578"/>
      <c r="AS578">
        <v>45.588290000000001</v>
      </c>
      <c r="AT578"/>
      <c r="AU578">
        <v>86.558279999999996</v>
      </c>
      <c r="AV578">
        <v>2.2651780000000001</v>
      </c>
      <c r="AW578">
        <v>69.144450000000006</v>
      </c>
      <c r="AX578"/>
    </row>
    <row r="579" spans="1:50" x14ac:dyDescent="0.35">
      <c r="A579" s="75">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75.330520000000007</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64.805880000000002</v>
      </c>
      <c r="AN579">
        <v>58.336590000000001</v>
      </c>
      <c r="AO579">
        <v>53.550040000000003</v>
      </c>
      <c r="AP579">
        <v>67.188270000000003</v>
      </c>
      <c r="AQ579"/>
      <c r="AR579"/>
      <c r="AS579">
        <v>45.771410000000003</v>
      </c>
      <c r="AT579"/>
      <c r="AU579">
        <v>86.424229999999994</v>
      </c>
      <c r="AV579">
        <v>2.3494570000000001</v>
      </c>
      <c r="AW579">
        <v>69.474689999999995</v>
      </c>
      <c r="AX579"/>
    </row>
    <row r="580" spans="1:50" x14ac:dyDescent="0.35">
      <c r="A580" s="75">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75.608040000000003</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65.165419999999997</v>
      </c>
      <c r="AN580">
        <v>58.691079999999999</v>
      </c>
      <c r="AO580">
        <v>54.210340000000002</v>
      </c>
      <c r="AP580">
        <v>67.412750000000003</v>
      </c>
      <c r="AQ580"/>
      <c r="AR580"/>
      <c r="AS580">
        <v>46.023240000000001</v>
      </c>
      <c r="AT580"/>
      <c r="AU580">
        <v>86.906790000000001</v>
      </c>
      <c r="AV580">
        <v>2.4342290000000002</v>
      </c>
      <c r="AW580">
        <v>69.763649999999998</v>
      </c>
      <c r="AX580"/>
    </row>
    <row r="581" spans="1:50" x14ac:dyDescent="0.35">
      <c r="A581" s="75">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75.900260000000003</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65.514259999999993</v>
      </c>
      <c r="AN581">
        <v>58.974299999999999</v>
      </c>
      <c r="AO581">
        <v>54.743299999999998</v>
      </c>
      <c r="AP581">
        <v>67.564089999999993</v>
      </c>
      <c r="AQ581"/>
      <c r="AR581"/>
      <c r="AS581">
        <v>46.412239999999997</v>
      </c>
      <c r="AT581"/>
      <c r="AU581">
        <v>87.302220000000005</v>
      </c>
      <c r="AV581">
        <v>2.5682860000000001</v>
      </c>
      <c r="AW581">
        <v>69.92877</v>
      </c>
      <c r="AX581"/>
    </row>
    <row r="582" spans="1:50" x14ac:dyDescent="0.35">
      <c r="A582" s="75">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75.958209999999994</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65.707579999999993</v>
      </c>
      <c r="AN582">
        <v>59.302639999999997</v>
      </c>
      <c r="AO582">
        <v>55.059040000000003</v>
      </c>
      <c r="AP582">
        <v>67.744429999999994</v>
      </c>
      <c r="AQ582"/>
      <c r="AR582"/>
      <c r="AS582">
        <v>46.692500000000003</v>
      </c>
      <c r="AT582"/>
      <c r="AU582">
        <v>87.191630000000004</v>
      </c>
      <c r="AV582">
        <v>2.7181150000000001</v>
      </c>
      <c r="AW582">
        <v>69.88749</v>
      </c>
      <c r="AX582"/>
    </row>
    <row r="583" spans="1:50" x14ac:dyDescent="0.35">
      <c r="A583" s="75">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75.950760000000002</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65.820819999999998</v>
      </c>
      <c r="AN583">
        <v>59.491379999999999</v>
      </c>
      <c r="AO583">
        <v>55.460769999999997</v>
      </c>
      <c r="AP583">
        <v>67.813320000000004</v>
      </c>
      <c r="AQ583"/>
      <c r="AR583"/>
      <c r="AS583">
        <v>46.772410000000001</v>
      </c>
      <c r="AT583"/>
      <c r="AU583">
        <v>87.198329999999999</v>
      </c>
      <c r="AV583">
        <v>2.813237</v>
      </c>
      <c r="AW583">
        <v>69.846209999999999</v>
      </c>
      <c r="AX583"/>
    </row>
    <row r="584" spans="1:50" x14ac:dyDescent="0.35">
      <c r="A584" s="75">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76.046459999999996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66.051119999999997</v>
      </c>
      <c r="AN584">
        <v>59.892069999999997</v>
      </c>
      <c r="AO584">
        <v>56.054459999999999</v>
      </c>
      <c r="AP584">
        <v>67.905680000000004</v>
      </c>
      <c r="AQ584"/>
      <c r="AR584"/>
      <c r="AS584">
        <v>47.009340000000002</v>
      </c>
      <c r="AT584"/>
      <c r="AU584">
        <v>86.688969999999998</v>
      </c>
      <c r="AV584">
        <v>3.001509</v>
      </c>
      <c r="AW584">
        <v>69.970050000000001</v>
      </c>
      <c r="AX584"/>
    </row>
    <row r="585" spans="1:50" x14ac:dyDescent="0.35">
      <c r="A585" s="75">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76.106039999999993</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66.271100000000004</v>
      </c>
      <c r="AN585">
        <v>60.313380000000002</v>
      </c>
      <c r="AO585">
        <v>56.52243</v>
      </c>
      <c r="AP585">
        <v>68.030519999999996</v>
      </c>
      <c r="AQ585"/>
      <c r="AR585"/>
      <c r="AS585">
        <v>47.404609999999998</v>
      </c>
      <c r="AT585"/>
      <c r="AU585">
        <v>86.672219999999996</v>
      </c>
      <c r="AV585">
        <v>3.1991450000000001</v>
      </c>
      <c r="AW585">
        <v>70.011330000000001</v>
      </c>
      <c r="AX585"/>
    </row>
    <row r="586" spans="1:50" x14ac:dyDescent="0.35">
      <c r="A586" s="75">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76.343149999999994</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66.682559999999995</v>
      </c>
      <c r="AN586">
        <v>60.841920000000002</v>
      </c>
      <c r="AO586">
        <v>57.418469999999999</v>
      </c>
      <c r="AP586">
        <v>68.129549999999995</v>
      </c>
      <c r="AQ586"/>
      <c r="AR586"/>
      <c r="AS586">
        <v>47.609279999999998</v>
      </c>
      <c r="AT586"/>
      <c r="AU586">
        <v>87.774720000000002</v>
      </c>
      <c r="AV586">
        <v>3.4574029999999998</v>
      </c>
      <c r="AW586">
        <v>70.176450000000003</v>
      </c>
      <c r="AX586"/>
    </row>
    <row r="587" spans="1:50" x14ac:dyDescent="0.35">
      <c r="A587" s="75">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76.560760000000002</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67.052800000000005</v>
      </c>
      <c r="AN587">
        <v>61.273400000000002</v>
      </c>
      <c r="AO587">
        <v>57.894710000000003</v>
      </c>
      <c r="AP587">
        <v>68.203699999999998</v>
      </c>
      <c r="AQ587"/>
      <c r="AR587"/>
      <c r="AS587">
        <v>47.989690000000003</v>
      </c>
      <c r="AT587"/>
      <c r="AU587">
        <v>88.032749999999993</v>
      </c>
      <c r="AV587">
        <v>3.7176330000000002</v>
      </c>
      <c r="AW587">
        <v>70.506690000000006</v>
      </c>
      <c r="AX587"/>
    </row>
    <row r="588" spans="1:50" x14ac:dyDescent="0.35">
      <c r="A588" s="75">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76.586709999999997</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67.243740000000003</v>
      </c>
      <c r="AN588">
        <v>61.66357</v>
      </c>
      <c r="AO588">
        <v>58.40643</v>
      </c>
      <c r="AP588">
        <v>68.302539999999993</v>
      </c>
      <c r="AQ588"/>
      <c r="AR588"/>
      <c r="AS588">
        <v>48.291310000000003</v>
      </c>
      <c r="AT588"/>
      <c r="AU588">
        <v>87.97578</v>
      </c>
      <c r="AV588">
        <v>3.9142830000000002</v>
      </c>
      <c r="AW588">
        <v>70.506690000000006</v>
      </c>
      <c r="AX588"/>
    </row>
    <row r="589" spans="1:50" x14ac:dyDescent="0.35">
      <c r="A589" s="75">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76.583370000000002</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67.424359999999993</v>
      </c>
      <c r="AN589">
        <v>62.021830000000001</v>
      </c>
      <c r="AO589">
        <v>58.765599999999999</v>
      </c>
      <c r="AP589">
        <v>68.344089999999994</v>
      </c>
      <c r="AQ589"/>
      <c r="AR589"/>
      <c r="AS589">
        <v>48.4861</v>
      </c>
      <c r="AT589"/>
      <c r="AU589">
        <v>87.945629999999994</v>
      </c>
      <c r="AV589">
        <v>4.1015699999999997</v>
      </c>
      <c r="AW589">
        <v>70.465419999999995</v>
      </c>
      <c r="AX589"/>
    </row>
    <row r="590" spans="1:50" x14ac:dyDescent="0.35">
      <c r="A590" s="75">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76.570149999999998</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67.653549999999996</v>
      </c>
      <c r="AN590">
        <v>62.247509999999998</v>
      </c>
      <c r="AO590">
        <v>60.441209999999998</v>
      </c>
      <c r="AP590">
        <v>68.306079999999994</v>
      </c>
      <c r="AQ590"/>
      <c r="AR590"/>
      <c r="AS590">
        <v>49.524030000000003</v>
      </c>
      <c r="AT590"/>
      <c r="AU590">
        <v>86.779449999999997</v>
      </c>
      <c r="AV590">
        <v>4.3903850000000002</v>
      </c>
      <c r="AW590">
        <v>70.671809999999994</v>
      </c>
      <c r="AX590"/>
    </row>
    <row r="591" spans="1:50" x14ac:dyDescent="0.35">
      <c r="A591" s="75">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76.871520000000004</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68.03398</v>
      </c>
      <c r="AN591">
        <v>62.657339999999998</v>
      </c>
      <c r="AO591">
        <v>61.865920000000003</v>
      </c>
      <c r="AP591">
        <v>68.186890000000005</v>
      </c>
      <c r="AQ591"/>
      <c r="AR591"/>
      <c r="AS591">
        <v>49.818080000000002</v>
      </c>
      <c r="AT591"/>
      <c r="AU591">
        <v>86.632000000000005</v>
      </c>
      <c r="AV591">
        <v>4.562392</v>
      </c>
      <c r="AW591">
        <v>71.043329999999997</v>
      </c>
      <c r="AX591"/>
    </row>
    <row r="592" spans="1:50" x14ac:dyDescent="0.35">
      <c r="A592" s="75">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77.087909999999994</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68.369969999999995</v>
      </c>
      <c r="AN592">
        <v>63.030639999999998</v>
      </c>
      <c r="AO592">
        <v>62.344790000000003</v>
      </c>
      <c r="AP592">
        <v>68.389849999999996</v>
      </c>
      <c r="AQ592"/>
      <c r="AR592"/>
      <c r="AS592">
        <v>50.086179999999999</v>
      </c>
      <c r="AT592"/>
      <c r="AU592">
        <v>86.873279999999994</v>
      </c>
      <c r="AV592">
        <v>4.7600290000000003</v>
      </c>
      <c r="AW592">
        <v>71.249740000000003</v>
      </c>
      <c r="AX592"/>
    </row>
    <row r="593" spans="1:50" x14ac:dyDescent="0.35">
      <c r="A593" s="75">
        <v>35886</v>
      </c>
      <c r="B593">
        <v>74.252880000000005</v>
      </c>
      <c r="C593">
        <v>74.880359999999996</v>
      </c>
      <c r="D593"/>
      <c r="E593">
        <v>75.325909999999993</v>
      </c>
      <c r="F593">
        <v>93.481639999999999</v>
      </c>
      <c r="G593"/>
      <c r="H593"/>
      <c r="I593">
        <v>42.844009999999997</v>
      </c>
      <c r="J593">
        <v>26.768329999999999</v>
      </c>
      <c r="K593">
        <v>83.3</v>
      </c>
      <c r="L593">
        <v>82.194980000000001</v>
      </c>
      <c r="M593">
        <v>73.908010000000004</v>
      </c>
      <c r="N593">
        <v>78.099999999999994</v>
      </c>
      <c r="O593">
        <v>72.119690000000006</v>
      </c>
      <c r="P593">
        <v>61.693300000000001</v>
      </c>
      <c r="Q593"/>
      <c r="R593">
        <v>78.925269999999998</v>
      </c>
      <c r="S593">
        <v>81.210440000000006</v>
      </c>
      <c r="T593"/>
      <c r="U593">
        <v>77.25573</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68.668880000000001</v>
      </c>
      <c r="AN593">
        <v>63.402050000000003</v>
      </c>
      <c r="AO593">
        <v>62.776000000000003</v>
      </c>
      <c r="AP593">
        <v>68.893600000000006</v>
      </c>
      <c r="AQ593"/>
      <c r="AR593"/>
      <c r="AS593">
        <v>50.233629999999998</v>
      </c>
      <c r="AT593"/>
      <c r="AU593">
        <v>87.024079999999998</v>
      </c>
      <c r="AV593">
        <v>5.0281440000000002</v>
      </c>
      <c r="AW593">
        <v>71.414860000000004</v>
      </c>
      <c r="AX593"/>
    </row>
    <row r="594" spans="1:50" x14ac:dyDescent="0.35">
      <c r="A594" s="75">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77.332369999999997</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68.854230000000001</v>
      </c>
      <c r="AN594">
        <v>63.717799999999997</v>
      </c>
      <c r="AO594">
        <v>63.048360000000002</v>
      </c>
      <c r="AP594">
        <v>69.390079999999998</v>
      </c>
      <c r="AQ594"/>
      <c r="AR594"/>
      <c r="AS594">
        <v>50.372750000000003</v>
      </c>
      <c r="AT594"/>
      <c r="AU594">
        <v>87.13467</v>
      </c>
      <c r="AV594">
        <v>5.2696440000000004</v>
      </c>
      <c r="AW594">
        <v>71.456140000000005</v>
      </c>
      <c r="AX594"/>
    </row>
    <row r="595" spans="1:50" x14ac:dyDescent="0.35">
      <c r="A595" s="75">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77.317980000000006</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68.972499999999997</v>
      </c>
      <c r="AN595">
        <v>63.96846</v>
      </c>
      <c r="AO595">
        <v>63.397539999999999</v>
      </c>
      <c r="AP595">
        <v>69.508989999999997</v>
      </c>
      <c r="AQ595"/>
      <c r="AR595"/>
      <c r="AS595">
        <v>50.465510000000002</v>
      </c>
      <c r="AT595"/>
      <c r="AU595">
        <v>86.836420000000004</v>
      </c>
      <c r="AV595">
        <v>5.496359</v>
      </c>
      <c r="AW595">
        <v>71.414860000000004</v>
      </c>
      <c r="AX595"/>
    </row>
    <row r="596" spans="1:50" x14ac:dyDescent="0.35">
      <c r="A596" s="75">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77.346980000000002</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69.107529999999997</v>
      </c>
      <c r="AN596">
        <v>64.158349999999999</v>
      </c>
      <c r="AO596">
        <v>63.984810000000003</v>
      </c>
      <c r="AP596">
        <v>69.648200000000003</v>
      </c>
      <c r="AQ596"/>
      <c r="AR596"/>
      <c r="AS596">
        <v>50.608359999999998</v>
      </c>
      <c r="AT596"/>
      <c r="AU596">
        <v>86.504660000000001</v>
      </c>
      <c r="AV596">
        <v>5.6895600000000002</v>
      </c>
      <c r="AW596">
        <v>71.538700000000006</v>
      </c>
      <c r="AX596"/>
    </row>
    <row r="597" spans="1:50" x14ac:dyDescent="0.35">
      <c r="A597" s="75">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77.493970000000004</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69.351879999999994</v>
      </c>
      <c r="AN597">
        <v>64.487920000000003</v>
      </c>
      <c r="AO597">
        <v>64.427809999999994</v>
      </c>
      <c r="AP597">
        <v>69.534580000000005</v>
      </c>
      <c r="AQ597"/>
      <c r="AR597"/>
      <c r="AS597">
        <v>50.62509</v>
      </c>
      <c r="AT597"/>
      <c r="AU597">
        <v>86.042209999999997</v>
      </c>
      <c r="AV597">
        <v>5.9586610000000002</v>
      </c>
      <c r="AW597">
        <v>71.745099999999994</v>
      </c>
      <c r="AX597"/>
    </row>
    <row r="598" spans="1:50" x14ac:dyDescent="0.35">
      <c r="A598" s="75">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77.670850000000002</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69.716539999999995</v>
      </c>
      <c r="AN598">
        <v>64.991770000000002</v>
      </c>
      <c r="AO598">
        <v>64.877200000000002</v>
      </c>
      <c r="AP598">
        <v>69.625579999999999</v>
      </c>
      <c r="AQ598"/>
      <c r="AR598"/>
      <c r="AS598">
        <v>50.832859999999997</v>
      </c>
      <c r="AT598"/>
      <c r="AU598">
        <v>86.742580000000004</v>
      </c>
      <c r="AV598">
        <v>6.3815340000000003</v>
      </c>
      <c r="AW598">
        <v>71.910219999999995</v>
      </c>
      <c r="AX598"/>
    </row>
    <row r="599" spans="1:50" x14ac:dyDescent="0.35">
      <c r="A599" s="75">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77.801410000000004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70.009870000000006</v>
      </c>
      <c r="AN599">
        <v>65.360249999999994</v>
      </c>
      <c r="AO599">
        <v>65.263530000000003</v>
      </c>
      <c r="AP599">
        <v>69.961489999999998</v>
      </c>
      <c r="AQ599"/>
      <c r="AR599"/>
      <c r="AS599">
        <v>51.213389999999997</v>
      </c>
      <c r="AT599"/>
      <c r="AU599">
        <v>86.987210000000005</v>
      </c>
      <c r="AV599">
        <v>6.7521630000000004</v>
      </c>
      <c r="AW599">
        <v>72.116619999999998</v>
      </c>
      <c r="AX599"/>
    </row>
    <row r="600" spans="1:50" x14ac:dyDescent="0.35">
      <c r="A600" s="75">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77.834990000000005</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70.185270000000003</v>
      </c>
      <c r="AN600">
        <v>65.638279999999995</v>
      </c>
      <c r="AO600">
        <v>65.438580000000002</v>
      </c>
      <c r="AP600">
        <v>70.474720000000005</v>
      </c>
      <c r="AQ600"/>
      <c r="AR600"/>
      <c r="AS600">
        <v>51.435090000000002</v>
      </c>
      <c r="AT600"/>
      <c r="AU600">
        <v>86.75264</v>
      </c>
      <c r="AV600">
        <v>7.0335859999999997</v>
      </c>
      <c r="AW600">
        <v>72.157910000000001</v>
      </c>
      <c r="AX600"/>
    </row>
    <row r="601" spans="1:50" x14ac:dyDescent="0.35">
      <c r="A601" s="75">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77.861999999999995</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70.370379999999997</v>
      </c>
      <c r="AN601">
        <v>65.945210000000003</v>
      </c>
      <c r="AO601">
        <v>65.579710000000006</v>
      </c>
      <c r="AP601">
        <v>70.592399999999998</v>
      </c>
      <c r="AQ601"/>
      <c r="AR601"/>
      <c r="AS601">
        <v>51.626159999999999</v>
      </c>
      <c r="AT601"/>
      <c r="AU601">
        <v>86.668859999999995</v>
      </c>
      <c r="AV601">
        <v>7.2938150000000004</v>
      </c>
      <c r="AW601">
        <v>72.157910000000001</v>
      </c>
      <c r="AX601"/>
    </row>
    <row r="602" spans="1:50" x14ac:dyDescent="0.35">
      <c r="A602" s="75">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77.821719999999999</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70.512010000000004</v>
      </c>
      <c r="AN602">
        <v>66.031639999999996</v>
      </c>
      <c r="AO602">
        <v>67.088340000000002</v>
      </c>
      <c r="AP602">
        <v>70.323620000000005</v>
      </c>
      <c r="AQ602"/>
      <c r="AR602"/>
      <c r="AS602">
        <v>52.406010000000002</v>
      </c>
      <c r="AT602"/>
      <c r="AU602">
        <v>86.531469999999999</v>
      </c>
      <c r="AV602">
        <v>7.6674020000000001</v>
      </c>
      <c r="AW602">
        <v>72.3643</v>
      </c>
      <c r="AX602"/>
    </row>
    <row r="603" spans="1:50" x14ac:dyDescent="0.35">
      <c r="A603" s="75">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77.955799999999996</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70.746139999999997</v>
      </c>
      <c r="AN603">
        <v>66.336500000000001</v>
      </c>
      <c r="AO603">
        <v>67.7517</v>
      </c>
      <c r="AP603">
        <v>70.281239999999997</v>
      </c>
      <c r="AQ603"/>
      <c r="AR603"/>
      <c r="AS603">
        <v>53.165050000000001</v>
      </c>
      <c r="AT603"/>
      <c r="AU603">
        <v>86.531469999999999</v>
      </c>
      <c r="AV603">
        <v>7.8975669999999996</v>
      </c>
      <c r="AW603">
        <v>72.529430000000005</v>
      </c>
      <c r="AX603"/>
    </row>
    <row r="604" spans="1:50" x14ac:dyDescent="0.35">
      <c r="A604" s="75">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78.152820000000006</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71.046459999999996</v>
      </c>
      <c r="AN604">
        <v>66.654709999999994</v>
      </c>
      <c r="AO604">
        <v>68.289199999999994</v>
      </c>
      <c r="AP604">
        <v>70.468249999999998</v>
      </c>
      <c r="AQ604"/>
      <c r="AR604"/>
      <c r="AS604">
        <v>53.507890000000003</v>
      </c>
      <c r="AT604"/>
      <c r="AU604">
        <v>86.816310000000001</v>
      </c>
      <c r="AV604">
        <v>8.1696240000000007</v>
      </c>
      <c r="AW604">
        <v>72.735830000000007</v>
      </c>
      <c r="AX604"/>
    </row>
    <row r="605" spans="1:50" x14ac:dyDescent="0.35">
      <c r="A605" s="75">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78.389849999999996</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71.362080000000006</v>
      </c>
      <c r="AN605">
        <v>66.97466</v>
      </c>
      <c r="AO605">
        <v>68.888530000000003</v>
      </c>
      <c r="AP605">
        <v>70.935649999999995</v>
      </c>
      <c r="AQ605"/>
      <c r="AR605"/>
      <c r="AS605">
        <v>53.9437</v>
      </c>
      <c r="AT605"/>
      <c r="AU605">
        <v>87.047539999999998</v>
      </c>
      <c r="AV605">
        <v>8.5407480000000007</v>
      </c>
      <c r="AW605">
        <v>72.983509999999995</v>
      </c>
      <c r="AX605"/>
    </row>
    <row r="606" spans="1:50" x14ac:dyDescent="0.35">
      <c r="A606" s="75">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78.383719999999997</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71.483339999999998</v>
      </c>
      <c r="AN606">
        <v>67.269069999999999</v>
      </c>
      <c r="AO606">
        <v>69.404240000000001</v>
      </c>
      <c r="AP606">
        <v>71.39143</v>
      </c>
      <c r="AQ606"/>
      <c r="AR606"/>
      <c r="AS606">
        <v>54.280090000000001</v>
      </c>
      <c r="AT606"/>
      <c r="AU606">
        <v>87.077699999999993</v>
      </c>
      <c r="AV606">
        <v>8.9429200000000009</v>
      </c>
      <c r="AW606">
        <v>72.900949999999995</v>
      </c>
      <c r="AX606"/>
    </row>
    <row r="607" spans="1:50" x14ac:dyDescent="0.35">
      <c r="A607" s="75">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78.401679999999999</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71.627030000000005</v>
      </c>
      <c r="AN607">
        <v>67.549040000000005</v>
      </c>
      <c r="AO607">
        <v>69.891459999999995</v>
      </c>
      <c r="AP607">
        <v>71.494420000000005</v>
      </c>
      <c r="AQ607"/>
      <c r="AR607"/>
      <c r="AS607">
        <v>54.567369999999997</v>
      </c>
      <c r="AT607"/>
      <c r="AU607">
        <v>87.194980000000001</v>
      </c>
      <c r="AV607">
        <v>9.3825489999999991</v>
      </c>
      <c r="AW607">
        <v>72.900949999999995</v>
      </c>
      <c r="AX607"/>
    </row>
    <row r="608" spans="1:50" x14ac:dyDescent="0.35">
      <c r="A608" s="75">
        <v>36342</v>
      </c>
      <c r="B608">
        <v>74.865489999999994</v>
      </c>
      <c r="C608">
        <v>76.262039999999999</v>
      </c>
      <c r="D608"/>
      <c r="E608">
        <v>76.834249999999997</v>
      </c>
      <c r="F608">
        <v>93.916619999999995</v>
      </c>
      <c r="G608">
        <v>67.768190000000004</v>
      </c>
      <c r="H608"/>
      <c r="I608">
        <v>50.070509999999999</v>
      </c>
      <c r="J608">
        <v>30.416779999999999</v>
      </c>
      <c r="K608">
        <v>86.5</v>
      </c>
      <c r="L608">
        <v>83.243250000000003</v>
      </c>
      <c r="M608">
        <v>75.739469999999997</v>
      </c>
      <c r="N608">
        <v>79.3</v>
      </c>
      <c r="O608">
        <v>74.523169999999993</v>
      </c>
      <c r="P608">
        <v>66.006730000000005</v>
      </c>
      <c r="Q608"/>
      <c r="R608">
        <v>79.691540000000003</v>
      </c>
      <c r="S608">
        <v>81.548190000000005</v>
      </c>
      <c r="T608"/>
      <c r="U608">
        <v>78.431209999999993</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71.764629999999997</v>
      </c>
      <c r="AN608">
        <v>67.751620000000003</v>
      </c>
      <c r="AO608">
        <v>70.317980000000006</v>
      </c>
      <c r="AP608">
        <v>71.565219999999997</v>
      </c>
      <c r="AQ608"/>
      <c r="AR608"/>
      <c r="AS608">
        <v>55.780050000000003</v>
      </c>
      <c r="AT608"/>
      <c r="AU608">
        <v>86.779449999999997</v>
      </c>
      <c r="AV608">
        <v>9.7635299999999994</v>
      </c>
      <c r="AW608">
        <v>73.024789999999996</v>
      </c>
      <c r="AX608"/>
    </row>
    <row r="609" spans="1:50" x14ac:dyDescent="0.35">
      <c r="A609" s="75">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78.492410000000007</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71.947879999999998</v>
      </c>
      <c r="AN609">
        <v>68.071010000000001</v>
      </c>
      <c r="AO609">
        <v>70.747259999999997</v>
      </c>
      <c r="AP609">
        <v>71.3035</v>
      </c>
      <c r="AQ609"/>
      <c r="AR609"/>
      <c r="AS609">
        <v>56.190899999999999</v>
      </c>
      <c r="AT609"/>
      <c r="AU609">
        <v>86.645409999999998</v>
      </c>
      <c r="AV609">
        <v>10.215479999999999</v>
      </c>
      <c r="AW609">
        <v>73.107349999999997</v>
      </c>
      <c r="AX609"/>
    </row>
    <row r="610" spans="1:50" x14ac:dyDescent="0.35">
      <c r="A610" s="75">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78.698740000000001</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72.30386</v>
      </c>
      <c r="AN610">
        <v>68.521600000000007</v>
      </c>
      <c r="AO610">
        <v>71.392009999999999</v>
      </c>
      <c r="AP610">
        <v>71.324219999999997</v>
      </c>
      <c r="AQ610"/>
      <c r="AR610"/>
      <c r="AS610">
        <v>56.498660000000001</v>
      </c>
      <c r="AT610"/>
      <c r="AU610">
        <v>87.449659999999994</v>
      </c>
      <c r="AV610">
        <v>10.88232</v>
      </c>
      <c r="AW610">
        <v>73.355029999999999</v>
      </c>
      <c r="AX610"/>
    </row>
    <row r="611" spans="1:50" x14ac:dyDescent="0.35">
      <c r="A611" s="75">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78.858059999999995</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72.604489999999998</v>
      </c>
      <c r="AN611">
        <v>68.902209999999997</v>
      </c>
      <c r="AO611">
        <v>71.89246</v>
      </c>
      <c r="AP611">
        <v>71.797330000000002</v>
      </c>
      <c r="AQ611"/>
      <c r="AR611"/>
      <c r="AS611">
        <v>56.85463</v>
      </c>
      <c r="AT611"/>
      <c r="AU611">
        <v>87.600459999999998</v>
      </c>
      <c r="AV611">
        <v>11.55359</v>
      </c>
      <c r="AW611">
        <v>73.602710000000002</v>
      </c>
      <c r="AX611"/>
    </row>
    <row r="612" spans="1:50" x14ac:dyDescent="0.35">
      <c r="A612" s="75">
        <v>36465</v>
      </c>
      <c r="B612">
        <v>74.882999999999996</v>
      </c>
      <c r="C612">
        <v>76.570139999999995</v>
      </c>
      <c r="D612"/>
      <c r="E612">
        <v>77.11591</v>
      </c>
      <c r="F612">
        <v>94.447609999999997</v>
      </c>
      <c r="G612">
        <v>67.910839999999993</v>
      </c>
      <c r="H612"/>
      <c r="I612">
        <v>50.879809999999999</v>
      </c>
      <c r="J612">
        <v>31.322659999999999</v>
      </c>
      <c r="K612">
        <v>86.4</v>
      </c>
      <c r="L612">
        <v>83.037139999999994</v>
      </c>
      <c r="M612">
        <v>76.627489999999995</v>
      </c>
      <c r="N612">
        <v>79.47</v>
      </c>
      <c r="O612">
        <v>74.705439999999996</v>
      </c>
      <c r="P612">
        <v>66.517520000000005</v>
      </c>
      <c r="Q612"/>
      <c r="R612">
        <v>80.381169999999997</v>
      </c>
      <c r="S612">
        <v>81.612570000000005</v>
      </c>
      <c r="T612"/>
      <c r="U612">
        <v>78.89461</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72.757069999999999</v>
      </c>
      <c r="AN612">
        <v>69.193790000000007</v>
      </c>
      <c r="AO612">
        <v>72.21002</v>
      </c>
      <c r="AP612">
        <v>72.398669999999996</v>
      </c>
      <c r="AQ612"/>
      <c r="AR612"/>
      <c r="AS612">
        <v>57.062620000000003</v>
      </c>
      <c r="AT612"/>
      <c r="AU612">
        <v>87.3994</v>
      </c>
      <c r="AV612">
        <v>11.98386</v>
      </c>
      <c r="AW612">
        <v>73.644000000000005</v>
      </c>
      <c r="AX612"/>
    </row>
    <row r="613" spans="1:50" x14ac:dyDescent="0.35">
      <c r="A613" s="75">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78.867000000000004</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72.928960000000004</v>
      </c>
      <c r="AN613">
        <v>69.633520000000004</v>
      </c>
      <c r="AO613">
        <v>72.531199999999998</v>
      </c>
      <c r="AP613">
        <v>72.505970000000005</v>
      </c>
      <c r="AQ613"/>
      <c r="AR613"/>
      <c r="AS613">
        <v>57.218229999999998</v>
      </c>
      <c r="AT613"/>
      <c r="AU613">
        <v>87.496579999999994</v>
      </c>
      <c r="AV613">
        <v>12.68224</v>
      </c>
      <c r="AW613">
        <v>73.561430000000001</v>
      </c>
      <c r="AX613"/>
    </row>
    <row r="614" spans="1:50" x14ac:dyDescent="0.35">
      <c r="A614" s="75">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78.864289999999997</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73.087540000000004</v>
      </c>
      <c r="AN614">
        <v>69.727869999999996</v>
      </c>
      <c r="AO614">
        <v>74.173779999999994</v>
      </c>
      <c r="AP614">
        <v>72.218670000000003</v>
      </c>
      <c r="AQ614"/>
      <c r="AR614"/>
      <c r="AS614">
        <v>57.989879999999999</v>
      </c>
      <c r="AT614">
        <v>64.941090000000003</v>
      </c>
      <c r="AU614">
        <v>86.621949999999998</v>
      </c>
      <c r="AV614">
        <v>13.37668</v>
      </c>
      <c r="AW614">
        <v>73.809110000000004</v>
      </c>
      <c r="AX614"/>
    </row>
    <row r="615" spans="1:50" x14ac:dyDescent="0.35">
      <c r="A615" s="75">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79.049779999999998</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73.340509999999995</v>
      </c>
      <c r="AN615">
        <v>69.979159999999993</v>
      </c>
      <c r="AO615">
        <v>74.696190000000001</v>
      </c>
      <c r="AP615">
        <v>71.912760000000006</v>
      </c>
      <c r="AQ615"/>
      <c r="AR615"/>
      <c r="AS615">
        <v>59.81953</v>
      </c>
      <c r="AT615">
        <v>65.471090000000004</v>
      </c>
      <c r="AU615">
        <v>86.742580000000004</v>
      </c>
      <c r="AV615">
        <v>13.71527</v>
      </c>
      <c r="AW615">
        <v>74.098079999999996</v>
      </c>
      <c r="AX615"/>
    </row>
    <row r="616" spans="1:50" x14ac:dyDescent="0.35">
      <c r="A616" s="75">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79.336799999999997</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73.665819999999997</v>
      </c>
      <c r="AN616">
        <v>70.230800000000002</v>
      </c>
      <c r="AO616">
        <v>75.328389999999999</v>
      </c>
      <c r="AP616">
        <v>72.116039999999998</v>
      </c>
      <c r="AQ616"/>
      <c r="AR616"/>
      <c r="AS616">
        <v>60.170749999999998</v>
      </c>
      <c r="AT616">
        <v>65.941100000000006</v>
      </c>
      <c r="AU616">
        <v>87.131309999999999</v>
      </c>
      <c r="AV616">
        <v>13.9824</v>
      </c>
      <c r="AW616">
        <v>74.51088</v>
      </c>
      <c r="AX616"/>
    </row>
    <row r="617" spans="1:50" x14ac:dyDescent="0.35">
      <c r="A617" s="75">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79.482380000000006</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73.884739999999994</v>
      </c>
      <c r="AN617">
        <v>70.481669999999994</v>
      </c>
      <c r="AO617">
        <v>75.493260000000006</v>
      </c>
      <c r="AP617">
        <v>72.770660000000007</v>
      </c>
      <c r="AQ617"/>
      <c r="AR617"/>
      <c r="AS617">
        <v>60.41621</v>
      </c>
      <c r="AT617">
        <v>66.371110000000002</v>
      </c>
      <c r="AU617">
        <v>87.308920000000001</v>
      </c>
      <c r="AV617">
        <v>14.39541</v>
      </c>
      <c r="AW617">
        <v>74.676000000000002</v>
      </c>
      <c r="AX617"/>
    </row>
    <row r="618" spans="1:50" x14ac:dyDescent="0.35">
      <c r="A618" s="75">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79.518900000000002</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73.992739999999998</v>
      </c>
      <c r="AN618">
        <v>70.667879999999997</v>
      </c>
      <c r="AO618">
        <v>75.965900000000005</v>
      </c>
      <c r="AP618">
        <v>73.400350000000003</v>
      </c>
      <c r="AQ618"/>
      <c r="AR618"/>
      <c r="AS618">
        <v>60.530830000000002</v>
      </c>
      <c r="AT618">
        <v>66.731110000000001</v>
      </c>
      <c r="AU618">
        <v>87.486530000000002</v>
      </c>
      <c r="AV618">
        <v>14.80843</v>
      </c>
      <c r="AW618">
        <v>74.676000000000002</v>
      </c>
      <c r="AX618"/>
    </row>
    <row r="619" spans="1:50" x14ac:dyDescent="0.35">
      <c r="A619" s="75">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79.552869999999999</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74.093040000000002</v>
      </c>
      <c r="AN619">
        <v>70.85651</v>
      </c>
      <c r="AO619">
        <v>76.240089999999995</v>
      </c>
      <c r="AP619">
        <v>73.579700000000003</v>
      </c>
      <c r="AQ619"/>
      <c r="AR619"/>
      <c r="AS619">
        <v>60.670200000000001</v>
      </c>
      <c r="AT619">
        <v>67.071119999999993</v>
      </c>
      <c r="AU619">
        <v>87.312269999999998</v>
      </c>
      <c r="AV619">
        <v>15.159840000000001</v>
      </c>
      <c r="AW619">
        <v>74.717290000000006</v>
      </c>
      <c r="AX619"/>
    </row>
    <row r="620" spans="1:50" x14ac:dyDescent="0.35">
      <c r="A620" s="75">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79.599699999999999</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74.251589999999993</v>
      </c>
      <c r="AN620">
        <v>70.967060000000004</v>
      </c>
      <c r="AO620">
        <v>76.827470000000005</v>
      </c>
      <c r="AP620">
        <v>73.704909999999998</v>
      </c>
      <c r="AQ620"/>
      <c r="AR620"/>
      <c r="AS620">
        <v>60.890470000000001</v>
      </c>
      <c r="AT620">
        <v>67.41113</v>
      </c>
      <c r="AU620">
        <v>86.873279999999994</v>
      </c>
      <c r="AV620">
        <v>15.50385</v>
      </c>
      <c r="AW620">
        <v>74.841130000000007</v>
      </c>
      <c r="AX620"/>
    </row>
    <row r="621" spans="1:50" x14ac:dyDescent="0.35">
      <c r="A621" s="75">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79.748440000000002</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74.452860000000001</v>
      </c>
      <c r="AN621">
        <v>71.212810000000005</v>
      </c>
      <c r="AO621">
        <v>76.975489999999994</v>
      </c>
      <c r="AP621">
        <v>73.426439999999999</v>
      </c>
      <c r="AQ621"/>
      <c r="AR621"/>
      <c r="AS621">
        <v>60.935020000000002</v>
      </c>
      <c r="AT621">
        <v>67.841130000000007</v>
      </c>
      <c r="AU621">
        <v>87.057590000000005</v>
      </c>
      <c r="AV621">
        <v>15.944470000000001</v>
      </c>
      <c r="AW621">
        <v>75.006240000000005</v>
      </c>
      <c r="AX621"/>
    </row>
    <row r="622" spans="1:50" x14ac:dyDescent="0.35">
      <c r="A622" s="75">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79.894779999999997</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74.704250000000002</v>
      </c>
      <c r="AN622">
        <v>71.530879999999996</v>
      </c>
      <c r="AO622">
        <v>77.486689999999996</v>
      </c>
      <c r="AP622">
        <v>73.581320000000005</v>
      </c>
      <c r="AQ622"/>
      <c r="AR622"/>
      <c r="AS622">
        <v>61.042639999999999</v>
      </c>
      <c r="AT622">
        <v>68.201130000000006</v>
      </c>
      <c r="AU622">
        <v>87.597110000000001</v>
      </c>
      <c r="AV622">
        <v>16.517659999999999</v>
      </c>
      <c r="AW622">
        <v>75.253919999999994</v>
      </c>
      <c r="AX622"/>
    </row>
    <row r="623" spans="1:50" x14ac:dyDescent="0.35">
      <c r="A623" s="75">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80.034890000000004</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74.908389999999997</v>
      </c>
      <c r="AN623">
        <v>71.769350000000003</v>
      </c>
      <c r="AO623">
        <v>77.977000000000004</v>
      </c>
      <c r="AP623">
        <v>74.016400000000004</v>
      </c>
      <c r="AQ623"/>
      <c r="AR623"/>
      <c r="AS623">
        <v>61.182020000000001</v>
      </c>
      <c r="AT623">
        <v>68.601140000000001</v>
      </c>
      <c r="AU623">
        <v>87.881950000000003</v>
      </c>
      <c r="AV623">
        <v>16.974540000000001</v>
      </c>
      <c r="AW623">
        <v>75.460329999999999</v>
      </c>
      <c r="AX623"/>
    </row>
    <row r="624" spans="1:50" x14ac:dyDescent="0.35">
      <c r="A624" s="75">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80.080039999999997</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75.057140000000004</v>
      </c>
      <c r="AN624">
        <v>72.019990000000007</v>
      </c>
      <c r="AO624">
        <v>78.290869999999998</v>
      </c>
      <c r="AP624">
        <v>74.659940000000006</v>
      </c>
      <c r="AQ624"/>
      <c r="AR624"/>
      <c r="AS624">
        <v>61.396000000000001</v>
      </c>
      <c r="AT624">
        <v>69.091149999999999</v>
      </c>
      <c r="AU624">
        <v>87.982479999999995</v>
      </c>
      <c r="AV624">
        <v>17.556609999999999</v>
      </c>
      <c r="AW624">
        <v>75.542879999999997</v>
      </c>
      <c r="AX624"/>
    </row>
    <row r="625" spans="1:50" x14ac:dyDescent="0.35">
      <c r="A625" s="75">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80.137540000000001</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75.1922</v>
      </c>
      <c r="AN625">
        <v>72.35772</v>
      </c>
      <c r="AO625">
        <v>78.352810000000005</v>
      </c>
      <c r="AP625">
        <v>74.732560000000007</v>
      </c>
      <c r="AQ625"/>
      <c r="AR625"/>
      <c r="AS625">
        <v>61.426850000000002</v>
      </c>
      <c r="AT625">
        <v>69.381159999999994</v>
      </c>
      <c r="AU625">
        <v>88.106480000000005</v>
      </c>
      <c r="AV625">
        <v>17.997219999999999</v>
      </c>
      <c r="AW625">
        <v>75.460329999999999</v>
      </c>
      <c r="AX625"/>
    </row>
    <row r="626" spans="1:50" x14ac:dyDescent="0.35">
      <c r="A626" s="75">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80.154030000000006</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75.303730000000002</v>
      </c>
      <c r="AN626">
        <v>72.340509999999995</v>
      </c>
      <c r="AO626">
        <v>79.160330000000002</v>
      </c>
      <c r="AP626">
        <v>74.678579999999997</v>
      </c>
      <c r="AQ626"/>
      <c r="AR626"/>
      <c r="AS626">
        <v>62.287610000000001</v>
      </c>
      <c r="AT626">
        <v>69.67116</v>
      </c>
      <c r="AU626">
        <v>87.550190000000001</v>
      </c>
      <c r="AV626">
        <v>18.48357</v>
      </c>
      <c r="AW626">
        <v>75.749290000000002</v>
      </c>
      <c r="AX626"/>
    </row>
    <row r="627" spans="1:50" x14ac:dyDescent="0.35">
      <c r="A627" s="75">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80.419110000000003</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75.590710000000001</v>
      </c>
      <c r="AN627">
        <v>72.634169999999997</v>
      </c>
      <c r="AO627">
        <v>79.375309999999999</v>
      </c>
      <c r="AP627">
        <v>74.507769999999994</v>
      </c>
      <c r="AQ627"/>
      <c r="AR627"/>
      <c r="AS627">
        <v>63.970260000000003</v>
      </c>
      <c r="AT627">
        <v>70.441180000000003</v>
      </c>
      <c r="AU627">
        <v>87.694289999999995</v>
      </c>
      <c r="AV627">
        <v>18.824310000000001</v>
      </c>
      <c r="AW627">
        <v>76.120810000000006</v>
      </c>
      <c r="AX627"/>
    </row>
    <row r="628" spans="1:50" x14ac:dyDescent="0.35">
      <c r="A628" s="75">
        <v>36951</v>
      </c>
      <c r="B628">
        <v>77.403880000000001</v>
      </c>
      <c r="C628">
        <v>78.560630000000003</v>
      </c>
      <c r="D628"/>
      <c r="E628">
        <v>78.928600000000003</v>
      </c>
      <c r="F628">
        <v>95.257320000000007</v>
      </c>
      <c r="G628">
        <v>71.468199999999996</v>
      </c>
      <c r="H628"/>
      <c r="I628">
        <v>56.93732</v>
      </c>
      <c r="J628">
        <v>36.396639999999998</v>
      </c>
      <c r="K628">
        <v>84.8</v>
      </c>
      <c r="L628">
        <v>83.771699999999996</v>
      </c>
      <c r="M628">
        <v>78.898719999999997</v>
      </c>
      <c r="N628">
        <v>80.73</v>
      </c>
      <c r="O628">
        <v>78.427499999999995</v>
      </c>
      <c r="P628">
        <v>70.660679999999999</v>
      </c>
      <c r="Q628"/>
      <c r="R628">
        <v>83.820040000000006</v>
      </c>
      <c r="S628">
        <v>82.646320000000003</v>
      </c>
      <c r="T628"/>
      <c r="U628">
        <v>80.686840000000004</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75.94153</v>
      </c>
      <c r="AN628">
        <v>73.00009</v>
      </c>
      <c r="AO628">
        <v>79.704369999999997</v>
      </c>
      <c r="AP628">
        <v>74.670349999999999</v>
      </c>
      <c r="AQ628"/>
      <c r="AR628"/>
      <c r="AS628">
        <v>64.490880000000004</v>
      </c>
      <c r="AT628">
        <v>70.971180000000004</v>
      </c>
      <c r="AU628">
        <v>88.387960000000007</v>
      </c>
      <c r="AV628">
        <v>19.575369999999999</v>
      </c>
      <c r="AW628">
        <v>76.492329999999995</v>
      </c>
      <c r="AX628"/>
    </row>
    <row r="629" spans="1:50" x14ac:dyDescent="0.35">
      <c r="A629" s="75">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80.888589999999994</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76.298259999999999</v>
      </c>
      <c r="AN629">
        <v>73.603139999999996</v>
      </c>
      <c r="AO629">
        <v>79.98827</v>
      </c>
      <c r="AP629">
        <v>75.318979999999996</v>
      </c>
      <c r="AQ629"/>
      <c r="AR629"/>
      <c r="AS629">
        <v>64.653689999999997</v>
      </c>
      <c r="AT629">
        <v>71.521190000000004</v>
      </c>
      <c r="AU629">
        <v>88.853769999999997</v>
      </c>
      <c r="AV629">
        <v>21.121310000000001</v>
      </c>
      <c r="AW629">
        <v>76.616169999999997</v>
      </c>
      <c r="AX629"/>
    </row>
    <row r="630" spans="1:50" x14ac:dyDescent="0.35">
      <c r="A630" s="75">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80.928780000000003</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76.460909999999998</v>
      </c>
      <c r="AN630">
        <v>73.974969999999999</v>
      </c>
      <c r="AO630">
        <v>80.805819999999997</v>
      </c>
      <c r="AP630">
        <v>75.958680000000001</v>
      </c>
      <c r="AQ630"/>
      <c r="AR630"/>
      <c r="AS630">
        <v>64.593040000000002</v>
      </c>
      <c r="AT630">
        <v>71.711200000000005</v>
      </c>
      <c r="AU630">
        <v>89.007909999999995</v>
      </c>
      <c r="AV630">
        <v>22.15831</v>
      </c>
      <c r="AW630">
        <v>76.574889999999996</v>
      </c>
      <c r="AX630"/>
    </row>
    <row r="631" spans="1:50" x14ac:dyDescent="0.35">
      <c r="A631" s="75">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81.065340000000006</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76.663579999999996</v>
      </c>
      <c r="AN631">
        <v>74.272530000000003</v>
      </c>
      <c r="AO631">
        <v>80.898150000000001</v>
      </c>
      <c r="AP631">
        <v>76.120289999999997</v>
      </c>
      <c r="AQ631"/>
      <c r="AR631"/>
      <c r="AS631">
        <v>64.555760000000006</v>
      </c>
      <c r="AT631">
        <v>72.101200000000006</v>
      </c>
      <c r="AU631">
        <v>89.081630000000004</v>
      </c>
      <c r="AV631">
        <v>23.058160000000001</v>
      </c>
      <c r="AW631">
        <v>76.740009999999998</v>
      </c>
      <c r="AX631"/>
    </row>
    <row r="632" spans="1:50" x14ac:dyDescent="0.35">
      <c r="A632" s="75">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81.132980000000003</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76.789720000000003</v>
      </c>
      <c r="AN632">
        <v>74.450360000000003</v>
      </c>
      <c r="AO632">
        <v>81.320210000000003</v>
      </c>
      <c r="AP632">
        <v>76.155540000000002</v>
      </c>
      <c r="AQ632"/>
      <c r="AR632"/>
      <c r="AS632">
        <v>64.988489999999999</v>
      </c>
      <c r="AT632">
        <v>72.231200000000001</v>
      </c>
      <c r="AU632">
        <v>88.679509999999993</v>
      </c>
      <c r="AV632">
        <v>23.705279999999998</v>
      </c>
      <c r="AW632">
        <v>76.863849999999999</v>
      </c>
      <c r="AX632"/>
    </row>
    <row r="633" spans="1:50" x14ac:dyDescent="0.35">
      <c r="A633" s="75">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81.290310000000005</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77.013239999999996</v>
      </c>
      <c r="AN633">
        <v>74.800849999999997</v>
      </c>
      <c r="AO633">
        <v>81.493889999999993</v>
      </c>
      <c r="AP633">
        <v>75.983500000000006</v>
      </c>
      <c r="AQ633"/>
      <c r="AR633"/>
      <c r="AS633">
        <v>65.149680000000004</v>
      </c>
      <c r="AT633">
        <v>72.391199999999998</v>
      </c>
      <c r="AU633">
        <v>88.900679999999994</v>
      </c>
      <c r="AV633">
        <v>24.600770000000001</v>
      </c>
      <c r="AW633">
        <v>77.028980000000004</v>
      </c>
      <c r="AX633"/>
    </row>
    <row r="634" spans="1:50" x14ac:dyDescent="0.35">
      <c r="A634" s="75">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81.425070000000005</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77.291399999999996</v>
      </c>
      <c r="AN634">
        <v>75.200749999999999</v>
      </c>
      <c r="AO634">
        <v>81.448930000000004</v>
      </c>
      <c r="AP634">
        <v>76.182230000000004</v>
      </c>
      <c r="AQ634"/>
      <c r="AR634"/>
      <c r="AS634">
        <v>65.410520000000005</v>
      </c>
      <c r="AT634">
        <v>72.981219999999993</v>
      </c>
      <c r="AU634">
        <v>89.688180000000003</v>
      </c>
      <c r="AV634">
        <v>25.889690000000002</v>
      </c>
      <c r="AW634">
        <v>77.235370000000003</v>
      </c>
      <c r="AX634"/>
    </row>
    <row r="635" spans="1:50" x14ac:dyDescent="0.35">
      <c r="A635" s="75">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81.561220000000006</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77.533699999999996</v>
      </c>
      <c r="AN635">
        <v>75.557910000000007</v>
      </c>
      <c r="AO635">
        <v>81.672280000000001</v>
      </c>
      <c r="AP635">
        <v>76.772170000000003</v>
      </c>
      <c r="AQ635"/>
      <c r="AR635"/>
      <c r="AS635">
        <v>65.607659999999996</v>
      </c>
      <c r="AT635">
        <v>73.561229999999995</v>
      </c>
      <c r="AU635">
        <v>89.661379999999994</v>
      </c>
      <c r="AV635">
        <v>27.09083</v>
      </c>
      <c r="AW635">
        <v>77.441779999999994</v>
      </c>
      <c r="AX635"/>
    </row>
    <row r="636" spans="1:50" x14ac:dyDescent="0.35">
      <c r="A636" s="75">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81.666370000000001</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77.713539999999995</v>
      </c>
      <c r="AN636">
        <v>75.805440000000004</v>
      </c>
      <c r="AO636">
        <v>81.743380000000002</v>
      </c>
      <c r="AP636">
        <v>77.438770000000005</v>
      </c>
      <c r="AQ636"/>
      <c r="AR636"/>
      <c r="AS636">
        <v>65.722539999999995</v>
      </c>
      <c r="AT636">
        <v>74.12124</v>
      </c>
      <c r="AU636">
        <v>89.895949999999999</v>
      </c>
      <c r="AV636">
        <v>27.949259999999999</v>
      </c>
      <c r="AW636">
        <v>77.648179999999996</v>
      </c>
      <c r="AX636"/>
    </row>
    <row r="637" spans="1:50" x14ac:dyDescent="0.35">
      <c r="A637" s="75">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81.719719999999995</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77.832819999999998</v>
      </c>
      <c r="AN637">
        <v>76.190899999999999</v>
      </c>
      <c r="AO637">
        <v>81.829840000000004</v>
      </c>
      <c r="AP637">
        <v>77.517039999999994</v>
      </c>
      <c r="AQ637"/>
      <c r="AR637"/>
      <c r="AS637">
        <v>65.947100000000006</v>
      </c>
      <c r="AT637">
        <v>74.291240000000002</v>
      </c>
      <c r="AU637">
        <v>89.996480000000005</v>
      </c>
      <c r="AV637">
        <v>28.573650000000001</v>
      </c>
      <c r="AW637">
        <v>77.524339999999995</v>
      </c>
      <c r="AX637"/>
    </row>
    <row r="638" spans="1:50" x14ac:dyDescent="0.35">
      <c r="A638" s="75">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81.691090000000003</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77.888249999999999</v>
      </c>
      <c r="AN638">
        <v>76.271199999999993</v>
      </c>
      <c r="AO638">
        <v>82.572220000000002</v>
      </c>
      <c r="AP638">
        <v>77.700199999999995</v>
      </c>
      <c r="AQ638"/>
      <c r="AR638"/>
      <c r="AS638">
        <v>66.463939999999994</v>
      </c>
      <c r="AT638">
        <v>75.181250000000006</v>
      </c>
      <c r="AU638">
        <v>89.195570000000004</v>
      </c>
      <c r="AV638">
        <v>29.767939999999999</v>
      </c>
      <c r="AW638">
        <v>77.689459999999997</v>
      </c>
      <c r="AX638">
        <v>54.588859999999997</v>
      </c>
    </row>
    <row r="639" spans="1:50" x14ac:dyDescent="0.35">
      <c r="A639" s="75">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80.376159999999999</v>
      </c>
      <c r="N639">
        <v>82.3</v>
      </c>
      <c r="O639">
        <v>79.776210000000006</v>
      </c>
      <c r="P639">
        <v>72.760639999999995</v>
      </c>
      <c r="Q639"/>
      <c r="R639">
        <v>84.631200000000007</v>
      </c>
      <c r="S639">
        <v>83.905910000000006</v>
      </c>
      <c r="T639"/>
      <c r="U639">
        <v>81.978390000000005</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78.166569999999993</v>
      </c>
      <c r="AN639">
        <v>76.518240000000006</v>
      </c>
      <c r="AO639">
        <v>82.67886</v>
      </c>
      <c r="AP639">
        <v>77.590119999999999</v>
      </c>
      <c r="AQ639"/>
      <c r="AR639"/>
      <c r="AS639">
        <v>66.584800000000001</v>
      </c>
      <c r="AT639">
        <v>75.731260000000006</v>
      </c>
      <c r="AU639">
        <v>89.500519999999995</v>
      </c>
      <c r="AV639">
        <v>30.17877</v>
      </c>
      <c r="AW639">
        <v>78.102260000000001</v>
      </c>
      <c r="AX639">
        <v>55.290149999999997</v>
      </c>
    </row>
    <row r="640" spans="1:50" x14ac:dyDescent="0.35">
      <c r="A640" s="75">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82.24109</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78.491069999999993</v>
      </c>
      <c r="AN640">
        <v>76.905280000000005</v>
      </c>
      <c r="AO640">
        <v>82.764560000000003</v>
      </c>
      <c r="AP640">
        <v>77.998530000000002</v>
      </c>
      <c r="AQ640"/>
      <c r="AR640"/>
      <c r="AS640">
        <v>66.718019999999996</v>
      </c>
      <c r="AT640">
        <v>76.361270000000005</v>
      </c>
      <c r="AU640">
        <v>90.086960000000005</v>
      </c>
      <c r="AV640">
        <v>30.74061</v>
      </c>
      <c r="AW640">
        <v>78.349950000000007</v>
      </c>
      <c r="AX640">
        <v>55.754980000000003</v>
      </c>
    </row>
    <row r="641" spans="1:50" x14ac:dyDescent="0.35">
      <c r="A641" s="75">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82.420950000000005</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78.768749999999997</v>
      </c>
      <c r="AN641">
        <v>77.207329999999999</v>
      </c>
      <c r="AO641">
        <v>83.007530000000003</v>
      </c>
      <c r="AP641">
        <v>78.783990000000003</v>
      </c>
      <c r="AQ641"/>
      <c r="AR641"/>
      <c r="AS641">
        <v>66.724429999999998</v>
      </c>
      <c r="AT641">
        <v>77.241290000000006</v>
      </c>
      <c r="AU641">
        <v>90.529300000000006</v>
      </c>
      <c r="AV641">
        <v>31.5685</v>
      </c>
      <c r="AW641">
        <v>78.556340000000006</v>
      </c>
      <c r="AX641">
        <v>56.64676</v>
      </c>
    </row>
    <row r="642" spans="1:50" x14ac:dyDescent="0.35">
      <c r="A642" s="75">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82.482489999999999</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78.895679999999999</v>
      </c>
      <c r="AN642">
        <v>77.499709999999993</v>
      </c>
      <c r="AO642">
        <v>83.173869999999994</v>
      </c>
      <c r="AP642">
        <v>79.41113</v>
      </c>
      <c r="AQ642"/>
      <c r="AR642"/>
      <c r="AS642">
        <v>66.88758</v>
      </c>
      <c r="AT642">
        <v>77.711299999999994</v>
      </c>
      <c r="AU642">
        <v>90.894570000000002</v>
      </c>
      <c r="AV642">
        <v>32.234990000000003</v>
      </c>
      <c r="AW642">
        <v>78.515069999999994</v>
      </c>
      <c r="AX642">
        <v>56.809330000000003</v>
      </c>
    </row>
    <row r="643" spans="1:50" x14ac:dyDescent="0.35">
      <c r="A643" s="75">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82.504800000000003</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78.974180000000004</v>
      </c>
      <c r="AN643">
        <v>77.687939999999998</v>
      </c>
      <c r="AO643">
        <v>83.279870000000003</v>
      </c>
      <c r="AP643">
        <v>79.741709999999998</v>
      </c>
      <c r="AQ643"/>
      <c r="AR643"/>
      <c r="AS643">
        <v>66.982460000000003</v>
      </c>
      <c r="AT643">
        <v>77.871300000000005</v>
      </c>
      <c r="AU643">
        <v>90.948189999999997</v>
      </c>
      <c r="AV643">
        <v>32.918529999999997</v>
      </c>
      <c r="AW643">
        <v>78.473789999999994</v>
      </c>
      <c r="AX643">
        <v>57.258299999999998</v>
      </c>
    </row>
    <row r="644" spans="1:50" x14ac:dyDescent="0.35">
      <c r="A644" s="75">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82.556730000000002</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79.022260000000003</v>
      </c>
      <c r="AN644">
        <v>77.691699999999997</v>
      </c>
      <c r="AO644">
        <v>83.489519999999999</v>
      </c>
      <c r="AP644">
        <v>79.907650000000004</v>
      </c>
      <c r="AQ644"/>
      <c r="AR644"/>
      <c r="AS644">
        <v>67.243179999999995</v>
      </c>
      <c r="AT644">
        <v>78.66131</v>
      </c>
      <c r="AU644">
        <v>90.479029999999995</v>
      </c>
      <c r="AV644">
        <v>33.567659999999997</v>
      </c>
      <c r="AW644">
        <v>78.556340000000006</v>
      </c>
      <c r="AX644">
        <v>58.258629999999997</v>
      </c>
    </row>
    <row r="645" spans="1:50" x14ac:dyDescent="0.35">
      <c r="A645" s="75">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82.791610000000006</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79.267269999999996</v>
      </c>
      <c r="AN645">
        <v>77.950519999999997</v>
      </c>
      <c r="AO645">
        <v>83.485659999999996</v>
      </c>
      <c r="AP645">
        <v>79.959400000000002</v>
      </c>
      <c r="AQ645"/>
      <c r="AR645"/>
      <c r="AS645">
        <v>67.831639999999993</v>
      </c>
      <c r="AT645">
        <v>78.66131</v>
      </c>
      <c r="AU645">
        <v>90.489090000000004</v>
      </c>
      <c r="AV645">
        <v>34.46078</v>
      </c>
      <c r="AW645">
        <v>78.845309999999998</v>
      </c>
      <c r="AX645">
        <v>58.452530000000003</v>
      </c>
    </row>
    <row r="646" spans="1:50" x14ac:dyDescent="0.35">
      <c r="A646" s="75">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82.891540000000006</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79.463579999999993</v>
      </c>
      <c r="AN646">
        <v>78.227919999999997</v>
      </c>
      <c r="AO646">
        <v>83.416129999999995</v>
      </c>
      <c r="AP646">
        <v>80.075940000000003</v>
      </c>
      <c r="AQ646"/>
      <c r="AR646"/>
      <c r="AS646">
        <v>67.946039999999996</v>
      </c>
      <c r="AT646">
        <v>79.07132</v>
      </c>
      <c r="AU646">
        <v>91.313450000000003</v>
      </c>
      <c r="AV646">
        <v>35.445309999999999</v>
      </c>
      <c r="AW646">
        <v>78.969149999999999</v>
      </c>
      <c r="AX646">
        <v>58.839350000000003</v>
      </c>
    </row>
    <row r="647" spans="1:50" x14ac:dyDescent="0.35">
      <c r="A647" s="75">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83.011600000000001</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79.677840000000003</v>
      </c>
      <c r="AN647">
        <v>78.526619999999994</v>
      </c>
      <c r="AO647">
        <v>83.261020000000002</v>
      </c>
      <c r="AP647">
        <v>80.693190000000001</v>
      </c>
      <c r="AQ647"/>
      <c r="AR647"/>
      <c r="AS647">
        <v>68.029300000000006</v>
      </c>
      <c r="AT647">
        <v>79.571330000000003</v>
      </c>
      <c r="AU647">
        <v>91.708879999999994</v>
      </c>
      <c r="AV647">
        <v>36.446899999999999</v>
      </c>
      <c r="AW647">
        <v>79.175550000000001</v>
      </c>
      <c r="AX647">
        <v>59.693869999999997</v>
      </c>
    </row>
    <row r="648" spans="1:50" x14ac:dyDescent="0.35">
      <c r="A648" s="75">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83.031490000000005</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79.767790000000005</v>
      </c>
      <c r="AN648">
        <v>78.718350000000001</v>
      </c>
      <c r="AO648">
        <v>83.216250000000002</v>
      </c>
      <c r="AP648">
        <v>81.329740000000001</v>
      </c>
      <c r="AQ648"/>
      <c r="AR648"/>
      <c r="AS648">
        <v>68.200699999999998</v>
      </c>
      <c r="AT648">
        <v>79.661330000000007</v>
      </c>
      <c r="AU648">
        <v>91.799359999999993</v>
      </c>
      <c r="AV648">
        <v>37.253309999999999</v>
      </c>
      <c r="AW648">
        <v>79.175550000000001</v>
      </c>
      <c r="AX648">
        <v>60.485219999999998</v>
      </c>
    </row>
    <row r="649" spans="1:50" x14ac:dyDescent="0.35">
      <c r="A649" s="75">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83.0745</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79.848280000000003</v>
      </c>
      <c r="AN649">
        <v>79.034189999999995</v>
      </c>
      <c r="AO649">
        <v>83.252139999999997</v>
      </c>
      <c r="AP649">
        <v>81.502780000000001</v>
      </c>
      <c r="AQ649"/>
      <c r="AR649"/>
      <c r="AS649">
        <v>69.033289999999994</v>
      </c>
      <c r="AT649">
        <v>80.381339999999994</v>
      </c>
      <c r="AU649">
        <v>91.702179999999998</v>
      </c>
      <c r="AV649">
        <v>37.72936</v>
      </c>
      <c r="AW649">
        <v>79.010429999999999</v>
      </c>
      <c r="AX649">
        <v>60.590510000000002</v>
      </c>
    </row>
    <row r="650" spans="1:50" x14ac:dyDescent="0.35">
      <c r="A650" s="75">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83.003169999999997</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79.838459999999998</v>
      </c>
      <c r="AN650">
        <v>78.860460000000003</v>
      </c>
      <c r="AO650">
        <v>83.4101</v>
      </c>
      <c r="AP650">
        <v>81.251490000000004</v>
      </c>
      <c r="AQ650"/>
      <c r="AR650"/>
      <c r="AS650">
        <v>70.911209999999997</v>
      </c>
      <c r="AT650">
        <v>80.94135</v>
      </c>
      <c r="AU650">
        <v>91.082229999999996</v>
      </c>
      <c r="AV650">
        <v>38.534550000000003</v>
      </c>
      <c r="AW650">
        <v>79.175550000000001</v>
      </c>
      <c r="AX650">
        <v>61.118949999999998</v>
      </c>
    </row>
    <row r="651" spans="1:50" x14ac:dyDescent="0.35">
      <c r="A651" s="75">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83.234729999999999</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80.069559999999996</v>
      </c>
      <c r="AN651">
        <v>79.111149999999995</v>
      </c>
      <c r="AO651">
        <v>83.448400000000007</v>
      </c>
      <c r="AP651">
        <v>81.021389999999997</v>
      </c>
      <c r="AQ651"/>
      <c r="AR651"/>
      <c r="AS651">
        <v>71.277649999999994</v>
      </c>
      <c r="AT651">
        <v>81.111350000000002</v>
      </c>
      <c r="AU651">
        <v>91.333560000000006</v>
      </c>
      <c r="AV651">
        <v>38.8491</v>
      </c>
      <c r="AW651">
        <v>79.464519999999993</v>
      </c>
      <c r="AX651">
        <v>61.142119999999998</v>
      </c>
    </row>
    <row r="652" spans="1:50" x14ac:dyDescent="0.35">
      <c r="A652" s="75">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83.444379999999995</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80.338570000000004</v>
      </c>
      <c r="AN652">
        <v>79.398960000000002</v>
      </c>
      <c r="AO652">
        <v>83.595590000000001</v>
      </c>
      <c r="AP652">
        <v>81.160420000000002</v>
      </c>
      <c r="AQ652"/>
      <c r="AR652"/>
      <c r="AS652">
        <v>71.814030000000002</v>
      </c>
      <c r="AT652">
        <v>81.561359999999993</v>
      </c>
      <c r="AU652">
        <v>91.883139999999997</v>
      </c>
      <c r="AV652">
        <v>39.139139999999998</v>
      </c>
      <c r="AW652">
        <v>79.670910000000006</v>
      </c>
      <c r="AX652">
        <v>61.436950000000003</v>
      </c>
    </row>
    <row r="653" spans="1:50" x14ac:dyDescent="0.35">
      <c r="A653" s="75">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83.538030000000006</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80.520610000000005</v>
      </c>
      <c r="AN653">
        <v>79.685360000000003</v>
      </c>
      <c r="AO653">
        <v>83.708240000000004</v>
      </c>
      <c r="AP653">
        <v>81.872780000000006</v>
      </c>
      <c r="AQ653"/>
      <c r="AR653"/>
      <c r="AS653">
        <v>72.225160000000002</v>
      </c>
      <c r="AT653">
        <v>82.131370000000004</v>
      </c>
      <c r="AU653">
        <v>92.023880000000005</v>
      </c>
      <c r="AV653">
        <v>39.608919999999998</v>
      </c>
      <c r="AW653">
        <v>79.712199999999996</v>
      </c>
      <c r="AX653">
        <v>61.596980000000002</v>
      </c>
    </row>
    <row r="654" spans="1:50" x14ac:dyDescent="0.35">
      <c r="A654" s="75">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83.624769999999998</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80.620230000000006</v>
      </c>
      <c r="AN654">
        <v>79.816680000000005</v>
      </c>
      <c r="AO654">
        <v>83.756259999999997</v>
      </c>
      <c r="AP654">
        <v>82.416330000000002</v>
      </c>
      <c r="AQ654"/>
      <c r="AR654"/>
      <c r="AS654">
        <v>72.297830000000005</v>
      </c>
      <c r="AT654">
        <v>82.821380000000005</v>
      </c>
      <c r="AU654">
        <v>92.077500000000001</v>
      </c>
      <c r="AV654">
        <v>40.082790000000003</v>
      </c>
      <c r="AW654">
        <v>79.753469999999993</v>
      </c>
      <c r="AX654">
        <v>61.6556</v>
      </c>
    </row>
    <row r="655" spans="1:50" x14ac:dyDescent="0.35">
      <c r="A655" s="75">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83.581140000000005</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80.619129999999998</v>
      </c>
      <c r="AN655">
        <v>79.935739999999996</v>
      </c>
      <c r="AO655">
        <v>83.749449999999996</v>
      </c>
      <c r="AP655">
        <v>82.510400000000004</v>
      </c>
      <c r="AQ655"/>
      <c r="AR655"/>
      <c r="AS655">
        <v>72.652439999999999</v>
      </c>
      <c r="AT655">
        <v>83.341390000000004</v>
      </c>
      <c r="AU655">
        <v>91.745739999999998</v>
      </c>
      <c r="AV655">
        <v>40.715980000000002</v>
      </c>
      <c r="AW655">
        <v>79.670910000000006</v>
      </c>
      <c r="AX655">
        <v>61.64676</v>
      </c>
    </row>
    <row r="656" spans="1:50" x14ac:dyDescent="0.35">
      <c r="A656" s="75">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83.649190000000004</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80.632800000000003</v>
      </c>
      <c r="AN656">
        <v>79.846590000000006</v>
      </c>
      <c r="AO656">
        <v>83.746269999999996</v>
      </c>
      <c r="AP656">
        <v>82.348299999999995</v>
      </c>
      <c r="AQ656"/>
      <c r="AR656"/>
      <c r="AS656">
        <v>72.896699999999996</v>
      </c>
      <c r="AT656">
        <v>83.651399999999995</v>
      </c>
      <c r="AU656">
        <v>91.169359999999998</v>
      </c>
      <c r="AV656">
        <v>41.022359999999999</v>
      </c>
      <c r="AW656">
        <v>79.753469999999993</v>
      </c>
      <c r="AX656">
        <v>61.12744</v>
      </c>
    </row>
    <row r="657" spans="1:50" x14ac:dyDescent="0.35">
      <c r="A657" s="75">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83.791179999999997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80.784099999999995</v>
      </c>
      <c r="AN657">
        <v>80.030779999999993</v>
      </c>
      <c r="AO657">
        <v>83.799980000000005</v>
      </c>
      <c r="AP657">
        <v>82.144090000000006</v>
      </c>
      <c r="AQ657"/>
      <c r="AR657"/>
      <c r="AS657">
        <v>73.458349999999996</v>
      </c>
      <c r="AT657">
        <v>83.261390000000006</v>
      </c>
      <c r="AU657">
        <v>91.058769999999996</v>
      </c>
      <c r="AV657">
        <v>41.45946</v>
      </c>
      <c r="AW657">
        <v>79.877309999999994</v>
      </c>
      <c r="AX657">
        <v>61.226509999999998</v>
      </c>
    </row>
    <row r="658" spans="1:50" x14ac:dyDescent="0.35">
      <c r="A658" s="75">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83.849720000000005</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80.926230000000004</v>
      </c>
      <c r="AN658">
        <v>80.271550000000005</v>
      </c>
      <c r="AO658">
        <v>83.794359999999998</v>
      </c>
      <c r="AP658">
        <v>82.286799999999999</v>
      </c>
      <c r="AQ658"/>
      <c r="AR658"/>
      <c r="AS658">
        <v>73.959590000000006</v>
      </c>
      <c r="AT658">
        <v>83.561390000000003</v>
      </c>
      <c r="AU658">
        <v>92.007130000000004</v>
      </c>
      <c r="AV658">
        <v>42.170270000000002</v>
      </c>
      <c r="AW658">
        <v>79.918589999999995</v>
      </c>
      <c r="AX658">
        <v>60.698309999999999</v>
      </c>
    </row>
    <row r="659" spans="1:50" x14ac:dyDescent="0.35">
      <c r="A659" s="75">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84.050290000000004</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81.147099999999995</v>
      </c>
      <c r="AN659">
        <v>80.490120000000005</v>
      </c>
      <c r="AO659">
        <v>83.857119999999995</v>
      </c>
      <c r="AP659">
        <v>82.903450000000007</v>
      </c>
      <c r="AQ659"/>
      <c r="AR659"/>
      <c r="AS659">
        <v>74.123390000000001</v>
      </c>
      <c r="AT659">
        <v>84.071399999999997</v>
      </c>
      <c r="AU659">
        <v>92.090900000000005</v>
      </c>
      <c r="AV659">
        <v>42.599200000000003</v>
      </c>
      <c r="AW659">
        <v>80.207560000000001</v>
      </c>
      <c r="AX659">
        <v>60.1265</v>
      </c>
    </row>
    <row r="660" spans="1:50" x14ac:dyDescent="0.35">
      <c r="A660" s="75">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83.943730000000002</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81.111829999999998</v>
      </c>
      <c r="AN660">
        <v>80.589259999999996</v>
      </c>
      <c r="AO660">
        <v>83.885090000000005</v>
      </c>
      <c r="AP660">
        <v>83.38279</v>
      </c>
      <c r="AQ660"/>
      <c r="AR660"/>
      <c r="AS660">
        <v>74.16986</v>
      </c>
      <c r="AT660">
        <v>84.231409999999997</v>
      </c>
      <c r="AU660">
        <v>92.017179999999996</v>
      </c>
      <c r="AV660">
        <v>42.966859999999997</v>
      </c>
      <c r="AW660">
        <v>80.042429999999996</v>
      </c>
      <c r="AX660">
        <v>59.190809999999999</v>
      </c>
    </row>
    <row r="661" spans="1:50" x14ac:dyDescent="0.35">
      <c r="A661" s="75">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83.976299999999995</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81.166370000000001</v>
      </c>
      <c r="AN661">
        <v>80.818600000000004</v>
      </c>
      <c r="AO661">
        <v>83.962490000000003</v>
      </c>
      <c r="AP661">
        <v>83.480159999999998</v>
      </c>
      <c r="AQ661"/>
      <c r="AR661"/>
      <c r="AS661">
        <v>74.276430000000005</v>
      </c>
      <c r="AT661">
        <v>84.401409999999998</v>
      </c>
      <c r="AU661">
        <v>92.070800000000006</v>
      </c>
      <c r="AV661">
        <v>43.056730000000002</v>
      </c>
      <c r="AW661">
        <v>79.918589999999995</v>
      </c>
      <c r="AX661">
        <v>59.170670000000001</v>
      </c>
    </row>
    <row r="662" spans="1:50" x14ac:dyDescent="0.35">
      <c r="A662" s="75">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83.926730000000006</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81.131110000000007</v>
      </c>
      <c r="AN662">
        <v>80.61121</v>
      </c>
      <c r="AO662">
        <v>84.133049999999997</v>
      </c>
      <c r="AP662">
        <v>83.251059999999995</v>
      </c>
      <c r="AQ662"/>
      <c r="AR662"/>
      <c r="AS662">
        <v>76.511420000000001</v>
      </c>
      <c r="AT662">
        <v>84.381410000000002</v>
      </c>
      <c r="AU662">
        <v>91.470950000000002</v>
      </c>
      <c r="AV662">
        <v>43.293660000000003</v>
      </c>
      <c r="AW662">
        <v>80.08372</v>
      </c>
      <c r="AX662">
        <v>59.393140000000002</v>
      </c>
    </row>
    <row r="663" spans="1:50" x14ac:dyDescent="0.35">
      <c r="A663" s="75">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84.211320000000001</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81.391199999999998</v>
      </c>
      <c r="AN663">
        <v>80.864220000000003</v>
      </c>
      <c r="AO663">
        <v>84.108090000000004</v>
      </c>
      <c r="AP663">
        <v>83.080820000000003</v>
      </c>
      <c r="AQ663"/>
      <c r="AR663"/>
      <c r="AS663">
        <v>77.385909999999996</v>
      </c>
      <c r="AT663">
        <v>84.621409999999997</v>
      </c>
      <c r="AU663">
        <v>91.336910000000003</v>
      </c>
      <c r="AV663">
        <v>43.38353</v>
      </c>
      <c r="AW663">
        <v>80.455240000000003</v>
      </c>
      <c r="AX663">
        <v>59.498660000000001</v>
      </c>
    </row>
    <row r="664" spans="1:50" x14ac:dyDescent="0.35">
      <c r="A664" s="75">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84.606369999999998</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81.784289999999999</v>
      </c>
      <c r="AN664">
        <v>81.175030000000007</v>
      </c>
      <c r="AO664">
        <v>84.131979999999999</v>
      </c>
      <c r="AP664">
        <v>83.171620000000004</v>
      </c>
      <c r="AQ664"/>
      <c r="AR664"/>
      <c r="AS664">
        <v>77.590280000000007</v>
      </c>
      <c r="AT664">
        <v>84.971410000000006</v>
      </c>
      <c r="AU664">
        <v>91.92</v>
      </c>
      <c r="AV664">
        <v>43.702170000000002</v>
      </c>
      <c r="AW664">
        <v>80.950599999999994</v>
      </c>
      <c r="AX664">
        <v>59.80733</v>
      </c>
    </row>
    <row r="665" spans="1:50" x14ac:dyDescent="0.35">
      <c r="A665" s="75">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84.792400000000001</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82.034080000000003</v>
      </c>
      <c r="AN665">
        <v>81.526949999999999</v>
      </c>
      <c r="AO665">
        <v>84.410489999999996</v>
      </c>
      <c r="AP665">
        <v>83.882289999999998</v>
      </c>
      <c r="AQ665"/>
      <c r="AR665"/>
      <c r="AS665">
        <v>77.781809999999993</v>
      </c>
      <c r="AT665">
        <v>85.601429999999993</v>
      </c>
      <c r="AU665">
        <v>92.000429999999994</v>
      </c>
      <c r="AV665">
        <v>44.00855</v>
      </c>
      <c r="AW665">
        <v>81.115719999999996</v>
      </c>
      <c r="AX665">
        <v>59.814929999999997</v>
      </c>
    </row>
    <row r="666" spans="1:50" x14ac:dyDescent="0.35">
      <c r="A666" s="75">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84.837850000000003</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82.127529999999993</v>
      </c>
      <c r="AN666">
        <v>81.726560000000006</v>
      </c>
      <c r="AO666">
        <v>85.296430000000001</v>
      </c>
      <c r="AP666">
        <v>84.505510000000001</v>
      </c>
      <c r="AQ666"/>
      <c r="AR666"/>
      <c r="AS666">
        <v>77.934489999999997</v>
      </c>
      <c r="AT666">
        <v>86.161439999999999</v>
      </c>
      <c r="AU666">
        <v>91.983670000000004</v>
      </c>
      <c r="AV666">
        <v>44.547780000000003</v>
      </c>
      <c r="AW666">
        <v>81.115719999999996</v>
      </c>
      <c r="AX666">
        <v>59.798990000000003</v>
      </c>
    </row>
    <row r="667" spans="1:50" x14ac:dyDescent="0.35">
      <c r="A667" s="75">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84.881320000000002</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82.195319999999995</v>
      </c>
      <c r="AN667">
        <v>81.825789999999998</v>
      </c>
      <c r="AO667">
        <v>85.564509999999999</v>
      </c>
      <c r="AP667">
        <v>84.820650000000001</v>
      </c>
      <c r="AQ667"/>
      <c r="AR667"/>
      <c r="AS667">
        <v>77.959530000000001</v>
      </c>
      <c r="AT667">
        <v>86.661450000000002</v>
      </c>
      <c r="AU667">
        <v>91.842929999999996</v>
      </c>
      <c r="AV667">
        <v>44.886839999999999</v>
      </c>
      <c r="AW667">
        <v>81.15701</v>
      </c>
      <c r="AX667">
        <v>59.822020000000002</v>
      </c>
    </row>
    <row r="668" spans="1:50" x14ac:dyDescent="0.35">
      <c r="A668" s="75">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84.884460000000004</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82.169560000000004</v>
      </c>
      <c r="AN668">
        <v>81.706980000000001</v>
      </c>
      <c r="AO668">
        <v>85.781760000000006</v>
      </c>
      <c r="AP668">
        <v>84.417050000000003</v>
      </c>
      <c r="AQ668"/>
      <c r="AR668"/>
      <c r="AS668">
        <v>78.210790000000003</v>
      </c>
      <c r="AT668">
        <v>87.131450000000001</v>
      </c>
      <c r="AU668">
        <v>91.383830000000003</v>
      </c>
      <c r="AV668">
        <v>44.964460000000003</v>
      </c>
      <c r="AW668">
        <v>81.15701</v>
      </c>
      <c r="AX668">
        <v>60.054099999999998</v>
      </c>
    </row>
    <row r="669" spans="1:50" x14ac:dyDescent="0.35">
      <c r="A669" s="75">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85.001019999999997</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82.286739999999995</v>
      </c>
      <c r="AN669">
        <v>81.881659999999997</v>
      </c>
      <c r="AO669">
        <v>85.713909999999998</v>
      </c>
      <c r="AP669">
        <v>84.106920000000002</v>
      </c>
      <c r="AQ669"/>
      <c r="AR669"/>
      <c r="AS669">
        <v>78.240229999999997</v>
      </c>
      <c r="AT669">
        <v>86.681439999999995</v>
      </c>
      <c r="AU669">
        <v>91.320160000000001</v>
      </c>
      <c r="AV669">
        <v>45.213650000000001</v>
      </c>
      <c r="AW669">
        <v>81.239559999999997</v>
      </c>
      <c r="AX669">
        <v>60.007820000000002</v>
      </c>
    </row>
    <row r="670" spans="1:50" x14ac:dyDescent="0.35">
      <c r="A670" s="75">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85.166589999999999</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82.494600000000005</v>
      </c>
      <c r="AN670">
        <v>82.071690000000004</v>
      </c>
      <c r="AO670">
        <v>85.793419999999998</v>
      </c>
      <c r="AP670">
        <v>84.198329999999999</v>
      </c>
      <c r="AQ670"/>
      <c r="AR670"/>
      <c r="AS670">
        <v>78.40746</v>
      </c>
      <c r="AT670">
        <v>86.69144</v>
      </c>
      <c r="AU670">
        <v>92.265159999999995</v>
      </c>
      <c r="AV670">
        <v>45.761049999999997</v>
      </c>
      <c r="AW670">
        <v>81.48724</v>
      </c>
      <c r="AX670">
        <v>59.936709999999998</v>
      </c>
    </row>
    <row r="671" spans="1:50" x14ac:dyDescent="0.35">
      <c r="A671" s="75">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85.348330000000004</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82.727379999999997</v>
      </c>
      <c r="AN671">
        <v>82.275469999999999</v>
      </c>
      <c r="AO671">
        <v>86.027060000000006</v>
      </c>
      <c r="AP671">
        <v>84.900769999999994</v>
      </c>
      <c r="AQ671"/>
      <c r="AR671"/>
      <c r="AS671">
        <v>78.581370000000007</v>
      </c>
      <c r="AT671">
        <v>86.99145</v>
      </c>
      <c r="AU671">
        <v>92.446119999999993</v>
      </c>
      <c r="AV671">
        <v>46.565809999999999</v>
      </c>
      <c r="AW671">
        <v>81.817490000000006</v>
      </c>
      <c r="AX671">
        <v>60.008749999999999</v>
      </c>
    </row>
    <row r="672" spans="1:50" x14ac:dyDescent="0.35">
      <c r="A672" s="75">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85.316370000000006</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82.753399999999999</v>
      </c>
      <c r="AN672">
        <v>82.40531</v>
      </c>
      <c r="AO672">
        <v>86.005690000000001</v>
      </c>
      <c r="AP672">
        <v>85.592039999999997</v>
      </c>
      <c r="AQ672"/>
      <c r="AR672"/>
      <c r="AS672">
        <v>78.704809999999995</v>
      </c>
      <c r="AT672">
        <v>87.251459999999994</v>
      </c>
      <c r="AU672">
        <v>92.245059999999995</v>
      </c>
      <c r="AV672">
        <v>47.162230000000001</v>
      </c>
      <c r="AW672">
        <v>81.776210000000006</v>
      </c>
      <c r="AX672">
        <v>60.28152</v>
      </c>
    </row>
    <row r="673" spans="1:50" x14ac:dyDescent="0.35">
      <c r="A673" s="75">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85.42841</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82.854309999999998</v>
      </c>
      <c r="AN673">
        <v>82.76379</v>
      </c>
      <c r="AO673">
        <v>85.986040000000003</v>
      </c>
      <c r="AP673">
        <v>85.662610000000001</v>
      </c>
      <c r="AQ673"/>
      <c r="AR673"/>
      <c r="AS673">
        <v>78.849940000000004</v>
      </c>
      <c r="AT673">
        <v>87.121449999999996</v>
      </c>
      <c r="AU673">
        <v>92.288619999999995</v>
      </c>
      <c r="AV673">
        <v>47.248019999999997</v>
      </c>
      <c r="AW673">
        <v>81.652370000000005</v>
      </c>
      <c r="AX673">
        <v>60.274250000000002</v>
      </c>
    </row>
    <row r="674" spans="1:50" x14ac:dyDescent="0.35">
      <c r="A674" s="75">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85.357979999999998</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82.811000000000007</v>
      </c>
      <c r="AN674">
        <v>82.3386</v>
      </c>
      <c r="AO674">
        <v>86.037760000000006</v>
      </c>
      <c r="AP674">
        <v>85.454809999999995</v>
      </c>
      <c r="AQ674"/>
      <c r="AR674"/>
      <c r="AS674">
        <v>79.963970000000003</v>
      </c>
      <c r="AT674">
        <v>86.281440000000003</v>
      </c>
      <c r="AU674">
        <v>91.440799999999996</v>
      </c>
      <c r="AV674">
        <v>47.337890000000002</v>
      </c>
      <c r="AW674">
        <v>81.900049999999993</v>
      </c>
      <c r="AX674">
        <v>60.560879999999997</v>
      </c>
    </row>
    <row r="675" spans="1:50" x14ac:dyDescent="0.35">
      <c r="A675" s="75">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85.662850000000006</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83.056049999999999</v>
      </c>
      <c r="AN675">
        <v>82.492540000000005</v>
      </c>
      <c r="AO675">
        <v>85.956720000000004</v>
      </c>
      <c r="AP675">
        <v>85.329509999999999</v>
      </c>
      <c r="AQ675"/>
      <c r="AR675"/>
      <c r="AS675">
        <v>80.245480000000001</v>
      </c>
      <c r="AT675">
        <v>86.411439999999999</v>
      </c>
      <c r="AU675">
        <v>91.56814</v>
      </c>
      <c r="AV675">
        <v>47.113210000000002</v>
      </c>
      <c r="AW675">
        <v>82.354129999999998</v>
      </c>
      <c r="AX675">
        <v>60.593440000000001</v>
      </c>
    </row>
    <row r="676" spans="1:50" x14ac:dyDescent="0.35">
      <c r="A676" s="75">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86.064800000000005</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83.441540000000003</v>
      </c>
      <c r="AN676">
        <v>82.815039999999996</v>
      </c>
      <c r="AO676">
        <v>85.978489999999994</v>
      </c>
      <c r="AP676">
        <v>85.491609999999994</v>
      </c>
      <c r="AQ676"/>
      <c r="AR676"/>
      <c r="AS676">
        <v>80.17398</v>
      </c>
      <c r="AT676">
        <v>87.281459999999996</v>
      </c>
      <c r="AU676">
        <v>91.873090000000005</v>
      </c>
      <c r="AV676">
        <v>47.3093</v>
      </c>
      <c r="AW676">
        <v>82.849490000000003</v>
      </c>
      <c r="AX676">
        <v>60.923870000000001</v>
      </c>
    </row>
    <row r="677" spans="1:50" x14ac:dyDescent="0.35">
      <c r="A677" s="75">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86.131029999999996</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83.580780000000004</v>
      </c>
      <c r="AN677">
        <v>82.991039999999998</v>
      </c>
      <c r="AO677">
        <v>86.185079999999999</v>
      </c>
      <c r="AP677">
        <v>86.102019999999996</v>
      </c>
      <c r="AQ677"/>
      <c r="AR677"/>
      <c r="AS677">
        <v>80.204390000000004</v>
      </c>
      <c r="AT677">
        <v>87.391459999999995</v>
      </c>
      <c r="AU677">
        <v>91.987020000000001</v>
      </c>
      <c r="AV677">
        <v>47.509459999999997</v>
      </c>
      <c r="AW677">
        <v>82.932050000000004</v>
      </c>
      <c r="AX677">
        <v>61.010959999999997</v>
      </c>
    </row>
    <row r="678" spans="1:50" x14ac:dyDescent="0.35">
      <c r="A678" s="75">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86.187929999999994</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83.683459999999997</v>
      </c>
      <c r="AN678">
        <v>83.264619999999994</v>
      </c>
      <c r="AO678">
        <v>86.166250000000005</v>
      </c>
      <c r="AP678">
        <v>86.585340000000002</v>
      </c>
      <c r="AQ678"/>
      <c r="AR678"/>
      <c r="AS678">
        <v>80.146109999999993</v>
      </c>
      <c r="AT678">
        <v>87.771460000000005</v>
      </c>
      <c r="AU678">
        <v>92.020529999999994</v>
      </c>
      <c r="AV678">
        <v>48.538899999999998</v>
      </c>
      <c r="AW678">
        <v>82.890780000000007</v>
      </c>
      <c r="AX678">
        <v>60.75394</v>
      </c>
    </row>
    <row r="679" spans="1:50" x14ac:dyDescent="0.35">
      <c r="A679" s="75">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86.134900000000002</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83.67944</v>
      </c>
      <c r="AN679">
        <v>83.326440000000005</v>
      </c>
      <c r="AO679">
        <v>86.363560000000007</v>
      </c>
      <c r="AP679">
        <v>86.679550000000006</v>
      </c>
      <c r="AQ679"/>
      <c r="AR679"/>
      <c r="AS679">
        <v>80.231470000000002</v>
      </c>
      <c r="AT679">
        <v>88.001459999999994</v>
      </c>
      <c r="AU679">
        <v>91.913300000000007</v>
      </c>
      <c r="AV679">
        <v>48.967840000000002</v>
      </c>
      <c r="AW679">
        <v>82.808210000000003</v>
      </c>
      <c r="AX679">
        <v>60.710859999999997</v>
      </c>
    </row>
    <row r="680" spans="1:50" x14ac:dyDescent="0.35">
      <c r="A680" s="75">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86.197550000000007</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83.677750000000003</v>
      </c>
      <c r="AN680">
        <v>83.22184</v>
      </c>
      <c r="AO680">
        <v>86.483670000000004</v>
      </c>
      <c r="AP680">
        <v>86.686580000000006</v>
      </c>
      <c r="AQ680"/>
      <c r="AR680"/>
      <c r="AS680">
        <v>80.179310000000001</v>
      </c>
      <c r="AT680">
        <v>88.491479999999996</v>
      </c>
      <c r="AU680">
        <v>91.182760000000002</v>
      </c>
      <c r="AV680">
        <v>48.645110000000003</v>
      </c>
      <c r="AW680">
        <v>82.890780000000007</v>
      </c>
      <c r="AX680">
        <v>61.02852</v>
      </c>
    </row>
    <row r="681" spans="1:50" x14ac:dyDescent="0.35">
      <c r="A681" s="75">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86.318399999999997</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83.805179999999993</v>
      </c>
      <c r="AN681">
        <v>83.418139999999994</v>
      </c>
      <c r="AO681">
        <v>86.437740000000005</v>
      </c>
      <c r="AP681">
        <v>86.590689999999995</v>
      </c>
      <c r="AQ681"/>
      <c r="AR681"/>
      <c r="AS681">
        <v>80.195819999999998</v>
      </c>
      <c r="AT681">
        <v>87.571460000000002</v>
      </c>
      <c r="AU681">
        <v>91.296700000000001</v>
      </c>
      <c r="AV681">
        <v>49.298729999999999</v>
      </c>
      <c r="AW681">
        <v>82.973339999999993</v>
      </c>
      <c r="AX681">
        <v>61.044530000000002</v>
      </c>
    </row>
    <row r="682" spans="1:50" x14ac:dyDescent="0.35">
      <c r="A682" s="75">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86.400549999999996</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83.943610000000007</v>
      </c>
      <c r="AN682">
        <v>83.548289999999994</v>
      </c>
      <c r="AO682">
        <v>86.580119999999994</v>
      </c>
      <c r="AP682">
        <v>86.732479999999995</v>
      </c>
      <c r="AQ682"/>
      <c r="AR682"/>
      <c r="AS682">
        <v>80.183710000000005</v>
      </c>
      <c r="AT682">
        <v>88.011470000000003</v>
      </c>
      <c r="AU682">
        <v>92.134469999999993</v>
      </c>
      <c r="AV682">
        <v>49.576520000000002</v>
      </c>
      <c r="AW682">
        <v>83.097179999999994</v>
      </c>
      <c r="AX682">
        <v>61.008780000000002</v>
      </c>
    </row>
    <row r="683" spans="1:50" x14ac:dyDescent="0.35">
      <c r="A683" s="75">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86.645870000000002</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84.223849999999999</v>
      </c>
      <c r="AN683">
        <v>83.814700000000002</v>
      </c>
      <c r="AO683">
        <v>86.715969999999999</v>
      </c>
      <c r="AP683">
        <v>87.315799999999996</v>
      </c>
      <c r="AQ683"/>
      <c r="AR683"/>
      <c r="AS683">
        <v>80.443370000000002</v>
      </c>
      <c r="AT683">
        <v>88.391469999999998</v>
      </c>
      <c r="AU683">
        <v>92.409260000000003</v>
      </c>
      <c r="AV683">
        <v>50.393529999999998</v>
      </c>
      <c r="AW683">
        <v>83.509979999999999</v>
      </c>
      <c r="AX683">
        <v>61.037050000000001</v>
      </c>
    </row>
    <row r="684" spans="1:50" x14ac:dyDescent="0.35">
      <c r="A684" s="75">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86.643370000000004</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84.274019999999993</v>
      </c>
      <c r="AN684">
        <v>83.932140000000004</v>
      </c>
      <c r="AO684">
        <v>86.644559999999998</v>
      </c>
      <c r="AP684">
        <v>87.883589999999998</v>
      </c>
      <c r="AQ684"/>
      <c r="AR684"/>
      <c r="AS684">
        <v>80.526570000000007</v>
      </c>
      <c r="AT684">
        <v>88.441469999999995</v>
      </c>
      <c r="AU684">
        <v>92.382450000000006</v>
      </c>
      <c r="AV684">
        <v>50.802039999999998</v>
      </c>
      <c r="AW684">
        <v>83.509979999999999</v>
      </c>
      <c r="AX684">
        <v>61.040759999999999</v>
      </c>
    </row>
    <row r="685" spans="1:50" x14ac:dyDescent="0.35">
      <c r="A685" s="75">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86.706770000000006</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84.354889999999997</v>
      </c>
      <c r="AN685">
        <v>84.169110000000003</v>
      </c>
      <c r="AO685">
        <v>86.654830000000004</v>
      </c>
      <c r="AP685">
        <v>87.879679999999993</v>
      </c>
      <c r="AQ685"/>
      <c r="AR685"/>
      <c r="AS685">
        <v>80.688479999999998</v>
      </c>
      <c r="AT685">
        <v>88.221469999999997</v>
      </c>
      <c r="AU685">
        <v>92.352289999999996</v>
      </c>
      <c r="AV685">
        <v>51.226889999999997</v>
      </c>
      <c r="AW685">
        <v>83.427419999999998</v>
      </c>
      <c r="AX685">
        <v>61.067880000000002</v>
      </c>
    </row>
    <row r="686" spans="1:50" x14ac:dyDescent="0.35">
      <c r="A686" s="75">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86.619060000000005</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84.25112</v>
      </c>
      <c r="AN686">
        <v>83.762789999999995</v>
      </c>
      <c r="AO686">
        <v>86.676810000000003</v>
      </c>
      <c r="AP686">
        <v>87.364930000000001</v>
      </c>
      <c r="AQ686"/>
      <c r="AR686"/>
      <c r="AS686">
        <v>82.116230000000002</v>
      </c>
      <c r="AT686">
        <v>86.931449999999998</v>
      </c>
      <c r="AU686">
        <v>91.266540000000006</v>
      </c>
      <c r="AV686">
        <v>51.431139999999999</v>
      </c>
      <c r="AW686">
        <v>83.63382</v>
      </c>
      <c r="AX686">
        <v>61.276620000000001</v>
      </c>
    </row>
    <row r="687" spans="1:50" x14ac:dyDescent="0.35">
      <c r="A687" s="75">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86.930570000000003</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84.502380000000002</v>
      </c>
      <c r="AN687">
        <v>83.925020000000004</v>
      </c>
      <c r="AO687">
        <v>86.589870000000005</v>
      </c>
      <c r="AP687">
        <v>87.499229999999997</v>
      </c>
      <c r="AQ687"/>
      <c r="AR687"/>
      <c r="AS687">
        <v>82.617419999999996</v>
      </c>
      <c r="AT687">
        <v>87.171459999999996</v>
      </c>
      <c r="AU687">
        <v>91.779250000000005</v>
      </c>
      <c r="AV687">
        <v>51.01446</v>
      </c>
      <c r="AW687">
        <v>84.046620000000004</v>
      </c>
      <c r="AX687">
        <v>61.295470000000002</v>
      </c>
    </row>
    <row r="688" spans="1:50" x14ac:dyDescent="0.35">
      <c r="A688" s="75">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87.339780000000005</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84.89913</v>
      </c>
      <c r="AN688">
        <v>84.188919999999996</v>
      </c>
      <c r="AO688">
        <v>86.589870000000005</v>
      </c>
      <c r="AP688">
        <v>88.994640000000004</v>
      </c>
      <c r="AQ688"/>
      <c r="AR688"/>
      <c r="AS688">
        <v>82.588459999999998</v>
      </c>
      <c r="AT688">
        <v>88.341470000000001</v>
      </c>
      <c r="AU688">
        <v>92.372389999999996</v>
      </c>
      <c r="AV688">
        <v>50.875570000000003</v>
      </c>
      <c r="AW688">
        <v>84.583269999999999</v>
      </c>
      <c r="AX688">
        <v>61.508470000000003</v>
      </c>
    </row>
    <row r="689" spans="1:50" x14ac:dyDescent="0.35">
      <c r="A689" s="75">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87.543869999999998</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85.172499999999999</v>
      </c>
      <c r="AN689">
        <v>84.544309999999996</v>
      </c>
      <c r="AO689">
        <v>86.589870000000005</v>
      </c>
      <c r="AP689">
        <v>89.282589999999999</v>
      </c>
      <c r="AQ689"/>
      <c r="AR689"/>
      <c r="AS689">
        <v>82.70035</v>
      </c>
      <c r="AT689">
        <v>88.931479999999993</v>
      </c>
      <c r="AU689">
        <v>92.653880000000001</v>
      </c>
      <c r="AV689">
        <v>51.79063</v>
      </c>
      <c r="AW689">
        <v>84.830950000000001</v>
      </c>
      <c r="AX689">
        <v>61.57197</v>
      </c>
    </row>
    <row r="690" spans="1:50" x14ac:dyDescent="0.35">
      <c r="A690" s="75">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87.63355</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85.305800000000005</v>
      </c>
      <c r="AN690">
        <v>84.76003</v>
      </c>
      <c r="AO690">
        <v>86.589870000000005</v>
      </c>
      <c r="AP690">
        <v>89.431240000000003</v>
      </c>
      <c r="AQ690"/>
      <c r="AR690"/>
      <c r="AS690">
        <v>82.77834</v>
      </c>
      <c r="AT690">
        <v>89.161479999999997</v>
      </c>
      <c r="AU690">
        <v>92.529889999999995</v>
      </c>
      <c r="AV690">
        <v>53.142789999999998</v>
      </c>
      <c r="AW690">
        <v>84.913510000000002</v>
      </c>
      <c r="AX690">
        <v>61.658830000000002</v>
      </c>
    </row>
    <row r="691" spans="1:50" x14ac:dyDescent="0.35">
      <c r="A691" s="75">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87.707759999999993</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85.395809999999997</v>
      </c>
      <c r="AN691">
        <v>84.89922</v>
      </c>
      <c r="AO691">
        <v>86.676810000000003</v>
      </c>
      <c r="AP691">
        <v>89.312399999999997</v>
      </c>
      <c r="AQ691"/>
      <c r="AR691"/>
      <c r="AS691">
        <v>82.827190000000002</v>
      </c>
      <c r="AT691">
        <v>89.211489999999998</v>
      </c>
      <c r="AU691">
        <v>92.519840000000002</v>
      </c>
      <c r="AV691">
        <v>53.714700000000001</v>
      </c>
      <c r="AW691">
        <v>84.996070000000003</v>
      </c>
      <c r="AX691">
        <v>62.040129999999998</v>
      </c>
    </row>
    <row r="692" spans="1:50" x14ac:dyDescent="0.35">
      <c r="A692" s="75">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87.769149999999996</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85.427059999999997</v>
      </c>
      <c r="AN692">
        <v>84.824060000000003</v>
      </c>
      <c r="AO692">
        <v>87.198430000000002</v>
      </c>
      <c r="AP692">
        <v>89.007350000000002</v>
      </c>
      <c r="AQ692"/>
      <c r="AR692"/>
      <c r="AS692">
        <v>83.107560000000007</v>
      </c>
      <c r="AT692">
        <v>88.881479999999996</v>
      </c>
      <c r="AU692">
        <v>92.19144</v>
      </c>
      <c r="AV692">
        <v>53.886270000000003</v>
      </c>
      <c r="AW692">
        <v>85.119910000000004</v>
      </c>
      <c r="AX692">
        <v>62.345790000000001</v>
      </c>
    </row>
    <row r="693" spans="1:50" x14ac:dyDescent="0.35">
      <c r="A693" s="75">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87.952629999999999</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85.580119999999994</v>
      </c>
      <c r="AN693">
        <v>84.927369999999996</v>
      </c>
      <c r="AO693">
        <v>87.198430000000002</v>
      </c>
      <c r="AP693">
        <v>88.630099999999999</v>
      </c>
      <c r="AQ693"/>
      <c r="AR693"/>
      <c r="AS693">
        <v>83.387020000000007</v>
      </c>
      <c r="AT693">
        <v>89.121480000000005</v>
      </c>
      <c r="AU693">
        <v>92.184730000000002</v>
      </c>
      <c r="AV693">
        <v>53.812739999999998</v>
      </c>
      <c r="AW693">
        <v>85.326310000000007</v>
      </c>
      <c r="AX693">
        <v>62.721490000000003</v>
      </c>
    </row>
    <row r="694" spans="1:50" x14ac:dyDescent="0.35">
      <c r="A694" s="75">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88.117320000000007</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85.801569999999998</v>
      </c>
      <c r="AN694">
        <v>85.161619999999999</v>
      </c>
      <c r="AO694">
        <v>87.28537</v>
      </c>
      <c r="AP694">
        <v>89.538250000000005</v>
      </c>
      <c r="AQ694"/>
      <c r="AR694"/>
      <c r="AS694">
        <v>83.219589999999997</v>
      </c>
      <c r="AT694">
        <v>89.591489999999993</v>
      </c>
      <c r="AU694">
        <v>93.183359999999993</v>
      </c>
      <c r="AV694">
        <v>54.429589999999997</v>
      </c>
      <c r="AW694">
        <v>85.532709999999994</v>
      </c>
      <c r="AX694">
        <v>62.927079999999997</v>
      </c>
    </row>
    <row r="695" spans="1:50" x14ac:dyDescent="0.35">
      <c r="A695" s="75">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88.298990000000003</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86.03322</v>
      </c>
      <c r="AN695">
        <v>85.455259999999996</v>
      </c>
      <c r="AO695">
        <v>87.28537</v>
      </c>
      <c r="AP695">
        <v>89.906400000000005</v>
      </c>
      <c r="AQ695"/>
      <c r="AR695"/>
      <c r="AS695">
        <v>83.621039999999994</v>
      </c>
      <c r="AT695">
        <v>89.661490000000001</v>
      </c>
      <c r="AU695">
        <v>93.320750000000004</v>
      </c>
      <c r="AV695">
        <v>55.365070000000003</v>
      </c>
      <c r="AW695">
        <v>85.7804</v>
      </c>
      <c r="AX695">
        <v>63.356250000000003</v>
      </c>
    </row>
    <row r="696" spans="1:50" x14ac:dyDescent="0.35">
      <c r="A696" s="75">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88.263469999999998</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86.055549999999997</v>
      </c>
      <c r="AN696">
        <v>85.583519999999993</v>
      </c>
      <c r="AO696">
        <v>87.28537</v>
      </c>
      <c r="AP696">
        <v>90.006640000000004</v>
      </c>
      <c r="AQ696"/>
      <c r="AR696"/>
      <c r="AS696">
        <v>83.885620000000003</v>
      </c>
      <c r="AT696">
        <v>89.881500000000003</v>
      </c>
      <c r="AU696">
        <v>93.354259999999996</v>
      </c>
      <c r="AV696">
        <v>55.757240000000003</v>
      </c>
      <c r="AW696">
        <v>85.697829999999996</v>
      </c>
      <c r="AX696">
        <v>63.380279999999999</v>
      </c>
    </row>
    <row r="697" spans="1:50" x14ac:dyDescent="0.35">
      <c r="A697" s="75">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88.320580000000007</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86.123390000000001</v>
      </c>
      <c r="AN697">
        <v>85.843310000000002</v>
      </c>
      <c r="AO697">
        <v>87.28537</v>
      </c>
      <c r="AP697">
        <v>90.06729</v>
      </c>
      <c r="AQ697"/>
      <c r="AR697"/>
      <c r="AS697">
        <v>83.874979999999994</v>
      </c>
      <c r="AT697">
        <v>90.261510000000001</v>
      </c>
      <c r="AU697">
        <v>93.464839999999995</v>
      </c>
      <c r="AV697">
        <v>55.728639999999999</v>
      </c>
      <c r="AW697">
        <v>85.573989999999995</v>
      </c>
      <c r="AX697">
        <v>63.698230000000002</v>
      </c>
    </row>
    <row r="698" spans="1:50" x14ac:dyDescent="0.35">
      <c r="A698" s="75">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88.319280000000006</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86.104259999999996</v>
      </c>
      <c r="AN698">
        <v>85.508579999999995</v>
      </c>
      <c r="AO698">
        <v>87.28537</v>
      </c>
      <c r="AP698">
        <v>89.277760000000001</v>
      </c>
      <c r="AQ698"/>
      <c r="AR698"/>
      <c r="AS698">
        <v>84.925719999999998</v>
      </c>
      <c r="AT698">
        <v>89.351489999999998</v>
      </c>
      <c r="AU698">
        <v>92.985640000000004</v>
      </c>
      <c r="AV698">
        <v>55.544820000000001</v>
      </c>
      <c r="AW698">
        <v>85.866669999999999</v>
      </c>
      <c r="AX698">
        <v>64.044619999999995</v>
      </c>
    </row>
    <row r="699" spans="1:50" x14ac:dyDescent="0.35">
      <c r="A699" s="75">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88.654910000000001</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86.401259999999994</v>
      </c>
      <c r="AN699">
        <v>85.769260000000003</v>
      </c>
      <c r="AO699">
        <v>87.28537</v>
      </c>
      <c r="AP699">
        <v>89.379739999999998</v>
      </c>
      <c r="AQ699"/>
      <c r="AR699"/>
      <c r="AS699">
        <v>85.177779999999998</v>
      </c>
      <c r="AT699">
        <v>89.451490000000007</v>
      </c>
      <c r="AU699">
        <v>93.464839999999995</v>
      </c>
      <c r="AV699">
        <v>55.491709999999998</v>
      </c>
      <c r="AW699">
        <v>86.32199</v>
      </c>
      <c r="AX699">
        <v>64.033969999999997</v>
      </c>
    </row>
    <row r="700" spans="1:50" x14ac:dyDescent="0.35">
      <c r="A700" s="75">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88.949089999999998</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86.747389999999996</v>
      </c>
      <c r="AN700">
        <v>86.161699999999996</v>
      </c>
      <c r="AO700">
        <v>87.372309999999999</v>
      </c>
      <c r="AP700">
        <v>90.86806</v>
      </c>
      <c r="AQ700"/>
      <c r="AR700"/>
      <c r="AS700">
        <v>85.167019999999994</v>
      </c>
      <c r="AT700">
        <v>90.0715</v>
      </c>
      <c r="AU700">
        <v>94.121660000000006</v>
      </c>
      <c r="AV700">
        <v>56.043190000000003</v>
      </c>
      <c r="AW700">
        <v>86.656779999999998</v>
      </c>
      <c r="AX700">
        <v>64.434730000000002</v>
      </c>
    </row>
    <row r="701" spans="1:50" x14ac:dyDescent="0.35">
      <c r="A701" s="75">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89.160129999999995</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87.030119999999997</v>
      </c>
      <c r="AN701">
        <v>86.581710000000001</v>
      </c>
      <c r="AO701">
        <v>87.546189999999996</v>
      </c>
      <c r="AP701">
        <v>91.647329999999997</v>
      </c>
      <c r="AQ701"/>
      <c r="AR701"/>
      <c r="AS701">
        <v>85.209050000000005</v>
      </c>
      <c r="AT701">
        <v>90.491510000000005</v>
      </c>
      <c r="AU701">
        <v>94.543890000000005</v>
      </c>
      <c r="AV701">
        <v>56.872459999999997</v>
      </c>
      <c r="AW701">
        <v>86.816940000000002</v>
      </c>
      <c r="AX701">
        <v>64.720200000000006</v>
      </c>
    </row>
    <row r="702" spans="1:50" x14ac:dyDescent="0.35">
      <c r="A702" s="75">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89.221050000000005</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87.127020000000002</v>
      </c>
      <c r="AN702">
        <v>86.782330000000002</v>
      </c>
      <c r="AO702">
        <v>87.720060000000004</v>
      </c>
      <c r="AP702">
        <v>91.729380000000006</v>
      </c>
      <c r="AQ702"/>
      <c r="AR702"/>
      <c r="AS702">
        <v>85.043369999999996</v>
      </c>
      <c r="AT702">
        <v>91.261520000000004</v>
      </c>
      <c r="AU702">
        <v>94.651120000000006</v>
      </c>
      <c r="AV702">
        <v>57.775260000000003</v>
      </c>
      <c r="AW702">
        <v>86.819010000000006</v>
      </c>
      <c r="AX702">
        <v>64.830190000000002</v>
      </c>
    </row>
    <row r="703" spans="1:50" x14ac:dyDescent="0.35">
      <c r="A703" s="75">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89.251140000000007</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87.180729999999997</v>
      </c>
      <c r="AN703">
        <v>86.863659999999996</v>
      </c>
      <c r="AO703">
        <v>87.893940000000001</v>
      </c>
      <c r="AP703">
        <v>91.723129999999998</v>
      </c>
      <c r="AQ703"/>
      <c r="AR703"/>
      <c r="AS703">
        <v>85.391229999999993</v>
      </c>
      <c r="AT703">
        <v>91.731530000000006</v>
      </c>
      <c r="AU703">
        <v>94.86224</v>
      </c>
      <c r="AV703">
        <v>58.106160000000003</v>
      </c>
      <c r="AW703">
        <v>86.884219999999999</v>
      </c>
      <c r="AX703">
        <v>65.254670000000004</v>
      </c>
    </row>
    <row r="704" spans="1:50" x14ac:dyDescent="0.35">
      <c r="A704" s="75">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89.330600000000004</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87.203609999999998</v>
      </c>
      <c r="AN704">
        <v>86.720119999999994</v>
      </c>
      <c r="AO704">
        <v>88.067809999999994</v>
      </c>
      <c r="AP704">
        <v>91.373159999999999</v>
      </c>
      <c r="AQ704"/>
      <c r="AR704"/>
      <c r="AS704">
        <v>85.393649999999994</v>
      </c>
      <c r="AT704">
        <v>91.591530000000006</v>
      </c>
      <c r="AU704">
        <v>94.607560000000007</v>
      </c>
      <c r="AV704">
        <v>57.607779999999998</v>
      </c>
      <c r="AW704">
        <v>87.000640000000004</v>
      </c>
      <c r="AX704">
        <v>65.714860000000002</v>
      </c>
    </row>
    <row r="705" spans="1:50" x14ac:dyDescent="0.35">
      <c r="A705" s="75">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89.525090000000006</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87.349810000000005</v>
      </c>
      <c r="AN705">
        <v>86.841729999999998</v>
      </c>
      <c r="AO705">
        <v>87.807000000000002</v>
      </c>
      <c r="AP705">
        <v>90.729259999999996</v>
      </c>
      <c r="AQ705"/>
      <c r="AR705"/>
      <c r="AS705">
        <v>85.57732</v>
      </c>
      <c r="AT705">
        <v>92.151539999999997</v>
      </c>
      <c r="AU705">
        <v>94.744960000000006</v>
      </c>
      <c r="AV705">
        <v>57.162509999999997</v>
      </c>
      <c r="AW705">
        <v>87.147189999999995</v>
      </c>
      <c r="AX705">
        <v>66.087270000000004</v>
      </c>
    </row>
    <row r="706" spans="1:50" x14ac:dyDescent="0.35">
      <c r="A706" s="75">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89.648439999999994</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87.515240000000006</v>
      </c>
      <c r="AN706">
        <v>86.987229999999997</v>
      </c>
      <c r="AO706">
        <v>87.893940000000001</v>
      </c>
      <c r="AP706">
        <v>91.397189999999995</v>
      </c>
      <c r="AQ706"/>
      <c r="AR706"/>
      <c r="AS706">
        <v>85.728629999999995</v>
      </c>
      <c r="AT706">
        <v>92.091539999999995</v>
      </c>
      <c r="AU706">
        <v>95.884320000000002</v>
      </c>
      <c r="AV706">
        <v>57.460720000000002</v>
      </c>
      <c r="AW706">
        <v>87.360600000000005</v>
      </c>
      <c r="AX706">
        <v>66.36739</v>
      </c>
    </row>
    <row r="707" spans="1:50" x14ac:dyDescent="0.35">
      <c r="A707" s="75">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89.847149999999999</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87.771060000000006</v>
      </c>
      <c r="AN707">
        <v>87.274519999999995</v>
      </c>
      <c r="AO707">
        <v>88.067809999999994</v>
      </c>
      <c r="AP707">
        <v>91.91892</v>
      </c>
      <c r="AQ707"/>
      <c r="AR707"/>
      <c r="AS707">
        <v>85.864940000000004</v>
      </c>
      <c r="AT707">
        <v>92.381540000000001</v>
      </c>
      <c r="AU707">
        <v>96.31326</v>
      </c>
      <c r="AV707">
        <v>58.232799999999997</v>
      </c>
      <c r="AW707">
        <v>87.645439999999994</v>
      </c>
      <c r="AX707">
        <v>66.875529999999998</v>
      </c>
    </row>
    <row r="708" spans="1:50" x14ac:dyDescent="0.35">
      <c r="A708" s="75">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89.905919999999995</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87.890190000000004</v>
      </c>
      <c r="AN708">
        <v>87.476339999999993</v>
      </c>
      <c r="AO708">
        <v>88.154750000000007</v>
      </c>
      <c r="AP708">
        <v>92.056380000000004</v>
      </c>
      <c r="AQ708"/>
      <c r="AR708"/>
      <c r="AS708">
        <v>86.178299999999993</v>
      </c>
      <c r="AT708">
        <v>92.921549999999996</v>
      </c>
      <c r="AU708">
        <v>96.460710000000006</v>
      </c>
      <c r="AV708">
        <v>59.421550000000003</v>
      </c>
      <c r="AW708">
        <v>87.693730000000002</v>
      </c>
      <c r="AX708">
        <v>66.982410000000002</v>
      </c>
    </row>
    <row r="709" spans="1:50" x14ac:dyDescent="0.35">
      <c r="A709" s="75">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89.992850000000004</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87.991780000000006</v>
      </c>
      <c r="AN709">
        <v>87.773700000000005</v>
      </c>
      <c r="AO709">
        <v>88.328620000000001</v>
      </c>
      <c r="AP709">
        <v>92.098659999999995</v>
      </c>
      <c r="AQ709"/>
      <c r="AR709"/>
      <c r="AS709">
        <v>86.292529999999999</v>
      </c>
      <c r="AT709">
        <v>93.121549999999999</v>
      </c>
      <c r="AU709">
        <v>96.591399999999993</v>
      </c>
      <c r="AV709">
        <v>59.413379999999997</v>
      </c>
      <c r="AW709">
        <v>87.66113</v>
      </c>
      <c r="AX709">
        <v>67.379490000000004</v>
      </c>
    </row>
    <row r="710" spans="1:50" x14ac:dyDescent="0.35">
      <c r="A710" s="75">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89.992999999999995</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87.98169</v>
      </c>
      <c r="AN710">
        <v>87.373450000000005</v>
      </c>
      <c r="AO710">
        <v>88.763310000000004</v>
      </c>
      <c r="AP710">
        <v>91.490679999999998</v>
      </c>
      <c r="AQ710"/>
      <c r="AR710"/>
      <c r="AS710">
        <v>87.307190000000006</v>
      </c>
      <c r="AT710">
        <v>92.131540000000001</v>
      </c>
      <c r="AU710">
        <v>95.133679999999998</v>
      </c>
      <c r="AV710">
        <v>59.094749999999998</v>
      </c>
      <c r="AW710">
        <v>87.983930000000001</v>
      </c>
      <c r="AX710">
        <v>68.316389999999998</v>
      </c>
    </row>
    <row r="711" spans="1:50" x14ac:dyDescent="0.35">
      <c r="A711" s="75">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90.232060000000004</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88.219660000000005</v>
      </c>
      <c r="AN711">
        <v>87.616650000000007</v>
      </c>
      <c r="AO711">
        <v>88.850250000000003</v>
      </c>
      <c r="AP711">
        <v>91.555319999999995</v>
      </c>
      <c r="AQ711"/>
      <c r="AR711"/>
      <c r="AS711">
        <v>87.754459999999995</v>
      </c>
      <c r="AT711">
        <v>92.731539999999995</v>
      </c>
      <c r="AU711">
        <v>95.458730000000003</v>
      </c>
      <c r="AV711">
        <v>58.886409999999998</v>
      </c>
      <c r="AW711">
        <v>88.284450000000007</v>
      </c>
      <c r="AX711">
        <v>68.683809999999994</v>
      </c>
    </row>
    <row r="712" spans="1:50" x14ac:dyDescent="0.35">
      <c r="A712" s="75">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90.610079999999996</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88.660409999999999</v>
      </c>
      <c r="AN712">
        <v>88.12227</v>
      </c>
      <c r="AO712">
        <v>89.111059999999995</v>
      </c>
      <c r="AP712">
        <v>93.093630000000005</v>
      </c>
      <c r="AQ712"/>
      <c r="AR712"/>
      <c r="AS712">
        <v>87.942880000000002</v>
      </c>
      <c r="AT712">
        <v>93.851560000000006</v>
      </c>
      <c r="AU712">
        <v>96.413790000000006</v>
      </c>
      <c r="AV712">
        <v>59.413379999999997</v>
      </c>
      <c r="AW712">
        <v>88.69726</v>
      </c>
      <c r="AX712">
        <v>69.419489999999996</v>
      </c>
    </row>
    <row r="713" spans="1:50" x14ac:dyDescent="0.35">
      <c r="A713" s="75">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90.685410000000005</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88.863879999999995</v>
      </c>
      <c r="AN713">
        <v>88.431560000000005</v>
      </c>
      <c r="AO713">
        <v>89.371870000000001</v>
      </c>
      <c r="AP713">
        <v>93.271709999999999</v>
      </c>
      <c r="AQ713"/>
      <c r="AR713"/>
      <c r="AS713">
        <v>87.932869999999994</v>
      </c>
      <c r="AT713">
        <v>94.551569999999998</v>
      </c>
      <c r="AU713">
        <v>96.748900000000006</v>
      </c>
      <c r="AV713">
        <v>60.610309999999998</v>
      </c>
      <c r="AW713">
        <v>88.776920000000004</v>
      </c>
      <c r="AX713">
        <v>69.6006</v>
      </c>
    </row>
    <row r="714" spans="1:50" x14ac:dyDescent="0.35">
      <c r="A714" s="75">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90.81944</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89.060890000000001</v>
      </c>
      <c r="AN714">
        <v>88.770169999999993</v>
      </c>
      <c r="AO714">
        <v>89.545749999999998</v>
      </c>
      <c r="AP714">
        <v>93.388499999999993</v>
      </c>
      <c r="AQ714"/>
      <c r="AR714"/>
      <c r="AS714">
        <v>88.02843</v>
      </c>
      <c r="AT714">
        <v>94.931579999999997</v>
      </c>
      <c r="AU714">
        <v>96.926509999999993</v>
      </c>
      <c r="AV714">
        <v>61.995150000000002</v>
      </c>
      <c r="AW714">
        <v>88.82687</v>
      </c>
      <c r="AX714">
        <v>69.73751</v>
      </c>
    </row>
    <row r="715" spans="1:50" x14ac:dyDescent="0.35">
      <c r="A715" s="75">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90.952799999999996</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89.206289999999996</v>
      </c>
      <c r="AN715">
        <v>88.902889999999999</v>
      </c>
      <c r="AO715">
        <v>89.806560000000005</v>
      </c>
      <c r="AP715">
        <v>93.435180000000003</v>
      </c>
      <c r="AQ715"/>
      <c r="AR715"/>
      <c r="AS715">
        <v>88.21069</v>
      </c>
      <c r="AT715">
        <v>95.371589999999998</v>
      </c>
      <c r="AU715">
        <v>97.084010000000006</v>
      </c>
      <c r="AV715">
        <v>62.40775</v>
      </c>
      <c r="AW715">
        <v>88.980850000000004</v>
      </c>
      <c r="AX715">
        <v>70.552809999999994</v>
      </c>
    </row>
    <row r="716" spans="1:50" x14ac:dyDescent="0.35">
      <c r="A716" s="75">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91.101029999999994</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89.306479999999993</v>
      </c>
      <c r="AN716">
        <v>88.813010000000006</v>
      </c>
      <c r="AO716">
        <v>89.980440000000002</v>
      </c>
      <c r="AP716">
        <v>92.758520000000004</v>
      </c>
      <c r="AQ716"/>
      <c r="AR716"/>
      <c r="AS716">
        <v>88.526169999999993</v>
      </c>
      <c r="AT716">
        <v>94.801580000000001</v>
      </c>
      <c r="AU716">
        <v>96.547839999999994</v>
      </c>
      <c r="AV716">
        <v>61.991070000000001</v>
      </c>
      <c r="AW716">
        <v>89.183949999999996</v>
      </c>
      <c r="AX716">
        <v>70.981350000000006</v>
      </c>
    </row>
    <row r="717" spans="1:50" x14ac:dyDescent="0.35">
      <c r="A717" s="75">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91.325999999999993</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89.510990000000007</v>
      </c>
      <c r="AN717">
        <v>89.036749999999998</v>
      </c>
      <c r="AO717">
        <v>90.06738</v>
      </c>
      <c r="AP717">
        <v>92.468980000000002</v>
      </c>
      <c r="AQ717"/>
      <c r="AR717"/>
      <c r="AS717">
        <v>89.02225</v>
      </c>
      <c r="AT717">
        <v>95.231589999999997</v>
      </c>
      <c r="AU717">
        <v>97.013630000000006</v>
      </c>
      <c r="AV717">
        <v>61.725540000000002</v>
      </c>
      <c r="AW717">
        <v>89.361869999999996</v>
      </c>
      <c r="AX717">
        <v>71.324510000000004</v>
      </c>
    </row>
    <row r="718" spans="1:50" x14ac:dyDescent="0.35">
      <c r="A718" s="75">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91.424319999999994</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89.692179999999993</v>
      </c>
      <c r="AN718">
        <v>89.179630000000003</v>
      </c>
      <c r="AO718">
        <v>90.328190000000006</v>
      </c>
      <c r="AP718">
        <v>93.443629999999999</v>
      </c>
      <c r="AQ718"/>
      <c r="AR718"/>
      <c r="AS718">
        <v>89.777349999999998</v>
      </c>
      <c r="AT718">
        <v>95.451589999999996</v>
      </c>
      <c r="AU718">
        <v>98.069220000000001</v>
      </c>
      <c r="AV718">
        <v>61.958390000000001</v>
      </c>
      <c r="AW718">
        <v>89.521209999999996</v>
      </c>
      <c r="AX718">
        <v>71.918880000000001</v>
      </c>
    </row>
    <row r="719" spans="1:50" x14ac:dyDescent="0.35">
      <c r="A719" s="75">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91.486440000000002</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89.866290000000006</v>
      </c>
      <c r="AN719">
        <v>89.469570000000004</v>
      </c>
      <c r="AO719">
        <v>90.502070000000003</v>
      </c>
      <c r="AP719">
        <v>93.797839999999994</v>
      </c>
      <c r="AQ719"/>
      <c r="AR719"/>
      <c r="AS719">
        <v>90.319249999999997</v>
      </c>
      <c r="AT719">
        <v>95.82159</v>
      </c>
      <c r="AU719">
        <v>98.709270000000004</v>
      </c>
      <c r="AV719">
        <v>62.996000000000002</v>
      </c>
      <c r="AW719">
        <v>89.587670000000003</v>
      </c>
      <c r="AX719">
        <v>72.231350000000006</v>
      </c>
    </row>
    <row r="720" spans="1:50" x14ac:dyDescent="0.35">
      <c r="A720" s="75">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91.423630000000003</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89.882480000000001</v>
      </c>
      <c r="AN720">
        <v>89.556920000000005</v>
      </c>
      <c r="AO720">
        <v>90.588999999999999</v>
      </c>
      <c r="AP720">
        <v>93.659059999999997</v>
      </c>
      <c r="AQ720"/>
      <c r="AR720"/>
      <c r="AS720">
        <v>90.91001</v>
      </c>
      <c r="AT720">
        <v>96.021600000000007</v>
      </c>
      <c r="AU720">
        <v>98.099379999999996</v>
      </c>
      <c r="AV720">
        <v>63.498460000000001</v>
      </c>
      <c r="AW720">
        <v>89.450209999999998</v>
      </c>
      <c r="AX720">
        <v>72.380709999999993</v>
      </c>
    </row>
    <row r="721" spans="1:50" x14ac:dyDescent="0.35">
      <c r="A721" s="75">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91.346649999999997</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89.849239999999995</v>
      </c>
      <c r="AN721">
        <v>89.67183</v>
      </c>
      <c r="AO721">
        <v>90.675939999999997</v>
      </c>
      <c r="AP721">
        <v>93.589550000000003</v>
      </c>
      <c r="AQ721"/>
      <c r="AR721"/>
      <c r="AS721">
        <v>90.973879999999994</v>
      </c>
      <c r="AT721">
        <v>96.151600000000002</v>
      </c>
      <c r="AU721">
        <v>96.638310000000004</v>
      </c>
      <c r="AV721">
        <v>63.34731</v>
      </c>
      <c r="AW721">
        <v>89.206659999999999</v>
      </c>
      <c r="AX721">
        <v>72.675430000000006</v>
      </c>
    </row>
    <row r="722" spans="1:50" x14ac:dyDescent="0.35">
      <c r="A722" s="75">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91.252330000000001</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89.721530000000001</v>
      </c>
      <c r="AN722">
        <v>89.187970000000007</v>
      </c>
      <c r="AO722">
        <v>90.849819999999994</v>
      </c>
      <c r="AP722">
        <v>93.073149999999998</v>
      </c>
      <c r="AQ722"/>
      <c r="AR722"/>
      <c r="AS722">
        <v>91.553650000000005</v>
      </c>
      <c r="AT722">
        <v>94.63158</v>
      </c>
      <c r="AU722">
        <v>95.813950000000006</v>
      </c>
      <c r="AV722">
        <v>63.290120000000002</v>
      </c>
      <c r="AW722">
        <v>89.462180000000004</v>
      </c>
      <c r="AX722">
        <v>73.307569999999998</v>
      </c>
    </row>
    <row r="723" spans="1:50" x14ac:dyDescent="0.35">
      <c r="A723" s="75">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91.595699999999994</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90.002359999999996</v>
      </c>
      <c r="AN723">
        <v>89.447360000000003</v>
      </c>
      <c r="AO723">
        <v>91.023690000000002</v>
      </c>
      <c r="AP723">
        <v>92.998980000000003</v>
      </c>
      <c r="AQ723"/>
      <c r="AR723"/>
      <c r="AS723">
        <v>91.573750000000004</v>
      </c>
      <c r="AT723">
        <v>95.051580000000001</v>
      </c>
      <c r="AU723">
        <v>95.602829999999997</v>
      </c>
      <c r="AV723">
        <v>63.053190000000001</v>
      </c>
      <c r="AW723">
        <v>89.860950000000003</v>
      </c>
      <c r="AX723">
        <v>74.084370000000007</v>
      </c>
    </row>
    <row r="724" spans="1:50" x14ac:dyDescent="0.35">
      <c r="A724" s="75">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91.91028</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90.341009999999997</v>
      </c>
      <c r="AN724">
        <v>89.756439999999998</v>
      </c>
      <c r="AO724">
        <v>91.371440000000007</v>
      </c>
      <c r="AP724">
        <v>94.250780000000006</v>
      </c>
      <c r="AQ724"/>
      <c r="AR724"/>
      <c r="AS724">
        <v>91.390990000000002</v>
      </c>
      <c r="AT724">
        <v>96.371600000000001</v>
      </c>
      <c r="AU724">
        <v>95.897729999999996</v>
      </c>
      <c r="AV724">
        <v>63.049100000000003</v>
      </c>
      <c r="AW724">
        <v>90.254760000000005</v>
      </c>
      <c r="AX724">
        <v>75.109660000000005</v>
      </c>
    </row>
    <row r="725" spans="1:50" x14ac:dyDescent="0.35">
      <c r="A725" s="75">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92.112530000000007</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90.587940000000003</v>
      </c>
      <c r="AN725">
        <v>90.078659999999999</v>
      </c>
      <c r="AO725">
        <v>91.719189999999998</v>
      </c>
      <c r="AP725">
        <v>94.532259999999994</v>
      </c>
      <c r="AQ725"/>
      <c r="AR725"/>
      <c r="AS725">
        <v>91.499269999999996</v>
      </c>
      <c r="AT725">
        <v>96.471609999999998</v>
      </c>
      <c r="AU725">
        <v>96.088740000000001</v>
      </c>
      <c r="AV725">
        <v>63.424930000000003</v>
      </c>
      <c r="AW725">
        <v>90.462810000000005</v>
      </c>
      <c r="AX725">
        <v>75.451210000000003</v>
      </c>
    </row>
    <row r="726" spans="1:50" x14ac:dyDescent="0.35">
      <c r="A726" s="75">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92.143460000000005</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90.660939999999997</v>
      </c>
      <c r="AN726">
        <v>90.253389999999996</v>
      </c>
      <c r="AO726">
        <v>91.98</v>
      </c>
      <c r="AP726">
        <v>94.343950000000007</v>
      </c>
      <c r="AQ726"/>
      <c r="AR726"/>
      <c r="AS726">
        <v>91.439769999999996</v>
      </c>
      <c r="AT726">
        <v>97.19162</v>
      </c>
      <c r="AU726">
        <v>95.689959999999999</v>
      </c>
      <c r="AV726">
        <v>64.421689999999998</v>
      </c>
      <c r="AW726">
        <v>90.456620000000001</v>
      </c>
      <c r="AX726">
        <v>75.660769999999999</v>
      </c>
    </row>
    <row r="727" spans="1:50" x14ac:dyDescent="0.35">
      <c r="A727" s="75">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92.169210000000007</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90.705370000000002</v>
      </c>
      <c r="AN727">
        <v>90.286010000000005</v>
      </c>
      <c r="AO727">
        <v>92.240809999999996</v>
      </c>
      <c r="AP727">
        <v>94.428899999999999</v>
      </c>
      <c r="AQ727"/>
      <c r="AR727"/>
      <c r="AS727">
        <v>91.801240000000007</v>
      </c>
      <c r="AT727">
        <v>97.721630000000005</v>
      </c>
      <c r="AU727">
        <v>95.669849999999997</v>
      </c>
      <c r="AV727">
        <v>64.82611</v>
      </c>
      <c r="AW727">
        <v>90.520610000000005</v>
      </c>
      <c r="AX727">
        <v>75.938609999999997</v>
      </c>
    </row>
    <row r="728" spans="1:50" x14ac:dyDescent="0.35">
      <c r="A728" s="75">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92.189509999999999</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90.720849999999999</v>
      </c>
      <c r="AN728">
        <v>90.253200000000007</v>
      </c>
      <c r="AO728">
        <v>92.588570000000004</v>
      </c>
      <c r="AP728">
        <v>94.113609999999994</v>
      </c>
      <c r="AQ728"/>
      <c r="AR728"/>
      <c r="AS728">
        <v>92.064480000000003</v>
      </c>
      <c r="AT728">
        <v>96.461609999999993</v>
      </c>
      <c r="AU728">
        <v>95.395070000000004</v>
      </c>
      <c r="AV728">
        <v>65.336749999999995</v>
      </c>
      <c r="AW728">
        <v>90.548259999999999</v>
      </c>
      <c r="AX728">
        <v>76.489739999999998</v>
      </c>
    </row>
    <row r="729" spans="1:50" x14ac:dyDescent="0.35">
      <c r="A729" s="75">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92.350399999999993</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90.849199999999996</v>
      </c>
      <c r="AN729">
        <v>90.442149999999998</v>
      </c>
      <c r="AO729">
        <v>92.588570000000004</v>
      </c>
      <c r="AP729">
        <v>93.659409999999994</v>
      </c>
      <c r="AQ729"/>
      <c r="AR729"/>
      <c r="AS729">
        <v>92.171750000000003</v>
      </c>
      <c r="AT729">
        <v>96.64161</v>
      </c>
      <c r="AU729">
        <v>95.542509999999993</v>
      </c>
      <c r="AV729">
        <v>65.271389999999997</v>
      </c>
      <c r="AW729">
        <v>90.649810000000002</v>
      </c>
      <c r="AX729">
        <v>76.760720000000006</v>
      </c>
    </row>
    <row r="730" spans="1:50" x14ac:dyDescent="0.35">
      <c r="A730" s="75">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92.449709999999996</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90.998949999999994</v>
      </c>
      <c r="AN730">
        <v>90.515339999999995</v>
      </c>
      <c r="AO730">
        <v>92.762439999999998</v>
      </c>
      <c r="AP730">
        <v>94.082729999999998</v>
      </c>
      <c r="AQ730"/>
      <c r="AR730"/>
      <c r="AS730">
        <v>92.208539999999999</v>
      </c>
      <c r="AT730">
        <v>96.281599999999997</v>
      </c>
      <c r="AU730">
        <v>96.376930000000002</v>
      </c>
      <c r="AV730">
        <v>65.577770000000001</v>
      </c>
      <c r="AW730">
        <v>90.873140000000006</v>
      </c>
      <c r="AX730">
        <v>76.991140000000001</v>
      </c>
    </row>
    <row r="731" spans="1:50" x14ac:dyDescent="0.35">
      <c r="A731" s="75">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92.589759999999998</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91.215289999999996</v>
      </c>
      <c r="AN731">
        <v>90.796139999999994</v>
      </c>
      <c r="AO731">
        <v>92.936319999999995</v>
      </c>
      <c r="AP731">
        <v>94.245059999999995</v>
      </c>
      <c r="AQ731"/>
      <c r="AR731"/>
      <c r="AS731">
        <v>92.50891</v>
      </c>
      <c r="AT731">
        <v>96.741619999999998</v>
      </c>
      <c r="AU731">
        <v>96.604799999999997</v>
      </c>
      <c r="AV731">
        <v>66.905420000000007</v>
      </c>
      <c r="AW731">
        <v>91.118350000000007</v>
      </c>
      <c r="AX731">
        <v>77.010279999999995</v>
      </c>
    </row>
    <row r="732" spans="1:50" x14ac:dyDescent="0.35">
      <c r="A732" s="75">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92.490470000000002</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91.187439999999995</v>
      </c>
      <c r="AN732">
        <v>90.827709999999996</v>
      </c>
      <c r="AO732">
        <v>92.936319999999995</v>
      </c>
      <c r="AP732">
        <v>94.31559</v>
      </c>
      <c r="AQ732"/>
      <c r="AR732"/>
      <c r="AS732">
        <v>92.612489999999994</v>
      </c>
      <c r="AT732">
        <v>97.221620000000001</v>
      </c>
      <c r="AU732">
        <v>96.450649999999996</v>
      </c>
      <c r="AV732">
        <v>67.407880000000006</v>
      </c>
      <c r="AW732">
        <v>90.975110000000001</v>
      </c>
      <c r="AX732">
        <v>77.025270000000006</v>
      </c>
    </row>
    <row r="733" spans="1:50" x14ac:dyDescent="0.35">
      <c r="A733" s="75">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92.517129999999995</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91.217449999999999</v>
      </c>
      <c r="AN733">
        <v>91.078130000000002</v>
      </c>
      <c r="AO733">
        <v>92.762439999999998</v>
      </c>
      <c r="AP733">
        <v>94.460849999999994</v>
      </c>
      <c r="AQ733"/>
      <c r="AR733"/>
      <c r="AS733">
        <v>92.560779999999994</v>
      </c>
      <c r="AT733">
        <v>96.721609999999998</v>
      </c>
      <c r="AU733">
        <v>96.638310000000004</v>
      </c>
      <c r="AV733">
        <v>67.179119999999998</v>
      </c>
      <c r="AW733">
        <v>90.826899999999995</v>
      </c>
      <c r="AX733">
        <v>77.141249999999999</v>
      </c>
    </row>
    <row r="734" spans="1:50" x14ac:dyDescent="0.35">
      <c r="A734" s="75">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92.319739999999996</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91.077449999999999</v>
      </c>
      <c r="AN734">
        <v>90.606059999999999</v>
      </c>
      <c r="AO734">
        <v>93.023250000000004</v>
      </c>
      <c r="AP734">
        <v>93.502880000000005</v>
      </c>
      <c r="AQ734"/>
      <c r="AR734"/>
      <c r="AS734">
        <v>92.808090000000007</v>
      </c>
      <c r="AT734">
        <v>95.031589999999994</v>
      </c>
      <c r="AU734">
        <v>95.059960000000004</v>
      </c>
      <c r="AV734">
        <v>68.22081</v>
      </c>
      <c r="AW734">
        <v>90.852090000000004</v>
      </c>
      <c r="AX734">
        <v>77.420559999999995</v>
      </c>
    </row>
    <row r="735" spans="1:50" x14ac:dyDescent="0.35">
      <c r="A735" s="75">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92.567340000000002</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91.302940000000007</v>
      </c>
      <c r="AN735">
        <v>90.870170000000002</v>
      </c>
      <c r="AO735">
        <v>93.023250000000004</v>
      </c>
      <c r="AP735">
        <v>93.537790000000001</v>
      </c>
      <c r="AQ735"/>
      <c r="AR735"/>
      <c r="AS735">
        <v>92.75891</v>
      </c>
      <c r="AT735">
        <v>95.301590000000004</v>
      </c>
      <c r="AU735">
        <v>95.438630000000003</v>
      </c>
      <c r="AV735">
        <v>68.208560000000006</v>
      </c>
      <c r="AW735">
        <v>91.065089999999998</v>
      </c>
      <c r="AX735">
        <v>77.97636</v>
      </c>
    </row>
    <row r="736" spans="1:50" x14ac:dyDescent="0.35">
      <c r="A736" s="75">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92.756969999999995</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91.55386</v>
      </c>
      <c r="AN736">
        <v>91.268810000000002</v>
      </c>
      <c r="AO736">
        <v>93.197130000000001</v>
      </c>
      <c r="AP736">
        <v>94.731260000000006</v>
      </c>
      <c r="AQ736"/>
      <c r="AR736"/>
      <c r="AS736">
        <v>92.740110000000001</v>
      </c>
      <c r="AT736">
        <v>96.451610000000002</v>
      </c>
      <c r="AU736">
        <v>95.850809999999996</v>
      </c>
      <c r="AV736">
        <v>68.612979999999993</v>
      </c>
      <c r="AW736">
        <v>91.253749999999997</v>
      </c>
      <c r="AX736">
        <v>78.791640000000001</v>
      </c>
    </row>
    <row r="737" spans="1:50" x14ac:dyDescent="0.35">
      <c r="A737" s="75">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92.796149999999997</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91.686220000000006</v>
      </c>
      <c r="AN737">
        <v>91.563339999999997</v>
      </c>
      <c r="AO737">
        <v>93.371009999999998</v>
      </c>
      <c r="AP737">
        <v>94.922229999999999</v>
      </c>
      <c r="AQ737"/>
      <c r="AR737"/>
      <c r="AS737">
        <v>92.794579999999996</v>
      </c>
      <c r="AT737">
        <v>97.351619999999997</v>
      </c>
      <c r="AU737">
        <v>96.048519999999996</v>
      </c>
      <c r="AV737">
        <v>69.258420000000001</v>
      </c>
      <c r="AW737">
        <v>91.297910000000002</v>
      </c>
      <c r="AX737">
        <v>78.771929999999998</v>
      </c>
    </row>
    <row r="738" spans="1:50" x14ac:dyDescent="0.35">
      <c r="A738" s="75">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92.815669999999997</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91.766180000000006</v>
      </c>
      <c r="AN738">
        <v>91.740039999999993</v>
      </c>
      <c r="AO738">
        <v>93.457949999999997</v>
      </c>
      <c r="AP738">
        <v>95.048389999999998</v>
      </c>
      <c r="AQ738"/>
      <c r="AR738"/>
      <c r="AS738">
        <v>92.746899999999997</v>
      </c>
      <c r="AT738">
        <v>97.511629999999997</v>
      </c>
      <c r="AU738">
        <v>96.36018</v>
      </c>
      <c r="AV738">
        <v>70.304199999999994</v>
      </c>
      <c r="AW738">
        <v>91.309060000000002</v>
      </c>
      <c r="AX738">
        <v>78.834209999999999</v>
      </c>
    </row>
    <row r="739" spans="1:50" x14ac:dyDescent="0.35">
      <c r="A739" s="75">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92.83869</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91.803120000000007</v>
      </c>
      <c r="AN739">
        <v>91.804659999999998</v>
      </c>
      <c r="AO739">
        <v>93.631820000000005</v>
      </c>
      <c r="AP739">
        <v>95.148349999999994</v>
      </c>
      <c r="AQ739"/>
      <c r="AR739"/>
      <c r="AS739">
        <v>92.834990000000005</v>
      </c>
      <c r="AT739">
        <v>97.881630000000001</v>
      </c>
      <c r="AU739">
        <v>96.397030000000001</v>
      </c>
      <c r="AV739">
        <v>70.463520000000003</v>
      </c>
      <c r="AW739">
        <v>91.33878</v>
      </c>
      <c r="AX739">
        <v>79.021370000000005</v>
      </c>
    </row>
    <row r="740" spans="1:50" x14ac:dyDescent="0.35">
      <c r="A740" s="75">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92.825860000000006</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91.77328</v>
      </c>
      <c r="AN740">
        <v>91.685599999999994</v>
      </c>
      <c r="AO740">
        <v>93.718760000000003</v>
      </c>
      <c r="AP740">
        <v>95.262979999999999</v>
      </c>
      <c r="AQ740"/>
      <c r="AR740"/>
      <c r="AS740">
        <v>92.907939999999996</v>
      </c>
      <c r="AT740">
        <v>96.501609999999999</v>
      </c>
      <c r="AU740">
        <v>96.159109999999998</v>
      </c>
      <c r="AV740">
        <v>70.120379999999997</v>
      </c>
      <c r="AW740">
        <v>91.335890000000006</v>
      </c>
      <c r="AX740">
        <v>79.181380000000004</v>
      </c>
    </row>
    <row r="741" spans="1:50" x14ac:dyDescent="0.35">
      <c r="A741" s="75">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92.991950000000003</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91.896039999999999</v>
      </c>
      <c r="AN741">
        <v>91.866219999999998</v>
      </c>
      <c r="AO741">
        <v>93.631820000000005</v>
      </c>
      <c r="AP741">
        <v>94.889049999999997</v>
      </c>
      <c r="AQ741"/>
      <c r="AR741"/>
      <c r="AS741">
        <v>92.95429</v>
      </c>
      <c r="AT741">
        <v>97.081620000000001</v>
      </c>
      <c r="AU741">
        <v>96.172520000000006</v>
      </c>
      <c r="AV741">
        <v>69.695530000000005</v>
      </c>
      <c r="AW741">
        <v>91.45684</v>
      </c>
      <c r="AX741">
        <v>79.255020000000002</v>
      </c>
    </row>
    <row r="742" spans="1:50" x14ac:dyDescent="0.35">
      <c r="A742" s="75">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93.041730000000001</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91.995750000000001</v>
      </c>
      <c r="AN742">
        <v>91.900679999999994</v>
      </c>
      <c r="AO742">
        <v>93.805689999999998</v>
      </c>
      <c r="AP742">
        <v>95.204409999999996</v>
      </c>
      <c r="AQ742"/>
      <c r="AR742"/>
      <c r="AS742">
        <v>92.979579999999999</v>
      </c>
      <c r="AT742">
        <v>96.571610000000007</v>
      </c>
      <c r="AU742">
        <v>97.161079999999998</v>
      </c>
      <c r="AV742">
        <v>69.556629999999998</v>
      </c>
      <c r="AW742">
        <v>91.603800000000007</v>
      </c>
      <c r="AX742">
        <v>79.419039999999995</v>
      </c>
    </row>
    <row r="743" spans="1:50" x14ac:dyDescent="0.35">
      <c r="A743" s="75">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93.171329999999998</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92.173950000000005</v>
      </c>
      <c r="AN743">
        <v>92.147319999999993</v>
      </c>
      <c r="AO743">
        <v>93.979569999999995</v>
      </c>
      <c r="AP743">
        <v>95.725549999999998</v>
      </c>
      <c r="AQ743"/>
      <c r="AR743"/>
      <c r="AS743">
        <v>93.065200000000004</v>
      </c>
      <c r="AT743">
        <v>96.711609999999993</v>
      </c>
      <c r="AU743">
        <v>97.546459999999996</v>
      </c>
      <c r="AV743">
        <v>70.169399999999996</v>
      </c>
      <c r="AW743">
        <v>91.674800000000005</v>
      </c>
      <c r="AX743">
        <v>79.520309999999995</v>
      </c>
    </row>
    <row r="744" spans="1:50" x14ac:dyDescent="0.35">
      <c r="A744" s="75">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93.143349999999998</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92.197400000000002</v>
      </c>
      <c r="AN744">
        <v>92.236369999999994</v>
      </c>
      <c r="AO744">
        <v>93.979569999999995</v>
      </c>
      <c r="AP744">
        <v>95.853059999999999</v>
      </c>
      <c r="AQ744"/>
      <c r="AR744"/>
      <c r="AS744">
        <v>93.056139999999999</v>
      </c>
      <c r="AT744">
        <v>96.931619999999995</v>
      </c>
      <c r="AU744">
        <v>97.633579999999995</v>
      </c>
      <c r="AV744">
        <v>70.704539999999994</v>
      </c>
      <c r="AW744">
        <v>91.673969999999997</v>
      </c>
      <c r="AX744">
        <v>79.576089999999994</v>
      </c>
    </row>
    <row r="745" spans="1:50" x14ac:dyDescent="0.35">
      <c r="A745" s="75">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93.164150000000006</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92.245410000000007</v>
      </c>
      <c r="AN745">
        <v>92.444230000000005</v>
      </c>
      <c r="AO745">
        <v>94.066509999999994</v>
      </c>
      <c r="AP745">
        <v>95.869579999999999</v>
      </c>
      <c r="AQ745"/>
      <c r="AR745"/>
      <c r="AS745">
        <v>93.093699999999998</v>
      </c>
      <c r="AT745">
        <v>96.781620000000004</v>
      </c>
      <c r="AU745">
        <v>97.834649999999996</v>
      </c>
      <c r="AV745">
        <v>70.839349999999996</v>
      </c>
      <c r="AW745">
        <v>91.557559999999995</v>
      </c>
      <c r="AX745">
        <v>79.605099999999993</v>
      </c>
    </row>
    <row r="746" spans="1:50" x14ac:dyDescent="0.35">
      <c r="A746" s="75">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93.089839999999995</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92.161460000000005</v>
      </c>
      <c r="AN746">
        <v>92.039779999999993</v>
      </c>
      <c r="AO746">
        <v>94.414259999999999</v>
      </c>
      <c r="AP746">
        <v>96.093360000000004</v>
      </c>
      <c r="AQ746"/>
      <c r="AR746"/>
      <c r="AS746">
        <v>93.693420000000003</v>
      </c>
      <c r="AT746">
        <v>94.661580000000001</v>
      </c>
      <c r="AU746">
        <v>97.22475</v>
      </c>
      <c r="AV746">
        <v>70.712710000000001</v>
      </c>
      <c r="AW746">
        <v>91.715260000000001</v>
      </c>
      <c r="AX746">
        <v>79.652519999999996</v>
      </c>
    </row>
    <row r="747" spans="1:50" x14ac:dyDescent="0.35">
      <c r="A747" s="75">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93.40213</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92.439580000000007</v>
      </c>
      <c r="AN747">
        <v>92.329599999999999</v>
      </c>
      <c r="AO747">
        <v>94.501199999999997</v>
      </c>
      <c r="AP747">
        <v>95.94314</v>
      </c>
      <c r="AQ747"/>
      <c r="AR747"/>
      <c r="AS747">
        <v>93.822159999999997</v>
      </c>
      <c r="AT747">
        <v>94.301569999999998</v>
      </c>
      <c r="AU747">
        <v>97.864810000000006</v>
      </c>
      <c r="AV747">
        <v>70.720879999999994</v>
      </c>
      <c r="AW747">
        <v>92.059529999999995</v>
      </c>
      <c r="AX747">
        <v>80.19905</v>
      </c>
    </row>
    <row r="748" spans="1:50" x14ac:dyDescent="0.35">
      <c r="A748" s="75">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93.691069999999996</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92.785139999999998</v>
      </c>
      <c r="AN748">
        <v>92.845240000000004</v>
      </c>
      <c r="AO748">
        <v>94.935879999999997</v>
      </c>
      <c r="AP748">
        <v>97.694230000000005</v>
      </c>
      <c r="AQ748"/>
      <c r="AR748"/>
      <c r="AS748">
        <v>94.098920000000007</v>
      </c>
      <c r="AT748">
        <v>96.371600000000001</v>
      </c>
      <c r="AU748">
        <v>98.535020000000003</v>
      </c>
      <c r="AV748">
        <v>71.121219999999994</v>
      </c>
      <c r="AW748">
        <v>92.339830000000006</v>
      </c>
      <c r="AX748">
        <v>81.077259999999995</v>
      </c>
    </row>
    <row r="749" spans="1:50" x14ac:dyDescent="0.35">
      <c r="A749" s="75">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93.854100000000003</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93.036699999999996</v>
      </c>
      <c r="AN749">
        <v>93.294399999999996</v>
      </c>
      <c r="AO749">
        <v>95.283630000000002</v>
      </c>
      <c r="AP749">
        <v>98.080150000000003</v>
      </c>
      <c r="AQ749"/>
      <c r="AR749"/>
      <c r="AS749">
        <v>94.442920000000001</v>
      </c>
      <c r="AT749">
        <v>97.091620000000006</v>
      </c>
      <c r="AU749">
        <v>99.111400000000003</v>
      </c>
      <c r="AV749">
        <v>72.199680000000001</v>
      </c>
      <c r="AW749">
        <v>92.516509999999997</v>
      </c>
      <c r="AX749">
        <v>81.224130000000002</v>
      </c>
    </row>
    <row r="750" spans="1:50" x14ac:dyDescent="0.35">
      <c r="A750" s="75">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93.999629999999996</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93.220190000000002</v>
      </c>
      <c r="AN750">
        <v>93.464560000000006</v>
      </c>
      <c r="AO750">
        <v>95.631389999999996</v>
      </c>
      <c r="AP750">
        <v>98.0351</v>
      </c>
      <c r="AQ750"/>
      <c r="AR750"/>
      <c r="AS750">
        <v>94.61345</v>
      </c>
      <c r="AT750">
        <v>97.591629999999995</v>
      </c>
      <c r="AU750">
        <v>99.409649999999999</v>
      </c>
      <c r="AV750">
        <v>73.433369999999996</v>
      </c>
      <c r="AW750">
        <v>92.688230000000004</v>
      </c>
      <c r="AX750">
        <v>81.351749999999996</v>
      </c>
    </row>
    <row r="751" spans="1:50" x14ac:dyDescent="0.35">
      <c r="A751" s="75">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94.070319999999995</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93.298820000000006</v>
      </c>
      <c r="AN751">
        <v>93.559330000000003</v>
      </c>
      <c r="AO751">
        <v>95.718320000000006</v>
      </c>
      <c r="AP751">
        <v>97.905180000000001</v>
      </c>
      <c r="AQ751"/>
      <c r="AR751"/>
      <c r="AS751">
        <v>94.669799999999995</v>
      </c>
      <c r="AT751">
        <v>97.591629999999995</v>
      </c>
      <c r="AU751">
        <v>99.34599</v>
      </c>
      <c r="AV751">
        <v>73.890900000000002</v>
      </c>
      <c r="AW751">
        <v>92.835599999999999</v>
      </c>
      <c r="AX751">
        <v>81.825649999999996</v>
      </c>
    </row>
    <row r="752" spans="1:50" x14ac:dyDescent="0.35">
      <c r="A752" s="75">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94.119810000000001</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93.30395</v>
      </c>
      <c r="AN752">
        <v>93.402829999999994</v>
      </c>
      <c r="AO752">
        <v>95.805260000000004</v>
      </c>
      <c r="AP752">
        <v>97.672579999999996</v>
      </c>
      <c r="AQ752"/>
      <c r="AR752"/>
      <c r="AS752">
        <v>94.892259999999993</v>
      </c>
      <c r="AT752">
        <v>96.101600000000005</v>
      </c>
      <c r="AU752">
        <v>99.235399999999998</v>
      </c>
      <c r="AV752">
        <v>73.707070000000002</v>
      </c>
      <c r="AW752">
        <v>92.948300000000003</v>
      </c>
      <c r="AX752">
        <v>82.211820000000003</v>
      </c>
    </row>
    <row r="753" spans="1:50" x14ac:dyDescent="0.35">
      <c r="A753" s="75">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94.424120000000002</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93.544280000000001</v>
      </c>
      <c r="AN753">
        <v>93.657340000000005</v>
      </c>
      <c r="AO753">
        <v>95.979129999999998</v>
      </c>
      <c r="AP753">
        <v>97.026020000000003</v>
      </c>
      <c r="AQ753"/>
      <c r="AR753"/>
      <c r="AS753">
        <v>94.854240000000004</v>
      </c>
      <c r="AT753">
        <v>96.181600000000003</v>
      </c>
      <c r="AU753">
        <v>99.356030000000004</v>
      </c>
      <c r="AV753">
        <v>73.919489999999996</v>
      </c>
      <c r="AW753">
        <v>93.241389999999996</v>
      </c>
      <c r="AX753">
        <v>82.254679999999993</v>
      </c>
    </row>
    <row r="754" spans="1:50" x14ac:dyDescent="0.35">
      <c r="A754" s="75">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94.538989999999998</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93.71893</v>
      </c>
      <c r="AN754">
        <v>93.867249999999999</v>
      </c>
      <c r="AO754">
        <v>96.153009999999995</v>
      </c>
      <c r="AP754">
        <v>98.022540000000006</v>
      </c>
      <c r="AQ754"/>
      <c r="AR754"/>
      <c r="AS754">
        <v>95.231070000000003</v>
      </c>
      <c r="AT754">
        <v>97.081620000000001</v>
      </c>
      <c r="AU754">
        <v>100.3848</v>
      </c>
      <c r="AV754">
        <v>74.397450000000006</v>
      </c>
      <c r="AW754">
        <v>93.412700000000001</v>
      </c>
      <c r="AX754">
        <v>82.465209999999999</v>
      </c>
    </row>
    <row r="755" spans="1:50" x14ac:dyDescent="0.35">
      <c r="A755" s="75">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94.680490000000006</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93.948390000000003</v>
      </c>
      <c r="AN755">
        <v>94.252020000000002</v>
      </c>
      <c r="AO755">
        <v>96.413830000000004</v>
      </c>
      <c r="AP755">
        <v>98.571789999999993</v>
      </c>
      <c r="AQ755"/>
      <c r="AR755"/>
      <c r="AS755">
        <v>95.366230000000002</v>
      </c>
      <c r="AT755">
        <v>97.751630000000006</v>
      </c>
      <c r="AU755">
        <v>100.482</v>
      </c>
      <c r="AV755">
        <v>76.44408</v>
      </c>
      <c r="AW755">
        <v>93.600110000000001</v>
      </c>
      <c r="AX755">
        <v>82.659610000000001</v>
      </c>
    </row>
    <row r="756" spans="1:50" x14ac:dyDescent="0.35">
      <c r="A756" s="75">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94.669520000000006</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94.006609999999995</v>
      </c>
      <c r="AN756">
        <v>94.398309999999995</v>
      </c>
      <c r="AO756">
        <v>96.674639999999997</v>
      </c>
      <c r="AP756">
        <v>98.448490000000007</v>
      </c>
      <c r="AQ756"/>
      <c r="AR756"/>
      <c r="AS756">
        <v>95.868480000000005</v>
      </c>
      <c r="AT756">
        <v>98.041629999999998</v>
      </c>
      <c r="AU756">
        <v>100.6093</v>
      </c>
      <c r="AV756">
        <v>77.596069999999997</v>
      </c>
      <c r="AW756">
        <v>93.647999999999996</v>
      </c>
      <c r="AX756">
        <v>82.635249999999999</v>
      </c>
    </row>
    <row r="757" spans="1:50" x14ac:dyDescent="0.35">
      <c r="A757" s="75">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94.725300000000004</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94.078980000000001</v>
      </c>
      <c r="AN757">
        <v>94.608379999999997</v>
      </c>
      <c r="AO757">
        <v>96.848510000000005</v>
      </c>
      <c r="AP757">
        <v>98.448589999999996</v>
      </c>
      <c r="AQ757"/>
      <c r="AR757"/>
      <c r="AS757">
        <v>95.952070000000006</v>
      </c>
      <c r="AT757">
        <v>97.171620000000004</v>
      </c>
      <c r="AU757">
        <v>100.93770000000001</v>
      </c>
      <c r="AV757">
        <v>77.58381</v>
      </c>
      <c r="AW757">
        <v>93.598879999999994</v>
      </c>
      <c r="AX757">
        <v>82.850620000000006</v>
      </c>
    </row>
    <row r="758" spans="1:50" x14ac:dyDescent="0.35">
      <c r="A758" s="75">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94.676699999999997</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93.994029999999995</v>
      </c>
      <c r="AN758">
        <v>94.121570000000006</v>
      </c>
      <c r="AO758">
        <v>96.674639999999997</v>
      </c>
      <c r="AP758">
        <v>98.226489999999998</v>
      </c>
      <c r="AQ758"/>
      <c r="AR758"/>
      <c r="AS758">
        <v>96.445030000000003</v>
      </c>
      <c r="AT758">
        <v>95.691599999999994</v>
      </c>
      <c r="AU758">
        <v>99.332579999999993</v>
      </c>
      <c r="AV758">
        <v>77.624660000000006</v>
      </c>
      <c r="AW758">
        <v>93.804040000000001</v>
      </c>
      <c r="AX758">
        <v>83.192859999999996</v>
      </c>
    </row>
    <row r="759" spans="1:50" x14ac:dyDescent="0.35">
      <c r="A759" s="75">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94.961579999999998</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94.246579999999994</v>
      </c>
      <c r="AN759">
        <v>94.364329999999995</v>
      </c>
      <c r="AO759">
        <v>96.935450000000003</v>
      </c>
      <c r="AP759">
        <v>98.137320000000003</v>
      </c>
      <c r="AQ759"/>
      <c r="AR759"/>
      <c r="AS759">
        <v>96.63503</v>
      </c>
      <c r="AT759">
        <v>95.8416</v>
      </c>
      <c r="AU759">
        <v>99.825190000000006</v>
      </c>
      <c r="AV759">
        <v>77.502110000000002</v>
      </c>
      <c r="AW759">
        <v>94.063280000000006</v>
      </c>
      <c r="AX759">
        <v>83.723550000000003</v>
      </c>
    </row>
    <row r="760" spans="1:50" x14ac:dyDescent="0.35">
      <c r="A760" s="75">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95.33399</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94.614999999999995</v>
      </c>
      <c r="AN760">
        <v>94.893320000000003</v>
      </c>
      <c r="AO760">
        <v>97.196259999999995</v>
      </c>
      <c r="AP760">
        <v>99.365899999999996</v>
      </c>
      <c r="AQ760"/>
      <c r="AR760"/>
      <c r="AS760">
        <v>96.873480000000001</v>
      </c>
      <c r="AT760">
        <v>96.951610000000002</v>
      </c>
      <c r="AU760">
        <v>100.18040000000001</v>
      </c>
      <c r="AV760">
        <v>77.771730000000005</v>
      </c>
      <c r="AW760">
        <v>94.422420000000002</v>
      </c>
      <c r="AX760">
        <v>84.787639999999996</v>
      </c>
    </row>
    <row r="761" spans="1:50" x14ac:dyDescent="0.35">
      <c r="A761" s="75">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95.550880000000006</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94.913910000000001</v>
      </c>
      <c r="AN761">
        <v>95.299930000000003</v>
      </c>
      <c r="AO761">
        <v>97.717889999999997</v>
      </c>
      <c r="AP761">
        <v>99.544240000000002</v>
      </c>
      <c r="AQ761"/>
      <c r="AR761"/>
      <c r="AS761">
        <v>97.349440000000001</v>
      </c>
      <c r="AT761">
        <v>97.931629999999998</v>
      </c>
      <c r="AU761">
        <v>100.57250000000001</v>
      </c>
      <c r="AV761">
        <v>79.176990000000004</v>
      </c>
      <c r="AW761">
        <v>94.656890000000004</v>
      </c>
      <c r="AX761">
        <v>84.981440000000006</v>
      </c>
    </row>
    <row r="762" spans="1:50" x14ac:dyDescent="0.35">
      <c r="A762" s="75">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95.627430000000004</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95.030379999999994</v>
      </c>
      <c r="AN762">
        <v>95.468789999999998</v>
      </c>
      <c r="AO762">
        <v>97.717889999999997</v>
      </c>
      <c r="AP762">
        <v>99.385710000000003</v>
      </c>
      <c r="AQ762"/>
      <c r="AR762"/>
      <c r="AS762">
        <v>97.418270000000007</v>
      </c>
      <c r="AT762">
        <v>98.541640000000001</v>
      </c>
      <c r="AU762">
        <v>100.6764</v>
      </c>
      <c r="AV762">
        <v>80.112470000000002</v>
      </c>
      <c r="AW762">
        <v>94.780320000000003</v>
      </c>
      <c r="AX762">
        <v>84.977919999999997</v>
      </c>
    </row>
    <row r="763" spans="1:50" x14ac:dyDescent="0.35">
      <c r="A763" s="75">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95.656899999999993</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95.071759999999998</v>
      </c>
      <c r="AN763">
        <v>95.507980000000003</v>
      </c>
      <c r="AO763">
        <v>97.804820000000007</v>
      </c>
      <c r="AP763">
        <v>99.256910000000005</v>
      </c>
      <c r="AQ763"/>
      <c r="AR763"/>
      <c r="AS763">
        <v>97.496269999999996</v>
      </c>
      <c r="AT763">
        <v>98.391639999999995</v>
      </c>
      <c r="AU763">
        <v>100.4183</v>
      </c>
      <c r="AV763">
        <v>80.471959999999996</v>
      </c>
      <c r="AW763">
        <v>94.894660000000002</v>
      </c>
      <c r="AX763">
        <v>85.60942</v>
      </c>
    </row>
    <row r="764" spans="1:50" x14ac:dyDescent="0.35">
      <c r="A764" s="75">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95.657380000000003</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95.054259999999999</v>
      </c>
      <c r="AN764">
        <v>95.442430000000002</v>
      </c>
      <c r="AO764">
        <v>97.891760000000005</v>
      </c>
      <c r="AP764">
        <v>98.92004</v>
      </c>
      <c r="AQ764"/>
      <c r="AR764"/>
      <c r="AS764">
        <v>97.673419999999993</v>
      </c>
      <c r="AT764">
        <v>97.101619999999997</v>
      </c>
      <c r="AU764">
        <v>100.11669999999999</v>
      </c>
      <c r="AV764">
        <v>80.120639999999995</v>
      </c>
      <c r="AW764">
        <v>94.900440000000003</v>
      </c>
      <c r="AX764">
        <v>85.933080000000004</v>
      </c>
    </row>
    <row r="765" spans="1:50" x14ac:dyDescent="0.35">
      <c r="A765" s="75">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95.852710000000002</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95.192499999999995</v>
      </c>
      <c r="AN765">
        <v>95.585549999999998</v>
      </c>
      <c r="AO765">
        <v>97.804820000000007</v>
      </c>
      <c r="AP765">
        <v>98.414739999999995</v>
      </c>
      <c r="AQ765"/>
      <c r="AR765"/>
      <c r="AS765">
        <v>97.806430000000006</v>
      </c>
      <c r="AT765">
        <v>97.471630000000005</v>
      </c>
      <c r="AU765">
        <v>100.0162</v>
      </c>
      <c r="AV765">
        <v>79.932730000000006</v>
      </c>
      <c r="AW765">
        <v>95.02552</v>
      </c>
      <c r="AX765">
        <v>86.113590000000002</v>
      </c>
    </row>
    <row r="766" spans="1:50" x14ac:dyDescent="0.35">
      <c r="A766" s="75">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95.954080000000005</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95.356070000000003</v>
      </c>
      <c r="AN766">
        <v>95.739879999999999</v>
      </c>
      <c r="AO766">
        <v>97.804820000000007</v>
      </c>
      <c r="AP766">
        <v>99.098389999999995</v>
      </c>
      <c r="AQ766"/>
      <c r="AR766"/>
      <c r="AS766">
        <v>98.079970000000003</v>
      </c>
      <c r="AT766">
        <v>98.411640000000006</v>
      </c>
      <c r="AU766">
        <v>100.5021</v>
      </c>
      <c r="AV766">
        <v>80.087969999999999</v>
      </c>
      <c r="AW766">
        <v>95.266599999999997</v>
      </c>
      <c r="AX766">
        <v>86.37621</v>
      </c>
    </row>
    <row r="767" spans="1:50" x14ac:dyDescent="0.35">
      <c r="A767" s="75">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96.118979999999993</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95.586830000000006</v>
      </c>
      <c r="AN767">
        <v>96.088210000000004</v>
      </c>
      <c r="AO767">
        <v>98.065640000000002</v>
      </c>
      <c r="AP767">
        <v>99.50461</v>
      </c>
      <c r="AQ767"/>
      <c r="AR767"/>
      <c r="AS767">
        <v>98.459469999999996</v>
      </c>
      <c r="AT767">
        <v>98.901650000000004</v>
      </c>
      <c r="AU767">
        <v>100.51220000000001</v>
      </c>
      <c r="AV767">
        <v>81.039789999999996</v>
      </c>
      <c r="AW767">
        <v>95.471350000000001</v>
      </c>
      <c r="AX767">
        <v>86.59357</v>
      </c>
    </row>
    <row r="768" spans="1:50" x14ac:dyDescent="0.35">
      <c r="A768" s="75">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96.096429999999998</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95.595600000000005</v>
      </c>
      <c r="AN768">
        <v>96.148120000000006</v>
      </c>
      <c r="AO768">
        <v>98.152569999999997</v>
      </c>
      <c r="AP768">
        <v>99.484790000000004</v>
      </c>
      <c r="AQ768"/>
      <c r="AR768"/>
      <c r="AS768">
        <v>98.519909999999996</v>
      </c>
      <c r="AT768">
        <v>99.271649999999994</v>
      </c>
      <c r="AU768">
        <v>100.27419999999999</v>
      </c>
      <c r="AV768">
        <v>81.6648</v>
      </c>
      <c r="AW768">
        <v>95.465980000000002</v>
      </c>
      <c r="AX768">
        <v>86.633470000000003</v>
      </c>
    </row>
    <row r="769" spans="1:50" x14ac:dyDescent="0.35">
      <c r="A769" s="75">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96.090540000000004</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95.599369999999993</v>
      </c>
      <c r="AN769">
        <v>96.312219999999996</v>
      </c>
      <c r="AO769">
        <v>98.065640000000002</v>
      </c>
      <c r="AP769">
        <v>99.613590000000002</v>
      </c>
      <c r="AQ769"/>
      <c r="AR769"/>
      <c r="AS769">
        <v>98.481700000000004</v>
      </c>
      <c r="AT769">
        <v>98.821650000000005</v>
      </c>
      <c r="AU769">
        <v>100.4284</v>
      </c>
      <c r="AV769">
        <v>81.668890000000005</v>
      </c>
      <c r="AW769">
        <v>95.371039999999994</v>
      </c>
      <c r="AX769">
        <v>86.993070000000003</v>
      </c>
    </row>
    <row r="770" spans="1:50" x14ac:dyDescent="0.35">
      <c r="A770" s="75">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95.998679999999993</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95.499920000000003</v>
      </c>
      <c r="AN770">
        <v>95.740989999999996</v>
      </c>
      <c r="AO770">
        <v>97.978700000000003</v>
      </c>
      <c r="AP770">
        <v>97.899540000000002</v>
      </c>
      <c r="AQ770"/>
      <c r="AR770"/>
      <c r="AS770">
        <v>98.745069999999998</v>
      </c>
      <c r="AT770">
        <v>97.171620000000004</v>
      </c>
      <c r="AU770">
        <v>99.161670000000001</v>
      </c>
      <c r="AV770">
        <v>82.571690000000004</v>
      </c>
      <c r="AW770">
        <v>95.610050000000001</v>
      </c>
      <c r="AX770">
        <v>87.256619999999998</v>
      </c>
    </row>
    <row r="771" spans="1:50" x14ac:dyDescent="0.35">
      <c r="A771" s="75">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96.296710000000004</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95.768060000000006</v>
      </c>
      <c r="AN771">
        <v>95.977279999999993</v>
      </c>
      <c r="AO771">
        <v>97.891760000000005</v>
      </c>
      <c r="AP771">
        <v>97.67165</v>
      </c>
      <c r="AQ771"/>
      <c r="AR771"/>
      <c r="AS771">
        <v>98.769540000000006</v>
      </c>
      <c r="AT771">
        <v>97.561620000000005</v>
      </c>
      <c r="AU771">
        <v>99.607370000000003</v>
      </c>
      <c r="AV771">
        <v>82.579859999999996</v>
      </c>
      <c r="AW771">
        <v>95.948549999999997</v>
      </c>
      <c r="AX771">
        <v>88.244280000000003</v>
      </c>
    </row>
    <row r="772" spans="1:50" x14ac:dyDescent="0.35">
      <c r="A772" s="75">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96.659710000000004</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96.148859999999999</v>
      </c>
      <c r="AN772">
        <v>96.575000000000003</v>
      </c>
      <c r="AO772">
        <v>98.152569999999997</v>
      </c>
      <c r="AP772">
        <v>99.722579999999994</v>
      </c>
      <c r="AQ772"/>
      <c r="AR772"/>
      <c r="AS772">
        <v>98.891270000000006</v>
      </c>
      <c r="AT772">
        <v>98.101640000000003</v>
      </c>
      <c r="AU772">
        <v>100.18040000000001</v>
      </c>
      <c r="AV772">
        <v>82.857650000000007</v>
      </c>
      <c r="AW772">
        <v>96.204480000000004</v>
      </c>
      <c r="AX772">
        <v>89.258409999999998</v>
      </c>
    </row>
    <row r="773" spans="1:50" x14ac:dyDescent="0.35">
      <c r="A773" s="75">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96.701939999999993</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96.295389999999998</v>
      </c>
      <c r="AN773">
        <v>96.733860000000007</v>
      </c>
      <c r="AO773">
        <v>98.761139999999997</v>
      </c>
      <c r="AP773">
        <v>99.851380000000006</v>
      </c>
      <c r="AQ773"/>
      <c r="AR773"/>
      <c r="AS773">
        <v>99.002350000000007</v>
      </c>
      <c r="AT773">
        <v>98.991650000000007</v>
      </c>
      <c r="AU773">
        <v>100.00279999999999</v>
      </c>
      <c r="AV773">
        <v>84.042320000000004</v>
      </c>
      <c r="AW773">
        <v>96.280439999999999</v>
      </c>
      <c r="AX773">
        <v>89.424819999999997</v>
      </c>
    </row>
    <row r="774" spans="1:50" x14ac:dyDescent="0.35">
      <c r="A774" s="75">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96.843069999999997</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96.470339999999993</v>
      </c>
      <c r="AN774">
        <v>97.019880000000001</v>
      </c>
      <c r="AO774">
        <v>98.674199999999999</v>
      </c>
      <c r="AP774">
        <v>99.920739999999995</v>
      </c>
      <c r="AQ774"/>
      <c r="AR774"/>
      <c r="AS774">
        <v>99.051349999999999</v>
      </c>
      <c r="AT774">
        <v>99.301659999999998</v>
      </c>
      <c r="AU774">
        <v>100.1435</v>
      </c>
      <c r="AV774">
        <v>85.079930000000004</v>
      </c>
      <c r="AW774">
        <v>96.373729999999995</v>
      </c>
      <c r="AX774">
        <v>89.470169999999996</v>
      </c>
    </row>
    <row r="775" spans="1:50" x14ac:dyDescent="0.35">
      <c r="A775" s="75">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96.886830000000003</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96.519120000000001</v>
      </c>
      <c r="AN775">
        <v>97.06362</v>
      </c>
      <c r="AO775">
        <v>98.674199999999999</v>
      </c>
      <c r="AP775">
        <v>99.891009999999994</v>
      </c>
      <c r="AQ775"/>
      <c r="AR775"/>
      <c r="AS775">
        <v>98.953509999999994</v>
      </c>
      <c r="AT775">
        <v>99.531660000000002</v>
      </c>
      <c r="AU775">
        <v>100.0061</v>
      </c>
      <c r="AV775">
        <v>85.3904</v>
      </c>
      <c r="AW775">
        <v>96.447209999999998</v>
      </c>
      <c r="AX775">
        <v>89.991810000000001</v>
      </c>
    </row>
    <row r="776" spans="1:50" x14ac:dyDescent="0.35">
      <c r="A776" s="75">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96.945080000000004</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96.551339999999996</v>
      </c>
      <c r="AN776">
        <v>97.025739999999999</v>
      </c>
      <c r="AO776">
        <v>99.282769999999999</v>
      </c>
      <c r="AP776">
        <v>99.375810000000001</v>
      </c>
      <c r="AQ776"/>
      <c r="AR776"/>
      <c r="AS776">
        <v>98.985600000000005</v>
      </c>
      <c r="AT776">
        <v>98.981650000000002</v>
      </c>
      <c r="AU776">
        <v>99.627470000000002</v>
      </c>
      <c r="AV776">
        <v>85.517039999999994</v>
      </c>
      <c r="AW776">
        <v>96.509960000000007</v>
      </c>
      <c r="AX776">
        <v>90.348770000000002</v>
      </c>
    </row>
    <row r="777" spans="1:50" x14ac:dyDescent="0.35">
      <c r="A777" s="75">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97.177350000000004</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96.71284</v>
      </c>
      <c r="AN777">
        <v>97.189710000000005</v>
      </c>
      <c r="AO777">
        <v>99.195819999999998</v>
      </c>
      <c r="AP777">
        <v>98.464280000000002</v>
      </c>
      <c r="AQ777"/>
      <c r="AR777"/>
      <c r="AS777">
        <v>99.048950000000005</v>
      </c>
      <c r="AT777">
        <v>99.391649999999998</v>
      </c>
      <c r="AU777">
        <v>99.858699999999999</v>
      </c>
      <c r="AV777">
        <v>85.57423</v>
      </c>
      <c r="AW777">
        <v>96.70232</v>
      </c>
      <c r="AX777">
        <v>90.540869999999998</v>
      </c>
    </row>
    <row r="778" spans="1:50" x14ac:dyDescent="0.35">
      <c r="A778" s="75">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97.294460000000001</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96.884690000000006</v>
      </c>
      <c r="AN778">
        <v>97.330119999999994</v>
      </c>
      <c r="AO778">
        <v>99.108890000000002</v>
      </c>
      <c r="AP778">
        <v>99.435249999999996</v>
      </c>
      <c r="AQ778"/>
      <c r="AR778"/>
      <c r="AS778">
        <v>99.034139999999994</v>
      </c>
      <c r="AT778">
        <v>99.791659999999993</v>
      </c>
      <c r="AU778">
        <v>100.25749999999999</v>
      </c>
      <c r="AV778">
        <v>86.097110000000001</v>
      </c>
      <c r="AW778">
        <v>96.918629999999993</v>
      </c>
      <c r="AX778">
        <v>90.993290000000002</v>
      </c>
    </row>
    <row r="779" spans="1:50" x14ac:dyDescent="0.35">
      <c r="A779" s="75">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97.419169999999994</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97.087069999999997</v>
      </c>
      <c r="AN779">
        <v>97.551779999999994</v>
      </c>
      <c r="AO779">
        <v>99.543580000000006</v>
      </c>
      <c r="AP779">
        <v>99.692859999999996</v>
      </c>
      <c r="AQ779"/>
      <c r="AR779"/>
      <c r="AS779">
        <v>99.217920000000007</v>
      </c>
      <c r="AT779">
        <v>100.2517</v>
      </c>
      <c r="AU779">
        <v>100.3312</v>
      </c>
      <c r="AV779">
        <v>87.343059999999994</v>
      </c>
      <c r="AW779">
        <v>97.075500000000005</v>
      </c>
      <c r="AX779">
        <v>91.162409999999994</v>
      </c>
    </row>
    <row r="780" spans="1:50" x14ac:dyDescent="0.35">
      <c r="A780" s="75">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97.44829</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97.13158</v>
      </c>
      <c r="AN780">
        <v>97.620170000000002</v>
      </c>
      <c r="AO780">
        <v>99.369709999999998</v>
      </c>
      <c r="AP780">
        <v>99.464969999999994</v>
      </c>
      <c r="AQ780"/>
      <c r="AR780"/>
      <c r="AS780">
        <v>99.20899</v>
      </c>
      <c r="AT780">
        <v>100.21169999999999</v>
      </c>
      <c r="AU780">
        <v>100.2139</v>
      </c>
      <c r="AV780">
        <v>87.788340000000005</v>
      </c>
      <c r="AW780">
        <v>97.108940000000004</v>
      </c>
      <c r="AX780">
        <v>91.241110000000006</v>
      </c>
    </row>
    <row r="781" spans="1:50" x14ac:dyDescent="0.35">
      <c r="A781" s="75">
        <v>41609</v>
      </c>
      <c r="B781">
        <v>97.585999999999999</v>
      </c>
      <c r="C781">
        <v>97.82123</v>
      </c>
      <c r="D781"/>
      <c r="E781">
        <v>95.859189999999998</v>
      </c>
      <c r="F781">
        <v>100.4144</v>
      </c>
      <c r="G781">
        <v>93.265940000000001</v>
      </c>
      <c r="H781"/>
      <c r="I781">
        <v>94.124380000000002</v>
      </c>
      <c r="J781">
        <v>94.799000000000007</v>
      </c>
      <c r="K781">
        <v>98</v>
      </c>
      <c r="L781">
        <v>98.116720000000001</v>
      </c>
      <c r="M781">
        <v>98.107590000000002</v>
      </c>
      <c r="N781">
        <v>98.96</v>
      </c>
      <c r="O781">
        <v>100.32380000000001</v>
      </c>
      <c r="P781">
        <v>97.846599999999995</v>
      </c>
      <c r="Q781"/>
      <c r="R781">
        <v>98.669030000000006</v>
      </c>
      <c r="S781">
        <v>99.131450000000001</v>
      </c>
      <c r="T781"/>
      <c r="U781">
        <v>97.424999999999997</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97.139269999999996</v>
      </c>
      <c r="AN781">
        <v>97.716239999999999</v>
      </c>
      <c r="AO781">
        <v>99.282769999999999</v>
      </c>
      <c r="AP781">
        <v>99.811750000000004</v>
      </c>
      <c r="AQ781"/>
      <c r="AR781"/>
      <c r="AS781">
        <v>99.187079999999995</v>
      </c>
      <c r="AT781">
        <v>98.751649999999998</v>
      </c>
      <c r="AU781">
        <v>100.616</v>
      </c>
      <c r="AV781">
        <v>87.486050000000006</v>
      </c>
      <c r="AW781">
        <v>97.008629999999997</v>
      </c>
      <c r="AX781">
        <v>91.533339999999995</v>
      </c>
    </row>
    <row r="782" spans="1:50" x14ac:dyDescent="0.35">
      <c r="A782" s="75">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97.319310000000002</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97.027249999999995</v>
      </c>
      <c r="AN782">
        <v>97.177250000000001</v>
      </c>
      <c r="AO782">
        <v>98.848079999999996</v>
      </c>
      <c r="AP782">
        <v>97.978800000000007</v>
      </c>
      <c r="AQ782"/>
      <c r="AR782"/>
      <c r="AS782">
        <v>99.19632</v>
      </c>
      <c r="AT782">
        <v>97.701629999999994</v>
      </c>
      <c r="AU782">
        <v>99.195179999999993</v>
      </c>
      <c r="AV782">
        <v>88.347989999999996</v>
      </c>
      <c r="AW782">
        <v>97.160129999999995</v>
      </c>
      <c r="AX782">
        <v>91.86148</v>
      </c>
    </row>
    <row r="783" spans="1:50" x14ac:dyDescent="0.35">
      <c r="A783" s="75">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97.646910000000005</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97.326080000000005</v>
      </c>
      <c r="AN783">
        <v>97.530230000000003</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35">
      <c r="A784" s="75">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97.992549999999994</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97.718329999999995</v>
      </c>
      <c r="AN784">
        <v>98.079620000000006</v>
      </c>
      <c r="AO784">
        <v>99.282769999999999</v>
      </c>
      <c r="AP784">
        <v>99.534329999999997</v>
      </c>
      <c r="AQ784"/>
      <c r="AR784"/>
      <c r="AS784">
        <v>99.204830000000001</v>
      </c>
      <c r="AT784">
        <v>99.391649999999998</v>
      </c>
      <c r="AU784">
        <v>99.717950000000002</v>
      </c>
      <c r="AV784">
        <v>89.90849</v>
      </c>
      <c r="AW784">
        <v>97.798320000000004</v>
      </c>
      <c r="AX784">
        <v>93.980220000000003</v>
      </c>
    </row>
    <row r="785" spans="1:50" x14ac:dyDescent="0.35">
      <c r="A785" s="75">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98.418109999999999</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98.183620000000005</v>
      </c>
      <c r="AN785">
        <v>98.475089999999994</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35">
      <c r="A786" s="75">
        <v>41760</v>
      </c>
      <c r="B786">
        <v>98.398470000000003</v>
      </c>
      <c r="C786">
        <v>98.598209999999995</v>
      </c>
      <c r="D786"/>
      <c r="E786">
        <v>97.281639999999996</v>
      </c>
      <c r="F786">
        <v>100.8544</v>
      </c>
      <c r="G786">
        <v>95.447019999999995</v>
      </c>
      <c r="H786"/>
      <c r="I786">
        <v>95.898309999999995</v>
      </c>
      <c r="J786">
        <v>97.5535</v>
      </c>
      <c r="K786">
        <v>98.7</v>
      </c>
      <c r="L786">
        <v>98.052800000000005</v>
      </c>
      <c r="M786">
        <v>98.888800000000003</v>
      </c>
      <c r="N786">
        <v>99.25</v>
      </c>
      <c r="O786">
        <v>100.245</v>
      </c>
      <c r="P786">
        <v>99.038470000000004</v>
      </c>
      <c r="Q786"/>
      <c r="R786">
        <v>99.32</v>
      </c>
      <c r="S786">
        <v>99.721689999999995</v>
      </c>
      <c r="T786"/>
      <c r="U786">
        <v>98.554000000000002</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98.334010000000006</v>
      </c>
      <c r="AN786">
        <v>98.547790000000006</v>
      </c>
      <c r="AO786">
        <v>99.543580000000006</v>
      </c>
      <c r="AP786">
        <v>99.910830000000004</v>
      </c>
      <c r="AQ786"/>
      <c r="AR786"/>
      <c r="AS786">
        <v>99.508589999999998</v>
      </c>
      <c r="AT786">
        <v>100.4217</v>
      </c>
      <c r="AU786">
        <v>100.0933</v>
      </c>
      <c r="AV786">
        <v>92.772130000000004</v>
      </c>
      <c r="AW786">
        <v>98.259</v>
      </c>
      <c r="AX786">
        <v>94.491190000000003</v>
      </c>
    </row>
    <row r="787" spans="1:50" x14ac:dyDescent="0.35">
      <c r="A787" s="75">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98.612430000000003</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98.405670000000001</v>
      </c>
      <c r="AN787">
        <v>98.687960000000004</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35">
      <c r="A788" s="75">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98.620329999999996</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98.403220000000005</v>
      </c>
      <c r="AN788">
        <v>98.594920000000002</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35">
      <c r="A789" s="75">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98.803210000000007</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98.545249999999996</v>
      </c>
      <c r="AN789">
        <v>98.807069999999996</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35">
      <c r="A790" s="75">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98.869439999999997</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98.645499999999998</v>
      </c>
      <c r="AN790">
        <v>98.792169999999999</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35">
      <c r="A791" s="75">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99.036000000000001</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98.875600000000006</v>
      </c>
      <c r="AN791">
        <v>99.011229999999998</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35">
      <c r="A792" s="75">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98.976579999999998</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98.856740000000002</v>
      </c>
      <c r="AN792">
        <v>99.021240000000006</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35">
      <c r="A793" s="75">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98.930679999999995</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98.84469</v>
      </c>
      <c r="AN793">
        <v>99.201840000000004</v>
      </c>
      <c r="AO793">
        <v>99.804389999999998</v>
      </c>
      <c r="AP793">
        <v>100.0694</v>
      </c>
      <c r="AQ793"/>
      <c r="AR793"/>
      <c r="AS793">
        <v>99.69238</v>
      </c>
      <c r="AT793">
        <v>100.0817</v>
      </c>
      <c r="AU793">
        <v>100.56910000000001</v>
      </c>
      <c r="AV793">
        <v>95.104709999999997</v>
      </c>
      <c r="AW793">
        <v>98.566959999999995</v>
      </c>
      <c r="AX793">
        <v>96.662509999999997</v>
      </c>
    </row>
    <row r="794" spans="1:50" x14ac:dyDescent="0.35">
      <c r="A794" s="75">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98.816490000000002</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98.735550000000003</v>
      </c>
      <c r="AN794">
        <v>98.563389999999998</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35">
      <c r="A795" s="75">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99.173479999999998</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99.036789999999996</v>
      </c>
      <c r="AN795">
        <v>98.854050000000001</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35">
      <c r="A796" s="75">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99.546109999999999</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99.431880000000007</v>
      </c>
      <c r="AN796">
        <v>99.294259999999994</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35">
      <c r="A797" s="75">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99.873220000000003</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99.810220000000001</v>
      </c>
      <c r="AN797">
        <v>99.812849999999997</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35">
      <c r="A798" s="75">
        <v>42125</v>
      </c>
      <c r="B798">
        <v>100.1083</v>
      </c>
      <c r="C798">
        <v>99.656840000000003</v>
      </c>
      <c r="D798"/>
      <c r="E798">
        <v>100.0895</v>
      </c>
      <c r="F798">
        <v>100.31140000000001</v>
      </c>
      <c r="G798">
        <v>99.494510000000005</v>
      </c>
      <c r="H798"/>
      <c r="I798">
        <v>99.609660000000005</v>
      </c>
      <c r="J798">
        <v>100.3058</v>
      </c>
      <c r="K798">
        <v>100</v>
      </c>
      <c r="L798">
        <v>99.993480000000005</v>
      </c>
      <c r="M798">
        <v>100.2627</v>
      </c>
      <c r="N798">
        <v>100.52</v>
      </c>
      <c r="O798">
        <v>100.6874</v>
      </c>
      <c r="P798">
        <v>100.17359999999999</v>
      </c>
      <c r="Q798"/>
      <c r="R798">
        <v>99.73</v>
      </c>
      <c r="S798">
        <v>100.29689999999999</v>
      </c>
      <c r="T798"/>
      <c r="U798">
        <v>99.991969999999995</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99.983410000000006</v>
      </c>
      <c r="AN798">
        <v>100.0851</v>
      </c>
      <c r="AO798">
        <v>100.1521</v>
      </c>
      <c r="AP798">
        <v>100.65389999999999</v>
      </c>
      <c r="AQ798"/>
      <c r="AR798"/>
      <c r="AS798">
        <v>100.0091</v>
      </c>
      <c r="AT798">
        <v>100.3417</v>
      </c>
      <c r="AU798">
        <v>100.0564</v>
      </c>
      <c r="AV798">
        <v>99.831149999999994</v>
      </c>
      <c r="AW798">
        <v>99.947360000000003</v>
      </c>
      <c r="AX798">
        <v>99.654499999999999</v>
      </c>
    </row>
    <row r="799" spans="1:50" x14ac:dyDescent="0.35">
      <c r="A799" s="75">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100.0561</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100.06399999999999</v>
      </c>
      <c r="AN799">
        <v>100.1802</v>
      </c>
      <c r="AO799">
        <v>100.0652</v>
      </c>
      <c r="AP799">
        <v>100.4954</v>
      </c>
      <c r="AQ799"/>
      <c r="AR799"/>
      <c r="AS799">
        <v>100.0692</v>
      </c>
      <c r="AT799">
        <v>100.4517</v>
      </c>
      <c r="AU799">
        <v>99.925719999999998</v>
      </c>
      <c r="AV799">
        <v>100.158</v>
      </c>
      <c r="AW799">
        <v>100.0444</v>
      </c>
      <c r="AX799">
        <v>100.0956</v>
      </c>
    </row>
    <row r="800" spans="1:50" x14ac:dyDescent="0.35">
      <c r="A800" s="75">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100.1507</v>
      </c>
      <c r="AO800">
        <v>100.23909999999999</v>
      </c>
      <c r="AP800">
        <v>99.702770000000001</v>
      </c>
      <c r="AQ800"/>
      <c r="AR800"/>
      <c r="AS800">
        <v>100.08029999999999</v>
      </c>
      <c r="AT800">
        <v>99.581659999999999</v>
      </c>
      <c r="AU800">
        <v>99.94247</v>
      </c>
      <c r="AV800">
        <v>100.2846</v>
      </c>
      <c r="AW800">
        <v>100.0782</v>
      </c>
      <c r="AX800">
        <v>100.4516</v>
      </c>
    </row>
    <row r="801" spans="1:50" x14ac:dyDescent="0.35">
      <c r="A801" s="75">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100.3856</v>
      </c>
      <c r="AO801">
        <v>100.1521</v>
      </c>
      <c r="AP801">
        <v>99.50461</v>
      </c>
      <c r="AQ801"/>
      <c r="AR801"/>
      <c r="AS801">
        <v>100.13039999999999</v>
      </c>
      <c r="AT801">
        <v>99.991669999999999</v>
      </c>
      <c r="AU801">
        <v>99.731350000000006</v>
      </c>
      <c r="AV801">
        <v>100.5787</v>
      </c>
      <c r="AW801">
        <v>100.167</v>
      </c>
      <c r="AX801">
        <v>100.6533</v>
      </c>
    </row>
    <row r="802" spans="1:50" x14ac:dyDescent="0.35">
      <c r="A802" s="75">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100.4521</v>
      </c>
      <c r="AN802">
        <v>100.4453</v>
      </c>
      <c r="AO802">
        <v>99.978260000000006</v>
      </c>
      <c r="AP802">
        <v>100.6737</v>
      </c>
      <c r="AQ802"/>
      <c r="AR802"/>
      <c r="AS802">
        <v>100.02070000000001</v>
      </c>
      <c r="AT802">
        <v>100.2617</v>
      </c>
      <c r="AU802">
        <v>100.3848</v>
      </c>
      <c r="AV802">
        <v>101.4162</v>
      </c>
      <c r="AW802">
        <v>100.4592</v>
      </c>
      <c r="AX802">
        <v>100.9915</v>
      </c>
    </row>
    <row r="803" spans="1:50" x14ac:dyDescent="0.35">
      <c r="A803" s="75">
        <v>42278</v>
      </c>
      <c r="B803">
        <v>100.6084</v>
      </c>
      <c r="C803">
        <v>100.4727</v>
      </c>
      <c r="D803"/>
      <c r="E803">
        <v>100.8103</v>
      </c>
      <c r="F803">
        <v>99.937399999999997</v>
      </c>
      <c r="G803">
        <v>101.3501</v>
      </c>
      <c r="H803"/>
      <c r="I803">
        <v>101.261</v>
      </c>
      <c r="J803">
        <v>99.7851</v>
      </c>
      <c r="K803">
        <v>100.4</v>
      </c>
      <c r="L803">
        <v>100.85039999999999</v>
      </c>
      <c r="M803">
        <v>100.33199999999999</v>
      </c>
      <c r="N803">
        <v>100.87</v>
      </c>
      <c r="O803">
        <v>100.7841</v>
      </c>
      <c r="P803">
        <v>100.6844</v>
      </c>
      <c r="Q803"/>
      <c r="R803">
        <v>100.66</v>
      </c>
      <c r="S803">
        <v>100.1009</v>
      </c>
      <c r="T803"/>
      <c r="U803">
        <v>100.62479999999999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100.7911</v>
      </c>
      <c r="AO803">
        <v>100.1521</v>
      </c>
      <c r="AP803">
        <v>100.78270000000001</v>
      </c>
      <c r="AQ803"/>
      <c r="AR803"/>
      <c r="AS803">
        <v>100.1427</v>
      </c>
      <c r="AT803">
        <v>100.5117</v>
      </c>
      <c r="AU803">
        <v>100.4418</v>
      </c>
      <c r="AV803">
        <v>103.40560000000001</v>
      </c>
      <c r="AW803">
        <v>100.71769999999999</v>
      </c>
      <c r="AX803">
        <v>101.1927</v>
      </c>
    </row>
    <row r="804" spans="1:50" x14ac:dyDescent="0.35">
      <c r="A804" s="75">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100.6764</v>
      </c>
      <c r="AN804">
        <v>100.6127</v>
      </c>
      <c r="AO804">
        <v>100.0652</v>
      </c>
      <c r="AP804">
        <v>100.7431</v>
      </c>
      <c r="AQ804"/>
      <c r="AR804"/>
      <c r="AS804">
        <v>100.1966</v>
      </c>
      <c r="AT804">
        <v>100.8417</v>
      </c>
      <c r="AU804">
        <v>100.13679999999999</v>
      </c>
      <c r="AV804">
        <v>104.1572</v>
      </c>
      <c r="AW804">
        <v>100.7548</v>
      </c>
      <c r="AX804">
        <v>101.331</v>
      </c>
    </row>
    <row r="805" spans="1:50" x14ac:dyDescent="0.35">
      <c r="A805" s="75">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100.5278</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100.7161</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35">
      <c r="A806" s="75">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100.48099999999999</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100.64660000000001</v>
      </c>
      <c r="AN806">
        <v>100.26600000000001</v>
      </c>
      <c r="AO806">
        <v>99.543580000000006</v>
      </c>
      <c r="AP806">
        <v>99.227189999999993</v>
      </c>
      <c r="AQ806"/>
      <c r="AR806"/>
      <c r="AS806">
        <v>100.307</v>
      </c>
      <c r="AT806">
        <v>98.841639999999998</v>
      </c>
      <c r="AU806">
        <v>99.734700000000004</v>
      </c>
      <c r="AV806">
        <v>105.2602</v>
      </c>
      <c r="AW806">
        <v>100.9418</v>
      </c>
      <c r="AX806">
        <v>102.29389999999999</v>
      </c>
    </row>
    <row r="807" spans="1:50" x14ac:dyDescent="0.35">
      <c r="A807" s="75">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100.8592</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100.9846</v>
      </c>
      <c r="AN807">
        <v>100.49079999999999</v>
      </c>
      <c r="AO807">
        <v>99.543580000000006</v>
      </c>
      <c r="AP807">
        <v>98.969579999999993</v>
      </c>
      <c r="AQ807"/>
      <c r="AR807"/>
      <c r="AS807">
        <v>100.36069999999999</v>
      </c>
      <c r="AT807">
        <v>99.151650000000004</v>
      </c>
      <c r="AU807">
        <v>100.3982</v>
      </c>
      <c r="AV807">
        <v>105.4032</v>
      </c>
      <c r="AW807">
        <v>101.4174</v>
      </c>
      <c r="AX807">
        <v>103.5519</v>
      </c>
    </row>
    <row r="808" spans="1:50" x14ac:dyDescent="0.35">
      <c r="A808" s="75">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101.2362</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101.3807</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35">
      <c r="A809" s="75">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101.4427</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101.6572</v>
      </c>
      <c r="AN809">
        <v>101.3858</v>
      </c>
      <c r="AO809">
        <v>99.804389999999998</v>
      </c>
      <c r="AP809">
        <v>101.1691</v>
      </c>
      <c r="AQ809"/>
      <c r="AR809"/>
      <c r="AS809">
        <v>100.6289</v>
      </c>
      <c r="AT809">
        <v>100.46169999999999</v>
      </c>
      <c r="AU809">
        <v>100.7769</v>
      </c>
      <c r="AV809">
        <v>107.5928</v>
      </c>
      <c r="AW809">
        <v>101.959</v>
      </c>
      <c r="AX809">
        <v>104.8937</v>
      </c>
    </row>
    <row r="810" spans="1:50" x14ac:dyDescent="0.35">
      <c r="A810" s="75">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101.6636</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101.8914</v>
      </c>
      <c r="AN810">
        <v>101.7072</v>
      </c>
      <c r="AO810">
        <v>99.804389999999998</v>
      </c>
      <c r="AP810">
        <v>101.4465</v>
      </c>
      <c r="AQ810"/>
      <c r="AR810"/>
      <c r="AS810">
        <v>100.5981</v>
      </c>
      <c r="AT810">
        <v>101.1217</v>
      </c>
      <c r="AU810">
        <v>100.91759999999999</v>
      </c>
      <c r="AV810">
        <v>108.9409</v>
      </c>
      <c r="AW810">
        <v>102.18680000000001</v>
      </c>
      <c r="AX810">
        <v>105.02589999999999</v>
      </c>
    </row>
    <row r="811" spans="1:50" x14ac:dyDescent="0.35">
      <c r="A811" s="75">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101.7273</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101.9734</v>
      </c>
      <c r="AN811">
        <v>101.7765</v>
      </c>
      <c r="AO811">
        <v>99.891329999999996</v>
      </c>
      <c r="AP811">
        <v>101.2385</v>
      </c>
      <c r="AQ811"/>
      <c r="AR811"/>
      <c r="AS811">
        <v>100.5979</v>
      </c>
      <c r="AT811">
        <v>101.5917</v>
      </c>
      <c r="AU811">
        <v>100.9813</v>
      </c>
      <c r="AV811">
        <v>109.20229999999999</v>
      </c>
      <c r="AW811">
        <v>102.29</v>
      </c>
      <c r="AX811">
        <v>105.5565</v>
      </c>
    </row>
    <row r="812" spans="1:50" x14ac:dyDescent="0.35">
      <c r="A812" s="75">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101.7565</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102.0158</v>
      </c>
      <c r="AN812">
        <v>101.8356</v>
      </c>
      <c r="AO812">
        <v>99.891329999999996</v>
      </c>
      <c r="AP812">
        <v>100.4954</v>
      </c>
      <c r="AQ812"/>
      <c r="AR812"/>
      <c r="AS812">
        <v>100.559</v>
      </c>
      <c r="AT812">
        <v>100.49169999999999</v>
      </c>
      <c r="AU812">
        <v>100.9746</v>
      </c>
      <c r="AV812">
        <v>110.0275</v>
      </c>
      <c r="AW812">
        <v>102.2694</v>
      </c>
      <c r="AX812">
        <v>106.0776</v>
      </c>
    </row>
    <row r="813" spans="1:50" x14ac:dyDescent="0.35">
      <c r="A813" s="75">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101.9669</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102.197</v>
      </c>
      <c r="AN813">
        <v>102.0269</v>
      </c>
      <c r="AO813">
        <v>99.804389999999998</v>
      </c>
      <c r="AP813">
        <v>100.1387</v>
      </c>
      <c r="AQ813"/>
      <c r="AR813"/>
      <c r="AS813">
        <v>100.548</v>
      </c>
      <c r="AT813">
        <v>100.8017</v>
      </c>
      <c r="AU813">
        <v>100.90089999999999</v>
      </c>
      <c r="AV813">
        <v>110.3747</v>
      </c>
      <c r="AW813">
        <v>102.4898</v>
      </c>
      <c r="AX813">
        <v>106.2538</v>
      </c>
    </row>
    <row r="814" spans="1:50" x14ac:dyDescent="0.35">
      <c r="A814" s="75">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102.04259999999999</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102.2966</v>
      </c>
      <c r="AN814">
        <v>102.0378</v>
      </c>
      <c r="AO814">
        <v>99.630520000000004</v>
      </c>
      <c r="AP814">
        <v>101.2187</v>
      </c>
      <c r="AQ814"/>
      <c r="AR814"/>
      <c r="AS814">
        <v>100.64190000000001</v>
      </c>
      <c r="AT814">
        <v>100.71169999999999</v>
      </c>
      <c r="AU814">
        <v>101.15560000000001</v>
      </c>
      <c r="AV814">
        <v>110.4973</v>
      </c>
      <c r="AW814">
        <v>102.6768</v>
      </c>
      <c r="AX814">
        <v>106.5324</v>
      </c>
    </row>
    <row r="815" spans="1:50" x14ac:dyDescent="0.35">
      <c r="A815" s="75">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102.1844</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102.5185</v>
      </c>
      <c r="AN815">
        <v>102.30029999999999</v>
      </c>
      <c r="AO815">
        <v>100.0652</v>
      </c>
      <c r="AP815">
        <v>101.5258</v>
      </c>
      <c r="AQ815"/>
      <c r="AR815"/>
      <c r="AS815">
        <v>100.8861</v>
      </c>
      <c r="AT815">
        <v>101.2617</v>
      </c>
      <c r="AU815">
        <v>101.246</v>
      </c>
      <c r="AV815">
        <v>112.02509999999999</v>
      </c>
      <c r="AW815">
        <v>102.8779</v>
      </c>
      <c r="AX815">
        <v>106.81780000000001</v>
      </c>
    </row>
    <row r="816" spans="1:50" x14ac:dyDescent="0.35">
      <c r="A816" s="75">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102.0711</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102.19670000000001</v>
      </c>
      <c r="AO816">
        <v>100.0652</v>
      </c>
      <c r="AP816">
        <v>101.19889999999999</v>
      </c>
      <c r="AQ816"/>
      <c r="AR816"/>
      <c r="AS816">
        <v>100.9897</v>
      </c>
      <c r="AT816">
        <v>101.4117</v>
      </c>
      <c r="AU816">
        <v>101.1824</v>
      </c>
      <c r="AV816">
        <v>112.91970000000001</v>
      </c>
      <c r="AW816">
        <v>102.88160000000001</v>
      </c>
      <c r="AX816">
        <v>106.8999</v>
      </c>
    </row>
    <row r="817" spans="1:50" x14ac:dyDescent="0.35">
      <c r="A817" s="75">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102.1347</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102.5938</v>
      </c>
      <c r="AN817">
        <v>102.5596</v>
      </c>
      <c r="AO817">
        <v>100.1521</v>
      </c>
      <c r="AP817">
        <v>101.0998</v>
      </c>
      <c r="AQ817"/>
      <c r="AR817"/>
      <c r="AS817">
        <v>100.9158</v>
      </c>
      <c r="AT817">
        <v>100.68170000000001</v>
      </c>
      <c r="AU817">
        <v>101.6917</v>
      </c>
      <c r="AV817">
        <v>113.9819</v>
      </c>
      <c r="AW817">
        <v>102.8432</v>
      </c>
      <c r="AX817">
        <v>107.3878</v>
      </c>
    </row>
    <row r="818" spans="1:50" x14ac:dyDescent="0.35">
      <c r="A818" s="75">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102.1288</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102.58069999999999</v>
      </c>
      <c r="AN818">
        <v>101.9684</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35">
      <c r="A819" s="75">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102.9545</v>
      </c>
      <c r="AN819">
        <v>102.31480000000001</v>
      </c>
      <c r="AO819">
        <v>99.978260000000006</v>
      </c>
      <c r="AP819">
        <v>99.564059999999998</v>
      </c>
      <c r="AQ819"/>
      <c r="AR819"/>
      <c r="AS819">
        <v>101.5896</v>
      </c>
      <c r="AT819">
        <v>100.1717</v>
      </c>
      <c r="AU819">
        <v>101.2997</v>
      </c>
      <c r="AV819">
        <v>115.9631</v>
      </c>
      <c r="AW819">
        <v>103.6725</v>
      </c>
      <c r="AX819">
        <v>108.94410000000001</v>
      </c>
    </row>
    <row r="820" spans="1:50" x14ac:dyDescent="0.35">
      <c r="A820" s="75">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102.68429999999999</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103.24509999999999</v>
      </c>
      <c r="AN820">
        <v>102.9208</v>
      </c>
      <c r="AO820">
        <v>100.1521</v>
      </c>
      <c r="AP820">
        <v>101.7933</v>
      </c>
      <c r="AQ820"/>
      <c r="AR820"/>
      <c r="AS820">
        <v>101.64060000000001</v>
      </c>
      <c r="AT820">
        <v>100.8717</v>
      </c>
      <c r="AU820">
        <v>101.45050000000001</v>
      </c>
      <c r="AV820">
        <v>117.22539999999999</v>
      </c>
      <c r="AW820">
        <v>103.7332</v>
      </c>
      <c r="AX820">
        <v>109.568</v>
      </c>
    </row>
    <row r="821" spans="1:50" x14ac:dyDescent="0.35">
      <c r="A821" s="75">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102.94450000000001</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103.62820000000001</v>
      </c>
      <c r="AN821">
        <v>103.6028</v>
      </c>
      <c r="AO821">
        <v>100.7607</v>
      </c>
      <c r="AP821">
        <v>102.8931</v>
      </c>
      <c r="AQ821"/>
      <c r="AR821"/>
      <c r="AS821">
        <v>101.7401</v>
      </c>
      <c r="AT821">
        <v>101.71169999999999</v>
      </c>
      <c r="AU821">
        <v>102.20780000000001</v>
      </c>
      <c r="AV821">
        <v>119.2189</v>
      </c>
      <c r="AW821">
        <v>103.8785</v>
      </c>
      <c r="AX821">
        <v>109.82980000000001</v>
      </c>
    </row>
    <row r="822" spans="1:50" x14ac:dyDescent="0.35">
      <c r="A822" s="75">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103.0403</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103.7574</v>
      </c>
      <c r="AN822">
        <v>103.7393</v>
      </c>
      <c r="AO822">
        <v>100.6738</v>
      </c>
      <c r="AP822">
        <v>102.6652</v>
      </c>
      <c r="AQ822"/>
      <c r="AR822"/>
      <c r="AS822">
        <v>101.8749</v>
      </c>
      <c r="AT822">
        <v>101.9817</v>
      </c>
      <c r="AU822">
        <v>102.36190000000001</v>
      </c>
      <c r="AV822">
        <v>120.518</v>
      </c>
      <c r="AW822">
        <v>103.95820000000001</v>
      </c>
      <c r="AX822">
        <v>109.91370000000001</v>
      </c>
    </row>
    <row r="823" spans="1:50" x14ac:dyDescent="0.35">
      <c r="A823" s="75">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103.14360000000001</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103.8614</v>
      </c>
      <c r="AN823">
        <v>103.9362</v>
      </c>
      <c r="AO823">
        <v>100.6738</v>
      </c>
      <c r="AP823">
        <v>102.3779</v>
      </c>
      <c r="AQ823"/>
      <c r="AR823"/>
      <c r="AS823">
        <v>101.8938</v>
      </c>
      <c r="AT823">
        <v>102.35169999999999</v>
      </c>
      <c r="AU823">
        <v>102.6602</v>
      </c>
      <c r="AV823">
        <v>120.61190000000001</v>
      </c>
      <c r="AW823">
        <v>104.0321</v>
      </c>
      <c r="AX823">
        <v>110.3398</v>
      </c>
    </row>
    <row r="824" spans="1:50" x14ac:dyDescent="0.35">
      <c r="A824" s="75">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103.15560000000001</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35">
      <c r="A825" s="75">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103.4063</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104.0993</v>
      </c>
      <c r="AN825">
        <v>104.1998</v>
      </c>
      <c r="AO825">
        <v>100.413</v>
      </c>
      <c r="AP825">
        <v>101.41679999999999</v>
      </c>
      <c r="AQ825"/>
      <c r="AR825"/>
      <c r="AS825">
        <v>102.0363</v>
      </c>
      <c r="AT825">
        <v>101.60169999999999</v>
      </c>
      <c r="AU825">
        <v>102.6602</v>
      </c>
      <c r="AV825">
        <v>121.7231</v>
      </c>
      <c r="AW825">
        <v>104.2162</v>
      </c>
      <c r="AX825">
        <v>110.9272</v>
      </c>
    </row>
    <row r="826" spans="1:50" x14ac:dyDescent="0.35">
      <c r="A826" s="75">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103.4701</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104.2098</v>
      </c>
      <c r="AN826">
        <v>104.2706</v>
      </c>
      <c r="AO826">
        <v>100.4999</v>
      </c>
      <c r="AP826">
        <v>102.5463</v>
      </c>
      <c r="AQ826"/>
      <c r="AR826"/>
      <c r="AS826">
        <v>102.0981</v>
      </c>
      <c r="AT826">
        <v>101.65170000000001</v>
      </c>
      <c r="AU826">
        <v>102.7473</v>
      </c>
      <c r="AV826">
        <v>122.6994</v>
      </c>
      <c r="AW826">
        <v>104.4147</v>
      </c>
      <c r="AX826">
        <v>111.3449</v>
      </c>
    </row>
    <row r="827" spans="1:50" x14ac:dyDescent="0.35">
      <c r="A827" s="75">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103.60209999999999</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104.4496</v>
      </c>
      <c r="AN827">
        <v>104.4405</v>
      </c>
      <c r="AO827">
        <v>100.7607</v>
      </c>
      <c r="AP827">
        <v>102.8832</v>
      </c>
      <c r="AQ827"/>
      <c r="AR827"/>
      <c r="AS827">
        <v>102.23520000000001</v>
      </c>
      <c r="AT827">
        <v>101.6717</v>
      </c>
      <c r="AU827">
        <v>102.744</v>
      </c>
      <c r="AV827">
        <v>125.2894</v>
      </c>
      <c r="AW827">
        <v>104.7024</v>
      </c>
      <c r="AX827">
        <v>111.46339999999999</v>
      </c>
    </row>
    <row r="828" spans="1:50" x14ac:dyDescent="0.35">
      <c r="A828" s="75">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103.5004</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104.4119</v>
      </c>
      <c r="AN828">
        <v>104.3737</v>
      </c>
      <c r="AO828">
        <v>100.8476</v>
      </c>
      <c r="AP828">
        <v>102.3184</v>
      </c>
      <c r="AQ828"/>
      <c r="AR828"/>
      <c r="AS828">
        <v>102.34650000000001</v>
      </c>
      <c r="AT828">
        <v>101.9117</v>
      </c>
      <c r="AU828">
        <v>102.69370000000001</v>
      </c>
      <c r="AV828">
        <v>126.64149999999999</v>
      </c>
      <c r="AW828">
        <v>104.6422</v>
      </c>
      <c r="AX828">
        <v>111.4487</v>
      </c>
    </row>
    <row r="829" spans="1:50" x14ac:dyDescent="0.35">
      <c r="A829" s="75">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103.6105</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104.55329999999999</v>
      </c>
      <c r="AN829">
        <v>104.6978</v>
      </c>
      <c r="AO829">
        <v>100.9346</v>
      </c>
      <c r="AP829">
        <v>102.29859999999999</v>
      </c>
      <c r="AQ829"/>
      <c r="AR829"/>
      <c r="AS829">
        <v>102.33750000000001</v>
      </c>
      <c r="AT829">
        <v>101.5517</v>
      </c>
      <c r="AU829">
        <v>103.06570000000001</v>
      </c>
      <c r="AV829">
        <v>127.193</v>
      </c>
      <c r="AW829">
        <v>104.6694</v>
      </c>
      <c r="AX829">
        <v>111.7603</v>
      </c>
    </row>
    <row r="830" spans="1:50" x14ac:dyDescent="0.35">
      <c r="A830" s="75">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v>
      </c>
      <c r="AN830">
        <v>104.0737</v>
      </c>
      <c r="AO830">
        <v>100.8476</v>
      </c>
      <c r="AP830">
        <v>100.6737</v>
      </c>
      <c r="AQ830"/>
      <c r="AR830"/>
      <c r="AS830">
        <v>102.755</v>
      </c>
      <c r="AT830">
        <v>99.891660000000002</v>
      </c>
      <c r="AU830">
        <v>101.7722</v>
      </c>
      <c r="AV830">
        <v>127.87520000000001</v>
      </c>
      <c r="AW830">
        <v>105.1152</v>
      </c>
      <c r="AX830">
        <v>112.1328</v>
      </c>
    </row>
    <row r="831" spans="1:50" x14ac:dyDescent="0.35">
      <c r="A831" s="75">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104.0423</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104.907</v>
      </c>
      <c r="AN831">
        <v>104.3963</v>
      </c>
      <c r="AO831">
        <v>100.8476</v>
      </c>
      <c r="AP831">
        <v>100.1387</v>
      </c>
      <c r="AQ831"/>
      <c r="AR831"/>
      <c r="AS831">
        <v>103.2444</v>
      </c>
      <c r="AT831">
        <v>100.6717</v>
      </c>
      <c r="AU831">
        <v>102.5898</v>
      </c>
      <c r="AV831">
        <v>128.4675</v>
      </c>
      <c r="AW831">
        <v>105.5879</v>
      </c>
      <c r="AX831">
        <v>113.2508</v>
      </c>
    </row>
    <row r="832" spans="1:50" x14ac:dyDescent="0.35">
      <c r="A832" s="75">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104.4581</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105.3355</v>
      </c>
      <c r="AN832">
        <v>105.05159999999999</v>
      </c>
      <c r="AO832">
        <v>100.8476</v>
      </c>
      <c r="AP832">
        <v>102.586</v>
      </c>
      <c r="AQ832"/>
      <c r="AR832"/>
      <c r="AS832">
        <v>103.4145</v>
      </c>
      <c r="AT832">
        <v>101.2317</v>
      </c>
      <c r="AU832">
        <v>102.75069999999999</v>
      </c>
      <c r="AV832">
        <v>129.42349999999999</v>
      </c>
      <c r="AW832">
        <v>105.9293</v>
      </c>
      <c r="AX832">
        <v>114.0189</v>
      </c>
    </row>
    <row r="833" spans="1:50" x14ac:dyDescent="0.35">
      <c r="A833" s="75">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104.63420000000001</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105.6497</v>
      </c>
      <c r="AN833">
        <v>105.60760000000001</v>
      </c>
      <c r="AO833">
        <v>101.3693</v>
      </c>
      <c r="AP833">
        <v>103.0714</v>
      </c>
      <c r="AQ833"/>
      <c r="AR833"/>
      <c r="AS833">
        <v>104.0968</v>
      </c>
      <c r="AT833">
        <v>102.24169999999999</v>
      </c>
      <c r="AU833">
        <v>103.27679999999999</v>
      </c>
      <c r="AV833">
        <v>132.56489999999999</v>
      </c>
      <c r="AW833">
        <v>106.1006</v>
      </c>
      <c r="AX833">
        <v>114.5566</v>
      </c>
    </row>
    <row r="834" spans="1:50" x14ac:dyDescent="0.35">
      <c r="A834" s="75">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104.8402</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105.89830000000001</v>
      </c>
      <c r="AN834">
        <v>106.0193</v>
      </c>
      <c r="AO834">
        <v>101.28230000000001</v>
      </c>
      <c r="AP834">
        <v>103.31910000000001</v>
      </c>
      <c r="AQ834"/>
      <c r="AR834"/>
      <c r="AS834">
        <v>103.92919999999999</v>
      </c>
      <c r="AT834">
        <v>103.1617</v>
      </c>
      <c r="AU834">
        <v>103.3907</v>
      </c>
      <c r="AV834">
        <v>134.7422</v>
      </c>
      <c r="AW834">
        <v>106.2839</v>
      </c>
      <c r="AX834">
        <v>114.738</v>
      </c>
    </row>
    <row r="835" spans="1:50" x14ac:dyDescent="0.35">
      <c r="A835" s="75">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104.89700000000001</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106.0219</v>
      </c>
      <c r="AN835">
        <v>106.238</v>
      </c>
      <c r="AO835">
        <v>101.3693</v>
      </c>
      <c r="AP835">
        <v>103.3489</v>
      </c>
      <c r="AQ835"/>
      <c r="AR835"/>
      <c r="AS835">
        <v>103.9117</v>
      </c>
      <c r="AT835">
        <v>103.2817</v>
      </c>
      <c r="AU835">
        <v>103.6555</v>
      </c>
      <c r="AV835">
        <v>137.02170000000001</v>
      </c>
      <c r="AW835">
        <v>106.378</v>
      </c>
      <c r="AX835">
        <v>114.7881</v>
      </c>
    </row>
    <row r="836" spans="1:50" x14ac:dyDescent="0.35">
      <c r="A836" s="75">
        <v>43282</v>
      </c>
      <c r="B836">
        <v>105.1088</v>
      </c>
      <c r="C836">
        <v>105.0665</v>
      </c>
      <c r="D836"/>
      <c r="E836">
        <v>106.1747</v>
      </c>
      <c r="F836">
        <v>100.4066</v>
      </c>
      <c r="G836">
        <v>108.2731</v>
      </c>
      <c r="H836"/>
      <c r="I836">
        <v>115.9592</v>
      </c>
      <c r="J836">
        <v>103.8219</v>
      </c>
      <c r="K836">
        <v>106.8</v>
      </c>
      <c r="L836">
        <v>104.6414</v>
      </c>
      <c r="M836">
        <v>103.3092</v>
      </c>
      <c r="N836">
        <v>103.18</v>
      </c>
      <c r="O836">
        <v>102.6349</v>
      </c>
      <c r="P836">
        <v>106.0762</v>
      </c>
      <c r="Q836"/>
      <c r="R836">
        <v>102.39</v>
      </c>
      <c r="S836">
        <v>102.1396</v>
      </c>
      <c r="T836"/>
      <c r="U836">
        <v>105.0013</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106.1242</v>
      </c>
      <c r="AN836">
        <v>106.3548</v>
      </c>
      <c r="AO836">
        <v>101.28230000000001</v>
      </c>
      <c r="AP836">
        <v>102.5265</v>
      </c>
      <c r="AQ836"/>
      <c r="AR836"/>
      <c r="AS836">
        <v>104.0911</v>
      </c>
      <c r="AT836">
        <v>102.2517</v>
      </c>
      <c r="AU836">
        <v>103.82640000000001</v>
      </c>
      <c r="AV836">
        <v>138.24719999999999</v>
      </c>
      <c r="AW836">
        <v>106.4482</v>
      </c>
      <c r="AX836">
        <v>115.4359</v>
      </c>
    </row>
    <row r="837" spans="1:50" x14ac:dyDescent="0.35">
      <c r="A837" s="75">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105.19629999999999</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106.37130000000001</v>
      </c>
      <c r="AN837">
        <v>106.8442</v>
      </c>
      <c r="AO837">
        <v>101.3693</v>
      </c>
      <c r="AP837">
        <v>102.0311</v>
      </c>
      <c r="AQ837"/>
      <c r="AR837"/>
      <c r="AS837">
        <v>104.48480000000001</v>
      </c>
      <c r="AT837">
        <v>102.3417</v>
      </c>
      <c r="AU837">
        <v>103.4611</v>
      </c>
      <c r="AV837">
        <v>141.64189999999999</v>
      </c>
      <c r="AW837">
        <v>106.508</v>
      </c>
      <c r="AX837">
        <v>115.3043</v>
      </c>
    </row>
    <row r="838" spans="1:50" x14ac:dyDescent="0.35">
      <c r="A838" s="75">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105.1861</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106.6371</v>
      </c>
      <c r="AN838">
        <v>107.38679999999999</v>
      </c>
      <c r="AO838">
        <v>101.3693</v>
      </c>
      <c r="AP838">
        <v>103.438</v>
      </c>
      <c r="AQ838"/>
      <c r="AR838"/>
      <c r="AS838">
        <v>104.3013</v>
      </c>
      <c r="AT838">
        <v>102.5617</v>
      </c>
      <c r="AU838">
        <v>103.94029999999999</v>
      </c>
      <c r="AV838">
        <v>150.3186</v>
      </c>
      <c r="AW838">
        <v>106.6802</v>
      </c>
      <c r="AX838">
        <v>115.9438</v>
      </c>
    </row>
    <row r="839" spans="1:50" x14ac:dyDescent="0.35">
      <c r="A839" s="75">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105.3845</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106.9353</v>
      </c>
      <c r="AN839">
        <v>107.75239999999999</v>
      </c>
      <c r="AO839">
        <v>101.6301</v>
      </c>
      <c r="AP839">
        <v>103.3489</v>
      </c>
      <c r="AQ839"/>
      <c r="AR839"/>
      <c r="AS839">
        <v>104.4164</v>
      </c>
      <c r="AT839">
        <v>102.74169999999999</v>
      </c>
      <c r="AU839">
        <v>103.9336</v>
      </c>
      <c r="AV839">
        <v>153.65610000000001</v>
      </c>
      <c r="AW839">
        <v>106.9419</v>
      </c>
      <c r="AX839">
        <v>116.10120000000001</v>
      </c>
    </row>
    <row r="840" spans="1:50" x14ac:dyDescent="0.35">
      <c r="A840" s="75">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105.2526</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106.7653</v>
      </c>
      <c r="AN840">
        <v>107.29949999999999</v>
      </c>
      <c r="AO840">
        <v>101.5431</v>
      </c>
      <c r="AP840">
        <v>102.8237</v>
      </c>
      <c r="AQ840"/>
      <c r="AR840"/>
      <c r="AS840">
        <v>104.7139</v>
      </c>
      <c r="AT840">
        <v>102.96169999999999</v>
      </c>
      <c r="AU840">
        <v>103.80289999999999</v>
      </c>
      <c r="AV840">
        <v>150.9273</v>
      </c>
      <c r="AW840">
        <v>106.9592</v>
      </c>
      <c r="AX840">
        <v>116.19119999999999</v>
      </c>
    </row>
    <row r="841" spans="1:50" x14ac:dyDescent="0.35">
      <c r="A841" s="75">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105.3377</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106.8587</v>
      </c>
      <c r="AN841">
        <v>107.4905</v>
      </c>
      <c r="AO841">
        <v>101.5431</v>
      </c>
      <c r="AP841">
        <v>102.8733</v>
      </c>
      <c r="AQ841"/>
      <c r="AR841"/>
      <c r="AS841">
        <v>104.5172</v>
      </c>
      <c r="AT841">
        <v>102.79170000000001</v>
      </c>
      <c r="AU841">
        <v>104.3994</v>
      </c>
      <c r="AV841">
        <v>150.36359999999999</v>
      </c>
      <c r="AW841">
        <v>106.95010000000001</v>
      </c>
      <c r="AX841">
        <v>116.6232</v>
      </c>
    </row>
    <row r="842" spans="1:50" x14ac:dyDescent="0.35">
      <c r="A842" s="75">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105.38460000000001</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106.8112</v>
      </c>
      <c r="AN842">
        <v>106.8583</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35">
      <c r="A843" s="75">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105.7319</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107.14319999999999</v>
      </c>
      <c r="AN843">
        <v>107.0865</v>
      </c>
      <c r="AO843">
        <v>101.717</v>
      </c>
      <c r="AP843">
        <v>101.1097</v>
      </c>
      <c r="AQ843"/>
      <c r="AR843"/>
      <c r="AS843">
        <v>105.0063</v>
      </c>
      <c r="AT843">
        <v>102.07170000000001</v>
      </c>
      <c r="AU843">
        <v>103.7694</v>
      </c>
      <c r="AV843">
        <v>149.9469</v>
      </c>
      <c r="AW843">
        <v>107.7886</v>
      </c>
      <c r="AX843">
        <v>118.19880000000001</v>
      </c>
    </row>
    <row r="844" spans="1:50" x14ac:dyDescent="0.35">
      <c r="A844" s="75">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106.0526</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107.4957</v>
      </c>
      <c r="AN844">
        <v>107.6369</v>
      </c>
      <c r="AO844">
        <v>102.15170000000001</v>
      </c>
      <c r="AP844">
        <v>103.2597</v>
      </c>
      <c r="AQ844"/>
      <c r="AR844"/>
      <c r="AS844">
        <v>105.4979</v>
      </c>
      <c r="AT844">
        <v>102.90170000000001</v>
      </c>
      <c r="AU844">
        <v>104.004</v>
      </c>
      <c r="AV844">
        <v>150.38399999999999</v>
      </c>
      <c r="AW844">
        <v>108.0866</v>
      </c>
      <c r="AX844">
        <v>119.0466</v>
      </c>
    </row>
    <row r="845" spans="1:50" x14ac:dyDescent="0.35">
      <c r="A845" s="75">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106.4079</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107.9676</v>
      </c>
      <c r="AN845">
        <v>108.47629999999999</v>
      </c>
      <c r="AO845">
        <v>103.19499999999999</v>
      </c>
      <c r="AP845">
        <v>103.9235</v>
      </c>
      <c r="AQ845"/>
      <c r="AR845"/>
      <c r="AS845">
        <v>105.6767</v>
      </c>
      <c r="AT845">
        <v>103.9817</v>
      </c>
      <c r="AU845">
        <v>104.8853</v>
      </c>
      <c r="AV845">
        <v>153.2517</v>
      </c>
      <c r="AW845">
        <v>108.2914</v>
      </c>
      <c r="AX845">
        <v>119.26909999999999</v>
      </c>
    </row>
    <row r="846" spans="1:50" x14ac:dyDescent="0.35">
      <c r="A846" s="75">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106.46720000000001</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108.08150000000001</v>
      </c>
      <c r="AN846">
        <v>108.6193</v>
      </c>
      <c r="AO846">
        <v>102.8472</v>
      </c>
      <c r="AP846">
        <v>103.80459999999999</v>
      </c>
      <c r="AQ846"/>
      <c r="AR846"/>
      <c r="AS846">
        <v>105.8916</v>
      </c>
      <c r="AT846">
        <v>104.4417</v>
      </c>
      <c r="AU846">
        <v>105.2171</v>
      </c>
      <c r="AV846">
        <v>156.0582</v>
      </c>
      <c r="AW846">
        <v>108.39790000000001</v>
      </c>
      <c r="AX846">
        <v>119.33159999999999</v>
      </c>
    </row>
    <row r="847" spans="1:50" x14ac:dyDescent="0.35">
      <c r="A847" s="75">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106.6692</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108.30710000000001</v>
      </c>
      <c r="AN847">
        <v>108.9687</v>
      </c>
      <c r="AO847">
        <v>103.28189999999999</v>
      </c>
      <c r="AP847">
        <v>103.983</v>
      </c>
      <c r="AQ847"/>
      <c r="AR847"/>
      <c r="AS847">
        <v>106.0763</v>
      </c>
      <c r="AT847">
        <v>105.0318</v>
      </c>
      <c r="AU847">
        <v>105.5287</v>
      </c>
      <c r="AV847">
        <v>157.30410000000001</v>
      </c>
      <c r="AW847">
        <v>108.64019999999999</v>
      </c>
      <c r="AX847">
        <v>119.7368</v>
      </c>
    </row>
    <row r="848" spans="1:50" x14ac:dyDescent="0.35">
      <c r="A848" s="75">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106.8396</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108.4978</v>
      </c>
      <c r="AN848">
        <v>109.1743</v>
      </c>
      <c r="AO848">
        <v>103.36879999999999</v>
      </c>
      <c r="AP848">
        <v>102.3977</v>
      </c>
      <c r="AQ848"/>
      <c r="AR848"/>
      <c r="AS848">
        <v>106.2813</v>
      </c>
      <c r="AT848">
        <v>104.2317</v>
      </c>
      <c r="AU848">
        <v>105.3545</v>
      </c>
      <c r="AV848">
        <v>160.30670000000001</v>
      </c>
      <c r="AW848">
        <v>108.80070000000001</v>
      </c>
      <c r="AX848">
        <v>120.1374</v>
      </c>
    </row>
    <row r="849" spans="1:50" x14ac:dyDescent="0.35">
      <c r="A849" s="75">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107.0911</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108.7666</v>
      </c>
      <c r="AN849">
        <v>109.5035</v>
      </c>
      <c r="AO849">
        <v>103.5427</v>
      </c>
      <c r="AP849">
        <v>102.259</v>
      </c>
      <c r="AQ849"/>
      <c r="AR849"/>
      <c r="AS849">
        <v>106.69410000000001</v>
      </c>
      <c r="AT849">
        <v>104.71169999999999</v>
      </c>
      <c r="AU849">
        <v>104.9691</v>
      </c>
      <c r="AV849">
        <v>162.76179999999999</v>
      </c>
      <c r="AW849">
        <v>109.0497</v>
      </c>
      <c r="AX849">
        <v>120.3377</v>
      </c>
    </row>
    <row r="850" spans="1:50" x14ac:dyDescent="0.35">
      <c r="A850" s="75">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107.0958</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108.84650000000001</v>
      </c>
      <c r="AN850">
        <v>109.61069999999999</v>
      </c>
      <c r="AO850">
        <v>103.7166</v>
      </c>
      <c r="AP850">
        <v>103.6362</v>
      </c>
      <c r="AQ850"/>
      <c r="AR850"/>
      <c r="AS850">
        <v>106.7557</v>
      </c>
      <c r="AT850">
        <v>104.74169999999999</v>
      </c>
      <c r="AU850">
        <v>105.6091</v>
      </c>
      <c r="AV850">
        <v>164.60820000000001</v>
      </c>
      <c r="AW850">
        <v>109.19540000000001</v>
      </c>
      <c r="AX850">
        <v>120.6301</v>
      </c>
    </row>
    <row r="851" spans="1:50" x14ac:dyDescent="0.35">
      <c r="A851" s="75">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107.2907</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109.1169</v>
      </c>
      <c r="AN851">
        <v>109.92700000000001</v>
      </c>
      <c r="AO851">
        <v>104.0643</v>
      </c>
      <c r="AP851">
        <v>103.66589999999999</v>
      </c>
      <c r="AQ851"/>
      <c r="AR851"/>
      <c r="AS851">
        <v>106.7736</v>
      </c>
      <c r="AT851">
        <v>104.6317</v>
      </c>
      <c r="AU851">
        <v>105.646</v>
      </c>
      <c r="AV851">
        <v>167.19820000000001</v>
      </c>
      <c r="AW851">
        <v>109.4171</v>
      </c>
      <c r="AX851">
        <v>120.61490000000001</v>
      </c>
    </row>
    <row r="852" spans="1:50" x14ac:dyDescent="0.35">
      <c r="A852" s="75">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107.1965</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109.0626</v>
      </c>
      <c r="AN852">
        <v>109.75109999999999</v>
      </c>
      <c r="AO852">
        <v>104.0643</v>
      </c>
      <c r="AP852">
        <v>103.4479</v>
      </c>
      <c r="AQ852"/>
      <c r="AR852"/>
      <c r="AS852">
        <v>106.92100000000001</v>
      </c>
      <c r="AT852">
        <v>104.79170000000001</v>
      </c>
      <c r="AU852">
        <v>105.5187</v>
      </c>
      <c r="AV852">
        <v>167.8518</v>
      </c>
      <c r="AW852">
        <v>109.43729999999999</v>
      </c>
      <c r="AX852">
        <v>120.71259999999999</v>
      </c>
    </row>
    <row r="853" spans="1:50" x14ac:dyDescent="0.35">
      <c r="A853" s="75">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107.2432</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109.1604</v>
      </c>
      <c r="AN853">
        <v>110.03060000000001</v>
      </c>
      <c r="AO853">
        <v>104.6729</v>
      </c>
      <c r="AP853">
        <v>103.24979999999999</v>
      </c>
      <c r="AQ853"/>
      <c r="AR853"/>
      <c r="AS853">
        <v>106.7739</v>
      </c>
      <c r="AT853">
        <v>104.43170000000001</v>
      </c>
      <c r="AU853">
        <v>106.1855</v>
      </c>
      <c r="AV853">
        <v>167.9948</v>
      </c>
      <c r="AW853">
        <v>109.3659</v>
      </c>
      <c r="AX853">
        <v>121.00490000000001</v>
      </c>
    </row>
    <row r="854" spans="1:50" x14ac:dyDescent="0.35">
      <c r="A854" s="75">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107.29649999999999</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109.1425</v>
      </c>
      <c r="AN854">
        <v>109.4314</v>
      </c>
      <c r="AO854">
        <v>104.7598</v>
      </c>
      <c r="AP854">
        <v>101.88249999999999</v>
      </c>
      <c r="AQ854"/>
      <c r="AR854"/>
      <c r="AS854">
        <v>107.3657</v>
      </c>
      <c r="AT854">
        <v>102.6617</v>
      </c>
      <c r="AU854">
        <v>104.6373</v>
      </c>
      <c r="AV854">
        <v>168.64019999999999</v>
      </c>
      <c r="AW854">
        <v>109.80719999999999</v>
      </c>
      <c r="AX854">
        <v>121.1343</v>
      </c>
    </row>
    <row r="855" spans="1:50" x14ac:dyDescent="0.35">
      <c r="A855" s="75">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107.69580000000001</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109.5111</v>
      </c>
      <c r="AN855">
        <v>109.72110000000001</v>
      </c>
      <c r="AO855">
        <v>105.36839999999999</v>
      </c>
      <c r="AP855">
        <v>101.2088</v>
      </c>
      <c r="AQ855"/>
      <c r="AR855"/>
      <c r="AS855">
        <v>107.6242</v>
      </c>
      <c r="AT855">
        <v>103.7817</v>
      </c>
      <c r="AU855">
        <v>105.3746</v>
      </c>
      <c r="AV855">
        <v>168.3869</v>
      </c>
      <c r="AW855">
        <v>110.3289</v>
      </c>
      <c r="AX855">
        <v>122.65089999999999</v>
      </c>
    </row>
    <row r="856" spans="1:50" x14ac:dyDescent="0.35">
      <c r="A856" s="75">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107.8391</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109.7358</v>
      </c>
      <c r="AN856">
        <v>110.22190000000001</v>
      </c>
      <c r="AO856">
        <v>105.89</v>
      </c>
      <c r="AP856">
        <v>103.2993</v>
      </c>
      <c r="AQ856"/>
      <c r="AR856"/>
      <c r="AS856">
        <v>107.8541</v>
      </c>
      <c r="AT856">
        <v>104.2517</v>
      </c>
      <c r="AU856">
        <v>105.4516</v>
      </c>
      <c r="AV856">
        <v>169.61250000000001</v>
      </c>
      <c r="AW856">
        <v>110.3471</v>
      </c>
      <c r="AX856">
        <v>123.2915</v>
      </c>
    </row>
    <row r="857" spans="1:50" x14ac:dyDescent="0.35">
      <c r="A857" s="75">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107.6476</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109.6891</v>
      </c>
      <c r="AN857">
        <v>110.7894</v>
      </c>
      <c r="AO857">
        <v>106.7594</v>
      </c>
      <c r="AP857">
        <v>103.7452</v>
      </c>
      <c r="AQ857"/>
      <c r="AR857"/>
      <c r="AS857">
        <v>108.0527</v>
      </c>
      <c r="AT857">
        <v>104.2717</v>
      </c>
      <c r="AU857">
        <v>105.4349</v>
      </c>
      <c r="AV857">
        <v>171.64680000000001</v>
      </c>
      <c r="AW857">
        <v>109.84220000000001</v>
      </c>
      <c r="AX857">
        <v>123.1157</v>
      </c>
    </row>
    <row r="858" spans="1:50" x14ac:dyDescent="0.35">
      <c r="A858" s="75">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107.61060000000001</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109.7234</v>
      </c>
      <c r="AN858">
        <v>110.98820000000001</v>
      </c>
      <c r="AO858">
        <v>106.6725</v>
      </c>
      <c r="AP858">
        <v>103.339</v>
      </c>
      <c r="AQ858"/>
      <c r="AR858"/>
      <c r="AS858">
        <v>108.1418</v>
      </c>
      <c r="AT858">
        <v>105.0117</v>
      </c>
      <c r="AU858">
        <v>106.0347</v>
      </c>
      <c r="AV858">
        <v>174.40020000000001</v>
      </c>
      <c r="AW858">
        <v>109.7225</v>
      </c>
      <c r="AX858">
        <v>123.0433</v>
      </c>
    </row>
    <row r="859" spans="1:50" x14ac:dyDescent="0.35">
      <c r="A859" s="75">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107.8158</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110</v>
      </c>
      <c r="AN859">
        <v>111.48569999999999</v>
      </c>
      <c r="AO859">
        <v>107.45489999999999</v>
      </c>
      <c r="AP859">
        <v>104.2009</v>
      </c>
      <c r="AQ859"/>
      <c r="AR859"/>
      <c r="AS859">
        <v>108.328</v>
      </c>
      <c r="AT859">
        <v>105.65179999999999</v>
      </c>
      <c r="AU859">
        <v>106.6748</v>
      </c>
      <c r="AV859">
        <v>177.73769999999999</v>
      </c>
      <c r="AW859">
        <v>109.9302</v>
      </c>
      <c r="AX859">
        <v>123.2144</v>
      </c>
    </row>
    <row r="860" spans="1:50" x14ac:dyDescent="0.35">
      <c r="A860" s="75">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108.1841</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110.333</v>
      </c>
      <c r="AN860">
        <v>111.6049</v>
      </c>
      <c r="AO860">
        <v>107.6288</v>
      </c>
      <c r="AP860">
        <v>102.477</v>
      </c>
      <c r="AQ860"/>
      <c r="AR860"/>
      <c r="AS860">
        <v>108.54259999999999</v>
      </c>
      <c r="AT860">
        <v>105.3918</v>
      </c>
      <c r="AU860">
        <v>106.99979999999999</v>
      </c>
      <c r="AV860">
        <v>179.47380000000001</v>
      </c>
      <c r="AW860">
        <v>110.5085</v>
      </c>
      <c r="AX860">
        <v>124.2163</v>
      </c>
    </row>
    <row r="861" spans="1:50" x14ac:dyDescent="0.35">
      <c r="A861" s="75">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108.3801</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110.5198</v>
      </c>
      <c r="AN861">
        <v>111.61360000000001</v>
      </c>
      <c r="AO861">
        <v>107.6288</v>
      </c>
      <c r="AP861">
        <v>102.1797</v>
      </c>
      <c r="AQ861"/>
      <c r="AR861"/>
      <c r="AS861">
        <v>108.6949</v>
      </c>
      <c r="AT861">
        <v>105.23180000000001</v>
      </c>
      <c r="AU861">
        <v>106.4134</v>
      </c>
      <c r="AV861">
        <v>181.56950000000001</v>
      </c>
      <c r="AW861">
        <v>110.9432</v>
      </c>
      <c r="AX861">
        <v>124.2565</v>
      </c>
    </row>
    <row r="862" spans="1:50" x14ac:dyDescent="0.35">
      <c r="A862" s="75">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108.39870000000001</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110.6293</v>
      </c>
      <c r="AN862">
        <v>111.7316</v>
      </c>
      <c r="AO862">
        <v>108.0635</v>
      </c>
      <c r="AP862">
        <v>103.4479</v>
      </c>
      <c r="AQ862"/>
      <c r="AR862"/>
      <c r="AS862">
        <v>108.96339999999999</v>
      </c>
      <c r="AT862">
        <v>104.8717</v>
      </c>
      <c r="AU862">
        <v>106.6614</v>
      </c>
      <c r="AV862">
        <v>183.6815</v>
      </c>
      <c r="AW862">
        <v>111.06619999999999</v>
      </c>
      <c r="AX862">
        <v>124.5087</v>
      </c>
    </row>
    <row r="863" spans="1:50" x14ac:dyDescent="0.35">
      <c r="A863" s="75">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108.4992</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110.8165</v>
      </c>
      <c r="AN863">
        <v>112.06180000000001</v>
      </c>
      <c r="AO863">
        <v>108.41119999999999</v>
      </c>
      <c r="AP863">
        <v>103.5668</v>
      </c>
      <c r="AQ863"/>
      <c r="AR863"/>
      <c r="AS863">
        <v>108.97799999999999</v>
      </c>
      <c r="AT863">
        <v>105.5218</v>
      </c>
      <c r="AU863">
        <v>106.7787</v>
      </c>
      <c r="AV863">
        <v>186.95359999999999</v>
      </c>
      <c r="AW863">
        <v>111.1793</v>
      </c>
      <c r="AX863">
        <v>124.8852</v>
      </c>
    </row>
    <row r="864" spans="1:50" x14ac:dyDescent="0.35">
      <c r="A864" s="75">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108.4246</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110.8319</v>
      </c>
      <c r="AN864">
        <v>112.00749999999999</v>
      </c>
      <c r="AO864">
        <v>108.5851</v>
      </c>
      <c r="AP864">
        <v>103.2597</v>
      </c>
      <c r="AQ864"/>
      <c r="AR864"/>
      <c r="AS864">
        <v>109.0887</v>
      </c>
      <c r="AT864">
        <v>104.82170000000001</v>
      </c>
      <c r="AU864">
        <v>106.75190000000001</v>
      </c>
      <c r="AV864">
        <v>190.4178</v>
      </c>
      <c r="AW864">
        <v>111.2392</v>
      </c>
      <c r="AX864">
        <v>124.863</v>
      </c>
    </row>
    <row r="865" spans="1:50" x14ac:dyDescent="0.35">
      <c r="A865" s="75">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108.44629999999999</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110.92959999999999</v>
      </c>
      <c r="AN865">
        <v>112.3218</v>
      </c>
      <c r="AO865">
        <v>108.5851</v>
      </c>
      <c r="AP865">
        <v>103.10120000000001</v>
      </c>
      <c r="AQ865"/>
      <c r="AR865"/>
      <c r="AS865">
        <v>109.015</v>
      </c>
      <c r="AT865">
        <v>104.2817</v>
      </c>
      <c r="AU865">
        <v>107.43210000000001</v>
      </c>
      <c r="AV865">
        <v>191.83529999999999</v>
      </c>
      <c r="AW865">
        <v>111.13720000000001</v>
      </c>
      <c r="AX865">
        <v>125.02379999999999</v>
      </c>
    </row>
    <row r="866" spans="1:50" x14ac:dyDescent="0.35">
      <c r="A866" s="75">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108.60939999999999</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111.0727</v>
      </c>
      <c r="AN866">
        <v>112.2491</v>
      </c>
      <c r="AO866">
        <v>108.9328</v>
      </c>
      <c r="AP866">
        <v>102.4472</v>
      </c>
      <c r="AQ866"/>
      <c r="AR866"/>
      <c r="AS866">
        <v>109.8665</v>
      </c>
      <c r="AT866">
        <v>103.2717</v>
      </c>
      <c r="AU866">
        <v>106.41670000000001</v>
      </c>
      <c r="AV866">
        <v>194.2782</v>
      </c>
      <c r="AW866">
        <v>111.3556</v>
      </c>
      <c r="AX866">
        <v>125.16419999999999</v>
      </c>
    </row>
    <row r="867" spans="1:50" x14ac:dyDescent="0.35">
      <c r="A867" s="75">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108.8905</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111.3485</v>
      </c>
      <c r="AN867">
        <v>112.4547</v>
      </c>
      <c r="AO867">
        <v>109.36750000000001</v>
      </c>
      <c r="AP867">
        <v>101.88249999999999</v>
      </c>
      <c r="AQ867"/>
      <c r="AR867"/>
      <c r="AS867">
        <v>109.94280000000001</v>
      </c>
      <c r="AT867">
        <v>103.3317</v>
      </c>
      <c r="AU867">
        <v>106.6781</v>
      </c>
      <c r="AV867">
        <v>194.94</v>
      </c>
      <c r="AW867">
        <v>111.744</v>
      </c>
      <c r="AX867">
        <v>125.84780000000001</v>
      </c>
    </row>
    <row r="868" spans="1:50" x14ac:dyDescent="0.35">
      <c r="A868" s="75">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109.2444</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111.7637</v>
      </c>
      <c r="AN868">
        <v>112.98180000000001</v>
      </c>
      <c r="AO868">
        <v>110.15</v>
      </c>
      <c r="AP868">
        <v>103.4479</v>
      </c>
      <c r="AQ868"/>
      <c r="AR868"/>
      <c r="AS868">
        <v>110.6484</v>
      </c>
      <c r="AT868">
        <v>103.40170000000001</v>
      </c>
      <c r="AU868">
        <v>106.92610000000001</v>
      </c>
      <c r="AV868">
        <v>197.29300000000001</v>
      </c>
      <c r="AW868">
        <v>112.16379999999999</v>
      </c>
      <c r="AX868">
        <v>126.4178</v>
      </c>
    </row>
    <row r="869" spans="1:50" x14ac:dyDescent="0.35">
      <c r="A869" s="75">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109.758</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112.32559999999999</v>
      </c>
      <c r="AN869">
        <v>113.6165</v>
      </c>
      <c r="AO869">
        <v>110.6716</v>
      </c>
      <c r="AP869">
        <v>103.8343</v>
      </c>
      <c r="AQ869"/>
      <c r="AR869"/>
      <c r="AS869">
        <v>110.801</v>
      </c>
      <c r="AT869">
        <v>104.6317</v>
      </c>
      <c r="AU869">
        <v>107.3484</v>
      </c>
      <c r="AV869">
        <v>200.7244</v>
      </c>
      <c r="AW869">
        <v>113.0947</v>
      </c>
      <c r="AX869">
        <v>126.84269999999999</v>
      </c>
    </row>
    <row r="870" spans="1:50" x14ac:dyDescent="0.35">
      <c r="A870" s="75">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110.34220000000001</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112.8467</v>
      </c>
      <c r="AN870">
        <v>114.0192</v>
      </c>
      <c r="AO870">
        <v>111.0193</v>
      </c>
      <c r="AP870">
        <v>103.99290000000001</v>
      </c>
      <c r="AQ870"/>
      <c r="AR870"/>
      <c r="AS870">
        <v>111.6293</v>
      </c>
      <c r="AT870">
        <v>105.7418</v>
      </c>
      <c r="AU870">
        <v>107.4355</v>
      </c>
      <c r="AV870">
        <v>202.73840000000001</v>
      </c>
      <c r="AW870">
        <v>113.88939999999999</v>
      </c>
      <c r="AX870">
        <v>126.8409</v>
      </c>
    </row>
    <row r="871" spans="1:50" x14ac:dyDescent="0.35">
      <c r="A871" s="75">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110.988</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113.4641</v>
      </c>
      <c r="AN871">
        <v>114.5492</v>
      </c>
      <c r="AO871">
        <v>111.0193</v>
      </c>
      <c r="AP871">
        <v>103.93340000000001</v>
      </c>
      <c r="AQ871"/>
      <c r="AR871"/>
      <c r="AS871">
        <v>112.29</v>
      </c>
      <c r="AT871">
        <v>106.4918</v>
      </c>
      <c r="AU871">
        <v>107.536</v>
      </c>
      <c r="AV871">
        <v>207.33</v>
      </c>
      <c r="AW871">
        <v>114.84910000000001</v>
      </c>
      <c r="AX871">
        <v>127.38849999999999</v>
      </c>
    </row>
    <row r="872" spans="1:50" x14ac:dyDescent="0.35">
      <c r="A872" s="75">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111.3519</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113.78579999999999</v>
      </c>
      <c r="AN872">
        <v>114.7513</v>
      </c>
      <c r="AO872">
        <v>111.45399999999999</v>
      </c>
      <c r="AP872">
        <v>103.3489</v>
      </c>
      <c r="AQ872"/>
      <c r="AR872"/>
      <c r="AS872">
        <v>112.7825</v>
      </c>
      <c r="AT872">
        <v>106.8018</v>
      </c>
      <c r="AU872">
        <v>107.3115</v>
      </c>
      <c r="AV872">
        <v>208.46969999999999</v>
      </c>
      <c r="AW872">
        <v>115.23220000000001</v>
      </c>
      <c r="AX872">
        <v>127.9645</v>
      </c>
    </row>
    <row r="873" spans="1:50" x14ac:dyDescent="0.35">
      <c r="A873" s="75">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111.5243</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113.98099999999999</v>
      </c>
      <c r="AN873">
        <v>115.0424</v>
      </c>
      <c r="AO873">
        <v>111.7148</v>
      </c>
      <c r="AP873">
        <v>103.121</v>
      </c>
      <c r="AQ873"/>
      <c r="AR873"/>
      <c r="AS873">
        <v>113.42570000000001</v>
      </c>
      <c r="AT873">
        <v>106.87179999999999</v>
      </c>
      <c r="AU873">
        <v>107.66670000000001</v>
      </c>
      <c r="AV873">
        <v>209.1765</v>
      </c>
      <c r="AW873">
        <v>115.38120000000001</v>
      </c>
      <c r="AX873">
        <v>128.29769999999999</v>
      </c>
    </row>
    <row r="874" spans="1:50" x14ac:dyDescent="0.35">
      <c r="A874" s="75">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111.59059999999999</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114.1883</v>
      </c>
      <c r="AN874">
        <v>115.37439999999999</v>
      </c>
      <c r="AO874">
        <v>112.4973</v>
      </c>
      <c r="AP874">
        <v>104.3297</v>
      </c>
      <c r="AQ874"/>
      <c r="AR874"/>
      <c r="AS874">
        <v>114.68899999999999</v>
      </c>
      <c r="AT874">
        <v>106.45180000000001</v>
      </c>
      <c r="AU874">
        <v>107.97839999999999</v>
      </c>
      <c r="AV874">
        <v>212.40369999999999</v>
      </c>
      <c r="AW874">
        <v>115.5369</v>
      </c>
      <c r="AX874">
        <v>128.57980000000001</v>
      </c>
    </row>
    <row r="875" spans="1:50" x14ac:dyDescent="0.35">
      <c r="A875" s="75">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112.04430000000001</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114.7701</v>
      </c>
      <c r="AN875">
        <v>115.9757</v>
      </c>
      <c r="AO875">
        <v>113.27970000000001</v>
      </c>
      <c r="AP875">
        <v>104.6765</v>
      </c>
      <c r="AQ875"/>
      <c r="AR875"/>
      <c r="AS875">
        <v>115.4209</v>
      </c>
      <c r="AT875">
        <v>107.0718</v>
      </c>
      <c r="AU875">
        <v>108.44750000000001</v>
      </c>
      <c r="AV875">
        <v>216.8278</v>
      </c>
      <c r="AW875">
        <v>116.25230000000001</v>
      </c>
      <c r="AX875">
        <v>128.86490000000001</v>
      </c>
    </row>
    <row r="876" spans="1:50" x14ac:dyDescent="0.35">
      <c r="A876" s="75">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112.2959</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115.1315</v>
      </c>
      <c r="AN876">
        <v>116.3531</v>
      </c>
      <c r="AO876">
        <v>113.7144</v>
      </c>
      <c r="AP876">
        <v>105.0134</v>
      </c>
      <c r="AQ876"/>
      <c r="AR876"/>
      <c r="AS876">
        <v>116.0498</v>
      </c>
      <c r="AT876">
        <v>107.81180000000001</v>
      </c>
      <c r="AU876">
        <v>108.5179</v>
      </c>
      <c r="AV876">
        <v>222.76339999999999</v>
      </c>
      <c r="AW876">
        <v>116.7216</v>
      </c>
      <c r="AX876">
        <v>128.89400000000001</v>
      </c>
    </row>
    <row r="877" spans="1:50" x14ac:dyDescent="0.35">
      <c r="A877" s="75">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112.70180000000001</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116.0771</v>
      </c>
      <c r="AN877">
        <v>118.2953</v>
      </c>
      <c r="AO877">
        <v>114.1491</v>
      </c>
      <c r="AP877">
        <v>104.97369999999999</v>
      </c>
      <c r="AQ877"/>
      <c r="AR877"/>
      <c r="AS877">
        <v>116.1253</v>
      </c>
      <c r="AT877">
        <v>107.4718</v>
      </c>
      <c r="AU877">
        <v>108.9234</v>
      </c>
      <c r="AV877">
        <v>251.44069999999999</v>
      </c>
      <c r="AW877">
        <v>117.19799999999999</v>
      </c>
      <c r="AX877">
        <v>129.4033</v>
      </c>
    </row>
    <row r="878" spans="1:50" x14ac:dyDescent="0.35">
      <c r="A878" s="75">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113.12390000000001</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116.7927</v>
      </c>
      <c r="AN878">
        <v>118.98820000000001</v>
      </c>
      <c r="AO878">
        <v>115.27930000000001</v>
      </c>
      <c r="AP878">
        <v>104.9539</v>
      </c>
      <c r="AQ878"/>
      <c r="AR878"/>
      <c r="AS878">
        <v>117.2914</v>
      </c>
      <c r="AT878">
        <v>107.23180000000001</v>
      </c>
      <c r="AU878">
        <v>108.91</v>
      </c>
      <c r="AV878">
        <v>271.48610000000002</v>
      </c>
      <c r="AW878">
        <v>118.0599</v>
      </c>
      <c r="AX878">
        <v>129.71780000000001</v>
      </c>
    </row>
    <row r="879" spans="1:50" x14ac:dyDescent="0.35">
      <c r="A879" s="75">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113.79179999999999</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117.58629999999999</v>
      </c>
      <c r="AN879">
        <v>119.9571</v>
      </c>
      <c r="AO879">
        <v>116.40949999999999</v>
      </c>
      <c r="AP879">
        <v>105.1224</v>
      </c>
      <c r="AQ879"/>
      <c r="AR879"/>
      <c r="AS879">
        <v>117.9926</v>
      </c>
      <c r="AT879">
        <v>108.2118</v>
      </c>
      <c r="AU879">
        <v>109.9186</v>
      </c>
      <c r="AV879">
        <v>280.91039999999998</v>
      </c>
      <c r="AW879">
        <v>118.9115</v>
      </c>
      <c r="AX879">
        <v>130.2225</v>
      </c>
    </row>
    <row r="880" spans="1:50" x14ac:dyDescent="0.35">
      <c r="A880" s="75">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114.3463</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118.36279999999999</v>
      </c>
      <c r="AN880">
        <v>121.2512</v>
      </c>
      <c r="AO880">
        <v>117.5397</v>
      </c>
      <c r="AP880">
        <v>107.4012</v>
      </c>
      <c r="AQ880"/>
      <c r="AR880"/>
      <c r="AS880">
        <v>119.85760000000001</v>
      </c>
      <c r="AT880">
        <v>108.0318</v>
      </c>
      <c r="AU880">
        <v>110.7396</v>
      </c>
      <c r="AV880">
        <v>293.2801</v>
      </c>
      <c r="AW880">
        <v>119.4259</v>
      </c>
      <c r="AX880">
        <v>131.35419999999999</v>
      </c>
    </row>
    <row r="881" spans="1:50" x14ac:dyDescent="0.35">
      <c r="A881" s="75">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115.017</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119.3557</v>
      </c>
      <c r="AN881">
        <v>122.8364</v>
      </c>
      <c r="AO881">
        <v>119.1045</v>
      </c>
      <c r="AP881">
        <v>108.9864</v>
      </c>
      <c r="AQ881"/>
      <c r="AR881"/>
      <c r="AS881">
        <v>121.2989</v>
      </c>
      <c r="AT881">
        <v>110.3018</v>
      </c>
      <c r="AU881">
        <v>111.70140000000001</v>
      </c>
      <c r="AV881">
        <v>307.19380000000001</v>
      </c>
      <c r="AW881">
        <v>120.062</v>
      </c>
      <c r="AX881">
        <v>131.98840000000001</v>
      </c>
    </row>
    <row r="882" spans="1:50" x14ac:dyDescent="0.35">
      <c r="A882" s="75">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115.5912</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120.1117</v>
      </c>
      <c r="AN882">
        <v>123.9075</v>
      </c>
      <c r="AO882">
        <v>120.32170000000001</v>
      </c>
      <c r="AP882">
        <v>109.7791</v>
      </c>
      <c r="AQ882"/>
      <c r="AR882"/>
      <c r="AS882">
        <v>122.6182</v>
      </c>
      <c r="AT882">
        <v>111.5519</v>
      </c>
      <c r="AU882">
        <v>112.61620000000001</v>
      </c>
      <c r="AV882">
        <v>318.68920000000003</v>
      </c>
      <c r="AW882">
        <v>120.7473</v>
      </c>
      <c r="AX882">
        <v>132.34</v>
      </c>
    </row>
    <row r="883" spans="1:50" x14ac:dyDescent="0.35">
      <c r="A883" s="75">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116.1682</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120.85290000000001</v>
      </c>
      <c r="AN883">
        <v>124.7658</v>
      </c>
      <c r="AO883">
        <v>121.0172</v>
      </c>
      <c r="AP883">
        <v>110.15560000000001</v>
      </c>
      <c r="AQ883"/>
      <c r="AR883"/>
      <c r="AS883">
        <v>123.5462</v>
      </c>
      <c r="AT883">
        <v>112.89190000000001</v>
      </c>
      <c r="AU883">
        <v>113.4406</v>
      </c>
      <c r="AV883">
        <v>329.32679999999999</v>
      </c>
      <c r="AW883">
        <v>121.6447</v>
      </c>
      <c r="AX883">
        <v>132.94120000000001</v>
      </c>
    </row>
    <row r="884" spans="1:50" x14ac:dyDescent="0.35">
      <c r="A884" s="75">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116.65479999999999</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121.54949999999999</v>
      </c>
      <c r="AN884">
        <v>125.7604</v>
      </c>
      <c r="AO884">
        <v>121.7127</v>
      </c>
      <c r="AP884">
        <v>109.789</v>
      </c>
      <c r="AQ884"/>
      <c r="AR884"/>
      <c r="AS884">
        <v>124.5543</v>
      </c>
      <c r="AT884">
        <v>113.3319</v>
      </c>
      <c r="AU884">
        <v>113.7187</v>
      </c>
      <c r="AV884">
        <v>341.40629999999999</v>
      </c>
      <c r="AW884">
        <v>122.04349999999999</v>
      </c>
      <c r="AX884">
        <v>134.10730000000001</v>
      </c>
    </row>
    <row r="885" spans="1:50" x14ac:dyDescent="0.35">
      <c r="A885" s="75">
        <v>44774</v>
      </c>
      <c r="B885">
        <v>118.3835</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117.199</v>
      </c>
      <c r="V885">
        <v>118.7</v>
      </c>
      <c r="W885">
        <v>100.8646</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122.2317</v>
      </c>
      <c r="AN885">
        <v>126.7133</v>
      </c>
      <c r="AO885">
        <v>122.669</v>
      </c>
      <c r="AP885">
        <v>109.81870000000001</v>
      </c>
      <c r="AQ885"/>
      <c r="AR885"/>
      <c r="AS885">
        <v>125.66670000000001</v>
      </c>
      <c r="AT885">
        <v>113.61190000000001</v>
      </c>
      <c r="AU885">
        <v>114.7676</v>
      </c>
      <c r="AV885">
        <v>351.25139999999999</v>
      </c>
      <c r="AW885">
        <v>122.6759</v>
      </c>
      <c r="AX885">
        <v>134.46680000000001</v>
      </c>
    </row>
    <row r="886" spans="1:50" x14ac:dyDescent="0.35">
      <c r="A886" s="75">
        <v>44805</v>
      </c>
      <c r="B886">
        <v>119.2563</v>
      </c>
      <c r="C886">
        <v>116.2161</v>
      </c>
      <c r="D886"/>
      <c r="E886">
        <v>119.0532</v>
      </c>
      <c r="F886">
        <v>102.9954</v>
      </c>
      <c r="G886">
        <v>130.97380000000001</v>
      </c>
      <c r="H886"/>
      <c r="I886">
        <v>134.66329999999999</v>
      </c>
      <c r="J886"/>
      <c r="K886">
        <v>136.19999999999999</v>
      </c>
      <c r="L886">
        <v>114.8111</v>
      </c>
      <c r="M886">
        <v>110.8079</v>
      </c>
      <c r="N886">
        <v>111.98</v>
      </c>
      <c r="O886">
        <v>109.5681</v>
      </c>
      <c r="P886">
        <v>126.16759999999999</v>
      </c>
      <c r="Q886"/>
      <c r="R886">
        <v>110.97</v>
      </c>
      <c r="S886">
        <v>108.2303</v>
      </c>
      <c r="T886"/>
      <c r="U886">
        <v>117.6425</v>
      </c>
      <c r="V886">
        <v>119.3</v>
      </c>
      <c r="W886">
        <v>104.6407</v>
      </c>
      <c r="X886">
        <v>133.8843</v>
      </c>
      <c r="Y886"/>
      <c r="Z886"/>
      <c r="AA886">
        <v>110.8419</v>
      </c>
      <c r="AB886">
        <v>130.43870000000001</v>
      </c>
      <c r="AC886">
        <v>108.0774</v>
      </c>
      <c r="AD886">
        <v>107.983</v>
      </c>
      <c r="AE886"/>
      <c r="AF886">
        <v>111.8331</v>
      </c>
      <c r="AG886">
        <v>134.52070000000001</v>
      </c>
      <c r="AH886">
        <v>113.7</v>
      </c>
      <c r="AI886">
        <v>122.27370000000001</v>
      </c>
      <c r="AJ886">
        <v>132.7028</v>
      </c>
      <c r="AK886">
        <v>115.9598</v>
      </c>
      <c r="AL886">
        <v>119.74679999999999</v>
      </c>
      <c r="AM886">
        <v>122.8599</v>
      </c>
      <c r="AN886">
        <v>127.6996</v>
      </c>
      <c r="AO886">
        <v>124.40770000000001</v>
      </c>
      <c r="AP886">
        <v>111.5228</v>
      </c>
      <c r="AQ886"/>
      <c r="AR886"/>
      <c r="AS886">
        <v>126.5842</v>
      </c>
      <c r="AT886">
        <v>113.4919</v>
      </c>
      <c r="AU886">
        <v>115.9439</v>
      </c>
      <c r="AV886">
        <v>360.38159999999999</v>
      </c>
      <c r="AW886">
        <v>123.1977</v>
      </c>
      <c r="AX886">
        <v>135.2011</v>
      </c>
    </row>
    <row r="887" spans="1:50" x14ac:dyDescent="0.35">
      <c r="A887" s="75">
        <v>44835</v>
      </c>
      <c r="B887">
        <v>120.2383</v>
      </c>
      <c r="C887">
        <v>116.97369999999999</v>
      </c>
      <c r="D887"/>
      <c r="E887">
        <v>119.4034</v>
      </c>
      <c r="F887">
        <v>102.91589999999999</v>
      </c>
      <c r="G887">
        <v>131.5489</v>
      </c>
      <c r="H887"/>
      <c r="I887">
        <v>135.3749</v>
      </c>
      <c r="J887"/>
      <c r="K887">
        <v>137.4</v>
      </c>
      <c r="L887">
        <v>115.2902</v>
      </c>
      <c r="M887">
        <v>111.434</v>
      </c>
      <c r="N887">
        <v>112.6</v>
      </c>
      <c r="O887">
        <v>110.58969999999999</v>
      </c>
      <c r="P887">
        <v>127.41630000000001</v>
      </c>
      <c r="Q887"/>
      <c r="R887">
        <v>111.79</v>
      </c>
      <c r="S887">
        <v>108.4706</v>
      </c>
      <c r="T887"/>
      <c r="U887">
        <v>118.01819999999999</v>
      </c>
      <c r="V887">
        <v>120</v>
      </c>
      <c r="W887">
        <v>105.32689999999999</v>
      </c>
      <c r="X887">
        <v>135.53720000000001</v>
      </c>
      <c r="Y887"/>
      <c r="Z887"/>
      <c r="AA887">
        <v>110.9862</v>
      </c>
      <c r="AB887">
        <v>131.0411</v>
      </c>
      <c r="AC887">
        <v>108.5399</v>
      </c>
      <c r="AD887">
        <v>108.0873</v>
      </c>
      <c r="AE887"/>
      <c r="AF887">
        <v>112.23520000000001</v>
      </c>
      <c r="AG887">
        <v>136.23240000000001</v>
      </c>
      <c r="AH887">
        <v>113.77</v>
      </c>
      <c r="AI887">
        <v>123.2984</v>
      </c>
      <c r="AJ887">
        <v>133.32730000000001</v>
      </c>
      <c r="AK887">
        <v>117.1528</v>
      </c>
      <c r="AL887">
        <v>120.1874</v>
      </c>
      <c r="AM887">
        <v>123.5403</v>
      </c>
      <c r="AN887">
        <v>128.80609999999999</v>
      </c>
      <c r="AO887">
        <v>125.6249</v>
      </c>
      <c r="AP887">
        <v>112.1371</v>
      </c>
      <c r="AQ887"/>
      <c r="AR887"/>
      <c r="AS887">
        <v>127.6301</v>
      </c>
      <c r="AT887">
        <v>114.2719</v>
      </c>
      <c r="AU887">
        <v>117.3614</v>
      </c>
      <c r="AV887">
        <v>372.33449999999999</v>
      </c>
      <c r="AW887">
        <v>123.55800000000001</v>
      </c>
      <c r="AX887">
        <v>135.70179999999999</v>
      </c>
    </row>
    <row r="888" spans="1:50" x14ac:dyDescent="0.35">
      <c r="A888" s="75">
        <v>44866</v>
      </c>
      <c r="B888">
        <v>120.893</v>
      </c>
      <c r="C888">
        <v>117.6147</v>
      </c>
      <c r="D888"/>
      <c r="E888">
        <v>119.51909999999999</v>
      </c>
      <c r="F888">
        <v>103.01479999999999</v>
      </c>
      <c r="G888">
        <v>132.47130000000001</v>
      </c>
      <c r="H888"/>
      <c r="I888">
        <v>136.15969999999999</v>
      </c>
      <c r="J888"/>
      <c r="K888">
        <v>137.9</v>
      </c>
      <c r="L888">
        <v>114.58669999999999</v>
      </c>
      <c r="M888">
        <v>111.4088</v>
      </c>
      <c r="N888">
        <v>112.6</v>
      </c>
      <c r="O888">
        <v>111.1152</v>
      </c>
      <c r="P888">
        <v>127.52979999999999</v>
      </c>
      <c r="Q888"/>
      <c r="R888">
        <v>112.34</v>
      </c>
      <c r="S888">
        <v>108.673</v>
      </c>
      <c r="T888"/>
      <c r="U888">
        <v>118.06270000000001</v>
      </c>
      <c r="V888">
        <v>120.4</v>
      </c>
      <c r="W888">
        <v>104.9879</v>
      </c>
      <c r="X888">
        <v>137.1901</v>
      </c>
      <c r="Y888"/>
      <c r="Z888"/>
      <c r="AA888">
        <v>111.3475</v>
      </c>
      <c r="AB888">
        <v>131.25829999999999</v>
      </c>
      <c r="AC888">
        <v>108.6799</v>
      </c>
      <c r="AD888">
        <v>108.08580000000001</v>
      </c>
      <c r="AE888"/>
      <c r="AF888">
        <v>112.56310000000001</v>
      </c>
      <c r="AG888">
        <v>137.1163</v>
      </c>
      <c r="AH888">
        <v>113.92</v>
      </c>
      <c r="AI888">
        <v>124.53700000000001</v>
      </c>
      <c r="AJ888">
        <v>133.8252</v>
      </c>
      <c r="AK888">
        <v>116.46169999999999</v>
      </c>
      <c r="AL888">
        <v>120.0962</v>
      </c>
      <c r="AM888">
        <v>123.7908</v>
      </c>
      <c r="AN888">
        <v>129.23949999999999</v>
      </c>
      <c r="AO888">
        <v>126.49420000000001</v>
      </c>
      <c r="AP888">
        <v>112.6028</v>
      </c>
      <c r="AQ888"/>
      <c r="AR888"/>
      <c r="AS888">
        <v>128.583</v>
      </c>
      <c r="AT888">
        <v>114.8219</v>
      </c>
      <c r="AU888">
        <v>117.94110000000001</v>
      </c>
      <c r="AV888">
        <v>379.98989999999998</v>
      </c>
      <c r="AW888">
        <v>123.67570000000001</v>
      </c>
      <c r="AX888">
        <v>135.90870000000001</v>
      </c>
    </row>
    <row r="889" spans="1:50" x14ac:dyDescent="0.35">
      <c r="A889" s="75">
        <v>44896</v>
      </c>
      <c r="B889">
        <v>122.4205</v>
      </c>
      <c r="C889">
        <v>118.38200000000001</v>
      </c>
      <c r="D889"/>
      <c r="E889">
        <v>119.54470000000001</v>
      </c>
      <c r="F889">
        <v>103.1352</v>
      </c>
      <c r="G889">
        <v>132.67740000000001</v>
      </c>
      <c r="H889"/>
      <c r="I889">
        <v>137.38579999999999</v>
      </c>
      <c r="J889"/>
      <c r="K889">
        <v>138</v>
      </c>
      <c r="L889">
        <v>115.60899999999999</v>
      </c>
      <c r="M889">
        <v>111.78230000000001</v>
      </c>
      <c r="N889">
        <v>113.26</v>
      </c>
      <c r="O889">
        <v>111.6365</v>
      </c>
      <c r="P889">
        <v>128.04060000000001</v>
      </c>
      <c r="Q889"/>
      <c r="R889">
        <v>113.24</v>
      </c>
      <c r="S889">
        <v>108.97280000000001</v>
      </c>
      <c r="T889"/>
      <c r="U889"/>
      <c r="V889">
        <v>121</v>
      </c>
      <c r="W889">
        <v>105.3969</v>
      </c>
      <c r="X889">
        <v>138.31710000000001</v>
      </c>
      <c r="Y889"/>
      <c r="Z889"/>
      <c r="AA889">
        <v>111.9736</v>
      </c>
      <c r="AB889">
        <v>132.32040000000001</v>
      </c>
      <c r="AC889">
        <v>108.9209</v>
      </c>
      <c r="AD889">
        <v>108.7898</v>
      </c>
      <c r="AE889"/>
      <c r="AF889">
        <v>112.8699</v>
      </c>
      <c r="AG889">
        <v>138.00790000000001</v>
      </c>
      <c r="AH889">
        <v>113.76</v>
      </c>
      <c r="AI889">
        <v>124.6524</v>
      </c>
      <c r="AJ889">
        <v>134.55189999999999</v>
      </c>
      <c r="AK889">
        <v>117.2368</v>
      </c>
      <c r="AL889">
        <v>121.1621</v>
      </c>
      <c r="AM889"/>
      <c r="AN889"/>
      <c r="AO889">
        <v>127.27670000000001</v>
      </c>
      <c r="AP889">
        <v>112.6523</v>
      </c>
      <c r="AQ889"/>
      <c r="AR889"/>
      <c r="AS889">
        <v>128.98169999999999</v>
      </c>
      <c r="AT889">
        <v>115.42189999999999</v>
      </c>
      <c r="AU889">
        <v>119.2145</v>
      </c>
      <c r="AV889">
        <v>387.91910000000001</v>
      </c>
      <c r="AW889">
        <v>123.8874</v>
      </c>
      <c r="AX889">
        <v>136.28790000000001</v>
      </c>
    </row>
    <row r="890" spans="1:50" x14ac:dyDescent="0.35">
      <c r="A890" s="75">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row r="891" spans="1:50" x14ac:dyDescent="0.35">
      <c r="A891" s="75">
        <v>44958</v>
      </c>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row>
    <row r="892" spans="1:50" x14ac:dyDescent="0.35">
      <c r="A892" s="75">
        <v>44986</v>
      </c>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row>
    <row r="893" spans="1:50" x14ac:dyDescent="0.35">
      <c r="A893" s="75">
        <v>45017</v>
      </c>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row>
    <row r="894" spans="1:50" x14ac:dyDescent="0.35">
      <c r="A894" s="75">
        <v>45047</v>
      </c>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row>
    <row r="895" spans="1:50" x14ac:dyDescent="0.35">
      <c r="A895" s="75">
        <v>45078</v>
      </c>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row>
    <row r="896" spans="1:50" x14ac:dyDescent="0.35">
      <c r="A896" s="75">
        <v>45108</v>
      </c>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row>
    <row r="897" spans="1:50" x14ac:dyDescent="0.35">
      <c r="A897" s="75">
        <v>45139</v>
      </c>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row>
    <row r="898" spans="1:50" x14ac:dyDescent="0.35">
      <c r="A898" s="75">
        <v>45170</v>
      </c>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row>
    <row r="899" spans="1:50" x14ac:dyDescent="0.35">
      <c r="A899" s="75">
        <v>45200</v>
      </c>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row>
    <row r="900" spans="1:50" x14ac:dyDescent="0.35">
      <c r="A900" s="75">
        <v>45231</v>
      </c>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row>
    <row r="901" spans="1:50" x14ac:dyDescent="0.35">
      <c r="A901" s="75">
        <v>45261</v>
      </c>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row>
    <row r="902" spans="1:50" x14ac:dyDescent="0.35">
      <c r="A902" s="75">
        <v>45292</v>
      </c>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30" zoomScaleNormal="130" workbookViewId="0">
      <pane xSplit="1" ySplit="9" topLeftCell="B139" activePane="bottomRight" state="frozen"/>
      <selection activeCell="T26" sqref="T26"/>
      <selection pane="topRight" activeCell="T26" sqref="T26"/>
      <selection pane="bottomLeft" activeCell="T26" sqref="T26"/>
      <selection pane="bottomRight" activeCell="M162" sqref="M162"/>
    </sheetView>
  </sheetViews>
  <sheetFormatPr defaultColWidth="8.81640625" defaultRowHeight="14.5" x14ac:dyDescent="0.35"/>
  <cols>
    <col min="1" max="1" width="9.1796875" style="72" customWidth="1"/>
    <col min="2" max="2" width="13.6328125" customWidth="1"/>
    <col min="3" max="3" width="9.1796875" customWidth="1"/>
    <col min="4" max="4" width="7" customWidth="1"/>
    <col min="5" max="5" width="7.36328125" customWidth="1"/>
    <col min="6" max="6" width="7" customWidth="1"/>
    <col min="7" max="9" width="7.36328125" customWidth="1"/>
    <col min="10" max="12" width="7.1796875" customWidth="1"/>
    <col min="13" max="13" width="7.36328125" customWidth="1"/>
    <col min="14" max="14" width="7" hidden="1" customWidth="1"/>
    <col min="15" max="15" width="6.81640625" customWidth="1"/>
    <col min="16" max="16" width="6.1796875" customWidth="1"/>
    <col min="17" max="17" width="7.6328125" hidden="1" customWidth="1"/>
    <col min="18" max="18" width="6.6328125" customWidth="1"/>
    <col min="19" max="19" width="7.36328125" customWidth="1"/>
    <col min="20" max="20" width="7"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1"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2" customFormat="1" ht="16" customHeight="1" thickBot="1" x14ac:dyDescent="0.4">
      <c r="AD2" s="72" t="s">
        <v>504</v>
      </c>
      <c r="AE2" s="28">
        <v>44866</v>
      </c>
    </row>
    <row r="3" spans="2:31" ht="75.75" customHeight="1" x14ac:dyDescent="0.35">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0"/>
    </row>
    <row r="4" spans="2:31" x14ac:dyDescent="0.35">
      <c r="B4" s="61" t="s">
        <v>513</v>
      </c>
      <c r="C4" s="22">
        <f t="shared" ref="C4:Y4" ca="1" si="0">MAX(OFFSET(C$59,COUNT(C$59:C$250),0,-13,1))</f>
        <v>9.0598213055061744E-2</v>
      </c>
      <c r="D4" s="22">
        <f t="shared" ca="1" si="0"/>
        <v>2.7833078169306535E-2</v>
      </c>
      <c r="E4" s="22">
        <f t="shared" ca="1" si="0"/>
        <v>0.10620601407549589</v>
      </c>
      <c r="F4" s="22" t="e">
        <f t="shared" ca="1" si="0"/>
        <v>#N/A</v>
      </c>
      <c r="G4" s="22">
        <f t="shared" ca="1" si="0"/>
        <v>0.10388417473141337</v>
      </c>
      <c r="H4" s="22">
        <f t="shared" ca="1" si="0"/>
        <v>6.2004662004662058E-2</v>
      </c>
      <c r="I4" s="22">
        <f t="shared" ca="1" si="0"/>
        <v>9.6119929453262712E-2</v>
      </c>
      <c r="J4" s="22">
        <f t="shared" ca="1" si="0"/>
        <v>0.11837121212121213</v>
      </c>
      <c r="K4" s="22">
        <f t="shared" ca="1" si="0"/>
        <v>0.10770194703053385</v>
      </c>
      <c r="L4" s="22">
        <f t="shared" ca="1" si="0"/>
        <v>0.12338702006207</v>
      </c>
      <c r="M4" s="22">
        <f t="shared" ca="1" si="0"/>
        <v>8.6997558542958028E-2</v>
      </c>
      <c r="N4" s="22">
        <f t="shared" ca="1" si="0"/>
        <v>0.16698412994105594</v>
      </c>
      <c r="O4" s="22" t="e">
        <f t="shared" ca="1" si="0"/>
        <v>#N/A</v>
      </c>
      <c r="P4" s="22">
        <f t="shared" ca="1" si="0"/>
        <v>8.1329361491875099E-2</v>
      </c>
      <c r="Q4" s="22" t="e">
        <f t="shared" ca="1" si="0"/>
        <v>#N/A</v>
      </c>
      <c r="R4" s="22">
        <f t="shared" ca="1" si="0"/>
        <v>3.4521040753623403E-2</v>
      </c>
      <c r="S4" s="22">
        <f t="shared" ca="1" si="0"/>
        <v>6.3368333365800958E-2</v>
      </c>
      <c r="T4" s="22">
        <f t="shared" ca="1" si="0"/>
        <v>0.12131658949711699</v>
      </c>
      <c r="U4" s="22">
        <f t="shared" ca="1" si="0"/>
        <v>0.1209375765283956</v>
      </c>
      <c r="V4" s="22">
        <f t="shared" ca="1" si="0"/>
        <v>9.159609651287598E-2</v>
      </c>
      <c r="W4" s="22">
        <f t="shared" ca="1" si="0"/>
        <v>0.85514812880657198</v>
      </c>
      <c r="X4" s="22">
        <f t="shared" ca="1" si="0"/>
        <v>0.17972742759795565</v>
      </c>
      <c r="Y4" s="62">
        <f t="shared" ca="1" si="0"/>
        <v>0.18036196269157873</v>
      </c>
      <c r="Z4" s="49" t="e">
        <f>MAX(Z94:Z106)</f>
        <v>#N/A</v>
      </c>
      <c r="AA4" s="22" t="e">
        <f>MAX(AA94:AA106)</f>
        <v>#N/A</v>
      </c>
      <c r="AB4" s="71"/>
    </row>
    <row r="5" spans="2:31" x14ac:dyDescent="0.35">
      <c r="B5" s="61" t="s">
        <v>514</v>
      </c>
      <c r="C5" s="22">
        <f t="shared" ref="C5:Y5" ca="1" si="1">MIN(OFFSET(C$59,COUNT(C$59:C$250),0,-13,1))</f>
        <v>6.4544183219345561E-2</v>
      </c>
      <c r="D5" s="22">
        <f t="shared" ca="1" si="1"/>
        <v>9.8516772317086745E-3</v>
      </c>
      <c r="E5" s="22">
        <f t="shared" ca="1" si="1"/>
        <v>5.1082415495632451E-2</v>
      </c>
      <c r="F5" s="22" t="e">
        <f t="shared" ca="1" si="1"/>
        <v>#N/A</v>
      </c>
      <c r="G5" s="22">
        <f t="shared" ca="1" si="1"/>
        <v>4.8918477356075275E-2</v>
      </c>
      <c r="H5" s="22">
        <f t="shared" ca="1" si="1"/>
        <v>2.8538812785388126E-2</v>
      </c>
      <c r="I5" s="22">
        <f t="shared" ca="1" si="1"/>
        <v>4.8490393412625774E-2</v>
      </c>
      <c r="J5" s="22">
        <f t="shared" ca="1" si="1"/>
        <v>4.8402710551790899E-2</v>
      </c>
      <c r="K5" s="22">
        <f t="shared" ca="1" si="1"/>
        <v>5.7076599896853368E-2</v>
      </c>
      <c r="L5" s="22">
        <f t="shared" ca="1" si="1"/>
        <v>3.6883392278547693E-2</v>
      </c>
      <c r="M5" s="22">
        <f t="shared" ca="1" si="1"/>
        <v>7.0701061462377937E-2</v>
      </c>
      <c r="N5" s="22">
        <f t="shared" ca="1" si="1"/>
        <v>-1</v>
      </c>
      <c r="O5" s="22" t="e">
        <f t="shared" ca="1" si="1"/>
        <v>#N/A</v>
      </c>
      <c r="P5" s="22">
        <f t="shared" ca="1" si="1"/>
        <v>5.1374878081169223E-2</v>
      </c>
      <c r="Q5" s="22" t="e">
        <f t="shared" ca="1" si="1"/>
        <v>#N/A</v>
      </c>
      <c r="R5" s="22">
        <f t="shared" ca="1" si="1"/>
        <v>1.6488178503451287E-2</v>
      </c>
      <c r="S5" s="22">
        <f t="shared" ca="1" si="1"/>
        <v>3.6124896492285431E-2</v>
      </c>
      <c r="T5" s="22">
        <f t="shared" ca="1" si="1"/>
        <v>5.7850983573768618E-2</v>
      </c>
      <c r="U5" s="22">
        <f t="shared" ca="1" si="1"/>
        <v>6.2497536251143487E-2</v>
      </c>
      <c r="V5" s="22">
        <f t="shared" ca="1" si="1"/>
        <v>5.02465128415992E-2</v>
      </c>
      <c r="W5" s="22">
        <f t="shared" ca="1" si="1"/>
        <v>0.48690805508582369</v>
      </c>
      <c r="X5" s="22">
        <f t="shared" ca="1" si="1"/>
        <v>9.8765432098765329E-2</v>
      </c>
      <c r="Y5" s="62">
        <f t="shared" ca="1" si="1"/>
        <v>8.5401383273208509E-2</v>
      </c>
      <c r="Z5" s="49" t="e">
        <f>MIN(Z94:Z106)</f>
        <v>#N/A</v>
      </c>
      <c r="AA5" s="22" t="e">
        <f>MIN(AA94:AA106)</f>
        <v>#N/A</v>
      </c>
      <c r="AB5" s="71"/>
    </row>
    <row r="6" spans="2:31" x14ac:dyDescent="0.35">
      <c r="B6" s="61" t="s">
        <v>515</v>
      </c>
      <c r="C6" s="22">
        <f t="shared" ref="C6:Y6" ca="1" si="2">AVERAGE(OFFSET(C$59,COUNT(C$59:C$250),0,-13,1))</f>
        <v>8.0077393832276161E-2</v>
      </c>
      <c r="D6" s="22">
        <f t="shared" ca="1" si="2"/>
        <v>1.9753054178601969E-2</v>
      </c>
      <c r="E6" s="22">
        <f t="shared" ca="1" si="2"/>
        <v>8.3639938888762741E-2</v>
      </c>
      <c r="F6" s="22" t="e">
        <f t="shared" ca="1" si="2"/>
        <v>#N/A</v>
      </c>
      <c r="G6" s="22">
        <f t="shared" ca="1" si="2"/>
        <v>7.884743626700709E-2</v>
      </c>
      <c r="H6" s="22">
        <f t="shared" ca="1" si="2"/>
        <v>5.2151586446539028E-2</v>
      </c>
      <c r="I6" s="22">
        <f t="shared" ca="1" si="2"/>
        <v>7.9014878622945539E-2</v>
      </c>
      <c r="J6" s="22">
        <f t="shared" ca="1" si="2"/>
        <v>8.179537689364344E-2</v>
      </c>
      <c r="K6" s="22">
        <f t="shared" ca="1" si="2"/>
        <v>8.4029639441659323E-2</v>
      </c>
      <c r="L6" s="22">
        <f t="shared" ca="1" si="2"/>
        <v>8.3390906827093839E-2</v>
      </c>
      <c r="M6" s="22">
        <f t="shared" ca="1" si="2"/>
        <v>7.890964667704857E-2</v>
      </c>
      <c r="N6" s="22">
        <f t="shared" ca="1" si="2"/>
        <v>-0.72117135953253986</v>
      </c>
      <c r="O6" s="22" t="e">
        <f t="shared" ca="1" si="2"/>
        <v>#N/A</v>
      </c>
      <c r="P6" s="22">
        <f t="shared" ca="1" si="2"/>
        <v>6.798092476192058E-2</v>
      </c>
      <c r="Q6" s="22" t="e">
        <f t="shared" ca="1" si="2"/>
        <v>#N/A</v>
      </c>
      <c r="R6" s="22">
        <f t="shared" ca="1" si="2"/>
        <v>2.8329780286742826E-2</v>
      </c>
      <c r="S6" s="22">
        <f t="shared" ca="1" si="2"/>
        <v>5.084457696703254E-2</v>
      </c>
      <c r="T6" s="22">
        <f t="shared" ca="1" si="2"/>
        <v>9.3411647004869369E-2</v>
      </c>
      <c r="U6" s="22">
        <f t="shared" ca="1" si="2"/>
        <v>9.6463787762035944E-2</v>
      </c>
      <c r="V6" s="22">
        <f t="shared" ca="1" si="2"/>
        <v>7.7906148567960701E-2</v>
      </c>
      <c r="W6" s="22">
        <f t="shared" ca="1" si="2"/>
        <v>0.71982924941897553</v>
      </c>
      <c r="X6" s="22">
        <f t="shared" ca="1" si="2"/>
        <v>0.15071484389806933</v>
      </c>
      <c r="Y6" s="62">
        <f t="shared" ca="1" si="2"/>
        <v>0.14372533767783199</v>
      </c>
      <c r="Z6" s="49" t="e">
        <f>AVERAGE(Z94:Z106)</f>
        <v>#N/A</v>
      </c>
      <c r="AA6" s="22" t="e">
        <f>AVERAGE(AA94:AA106)</f>
        <v>#N/A</v>
      </c>
      <c r="AB6" s="71"/>
    </row>
    <row r="7" spans="2:31" ht="16" customHeight="1" thickBot="1" x14ac:dyDescent="0.4">
      <c r="B7" s="63" t="s">
        <v>516</v>
      </c>
      <c r="C7" s="64" t="str">
        <f t="shared" ref="C7:Y7" ca="1" si="3">IF((VLOOKUP($AE$2,$B:$Y,MATCH(C3,$B$3:$Y$3,),))&gt;C6,"above","below")</f>
        <v>below</v>
      </c>
      <c r="D7" s="64" t="str">
        <f t="shared" ca="1" si="3"/>
        <v>below</v>
      </c>
      <c r="E7" s="64" t="str">
        <f t="shared" ca="1" si="3"/>
        <v>above</v>
      </c>
      <c r="F7" s="64" t="e">
        <f t="shared" ca="1" si="3"/>
        <v>#N/A</v>
      </c>
      <c r="G7" s="64" t="str">
        <f t="shared" ca="1" si="3"/>
        <v>above</v>
      </c>
      <c r="H7" s="64" t="str">
        <f t="shared" ca="1" si="3"/>
        <v>above</v>
      </c>
      <c r="I7" s="64" t="str">
        <f t="shared" ca="1" si="3"/>
        <v>above</v>
      </c>
      <c r="J7" s="64" t="str">
        <f t="shared" ca="1" si="3"/>
        <v>above</v>
      </c>
      <c r="K7" s="64" t="str">
        <f t="shared" ca="1" si="3"/>
        <v>below</v>
      </c>
      <c r="L7" s="64" t="str">
        <f t="shared" ca="1" si="3"/>
        <v>above</v>
      </c>
      <c r="M7" s="64" t="str">
        <f t="shared" ca="1" si="3"/>
        <v>below</v>
      </c>
      <c r="N7" s="64" t="str">
        <f t="shared" ca="1" si="3"/>
        <v>below</v>
      </c>
      <c r="O7" s="64" t="e">
        <f t="shared" ca="1" si="3"/>
        <v>#N/A</v>
      </c>
      <c r="P7" s="64" t="str">
        <f t="shared" ca="1" si="3"/>
        <v>below</v>
      </c>
      <c r="Q7" s="64" t="e">
        <f t="shared" ca="1" si="3"/>
        <v>#N/A</v>
      </c>
      <c r="R7" s="64" t="str">
        <f t="shared" ca="1" si="3"/>
        <v>above</v>
      </c>
      <c r="S7" s="64" t="str">
        <f t="shared" ca="1" si="3"/>
        <v>below</v>
      </c>
      <c r="T7" s="64" t="str">
        <f t="shared" ca="1" si="3"/>
        <v>below</v>
      </c>
      <c r="U7" s="64" t="str">
        <f t="shared" ca="1" si="3"/>
        <v>below</v>
      </c>
      <c r="V7" s="64" t="str">
        <f t="shared" ca="1" si="3"/>
        <v>above</v>
      </c>
      <c r="W7" s="64" t="str">
        <f t="shared" ca="1" si="3"/>
        <v>above</v>
      </c>
      <c r="X7" s="64" t="str">
        <f t="shared" ca="1" si="3"/>
        <v>above</v>
      </c>
      <c r="Y7" s="65" t="str">
        <f t="shared" ca="1" si="3"/>
        <v>above</v>
      </c>
      <c r="Z7" s="50" t="e">
        <f>IF((VLOOKUP($AE$2,$B:$Z,MATCH(Z3,$B$3:$Z$3,),))&gt;Z6,"above","below")</f>
        <v>#N/A</v>
      </c>
      <c r="AA7" s="11" t="e">
        <f>IF((VLOOKUP($AE$2,$B:$AA,MATCH(AA3,$B$3:$AA$3,),))&gt;AA6,"above","below")</f>
        <v>#N/A</v>
      </c>
      <c r="AB7" s="71"/>
    </row>
    <row r="8" spans="2:31" hidden="1" x14ac:dyDescent="0.35">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35">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35">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35">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35">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35">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35">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35">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35">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35">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35">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35">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35">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35">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35">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35">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35">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2" t="s">
        <v>554</v>
      </c>
    </row>
    <row r="80" spans="2:32" x14ac:dyDescent="0.35">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2" customFormat="1" x14ac:dyDescent="0.35">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2" customFormat="1" x14ac:dyDescent="0.35">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2" customFormat="1" x14ac:dyDescent="0.35">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2" customFormat="1" x14ac:dyDescent="0.35">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2" customFormat="1" x14ac:dyDescent="0.35">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2" customFormat="1" x14ac:dyDescent="0.35">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2.7566539923954289E-2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2" customFormat="1" x14ac:dyDescent="0.35">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2" customFormat="1" x14ac:dyDescent="0.35">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2" customFormat="1" x14ac:dyDescent="0.35">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2" customFormat="1" x14ac:dyDescent="0.35">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2" customFormat="1" x14ac:dyDescent="0.35">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2" customFormat="1" x14ac:dyDescent="0.35">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2" customFormat="1" x14ac:dyDescent="0.35">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2" customFormat="1" x14ac:dyDescent="0.35">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2" customFormat="1" x14ac:dyDescent="0.35">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2" customFormat="1" x14ac:dyDescent="0.35">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2" customFormat="1" x14ac:dyDescent="0.35">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2" customFormat="1" x14ac:dyDescent="0.35">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2" customFormat="1" x14ac:dyDescent="0.35">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2" customFormat="1" x14ac:dyDescent="0.35">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2" customFormat="1" x14ac:dyDescent="0.35">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2" customFormat="1" x14ac:dyDescent="0.35">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2" customFormat="1" x14ac:dyDescent="0.35">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2" customFormat="1" x14ac:dyDescent="0.35">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2" customFormat="1" x14ac:dyDescent="0.35">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2" customFormat="1" x14ac:dyDescent="0.35">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2" customFormat="1" x14ac:dyDescent="0.35">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2" customFormat="1" x14ac:dyDescent="0.35">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2" customFormat="1" x14ac:dyDescent="0.35">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2" customFormat="1" x14ac:dyDescent="0.35">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2" customFormat="1" x14ac:dyDescent="0.35">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2" customFormat="1" x14ac:dyDescent="0.35">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2" customFormat="1" x14ac:dyDescent="0.35">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2" customFormat="1" x14ac:dyDescent="0.35">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2" customFormat="1" x14ac:dyDescent="0.35">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2" customFormat="1" x14ac:dyDescent="0.35">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2" customFormat="1" x14ac:dyDescent="0.35">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2" customFormat="1" x14ac:dyDescent="0.35">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2" customFormat="1" x14ac:dyDescent="0.35">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2" customFormat="1" x14ac:dyDescent="0.35">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2" customFormat="1" x14ac:dyDescent="0.35">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2" customFormat="1" x14ac:dyDescent="0.35">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2" customFormat="1" x14ac:dyDescent="0.35">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2" customFormat="1" x14ac:dyDescent="0.35">
      <c r="B151" s="15">
        <v>44805</v>
      </c>
      <c r="C151" s="20">
        <f>IF(VLOOKUP(B151,Data!$A:$AX,MATCH($C$1,Data!$A$1:$AX$1,))=0,#N/A,(VLOOKUP(B151,Data!$A:$AX,MATCH($C$1,Data!$A$1:$AX$1,),)-VLOOKUP(EDATE(B151,-12),Data!$A:$AX,MATCH($C$1,Data!$A$1:$AX$1,),))/VLOOKUP(EDATE(B151,-12),Data!$A:$AX,MATCH($C$1,Data!$A$1:$AX$1,),))</f>
        <v>8.2017172091592525E-2</v>
      </c>
      <c r="D151" s="20">
        <f>IF(VLOOKUP(B151,Data!$A:$AX,MATCH($D$1,Data!$A$1:$AX$1,))=0,#N/A,(VLOOKUP(B151,Data!$A:$AX,MATCH($D$1,Data!$A$1:$AX$1,),)-VLOOKUP(EDATE(B151,-12),Data!$A:$AX,MATCH($D$1,Data!$A$1:$AX$1,),))/VLOOKUP(EDATE(B151,-12),Data!$A:$AX,MATCH($D$1,Data!$A$1:$AX$1,),))</f>
        <v>2.7833078169306535E-2</v>
      </c>
      <c r="E151" s="20">
        <f>IF(VLOOKUP(B151,Data!$A:$AX,MATCH($E$1,Data!$A$1:$AX$1,))=0,#N/A,(VLOOKUP(B151,Data!$A:$AX,MATCH($E$1,Data!$A$1:$AX$1,),)-VLOOKUP(EDATE(B151,-12),Data!$A:$AX,MATCH($E$1,Data!$A$1:$AX$1,),))/VLOOKUP(EDATE(B151,-12),Data!$A:$AX,MATCH($E$1,Data!$A$1:$AX$1,),))</f>
        <v>9.9271822287768555E-2</v>
      </c>
      <c r="F151" s="20" t="e">
        <f>IF(VLOOKUP(B151,Data!$A:$AX,MATCH($F$1,Data!$A$1:$AX$1,))=0,#N/A,(VLOOKUP(B151,Data!$A:$AX,MATCH($F$1,Data!$A$1:$AX$1,),)-VLOOKUP(EDATE(B151,-12),Data!$A:$AX,MATCH($F$1,Data!$A$1:$AX$1,),))/VLOOKUP(EDATE(B151,-12),Data!$A:$AX,MATCH($F$1,Data!$A$1:$AX$1,),))</f>
        <v>#N/A</v>
      </c>
      <c r="G151" s="20">
        <f>IF(VLOOKUP(B151,Data!$A:$AX,MATCH($G$1,Data!$A$1:$AX$1,))=0,#N/A,(VLOOKUP(B151,Data!$A:$AX,MATCH($G$1,Data!$A$1:$AX$1,),)-VLOOKUP(EDATE(B151,-12),Data!$A:$AX,MATCH($G$1,Data!$A$1:$AX$1,),))/VLOOKUP(EDATE(B151,-12),Data!$A:$AX,MATCH($G$1,Data!$A$1:$AX$1,),))</f>
        <v>9.9908825409740817E-2</v>
      </c>
      <c r="H151" s="20">
        <f>IF(VLOOKUP(B151,Data!$A:$AX,MATCH($H$1,Data!$A$1:$AX$1,))=0,#N/A,(VLOOKUP(B151,Data!$A:$AX,MATCH($H$1,Data!$A$1:$AX$1,),)-VLOOKUP(EDATE(B151,-12),Data!$A:$AX,MATCH($H$1,Data!$A$1:$AX$1,),))/VLOOKUP(EDATE(B151,-12),Data!$A:$AX,MATCH($H$1,Data!$A$1:$AX$1,),))</f>
        <v>5.5519146147364411E-2</v>
      </c>
      <c r="I151" s="20">
        <f>IF(VLOOKUP(B151,Data!$A:$AX,MATCH($I$1,Data!$A$1:$AX$1,))=0,#N/A,(VLOOKUP(B151,Data!$A:$AX,MATCH($I$1,Data!$A$1:$AX$1,),)-VLOOKUP(EDATE(B151,-12),Data!$A:$AX,MATCH($I$1,Data!$A$1:$AX$1,),))/VLOOKUP(EDATE(B151,-12),Data!$A:$AX,MATCH($I$1,Data!$A$1:$AX$1,),))</f>
        <v>8.8078291814946544E-2</v>
      </c>
      <c r="J151" s="20">
        <f>IF(VLOOKUP(B151,Data!$A:$AX,MATCH($J$1,Data!$A$1:$AX$1,))=0,#N/A,(VLOOKUP(B151,Data!$A:$AX,MATCH($J$1,Data!$A$1:$AX$1,),)-VLOOKUP(EDATE(B151,-12),Data!$A:$AX,MATCH($J$1,Data!$A$1:$AX$1,),))/VLOOKUP(EDATE(B151,-12),Data!$A:$AX,MATCH($J$1,Data!$A$1:$AX$1,),))</f>
        <v>8.8655862726406062E-2</v>
      </c>
      <c r="K151" s="20">
        <f>IF(VLOOKUP(B151,Data!$A:$AX,MATCH($K$1,Data!$A$1:$AX$1,))=0,#N/A,(VLOOKUP(B151,Data!$A:$AX,MATCH($K$1,Data!$A$1:$AX$1,),)-VLOOKUP(EDATE(B151,-12),Data!$A:$AX,MATCH($K$1,Data!$A$1:$AX$1,),))/VLOOKUP(EDATE(B151,-12),Data!$A:$AX,MATCH($K$1,Data!$A$1:$AX$1,),))</f>
        <v>8.871937712631435E-2</v>
      </c>
      <c r="L151" s="20">
        <f>IF(VLOOKUP(B151,Data!$A:$AX,MATCH($L$1,Data!$A$1:$AX$1,))=0,#N/A,(VLOOKUP(B151,Data!$A:$AX,MATCH($L$1,Data!$A$1:$AX$1,),)-VLOOKUP(EDATE(B151,-12),Data!$A:$AX,MATCH($L$1,Data!$A$1:$AX$1,),))/VLOOKUP(EDATE(B151,-12),Data!$A:$AX,MATCH($L$1,Data!$A$1:$AX$1,),))</f>
        <v>0.10837588432655235</v>
      </c>
      <c r="M151" s="20">
        <f>IF(VLOOKUP(B151,Data!$A:$AX,MATCH($M$1,Data!$A$1:$AX$1,))=0,#N/A,(VLOOKUP(B151,Data!$A:$AX,MATCH($M$1,Data!$A$1:$AX$1,),)-VLOOKUP(EDATE(B151,-12),Data!$A:$AX,MATCH($M$1,Data!$A$1:$AX$1,),))/VLOOKUP(EDATE(B151,-12),Data!$A:$AX,MATCH($M$1,Data!$A$1:$AX$1,),))</f>
        <v>8.6997558542958028E-2</v>
      </c>
      <c r="N151" s="20">
        <f>(VLOOKUP(B151,Data!$A:$AX,MATCH($N$1,Data!$A$1:$AX$1,),)-VLOOKUP(EDATE(B151,-12),Data!$A:$AX,MATCH($N$1,Data!$A$1:$AX$1,),))/VLOOKUP(EDATE(B151,-12),Data!$A:$AX,MATCH($N$1,Data!$A$1:$AX$1,),)</f>
        <v>-1</v>
      </c>
      <c r="O151" s="20">
        <f>IF(VLOOKUP(B151,Data!$A:$AX,MATCH($O$1,Data!$A$1:$AX$1,))=0,#N/A,(VLOOKUP(B151,Data!$A:$AX,MATCH($O$1,Data!$A$1:$AX$1,),)-VLOOKUP(EDATE(B151,-12),Data!$A:$AX,MATCH($O$1,Data!$A$1:$AX$1,),))/VLOOKUP(EDATE(B151,-12),Data!$A:$AX,MATCH($O$1,Data!$A$1:$AX$1,),))</f>
        <v>6.4882551694185345E-2</v>
      </c>
      <c r="P151" s="20">
        <f>IF(VLOOKUP(B151,Data!$A:$AX,MATCH($P$1,Data!$A$1:$AX$1,))=0,#N/A,(VLOOKUP(B151,Data!$A:$AX,MATCH($P$1,Data!$A$1:$AX$1,),)-VLOOKUP(EDATE(B151,-12),Data!$A:$AX,MATCH($P$1,Data!$A$1:$AX$1,),))/VLOOKUP(EDATE(B151,-12),Data!$A:$AX,MATCH($P$1,Data!$A$1:$AX$1,),))</f>
        <v>6.8579840201798234E-2</v>
      </c>
      <c r="Q151" s="20" t="e">
        <f>(VLOOKUP(B151,Data!$A:$AX,MATCH($Q$1,Data!$A$1:$AX$1,),)-VLOOKUP(EDATE(B151,-12),Data!$A:$AX,MATCH($Q$1,Data!$A$1:$AX$1,),))/VLOOKUP(EDATE(B151,-12),Data!$A:$AX,MATCH($Q$1,Data!$A$1:$AX$1,),)</f>
        <v>#N/A</v>
      </c>
      <c r="R151" s="20">
        <f>IF(VLOOKUP(B151,Data!$A:$AX,MATCH($R$1,Data!$A$1:$AX$1,))=0,#N/A,(VLOOKUP(B151,Data!$A:$AX,MATCH($R$1,Data!$A$1:$AX$1,),)-VLOOKUP(EDATE(B151,-12),Data!$A:$AX,MATCH($R$1,Data!$A$1:$AX$1,),))/VLOOKUP(EDATE(B151,-12),Data!$A:$AX,MATCH($R$1,Data!$A$1:$AX$1,),))</f>
        <v>3.2524561101125282E-2</v>
      </c>
      <c r="S151" s="20">
        <f>IF(VLOOKUP(B151,Data!$A:$AX,MATCH($S$1,Data!$A$1:$AX$1,))=0,#N/A,(VLOOKUP(B151,Data!$A:$AX,MATCH($S$1,Data!$A$1:$AX$1,),)-VLOOKUP(EDATE(B151,-12),Data!$A:$AX,MATCH($S$1,Data!$A$1:$AX$1,),))/VLOOKUP(EDATE(B151,-12),Data!$A:$AX,MATCH($S$1,Data!$A$1:$AX$1,),))</f>
        <v>5.5830679151740649E-2</v>
      </c>
      <c r="T151" s="20">
        <f>IF(VLOOKUP(B151,Data!$A:$AX,MATCH($T$1,Data!$A$1:$AX$1,))=0,#N/A,(VLOOKUP(B151,Data!$A:$AX,MATCH($T$1,Data!$A$1:$AX$1,),)-VLOOKUP(EDATE(B151,-12),Data!$A:$AX,MATCH($T$1,Data!$A$1:$AX$1,),))/VLOOKUP(EDATE(B151,-12),Data!$A:$AX,MATCH($T$1,Data!$A$1:$AX$1,),))</f>
        <v>7.1688000179823574E-2</v>
      </c>
      <c r="U151" s="20">
        <f>IF(VLOOKUP(B151,Data!$A:$AX,MATCH($U$1,Data!$A$1:$AX$1,))=0,#N/A,(VLOOKUP(B151,Data!$A:$AX,MATCH($U$1,Data!$A$1:$AX$1,),)-VLOOKUP(EDATE(B151,-12),Data!$A:$AX,MATCH($U$1,Data!$A$1:$AX$1,),))/VLOOKUP(EDATE(B151,-12),Data!$A:$AX,MATCH($U$1,Data!$A$1:$AX$1,),))</f>
        <v>0.12023985480204234</v>
      </c>
      <c r="V151" s="20">
        <f>(VLOOKUP(B151,Data!$A:$AX,MATCH($V$1,Data!$A$1:$AX$1,),)-VLOOKUP(EDATE(B151,-12),Data!$A:$AX,MATCH($V$1,Data!$A$1:$AX$1,),))/VLOOKUP(EDATE(B151,-12),Data!$A:$AX,MATCH($V$1,Data!$A$1:$AX$1,),)</f>
        <v>8.1749622350733131E-2</v>
      </c>
      <c r="W151" s="20">
        <f>IF(VLOOKUP(B151,Data!$A:$AX,MATCH($W$1,Data!$A$1:$AX$1,))=0,#N/A,(VLOOKUP(B151,Data!$A:$AX,MATCH($W$1,Data!$A$1:$AX$1,),)-VLOOKUP(EDATE(B151,-12),Data!$A:$AX,MATCH($W$1,Data!$A$1:$AX$1,),))/VLOOKUP(EDATE(B151,-12),Data!$A:$AX,MATCH($W$1,Data!$A$1:$AX$1,),))</f>
        <v>0.83452492991749938</v>
      </c>
      <c r="X151" s="20">
        <f>IF(VLOOKUP(B151,Data!$A:$AX,MATCH($X$1,Data!$A$1:$AX$1,))=0,#N/A,(VLOOKUP(B151,Data!$A:$AX,MATCH($X$1,Data!$A$1:$AX$1,),)-VLOOKUP(EDATE(B151,-12),Data!$A:$AX,MATCH($X$1,Data!$A$1:$AX$1,),))/VLOOKUP(EDATE(B151,-12),Data!$A:$AX,MATCH($X$1,Data!$A$1:$AX$1,),))</f>
        <v>0.17972742759795565</v>
      </c>
      <c r="Y151" s="20">
        <f>IF(VLOOKUP(B151,Data!$A:$AX,MATCH($Y$1,Data!$A$1:$AX$1,))=0,#N/A,(VLOOKUP(B151,Data!$A:$AX,MATCH($Y$1,Data!$A$1:$AX$1,),)-VLOOKUP(EDATE(B151,-12),Data!$A:$AX,MATCH($Y$1,Data!$A$1:$AX$1,),))/VLOOKUP(EDATE(B151,-12),Data!$A:$AX,MATCH($Y$1,Data!$A$1:$AX$1,),))</f>
        <v>0.17253506200032714</v>
      </c>
    </row>
    <row r="152" spans="2:25" s="72" customFormat="1" x14ac:dyDescent="0.35">
      <c r="B152" s="15">
        <v>44835</v>
      </c>
      <c r="C152" s="20">
        <f>IF(VLOOKUP(B152,Data!$A:$AX,MATCH($C$1,Data!$A$1:$AX$1,))=0,#N/A,(VLOOKUP(B152,Data!$A:$AX,MATCH($C$1,Data!$A$1:$AX$1,),)-VLOOKUP(EDATE(B152,-12),Data!$A:$AX,MATCH($C$1,Data!$A$1:$AX$1,),))/VLOOKUP(EDATE(B152,-12),Data!$A:$AX,MATCH($C$1,Data!$A$1:$AX$1,),))</f>
        <v>7.7454372822329406E-2</v>
      </c>
      <c r="D152" s="20">
        <f>IF(VLOOKUP(B152,Data!$A:$AX,MATCH($D$1,Data!$A$1:$AX$1,))=0,#N/A,(VLOOKUP(B152,Data!$A:$AX,MATCH($D$1,Data!$A$1:$AX$1,),)-VLOOKUP(EDATE(B152,-12),Data!$A:$AX,MATCH($D$1,Data!$A$1:$AX$1,),))/VLOOKUP(EDATE(B152,-12),Data!$A:$AX,MATCH($D$1,Data!$A$1:$AX$1,),))</f>
        <v>2.1717544483796744E-2</v>
      </c>
      <c r="E152" s="20">
        <f>IF(VLOOKUP(B152,Data!$A:$AX,MATCH($E$1,Data!$A$1:$AX$1,))=0,#N/A,(VLOOKUP(B152,Data!$A:$AX,MATCH($E$1,Data!$A$1:$AX$1,),)-VLOOKUP(EDATE(B152,-12),Data!$A:$AX,MATCH($E$1,Data!$A$1:$AX$1,),))/VLOOKUP(EDATE(B152,-12),Data!$A:$AX,MATCH($E$1,Data!$A$1:$AX$1,),))</f>
        <v>0.10620601407549589</v>
      </c>
      <c r="F152" s="20" t="e">
        <f>IF(VLOOKUP(B152,Data!$A:$AX,MATCH($F$1,Data!$A$1:$AX$1,))=0,#N/A,(VLOOKUP(B152,Data!$A:$AX,MATCH($F$1,Data!$A$1:$AX$1,),)-VLOOKUP(EDATE(B152,-12),Data!$A:$AX,MATCH($F$1,Data!$A$1:$AX$1,),))/VLOOKUP(EDATE(B152,-12),Data!$A:$AX,MATCH($F$1,Data!$A$1:$AX$1,),))</f>
        <v>#N/A</v>
      </c>
      <c r="G152" s="20">
        <f>IF(VLOOKUP(B152,Data!$A:$AX,MATCH($G$1,Data!$A$1:$AX$1,))=0,#N/A,(VLOOKUP(B152,Data!$A:$AX,MATCH($G$1,Data!$A$1:$AX$1,),)-VLOOKUP(EDATE(B152,-12),Data!$A:$AX,MATCH($G$1,Data!$A$1:$AX$1,),))/VLOOKUP(EDATE(B152,-12),Data!$A:$AX,MATCH($G$1,Data!$A$1:$AX$1,),))</f>
        <v>0.10388417473141337</v>
      </c>
      <c r="H152" s="20">
        <f>IF(VLOOKUP(B152,Data!$A:$AX,MATCH($H$1,Data!$A$1:$AX$1,))=0,#N/A,(VLOOKUP(B152,Data!$A:$AX,MATCH($H$1,Data!$A$1:$AX$1,),)-VLOOKUP(EDATE(B152,-12),Data!$A:$AX,MATCH($H$1,Data!$A$1:$AX$1,),))/VLOOKUP(EDATE(B152,-12),Data!$A:$AX,MATCH($H$1,Data!$A$1:$AX$1,),))</f>
        <v>6.2004662004662058E-2</v>
      </c>
      <c r="I152" s="20">
        <f>IF(VLOOKUP(B152,Data!$A:$AX,MATCH($I$1,Data!$A$1:$AX$1,))=0,#N/A,(VLOOKUP(B152,Data!$A:$AX,MATCH($I$1,Data!$A$1:$AX$1,),)-VLOOKUP(EDATE(B152,-12),Data!$A:$AX,MATCH($I$1,Data!$A$1:$AX$1,),))/VLOOKUP(EDATE(B152,-12),Data!$A:$AX,MATCH($I$1,Data!$A$1:$AX$1,),))</f>
        <v>9.6119929453262712E-2</v>
      </c>
      <c r="J152" s="20">
        <f>IF(VLOOKUP(B152,Data!$A:$AX,MATCH($J$1,Data!$A$1:$AX$1,))=0,#N/A,(VLOOKUP(B152,Data!$A:$AX,MATCH($J$1,Data!$A$1:$AX$1,),)-VLOOKUP(EDATE(B152,-12),Data!$A:$AX,MATCH($J$1,Data!$A$1:$AX$1,),))/VLOOKUP(EDATE(B152,-12),Data!$A:$AX,MATCH($J$1,Data!$A$1:$AX$1,),))</f>
        <v>0.11837121212121213</v>
      </c>
      <c r="K152" s="20">
        <f>IF(VLOOKUP(B152,Data!$A:$AX,MATCH($K$1,Data!$A$1:$AX$1,))=0,#N/A,(VLOOKUP(B152,Data!$A:$AX,MATCH($K$1,Data!$A$1:$AX$1,),)-VLOOKUP(EDATE(B152,-12),Data!$A:$AX,MATCH($K$1,Data!$A$1:$AX$1,),))/VLOOKUP(EDATE(B152,-12),Data!$A:$AX,MATCH($K$1,Data!$A$1:$AX$1,),))</f>
        <v>7.2649023110996719E-2</v>
      </c>
      <c r="L152" s="20">
        <f>IF(VLOOKUP(B152,Data!$A:$AX,MATCH($L$1,Data!$A$1:$AX$1,))=0,#N/A,(VLOOKUP(B152,Data!$A:$AX,MATCH($L$1,Data!$A$1:$AX$1,),)-VLOOKUP(EDATE(B152,-12),Data!$A:$AX,MATCH($L$1,Data!$A$1:$AX$1,),))/VLOOKUP(EDATE(B152,-12),Data!$A:$AX,MATCH($L$1,Data!$A$1:$AX$1,),))</f>
        <v>0.10853325976944959</v>
      </c>
      <c r="M152" s="20">
        <f>IF(VLOOKUP(B152,Data!$A:$AX,MATCH($M$1,Data!$A$1:$AX$1,))=0,#N/A,(VLOOKUP(B152,Data!$A:$AX,MATCH($M$1,Data!$A$1:$AX$1,),)-VLOOKUP(EDATE(B152,-12),Data!$A:$AX,MATCH($M$1,Data!$A$1:$AX$1,),))/VLOOKUP(EDATE(B152,-12),Data!$A:$AX,MATCH($M$1,Data!$A$1:$AX$1,),))</f>
        <v>8.4068332969246665E-2</v>
      </c>
      <c r="N152" s="20">
        <f>(VLOOKUP(B152,Data!$A:$AX,MATCH($N$1,Data!$A$1:$AX$1,),)-VLOOKUP(EDATE(B152,-12),Data!$A:$AX,MATCH($N$1,Data!$A$1:$AX$1,),))/VLOOKUP(EDATE(B152,-12),Data!$A:$AX,MATCH($N$1,Data!$A$1:$AX$1,),)</f>
        <v>-1</v>
      </c>
      <c r="O152" s="20">
        <f>IF(VLOOKUP(B152,Data!$A:$AX,MATCH($O$1,Data!$A$1:$AX$1,))=0,#N/A,(VLOOKUP(B152,Data!$A:$AX,MATCH($O$1,Data!$A$1:$AX$1,),)-VLOOKUP(EDATE(B152,-12),Data!$A:$AX,MATCH($O$1,Data!$A$1:$AX$1,),))/VLOOKUP(EDATE(B152,-12),Data!$A:$AX,MATCH($O$1,Data!$A$1:$AX$1,),))</f>
        <v>6.0848863961723683E-2</v>
      </c>
      <c r="P152" s="20">
        <f>IF(VLOOKUP(B152,Data!$A:$AX,MATCH($P$1,Data!$A$1:$AX$1,))=0,#N/A,(VLOOKUP(B152,Data!$A:$AX,MATCH($P$1,Data!$A$1:$AX$1,),)-VLOOKUP(EDATE(B152,-12),Data!$A:$AX,MATCH($P$1,Data!$A$1:$AX$1,),))/VLOOKUP(EDATE(B152,-12),Data!$A:$AX,MATCH($P$1,Data!$A$1:$AX$1,),))</f>
        <v>6.8798100180306992E-2</v>
      </c>
      <c r="Q152" s="20" t="e">
        <f>(VLOOKUP(B152,Data!$A:$AX,MATCH($Q$1,Data!$A$1:$AX$1,),)-VLOOKUP(EDATE(B152,-12),Data!$A:$AX,MATCH($Q$1,Data!$A$1:$AX$1,),))/VLOOKUP(EDATE(B152,-12),Data!$A:$AX,MATCH($Q$1,Data!$A$1:$AX$1,),)</f>
        <v>#N/A</v>
      </c>
      <c r="R152" s="20">
        <f>IF(VLOOKUP(B152,Data!$A:$AX,MATCH($R$1,Data!$A$1:$AX$1,))=0,#N/A,(VLOOKUP(B152,Data!$A:$AX,MATCH($R$1,Data!$A$1:$AX$1,),)-VLOOKUP(EDATE(B152,-12),Data!$A:$AX,MATCH($R$1,Data!$A$1:$AX$1,),))/VLOOKUP(EDATE(B152,-12),Data!$A:$AX,MATCH($R$1,Data!$A$1:$AX$1,),))</f>
        <v>2.9959740769834948E-2</v>
      </c>
      <c r="S152" s="20">
        <f>IF(VLOOKUP(B152,Data!$A:$AX,MATCH($S$1,Data!$A$1:$AX$1,))=0,#N/A,(VLOOKUP(B152,Data!$A:$AX,MATCH($S$1,Data!$A$1:$AX$1,),)-VLOOKUP(EDATE(B152,-12),Data!$A:$AX,MATCH($S$1,Data!$A$1:$AX$1,),))/VLOOKUP(EDATE(B152,-12),Data!$A:$AX,MATCH($S$1,Data!$A$1:$AX$1,),))</f>
        <v>5.669992381756607E-2</v>
      </c>
      <c r="T152" s="20">
        <f>IF(VLOOKUP(B152,Data!$A:$AX,MATCH($T$1,Data!$A$1:$AX$1,))=0,#N/A,(VLOOKUP(B152,Data!$A:$AX,MATCH($T$1,Data!$A$1:$AX$1,),)-VLOOKUP(EDATE(B152,-12),Data!$A:$AX,MATCH($T$1,Data!$A$1:$AX$1,),))/VLOOKUP(EDATE(B152,-12),Data!$A:$AX,MATCH($T$1,Data!$A$1:$AX$1,),))</f>
        <v>6.4704336324189843E-2</v>
      </c>
      <c r="U152" s="20">
        <f>IF(VLOOKUP(B152,Data!$A:$AX,MATCH($U$1,Data!$A$1:$AX$1,))=0,#N/A,(VLOOKUP(B152,Data!$A:$AX,MATCH($U$1,Data!$A$1:$AX$1,),)-VLOOKUP(EDATE(B152,-12),Data!$A:$AX,MATCH($U$1,Data!$A$1:$AX$1,),))/VLOOKUP(EDATE(B152,-12),Data!$A:$AX,MATCH($U$1,Data!$A$1:$AX$1,),))</f>
        <v>9.0650104142849838E-2</v>
      </c>
      <c r="V152" s="20">
        <f>(VLOOKUP(B152,Data!$A:$AX,MATCH($V$1,Data!$A$1:$AX$1,),)-VLOOKUP(EDATE(B152,-12),Data!$A:$AX,MATCH($V$1,Data!$A$1:$AX$1,),))/VLOOKUP(EDATE(B152,-12),Data!$A:$AX,MATCH($V$1,Data!$A$1:$AX$1,),)</f>
        <v>9.159609651287598E-2</v>
      </c>
      <c r="W152" s="20">
        <f>IF(VLOOKUP(B152,Data!$A:$AX,MATCH($W$1,Data!$A$1:$AX$1,))=0,#N/A,(VLOOKUP(B152,Data!$A:$AX,MATCH($W$1,Data!$A$1:$AX$1,),)-VLOOKUP(EDATE(B152,-12),Data!$A:$AX,MATCH($W$1,Data!$A$1:$AX$1,),))/VLOOKUP(EDATE(B152,-12),Data!$A:$AX,MATCH($W$1,Data!$A$1:$AX$1,),))</f>
        <v>0.85514812880657198</v>
      </c>
      <c r="X152" s="20">
        <f>IF(VLOOKUP(B152,Data!$A:$AX,MATCH($X$1,Data!$A$1:$AX$1,))=0,#N/A,(VLOOKUP(B152,Data!$A:$AX,MATCH($X$1,Data!$A$1:$AX$1,),)-VLOOKUP(EDATE(B152,-12),Data!$A:$AX,MATCH($X$1,Data!$A$1:$AX$1,),))/VLOOKUP(EDATE(B152,-12),Data!$A:$AX,MATCH($X$1,Data!$A$1:$AX$1,),))</f>
        <v>0.15092748735244524</v>
      </c>
      <c r="Y152" s="20">
        <f>IF(VLOOKUP(B152,Data!$A:$AX,MATCH($Y$1,Data!$A$1:$AX$1,))=0,#N/A,(VLOOKUP(B152,Data!$A:$AX,MATCH($Y$1,Data!$A$1:$AX$1,),)-VLOOKUP(EDATE(B152,-12),Data!$A:$AX,MATCH($Y$1,Data!$A$1:$AX$1,),))/VLOOKUP(EDATE(B152,-12),Data!$A:$AX,MATCH($Y$1,Data!$A$1:$AX$1,),))</f>
        <v>0.18036196269157873</v>
      </c>
    </row>
    <row r="153" spans="2:25" s="72" customFormat="1" x14ac:dyDescent="0.35">
      <c r="B153" s="15">
        <v>44866</v>
      </c>
      <c r="C153" s="20">
        <f>IF(VLOOKUP(B153,Data!$A:$AX,MATCH($C$1,Data!$A$1:$AX$1,))=0,#N/A,(VLOOKUP(B153,Data!$A:$AX,MATCH($C$1,Data!$A$1:$AX$1,),)-VLOOKUP(EDATE(B153,-12),Data!$A:$AX,MATCH($C$1,Data!$A$1:$AX$1,),))/VLOOKUP(EDATE(B153,-12),Data!$A:$AX,MATCH($C$1,Data!$A$1:$AX$1,),))</f>
        <v>7.1103068836489036E-2</v>
      </c>
      <c r="D153" s="20">
        <f>IF(VLOOKUP(B153,Data!$A:$AX,MATCH($D$1,Data!$A$1:$AX$1,))=0,#N/A,(VLOOKUP(B153,Data!$A:$AX,MATCH($D$1,Data!$A$1:$AX$1,),)-VLOOKUP(EDATE(B153,-12),Data!$A:$AX,MATCH($D$1,Data!$A$1:$AX$1,),))/VLOOKUP(EDATE(B153,-12),Data!$A:$AX,MATCH($D$1,Data!$A$1:$AX$1,),))</f>
        <v>1.573221299972485E-2</v>
      </c>
      <c r="E153" s="20">
        <f>IF(VLOOKUP(B153,Data!$A:$AX,MATCH($E$1,Data!$A$1:$AX$1,))=0,#N/A,(VLOOKUP(B153,Data!$A:$AX,MATCH($E$1,Data!$A$1:$AX$1,),)-VLOOKUP(EDATE(B153,-12),Data!$A:$AX,MATCH($E$1,Data!$A$1:$AX$1,),))/VLOOKUP(EDATE(B153,-12),Data!$A:$AX,MATCH($E$1,Data!$A$1:$AX$1,),))</f>
        <v>0.10054595086442217</v>
      </c>
      <c r="F153" s="20" t="e">
        <f>IF(VLOOKUP(B153,Data!$A:$AX,MATCH($F$1,Data!$A$1:$AX$1,))=0,#N/A,(VLOOKUP(B153,Data!$A:$AX,MATCH($F$1,Data!$A$1:$AX$1,),)-VLOOKUP(EDATE(B153,-12),Data!$A:$AX,MATCH($F$1,Data!$A$1:$AX$1,),))/VLOOKUP(EDATE(B153,-12),Data!$A:$AX,MATCH($F$1,Data!$A$1:$AX$1,),))</f>
        <v>#N/A</v>
      </c>
      <c r="G153" s="20">
        <f>IF(VLOOKUP(B153,Data!$A:$AX,MATCH($G$1,Data!$A$1:$AX$1,))=0,#N/A,(VLOOKUP(B153,Data!$A:$AX,MATCH($G$1,Data!$A$1:$AX$1,),)-VLOOKUP(EDATE(B153,-12),Data!$A:$AX,MATCH($G$1,Data!$A$1:$AX$1,),))/VLOOKUP(EDATE(B153,-12),Data!$A:$AX,MATCH($G$1,Data!$A$1:$AX$1,),))</f>
        <v>0.10045295624981904</v>
      </c>
      <c r="H153" s="20">
        <f>IF(VLOOKUP(B153,Data!$A:$AX,MATCH($H$1,Data!$A$1:$AX$1,))=0,#N/A,(VLOOKUP(B153,Data!$A:$AX,MATCH($H$1,Data!$A$1:$AX$1,),)-VLOOKUP(EDATE(B153,-12),Data!$A:$AX,MATCH($H$1,Data!$A$1:$AX$1,),))/VLOOKUP(EDATE(B153,-12),Data!$A:$AX,MATCH($H$1,Data!$A$1:$AX$1,),))</f>
        <v>6.1501300631735457E-2</v>
      </c>
      <c r="I153" s="20">
        <f>IF(VLOOKUP(B153,Data!$A:$AX,MATCH($I$1,Data!$A$1:$AX$1,))=0,#N/A,(VLOOKUP(B153,Data!$A:$AX,MATCH($I$1,Data!$A$1:$AX$1,),)-VLOOKUP(EDATE(B153,-12),Data!$A:$AX,MATCH($I$1,Data!$A$1:$AX$1,),))/VLOOKUP(EDATE(B153,-12),Data!$A:$AX,MATCH($I$1,Data!$A$1:$AX$1,),))</f>
        <v>9.3777388255915889E-2</v>
      </c>
      <c r="J153" s="20">
        <f>IF(VLOOKUP(B153,Data!$A:$AX,MATCH($J$1,Data!$A$1:$AX$1,))=0,#N/A,(VLOOKUP(B153,Data!$A:$AX,MATCH($J$1,Data!$A$1:$AX$1,),)-VLOOKUP(EDATE(B153,-12),Data!$A:$AX,MATCH($J$1,Data!$A$1:$AX$1,),))/VLOOKUP(EDATE(B153,-12),Data!$A:$AX,MATCH($J$1,Data!$A$1:$AX$1,),))</f>
        <v>0.11770244821092278</v>
      </c>
      <c r="K153" s="20">
        <f>IF(VLOOKUP(B153,Data!$A:$AX,MATCH($K$1,Data!$A$1:$AX$1,))=0,#N/A,(VLOOKUP(B153,Data!$A:$AX,MATCH($K$1,Data!$A$1:$AX$1,),)-VLOOKUP(EDATE(B153,-12),Data!$A:$AX,MATCH($K$1,Data!$A$1:$AX$1,),))/VLOOKUP(EDATE(B153,-12),Data!$A:$AX,MATCH($K$1,Data!$A$1:$AX$1,),))</f>
        <v>6.809614471896866E-2</v>
      </c>
      <c r="L153" s="20">
        <f>IF(VLOOKUP(B153,Data!$A:$AX,MATCH($L$1,Data!$A$1:$AX$1,))=0,#N/A,(VLOOKUP(B153,Data!$A:$AX,MATCH($L$1,Data!$A$1:$AX$1,),)-VLOOKUP(EDATE(B153,-12),Data!$A:$AX,MATCH($L$1,Data!$A$1:$AX$1,),))/VLOOKUP(EDATE(B153,-12),Data!$A:$AX,MATCH($L$1,Data!$A$1:$AX$1,),))</f>
        <v>0.11464495043621525</v>
      </c>
      <c r="M153" s="20">
        <f>IF(VLOOKUP(B153,Data!$A:$AX,MATCH($M$1,Data!$A$1:$AX$1,))=0,#N/A,(VLOOKUP(B153,Data!$A:$AX,MATCH($M$1,Data!$A$1:$AX$1,),)-VLOOKUP(EDATE(B153,-12),Data!$A:$AX,MATCH($M$1,Data!$A$1:$AX$1,),))/VLOOKUP(EDATE(B153,-12),Data!$A:$AX,MATCH($M$1,Data!$A$1:$AX$1,),))</f>
        <v>7.7965476331534E-2</v>
      </c>
      <c r="N153" s="20">
        <f>(VLOOKUP(B153,Data!$A:$AX,MATCH($N$1,Data!$A$1:$AX$1,),)-VLOOKUP(EDATE(B153,-12),Data!$A:$AX,MATCH($N$1,Data!$A$1:$AX$1,),))/VLOOKUP(EDATE(B153,-12),Data!$A:$AX,MATCH($N$1,Data!$A$1:$AX$1,),)</f>
        <v>-1</v>
      </c>
      <c r="O153" s="20">
        <f>IF(VLOOKUP(B153,Data!$A:$AX,MATCH($O$1,Data!$A$1:$AX$1,))=0,#N/A,(VLOOKUP(B153,Data!$A:$AX,MATCH($O$1,Data!$A$1:$AX$1,),)-VLOOKUP(EDATE(B153,-12),Data!$A:$AX,MATCH($O$1,Data!$A$1:$AX$1,),))/VLOOKUP(EDATE(B153,-12),Data!$A:$AX,MATCH($O$1,Data!$A$1:$AX$1,),))</f>
        <v>5.4097300045057153E-2</v>
      </c>
      <c r="P153" s="20">
        <f>IF(VLOOKUP(B153,Data!$A:$AX,MATCH($P$1,Data!$A$1:$AX$1,))=0,#N/A,(VLOOKUP(B153,Data!$A:$AX,MATCH($P$1,Data!$A$1:$AX$1,),)-VLOOKUP(EDATE(B153,-12),Data!$A:$AX,MATCH($P$1,Data!$A$1:$AX$1,),))/VLOOKUP(EDATE(B153,-12),Data!$A:$AX,MATCH($P$1,Data!$A$1:$AX$1,),))</f>
        <v>6.7960653757808298E-2</v>
      </c>
      <c r="Q153" s="20" t="e">
        <f>(VLOOKUP(B153,Data!$A:$AX,MATCH($Q$1,Data!$A$1:$AX$1,),)-VLOOKUP(EDATE(B153,-12),Data!$A:$AX,MATCH($Q$1,Data!$A$1:$AX$1,),))/VLOOKUP(EDATE(B153,-12),Data!$A:$AX,MATCH($Q$1,Data!$A$1:$AX$1,),)</f>
        <v>#N/A</v>
      </c>
      <c r="R153" s="20">
        <f>IF(VLOOKUP(B153,Data!$A:$AX,MATCH($R$1,Data!$A$1:$AX$1,))=0,#N/A,(VLOOKUP(B153,Data!$A:$AX,MATCH($R$1,Data!$A$1:$AX$1,),)-VLOOKUP(EDATE(B153,-12),Data!$A:$AX,MATCH($R$1,Data!$A$1:$AX$1,),))/VLOOKUP(EDATE(B153,-12),Data!$A:$AX,MATCH($R$1,Data!$A$1:$AX$1,),))</f>
        <v>2.9602705949791537E-2</v>
      </c>
      <c r="S153" s="20">
        <f>IF(VLOOKUP(B153,Data!$A:$AX,MATCH($S$1,Data!$A$1:$AX$1,))=0,#N/A,(VLOOKUP(B153,Data!$A:$AX,MATCH($S$1,Data!$A$1:$AX$1,),)-VLOOKUP(EDATE(B153,-12),Data!$A:$AX,MATCH($S$1,Data!$A$1:$AX$1,),))/VLOOKUP(EDATE(B153,-12),Data!$A:$AX,MATCH($S$1,Data!$A$1:$AX$1,),))</f>
        <v>5.0352018455283198E-2</v>
      </c>
      <c r="T153" s="20">
        <f>IF(VLOOKUP(B153,Data!$A:$AX,MATCH($T$1,Data!$A$1:$AX$1,))=0,#N/A,(VLOOKUP(B153,Data!$A:$AX,MATCH($T$1,Data!$A$1:$AX$1,),)-VLOOKUP(EDATE(B153,-12),Data!$A:$AX,MATCH($T$1,Data!$A$1:$AX$1,),))/VLOOKUP(EDATE(B153,-12),Data!$A:$AX,MATCH($T$1,Data!$A$1:$AX$1,),))</f>
        <v>5.9007515425989865E-2</v>
      </c>
      <c r="U153" s="20">
        <f>IF(VLOOKUP(B153,Data!$A:$AX,MATCH($U$1,Data!$A$1:$AX$1,))=0,#N/A,(VLOOKUP(B153,Data!$A:$AX,MATCH($U$1,Data!$A$1:$AX$1,),)-VLOOKUP(EDATE(B153,-12),Data!$A:$AX,MATCH($U$1,Data!$A$1:$AX$1,),))/VLOOKUP(EDATE(B153,-12),Data!$A:$AX,MATCH($U$1,Data!$A$1:$AX$1,),))</f>
        <v>8.539380432830937E-2</v>
      </c>
      <c r="V153" s="20">
        <f>(VLOOKUP(B153,Data!$A:$AX,MATCH($V$1,Data!$A$1:$AX$1,),)-VLOOKUP(EDATE(B153,-12),Data!$A:$AX,MATCH($V$1,Data!$A$1:$AX$1,),))/VLOOKUP(EDATE(B153,-12),Data!$A:$AX,MATCH($V$1,Data!$A$1:$AX$1,),)</f>
        <v>8.9201639112618344E-2</v>
      </c>
      <c r="W153" s="20">
        <f>IF(VLOOKUP(B153,Data!$A:$AX,MATCH($W$1,Data!$A$1:$AX$1,))=0,#N/A,(VLOOKUP(B153,Data!$A:$AX,MATCH($W$1,Data!$A$1:$AX$1,),)-VLOOKUP(EDATE(B153,-12),Data!$A:$AX,MATCH($W$1,Data!$A$1:$AX$1,),))/VLOOKUP(EDATE(B153,-12),Data!$A:$AX,MATCH($W$1,Data!$A$1:$AX$1,),))</f>
        <v>0.84389283460105957</v>
      </c>
      <c r="X153" s="20">
        <f>IF(VLOOKUP(B153,Data!$A:$AX,MATCH($X$1,Data!$A$1:$AX$1,))=0,#N/A,(VLOOKUP(B153,Data!$A:$AX,MATCH($X$1,Data!$A$1:$AX$1,),)-VLOOKUP(EDATE(B153,-12),Data!$A:$AX,MATCH($X$1,Data!$A$1:$AX$1,),))/VLOOKUP(EDATE(B153,-12),Data!$A:$AX,MATCH($X$1,Data!$A$1:$AX$1,),))</f>
        <v>0.16245791245791244</v>
      </c>
      <c r="Y153" s="20">
        <f>IF(VLOOKUP(B153,Data!$A:$AX,MATCH($Y$1,Data!$A$1:$AX$1,))=0,#N/A,(VLOOKUP(B153,Data!$A:$AX,MATCH($Y$1,Data!$A$1:$AX$1,),)-VLOOKUP(EDATE(B153,-12),Data!$A:$AX,MATCH($Y$1,Data!$A$1:$AX$1,),))/VLOOKUP(EDATE(B153,-12),Data!$A:$AX,MATCH($Y$1,Data!$A$1:$AX$1,),))</f>
        <v>0.17724122914409129</v>
      </c>
    </row>
    <row r="154" spans="2:25" s="72" customFormat="1" x14ac:dyDescent="0.35">
      <c r="B154" s="15">
        <v>44896</v>
      </c>
      <c r="C154" s="20">
        <f>IF(VLOOKUP(B154,Data!$A:$AX,MATCH($C$1,Data!$A$1:$AX$1,))=0,#N/A,(VLOOKUP(B154,Data!$A:$AX,MATCH($C$1,Data!$A$1:$AX$1,),)-VLOOKUP(EDATE(B154,-12),Data!$A:$AX,MATCH($C$1,Data!$A$1:$AX$1,),))/VLOOKUP(EDATE(B154,-12),Data!$A:$AX,MATCH($C$1,Data!$A$1:$AX$1,),))</f>
        <v>6.4544183219345561E-2</v>
      </c>
      <c r="D154" s="20">
        <f>IF(VLOOKUP(B154,Data!$A:$AX,MATCH($D$1,Data!$A$1:$AX$1,))=0,#N/A,(VLOOKUP(B154,Data!$A:$AX,MATCH($D$1,Data!$A$1:$AX$1,),)-VLOOKUP(EDATE(B154,-12),Data!$A:$AX,MATCH($D$1,Data!$A$1:$AX$1,),))/VLOOKUP(EDATE(B154,-12),Data!$A:$AX,MATCH($D$1,Data!$A$1:$AX$1,),))</f>
        <v>1.7752107062560786E-2</v>
      </c>
      <c r="E154" s="20">
        <f>IF(VLOOKUP(B154,Data!$A:$AX,MATCH($E$1,Data!$A$1:$AX$1,))=0,#N/A,(VLOOKUP(B154,Data!$A:$AX,MATCH($E$1,Data!$A$1:$AX$1,),)-VLOOKUP(EDATE(B154,-12),Data!$A:$AX,MATCH($E$1,Data!$A$1:$AX$1,),))/VLOOKUP(EDATE(B154,-12),Data!$A:$AX,MATCH($E$1,Data!$A$1:$AX$1,),))</f>
        <v>9.1963395850321566E-2</v>
      </c>
      <c r="F154" s="20" t="e">
        <f>IF(VLOOKUP(B154,Data!$A:$AX,MATCH($F$1,Data!$A$1:$AX$1,))=0,#N/A,(VLOOKUP(B154,Data!$A:$AX,MATCH($F$1,Data!$A$1:$AX$1,),)-VLOOKUP(EDATE(B154,-12),Data!$A:$AX,MATCH($F$1,Data!$A$1:$AX$1,),))/VLOOKUP(EDATE(B154,-12),Data!$A:$AX,MATCH($F$1,Data!$A$1:$AX$1,),))</f>
        <v>#N/A</v>
      </c>
      <c r="G154" s="20">
        <f>IF(VLOOKUP(B154,Data!$A:$AX,MATCH($G$1,Data!$A$1:$AX$1,))=0,#N/A,(VLOOKUP(B154,Data!$A:$AX,MATCH($G$1,Data!$A$1:$AX$1,),)-VLOOKUP(EDATE(B154,-12),Data!$A:$AX,MATCH($G$1,Data!$A$1:$AX$1,),))/VLOOKUP(EDATE(B154,-12),Data!$A:$AX,MATCH($G$1,Data!$A$1:$AX$1,),))</f>
        <v>8.5508713670540873E-2</v>
      </c>
      <c r="H154" s="20">
        <f>IF(VLOOKUP(B154,Data!$A:$AX,MATCH($H$1,Data!$A$1:$AX$1,))=0,#N/A,(VLOOKUP(B154,Data!$A:$AX,MATCH($H$1,Data!$A$1:$AX$1,),)-VLOOKUP(EDATE(B154,-12),Data!$A:$AX,MATCH($H$1,Data!$A$1:$AX$1,),))/VLOOKUP(EDATE(B154,-12),Data!$A:$AX,MATCH($H$1,Data!$A$1:$AX$1,),))</f>
        <v>5.8507185906351442E-2</v>
      </c>
      <c r="I154" s="20">
        <f>IF(VLOOKUP(B154,Data!$A:$AX,MATCH($I$1,Data!$A$1:$AX$1,))=0,#N/A,(VLOOKUP(B154,Data!$A:$AX,MATCH($I$1,Data!$A$1:$AX$1,),)-VLOOKUP(EDATE(B154,-12),Data!$A:$AX,MATCH($I$1,Data!$A$1:$AX$1,),))/VLOOKUP(EDATE(B154,-12),Data!$A:$AX,MATCH($I$1,Data!$A$1:$AX$1,),))</f>
        <v>9.2414995640802036E-2</v>
      </c>
      <c r="J154" s="20">
        <f>IF(VLOOKUP(B154,Data!$A:$AX,MATCH($J$1,Data!$A$1:$AX$1,))=0,#N/A,(VLOOKUP(B154,Data!$A:$AX,MATCH($J$1,Data!$A$1:$AX$1,),)-VLOOKUP(EDATE(B154,-12),Data!$A:$AX,MATCH($J$1,Data!$A$1:$AX$1,),))/VLOOKUP(EDATE(B154,-12),Data!$A:$AX,MATCH($J$1,Data!$A$1:$AX$1,),))</f>
        <v>0.11632270168855541</v>
      </c>
      <c r="K154" s="20">
        <f>IF(VLOOKUP(B154,Data!$A:$AX,MATCH($K$1,Data!$A$1:$AX$1,))=0,#N/A,(VLOOKUP(B154,Data!$A:$AX,MATCH($K$1,Data!$A$1:$AX$1,),)-VLOOKUP(EDATE(B154,-12),Data!$A:$AX,MATCH($K$1,Data!$A$1:$AX$1,),))/VLOOKUP(EDATE(B154,-12),Data!$A:$AX,MATCH($K$1,Data!$A$1:$AX$1,),))</f>
        <v>5.7076599896853368E-2</v>
      </c>
      <c r="L154" s="20">
        <f>IF(VLOOKUP(B154,Data!$A:$AX,MATCH($L$1,Data!$A$1:$AX$1,))=0,#N/A,(VLOOKUP(B154,Data!$A:$AX,MATCH($L$1,Data!$A$1:$AX$1,),)-VLOOKUP(EDATE(B154,-12),Data!$A:$AX,MATCH($L$1,Data!$A$1:$AX$1,),))/VLOOKUP(EDATE(B154,-12),Data!$A:$AX,MATCH($L$1,Data!$A$1:$AX$1,),))</f>
        <v>0.12338702006207</v>
      </c>
      <c r="M154" s="20">
        <f>IF(VLOOKUP(B154,Data!$A:$AX,MATCH($M$1,Data!$A$1:$AX$1,))=0,#N/A,(VLOOKUP(B154,Data!$A:$AX,MATCH($M$1,Data!$A$1:$AX$1,),)-VLOOKUP(EDATE(B154,-12),Data!$A:$AX,MATCH($M$1,Data!$A$1:$AX$1,),))/VLOOKUP(EDATE(B154,-12),Data!$A:$AX,MATCH($M$1,Data!$A$1:$AX$1,),))</f>
        <v>7.8170124912295386E-2</v>
      </c>
      <c r="N154" s="20">
        <f>(VLOOKUP(B154,Data!$A:$AX,MATCH($N$1,Data!$A$1:$AX$1,),)-VLOOKUP(EDATE(B154,-12),Data!$A:$AX,MATCH($N$1,Data!$A$1:$AX$1,),))/VLOOKUP(EDATE(B154,-12),Data!$A:$AX,MATCH($N$1,Data!$A$1:$AX$1,),)</f>
        <v>-1</v>
      </c>
      <c r="O154" s="20" t="e">
        <f>IF(VLOOKUP(B154,Data!$A:$AX,MATCH($O$1,Data!$A$1:$AX$1,))=0,#N/A,(VLOOKUP(B154,Data!$A:$AX,MATCH($O$1,Data!$A$1:$AX$1,),)-VLOOKUP(EDATE(B154,-12),Data!$A:$AX,MATCH($O$1,Data!$A$1:$AX$1,),))/VLOOKUP(EDATE(B154,-12),Data!$A:$AX,MATCH($O$1,Data!$A$1:$AX$1,),))</f>
        <v>#N/A</v>
      </c>
      <c r="P154" s="20">
        <f>IF(VLOOKUP(B154,Data!$A:$AX,MATCH($P$1,Data!$A$1:$AX$1,))=0,#N/A,(VLOOKUP(B154,Data!$A:$AX,MATCH($P$1,Data!$A$1:$AX$1,),)-VLOOKUP(EDATE(B154,-12),Data!$A:$AX,MATCH($P$1,Data!$A$1:$AX$1,),))/VLOOKUP(EDATE(B154,-12),Data!$A:$AX,MATCH($P$1,Data!$A$1:$AX$1,),))</f>
        <v>6.3194578726246717E-2</v>
      </c>
      <c r="Q154" s="20" t="e">
        <f>(VLOOKUP(B154,Data!$A:$AX,MATCH($Q$1,Data!$A$1:$AX$1,),)-VLOOKUP(EDATE(B154,-12),Data!$A:$AX,MATCH($Q$1,Data!$A$1:$AX$1,),))/VLOOKUP(EDATE(B154,-12),Data!$A:$AX,MATCH($Q$1,Data!$A$1:$AX$1,),)</f>
        <v>#N/A</v>
      </c>
      <c r="R154" s="20">
        <f>IF(VLOOKUP(B154,Data!$A:$AX,MATCH($R$1,Data!$A$1:$AX$1,))=0,#N/A,(VLOOKUP(B154,Data!$A:$AX,MATCH($R$1,Data!$A$1:$AX$1,),)-VLOOKUP(EDATE(B154,-12),Data!$A:$AX,MATCH($R$1,Data!$A$1:$AX$1,),))/VLOOKUP(EDATE(B154,-12),Data!$A:$AX,MATCH($R$1,Data!$A$1:$AX$1,),))</f>
        <v>2.8402709885974618E-2</v>
      </c>
      <c r="S154" s="20">
        <f>IF(VLOOKUP(B154,Data!$A:$AX,MATCH($S$1,Data!$A$1:$AX$1,))=0,#N/A,(VLOOKUP(B154,Data!$A:$AX,MATCH($S$1,Data!$A$1:$AX$1,),)-VLOOKUP(EDATE(B154,-12),Data!$A:$AX,MATCH($S$1,Data!$A$1:$AX$1,),))/VLOOKUP(EDATE(B154,-12),Data!$A:$AX,MATCH($S$1,Data!$A$1:$AX$1,),))</f>
        <v>5.0364526917367765E-2</v>
      </c>
      <c r="T154" s="20">
        <f>IF(VLOOKUP(B154,Data!$A:$AX,MATCH($T$1,Data!$A$1:$AX$1,))=0,#N/A,(VLOOKUP(B154,Data!$A:$AX,MATCH($T$1,Data!$A$1:$AX$1,),)-VLOOKUP(EDATE(B154,-12),Data!$A:$AX,MATCH($T$1,Data!$A$1:$AX$1,),))/VLOOKUP(EDATE(B154,-12),Data!$A:$AX,MATCH($T$1,Data!$A$1:$AX$1,),))</f>
        <v>5.7850983573768618E-2</v>
      </c>
      <c r="U154" s="20">
        <f>IF(VLOOKUP(B154,Data!$A:$AX,MATCH($U$1,Data!$A$1:$AX$1,))=0,#N/A,(VLOOKUP(B154,Data!$A:$AX,MATCH($U$1,Data!$A$1:$AX$1,),)-VLOOKUP(EDATE(B154,-12),Data!$A:$AX,MATCH($U$1,Data!$A$1:$AX$1,),))/VLOOKUP(EDATE(B154,-12),Data!$A:$AX,MATCH($U$1,Data!$A$1:$AX$1,),))</f>
        <v>7.2240114979910022E-2</v>
      </c>
      <c r="V154" s="20">
        <f>(VLOOKUP(B154,Data!$A:$AX,MATCH($V$1,Data!$A$1:$AX$1,),)-VLOOKUP(EDATE(B154,-12),Data!$A:$AX,MATCH($V$1,Data!$A$1:$AX$1,),))/VLOOKUP(EDATE(B154,-12),Data!$A:$AX,MATCH($V$1,Data!$A$1:$AX$1,),)</f>
        <v>8.2243041478283749E-2</v>
      </c>
      <c r="W154" s="20">
        <f>IF(VLOOKUP(B154,Data!$A:$AX,MATCH($W$1,Data!$A$1:$AX$1,))=0,#N/A,(VLOOKUP(B154,Data!$A:$AX,MATCH($W$1,Data!$A$1:$AX$1,),)-VLOOKUP(EDATE(B154,-12),Data!$A:$AX,MATCH($W$1,Data!$A$1:$AX$1,),))/VLOOKUP(EDATE(B154,-12),Data!$A:$AX,MATCH($W$1,Data!$A$1:$AX$1,),))</f>
        <v>0.64269603335730729</v>
      </c>
      <c r="X154" s="20">
        <f>IF(VLOOKUP(B154,Data!$A:$AX,MATCH($X$1,Data!$A$1:$AX$1,))=0,#N/A,(VLOOKUP(B154,Data!$A:$AX,MATCH($X$1,Data!$A$1:$AX$1,),)-VLOOKUP(EDATE(B154,-12),Data!$A:$AX,MATCH($X$1,Data!$A$1:$AX$1,),))/VLOOKUP(EDATE(B154,-12),Data!$A:$AX,MATCH($X$1,Data!$A$1:$AX$1,),))</f>
        <v>0.15758591785414919</v>
      </c>
      <c r="Y154" s="20">
        <f>IF(VLOOKUP(B154,Data!$A:$AX,MATCH($Y$1,Data!$A$1:$AX$1,))=0,#N/A,(VLOOKUP(B154,Data!$A:$AX,MATCH($Y$1,Data!$A$1:$AX$1,),)-VLOOKUP(EDATE(B154,-12),Data!$A:$AX,MATCH($Y$1,Data!$A$1:$AX$1,),))/VLOOKUP(EDATE(B154,-12),Data!$A:$AX,MATCH($Y$1,Data!$A$1:$AX$1,),))</f>
        <v>0.16814750063608253</v>
      </c>
    </row>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row r="392" s="72" customFormat="1" x14ac:dyDescent="0.35"/>
  </sheetData>
  <conditionalFormatting sqref="C24:C15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4">
    <cfRule type="colorScale" priority="1">
      <colorScale>
        <cfvo type="min"/>
        <cfvo type="percentile" val="50"/>
        <cfvo type="max"/>
        <color rgb="FFF8696B"/>
        <color rgb="FFFFEB84"/>
        <color rgb="FF63BE7B"/>
      </colorScale>
    </cfRule>
  </conditionalFormatting>
  <conditionalFormatting sqref="E59:AA59 Z60:AA106 E60:Y154">
    <cfRule type="colorScale" priority="24">
      <colorScale>
        <cfvo type="min"/>
        <cfvo type="percentile" val="50"/>
        <cfvo type="max"/>
        <color rgb="FFF8696B"/>
        <color rgb="FFFFEB84"/>
        <color rgb="FF63BE7B"/>
      </colorScale>
    </cfRule>
  </conditionalFormatting>
  <conditionalFormatting sqref="O15:O154">
    <cfRule type="colorScale" priority="23">
      <colorScale>
        <cfvo type="min"/>
        <cfvo type="percentile" val="50"/>
        <cfvo type="max"/>
        <color rgb="FFF8696B"/>
        <color rgb="FFFFEB84"/>
        <color rgb="FF63BE7B"/>
      </colorScale>
    </cfRule>
  </conditionalFormatting>
  <conditionalFormatting sqref="O59:O15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4">
    <cfRule type="colorScale" priority="21">
      <colorScale>
        <cfvo type="min"/>
        <cfvo type="percentile" val="50"/>
        <cfvo type="max"/>
        <color rgb="FFF8696B"/>
        <color rgb="FFFFEB84"/>
        <color rgb="FF63BE7B"/>
      </colorScale>
    </cfRule>
  </conditionalFormatting>
  <conditionalFormatting sqref="F59:F154">
    <cfRule type="colorScale" priority="19">
      <colorScale>
        <cfvo type="min"/>
        <cfvo type="percentile" val="50"/>
        <cfvo type="max"/>
        <color rgb="FFF8696B"/>
        <color rgb="FFFFEB84"/>
        <color rgb="FF63BE7B"/>
      </colorScale>
    </cfRule>
  </conditionalFormatting>
  <conditionalFormatting sqref="G59:G154">
    <cfRule type="colorScale" priority="18">
      <colorScale>
        <cfvo type="min"/>
        <cfvo type="percentile" val="50"/>
        <cfvo type="max"/>
        <color rgb="FFF8696B"/>
        <color rgb="FFFFEB84"/>
        <color rgb="FF63BE7B"/>
      </colorScale>
    </cfRule>
  </conditionalFormatting>
  <conditionalFormatting sqref="H59:H154">
    <cfRule type="colorScale" priority="17">
      <colorScale>
        <cfvo type="min"/>
        <cfvo type="percentile" val="50"/>
        <cfvo type="max"/>
        <color rgb="FFF8696B"/>
        <color rgb="FFFFEB84"/>
        <color rgb="FF63BE7B"/>
      </colorScale>
    </cfRule>
  </conditionalFormatting>
  <conditionalFormatting sqref="I59:I154">
    <cfRule type="colorScale" priority="16">
      <colorScale>
        <cfvo type="min"/>
        <cfvo type="percentile" val="50"/>
        <cfvo type="max"/>
        <color rgb="FFF8696B"/>
        <color rgb="FFFFEB84"/>
        <color rgb="FF63BE7B"/>
      </colorScale>
    </cfRule>
  </conditionalFormatting>
  <conditionalFormatting sqref="J59:J154">
    <cfRule type="colorScale" priority="15">
      <colorScale>
        <cfvo type="min"/>
        <cfvo type="percentile" val="50"/>
        <cfvo type="max"/>
        <color rgb="FFF8696B"/>
        <color rgb="FFFFEB84"/>
        <color rgb="FF63BE7B"/>
      </colorScale>
    </cfRule>
  </conditionalFormatting>
  <conditionalFormatting sqref="K59:K154">
    <cfRule type="colorScale" priority="14">
      <colorScale>
        <cfvo type="min"/>
        <cfvo type="percentile" val="50"/>
        <cfvo type="max"/>
        <color rgb="FFF8696B"/>
        <color rgb="FFFFEB84"/>
        <color rgb="FF63BE7B"/>
      </colorScale>
    </cfRule>
  </conditionalFormatting>
  <conditionalFormatting sqref="L59:L154">
    <cfRule type="colorScale" priority="13">
      <colorScale>
        <cfvo type="min"/>
        <cfvo type="percentile" val="50"/>
        <cfvo type="max"/>
        <color rgb="FFF8696B"/>
        <color rgb="FFFFEB84"/>
        <color rgb="FF63BE7B"/>
      </colorScale>
    </cfRule>
  </conditionalFormatting>
  <conditionalFormatting sqref="M59:M154">
    <cfRule type="colorScale" priority="12">
      <colorScale>
        <cfvo type="min"/>
        <cfvo type="percentile" val="50"/>
        <cfvo type="max"/>
        <color rgb="FFF8696B"/>
        <color rgb="FFFFEB84"/>
        <color rgb="FF63BE7B"/>
      </colorScale>
    </cfRule>
  </conditionalFormatting>
  <conditionalFormatting sqref="P59:P154">
    <cfRule type="colorScale" priority="11">
      <colorScale>
        <cfvo type="min"/>
        <cfvo type="percentile" val="50"/>
        <cfvo type="max"/>
        <color rgb="FFF8696B"/>
        <color rgb="FFFFEB84"/>
        <color rgb="FF63BE7B"/>
      </colorScale>
    </cfRule>
  </conditionalFormatting>
  <conditionalFormatting sqref="R59:R154">
    <cfRule type="colorScale" priority="10">
      <colorScale>
        <cfvo type="min"/>
        <cfvo type="percentile" val="50"/>
        <cfvo type="max"/>
        <color rgb="FFF8696B"/>
        <color rgb="FFFFEB84"/>
        <color rgb="FF63BE7B"/>
      </colorScale>
    </cfRule>
  </conditionalFormatting>
  <conditionalFormatting sqref="S59:S154">
    <cfRule type="colorScale" priority="9">
      <colorScale>
        <cfvo type="min"/>
        <cfvo type="percentile" val="50"/>
        <cfvo type="max"/>
        <color rgb="FFF8696B"/>
        <color rgb="FFFFEB84"/>
        <color rgb="FF63BE7B"/>
      </colorScale>
    </cfRule>
  </conditionalFormatting>
  <conditionalFormatting sqref="T59:T154">
    <cfRule type="colorScale" priority="8">
      <colorScale>
        <cfvo type="min"/>
        <cfvo type="percentile" val="50"/>
        <cfvo type="max"/>
        <color rgb="FFF8696B"/>
        <color rgb="FFFFEB84"/>
        <color rgb="FF63BE7B"/>
      </colorScale>
    </cfRule>
  </conditionalFormatting>
  <conditionalFormatting sqref="U59:U154">
    <cfRule type="colorScale" priority="7">
      <colorScale>
        <cfvo type="min"/>
        <cfvo type="percentile" val="50"/>
        <cfvo type="max"/>
        <color rgb="FFF8696B"/>
        <color rgb="FFFFEB84"/>
        <color rgb="FF63BE7B"/>
      </colorScale>
    </cfRule>
  </conditionalFormatting>
  <conditionalFormatting sqref="W59:W154">
    <cfRule type="colorScale" priority="6">
      <colorScale>
        <cfvo type="min"/>
        <cfvo type="percentile" val="50"/>
        <cfvo type="max"/>
        <color rgb="FFF8696B"/>
        <color rgb="FFFFEB84"/>
        <color rgb="FF63BE7B"/>
      </colorScale>
    </cfRule>
  </conditionalFormatting>
  <conditionalFormatting sqref="X59:X154">
    <cfRule type="colorScale" priority="5">
      <colorScale>
        <cfvo type="min"/>
        <cfvo type="percentile" val="50"/>
        <cfvo type="max"/>
        <color rgb="FFF8696B"/>
        <color rgb="FFFFEB84"/>
        <color rgb="FF63BE7B"/>
      </colorScale>
    </cfRule>
  </conditionalFormatting>
  <conditionalFormatting sqref="Y59:Y154">
    <cfRule type="colorScale" priority="4">
      <colorScale>
        <cfvo type="min"/>
        <cfvo type="percentile" val="50"/>
        <cfvo type="max"/>
        <color rgb="FFF8696B"/>
        <color rgb="FFFFEB84"/>
        <color rgb="FF63BE7B"/>
      </colorScale>
    </cfRule>
  </conditionalFormatting>
  <conditionalFormatting sqref="C59:C154">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30" zoomScaleNormal="130" workbookViewId="0">
      <pane xSplit="2" ySplit="9" topLeftCell="E140" activePane="bottomRight" state="frozen"/>
      <selection activeCell="M12" sqref="M12"/>
      <selection pane="topRight" activeCell="M12" sqref="M12"/>
      <selection pane="bottomLeft" activeCell="M12" sqref="M12"/>
      <selection pane="bottomRight" activeCell="Y154" sqref="Y154"/>
    </sheetView>
  </sheetViews>
  <sheetFormatPr defaultColWidth="8.81640625" defaultRowHeight="14.5" x14ac:dyDescent="0.35"/>
  <cols>
    <col min="1" max="1" width="9.1796875" style="72" customWidth="1"/>
    <col min="2" max="2" width="13.6328125" customWidth="1"/>
    <col min="4" max="4" width="7" hidden="1" customWidth="1"/>
    <col min="5" max="5" width="7.36328125" customWidth="1"/>
    <col min="6" max="6" width="7" customWidth="1"/>
    <col min="7" max="9" width="7.36328125" customWidth="1"/>
    <col min="10" max="11" width="7.1796875" customWidth="1"/>
    <col min="12" max="12" width="6.36328125" customWidth="1"/>
    <col min="13" max="13" width="7.36328125" customWidth="1"/>
    <col min="14" max="14" width="7" hidden="1" customWidth="1"/>
    <col min="15" max="15" width="7.1796875" hidden="1" customWidth="1"/>
    <col min="16" max="16" width="6.1796875" customWidth="1"/>
    <col min="17" max="17" width="7.6328125" hidden="1" customWidth="1"/>
    <col min="18" max="18" width="6.6328125" customWidth="1"/>
    <col min="19" max="19" width="6.1796875" hidden="1" customWidth="1"/>
    <col min="20" max="20" width="7" hidden="1"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4"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2" customFormat="1" x14ac:dyDescent="0.35">
      <c r="AD2" s="72" t="s">
        <v>504</v>
      </c>
      <c r="AE2" s="28">
        <v>44866</v>
      </c>
      <c r="AH2" s="27"/>
    </row>
    <row r="3" spans="2:34" ht="75.75" customHeight="1" x14ac:dyDescent="0.35">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35">
      <c r="B4" s="3" t="s">
        <v>513</v>
      </c>
      <c r="C4" s="22">
        <f t="shared" ref="C4:Y4" ca="1" si="0">MAX(OFFSET(C$59,COUNT(C$59:C$250),0,-13,1))</f>
        <v>6.6306089223442846E-2</v>
      </c>
      <c r="D4" s="22" t="e">
        <f t="shared" ca="1" si="0"/>
        <v>#DIV/0!</v>
      </c>
      <c r="E4" s="22">
        <f t="shared" ca="1" si="0"/>
        <v>5.1820208023774128E-2</v>
      </c>
      <c r="F4" s="22" t="e">
        <f t="shared" ca="1" si="0"/>
        <v>#N/A</v>
      </c>
      <c r="G4" s="22">
        <f t="shared" ca="1" si="0"/>
        <v>5.0550632871133094E-2</v>
      </c>
      <c r="H4" s="22">
        <f t="shared" ca="1" si="0"/>
        <v>3.5205875815267428E-2</v>
      </c>
      <c r="I4" s="22">
        <f t="shared" ca="1" si="0"/>
        <v>5.8201058201058149E-2</v>
      </c>
      <c r="J4" s="22">
        <f t="shared" ca="1" si="0"/>
        <v>4.4694652640069971E-2</v>
      </c>
      <c r="K4" s="22">
        <f t="shared" ca="1" si="0"/>
        <v>4.6918158482132107E-2</v>
      </c>
      <c r="L4" s="22">
        <f t="shared" ca="1" si="0"/>
        <v>9.4480157615351709E-2</v>
      </c>
      <c r="M4" s="22">
        <f t="shared" ca="1" si="0"/>
        <v>6.6332856309621296E-2</v>
      </c>
      <c r="N4" s="22" t="e">
        <f t="shared" ca="1" si="0"/>
        <v>#DIV/0!</v>
      </c>
      <c r="O4" s="22" t="e">
        <f t="shared" ca="1" si="0"/>
        <v>#DIV/0!</v>
      </c>
      <c r="P4" s="22">
        <f t="shared" ca="1" si="0"/>
        <v>5.5939801075335596E-2</v>
      </c>
      <c r="Q4" s="22" t="e">
        <f t="shared" ca="1" si="0"/>
        <v>#N/A</v>
      </c>
      <c r="R4" s="22">
        <f t="shared" ca="1" si="0"/>
        <v>2.0456025799891919E-2</v>
      </c>
      <c r="S4" s="22">
        <f t="shared" ca="1" si="0"/>
        <v>4.2524105853663577E-2</v>
      </c>
      <c r="T4" s="22" t="e">
        <f t="shared" ca="1" si="0"/>
        <v>#DIV/0!</v>
      </c>
      <c r="U4" s="22">
        <f t="shared" ca="1" si="0"/>
        <v>5.7032999339529898E-2</v>
      </c>
      <c r="V4" s="22">
        <f t="shared" ca="1" si="0"/>
        <v>5.6115717427105374E-2</v>
      </c>
      <c r="W4" s="22">
        <f t="shared" ca="1" si="0"/>
        <v>0.71718986218556846</v>
      </c>
      <c r="X4" s="22">
        <f t="shared" ca="1" si="0"/>
        <v>0.13502109704641349</v>
      </c>
      <c r="Y4" s="22">
        <f t="shared" ca="1" si="0"/>
        <v>0.11500397287407435</v>
      </c>
      <c r="Z4" s="22" t="e">
        <f>MAX(Z94:Z106)</f>
        <v>#N/A</v>
      </c>
      <c r="AA4" s="22" t="e">
        <f>MAX(AA94:AA106)</f>
        <v>#N/A</v>
      </c>
      <c r="AB4" s="12"/>
    </row>
    <row r="5" spans="2:34" x14ac:dyDescent="0.35">
      <c r="B5" s="3" t="s">
        <v>514</v>
      </c>
      <c r="C5" s="22">
        <f t="shared" ref="C5:Y5" ca="1" si="1">MIN(OFFSET(C$59,COUNT(C$59:C$250),0,-13,1))</f>
        <v>5.7077765832181493E-2</v>
      </c>
      <c r="D5" s="22" t="e">
        <f t="shared" ca="1" si="1"/>
        <v>#DIV/0!</v>
      </c>
      <c r="E5" s="22">
        <f t="shared" ca="1" si="1"/>
        <v>2.2709850517439675E-2</v>
      </c>
      <c r="F5" s="22" t="e">
        <f t="shared" ca="1" si="1"/>
        <v>#N/A</v>
      </c>
      <c r="G5" s="22">
        <f t="shared" ca="1" si="1"/>
        <v>2.8438869561288542E-2</v>
      </c>
      <c r="H5" s="22">
        <f t="shared" ca="1" si="1"/>
        <v>1.2951060305538855E-2</v>
      </c>
      <c r="I5" s="22">
        <f t="shared" ca="1" si="1"/>
        <v>4.0072859744990946E-2</v>
      </c>
      <c r="J5" s="22">
        <f t="shared" ca="1" si="1"/>
        <v>1.3420608615302327E-2</v>
      </c>
      <c r="K5" s="22">
        <f t="shared" ca="1" si="1"/>
        <v>2.0062400057130794E-2</v>
      </c>
      <c r="L5" s="22">
        <f t="shared" ca="1" si="1"/>
        <v>2.3429593287519635E-2</v>
      </c>
      <c r="M5" s="22">
        <f t="shared" ca="1" si="1"/>
        <v>5.0662798515701768E-2</v>
      </c>
      <c r="N5" s="22" t="e">
        <f t="shared" ca="1" si="1"/>
        <v>#DIV/0!</v>
      </c>
      <c r="O5" s="22" t="e">
        <f t="shared" ca="1" si="1"/>
        <v>#DIV/0!</v>
      </c>
      <c r="P5" s="22">
        <f t="shared" ca="1" si="1"/>
        <v>3.6085474500616582E-2</v>
      </c>
      <c r="Q5" s="22" t="e">
        <f t="shared" ca="1" si="1"/>
        <v>#N/A</v>
      </c>
      <c r="R5" s="22">
        <f t="shared" ca="1" si="1"/>
        <v>1.1101472509855145E-2</v>
      </c>
      <c r="S5" s="22">
        <f t="shared" ca="1" si="1"/>
        <v>2.5855197359021267E-2</v>
      </c>
      <c r="T5" s="22" t="e">
        <f t="shared" ca="1" si="1"/>
        <v>#DIV/0!</v>
      </c>
      <c r="U5" s="22">
        <f t="shared" ca="1" si="1"/>
        <v>1.1713944113158589E-2</v>
      </c>
      <c r="V5" s="22">
        <f t="shared" ca="1" si="1"/>
        <v>3.2467330217383288E-2</v>
      </c>
      <c r="W5" s="22">
        <f t="shared" ca="1" si="1"/>
        <v>0.39740897331764463</v>
      </c>
      <c r="X5" s="22">
        <f t="shared" ca="1" si="1"/>
        <v>9.1145833333333329E-2</v>
      </c>
      <c r="Y5" s="22">
        <f t="shared" ca="1" si="1"/>
        <v>5.8260689158820905E-2</v>
      </c>
      <c r="Z5" s="22" t="e">
        <f>MIN(Z94:Z106)</f>
        <v>#N/A</v>
      </c>
      <c r="AA5" s="22" t="e">
        <f>MIN(AA94:AA106)</f>
        <v>#N/A</v>
      </c>
      <c r="AB5" s="12"/>
    </row>
    <row r="6" spans="2:34" x14ac:dyDescent="0.35">
      <c r="B6" s="3" t="s">
        <v>515</v>
      </c>
      <c r="C6" s="22">
        <f t="shared" ref="C6:Y6" ca="1" si="2">AVERAGE(OFFSET(C$59,COUNT(C$59:C$250),0,-13,1))</f>
        <v>6.1518567857555335E-2</v>
      </c>
      <c r="D6" s="22" t="e">
        <f t="shared" ca="1" si="2"/>
        <v>#DIV/0!</v>
      </c>
      <c r="E6" s="22">
        <f t="shared" ca="1" si="2"/>
        <v>3.9302403075819482E-2</v>
      </c>
      <c r="F6" s="22" t="e">
        <f t="shared" ca="1" si="2"/>
        <v>#N/A</v>
      </c>
      <c r="G6" s="22">
        <f t="shared" ca="1" si="2"/>
        <v>3.836241184493646E-2</v>
      </c>
      <c r="H6" s="22">
        <f t="shared" ca="1" si="2"/>
        <v>2.7755897627941204E-2</v>
      </c>
      <c r="I6" s="22">
        <f t="shared" ca="1" si="2"/>
        <v>5.2985116391686404E-2</v>
      </c>
      <c r="J6" s="22">
        <f t="shared" ca="1" si="2"/>
        <v>2.9302020283021656E-2</v>
      </c>
      <c r="K6" s="22">
        <f t="shared" ca="1" si="2"/>
        <v>3.6854123436040991E-2</v>
      </c>
      <c r="L6" s="22">
        <f t="shared" ca="1" si="2"/>
        <v>5.8007529227315995E-2</v>
      </c>
      <c r="M6" s="22">
        <f t="shared" ca="1" si="2"/>
        <v>5.991839587297506E-2</v>
      </c>
      <c r="N6" s="22" t="e">
        <f t="shared" ca="1" si="2"/>
        <v>#DIV/0!</v>
      </c>
      <c r="O6" s="22" t="e">
        <f t="shared" ca="1" si="2"/>
        <v>#DIV/0!</v>
      </c>
      <c r="P6" s="22">
        <f t="shared" ca="1" si="2"/>
        <v>5.0744250425887448E-2</v>
      </c>
      <c r="Q6" s="22" t="e">
        <f t="shared" ca="1" si="2"/>
        <v>#N/A</v>
      </c>
      <c r="R6" s="22">
        <f t="shared" ca="1" si="2"/>
        <v>1.7151616672671972E-2</v>
      </c>
      <c r="S6" s="22">
        <f t="shared" ca="1" si="2"/>
        <v>3.5994020296522218E-2</v>
      </c>
      <c r="T6" s="22" t="e">
        <f t="shared" ca="1" si="2"/>
        <v>#DIV/0!</v>
      </c>
      <c r="U6" s="22">
        <f t="shared" ca="1" si="2"/>
        <v>3.3266456235599894E-2</v>
      </c>
      <c r="V6" s="22">
        <f t="shared" ca="1" si="2"/>
        <v>4.6926219744681502E-2</v>
      </c>
      <c r="W6" s="22">
        <f t="shared" ca="1" si="2"/>
        <v>0.58292113986854199</v>
      </c>
      <c r="X6" s="22">
        <f t="shared" ca="1" si="2"/>
        <v>0.1217542457669777</v>
      </c>
      <c r="Y6" s="22">
        <f t="shared" ca="1" si="2"/>
        <v>8.9343456198619761E-2</v>
      </c>
      <c r="Z6" s="22" t="e">
        <f>AVERAGE(Z94:Z106)</f>
        <v>#N/A</v>
      </c>
      <c r="AA6" s="22" t="e">
        <f>AVERAGE(AA94:AA106)</f>
        <v>#N/A</v>
      </c>
      <c r="AB6" s="12"/>
    </row>
    <row r="7" spans="2:34" x14ac:dyDescent="0.35">
      <c r="B7" s="3" t="s">
        <v>516</v>
      </c>
      <c r="C7" s="23" t="str">
        <f t="shared" ref="C7:Y7" ca="1" si="3">IF((VLOOKUP($AE$2,$B:$Y,MATCH(C3,$B$3:$Y$3,),))&gt;C6,"above","below")</f>
        <v>below</v>
      </c>
      <c r="D7" s="23" t="e">
        <f t="shared" ca="1" si="3"/>
        <v>#DIV/0!</v>
      </c>
      <c r="E7" s="23" t="str">
        <f t="shared" ca="1" si="3"/>
        <v>above</v>
      </c>
      <c r="F7" s="23" t="e">
        <f t="shared" ca="1" si="3"/>
        <v>#N/A</v>
      </c>
      <c r="G7" s="23" t="str">
        <f t="shared" ca="1" si="3"/>
        <v>above</v>
      </c>
      <c r="H7" s="23" t="str">
        <f t="shared" ca="1" si="3"/>
        <v>above</v>
      </c>
      <c r="I7" s="23" t="str">
        <f t="shared" ca="1" si="3"/>
        <v>above</v>
      </c>
      <c r="J7" s="23" t="str">
        <f t="shared" ca="1" si="3"/>
        <v>above</v>
      </c>
      <c r="K7" s="23" t="str">
        <f t="shared" ca="1" si="3"/>
        <v>above</v>
      </c>
      <c r="L7" s="23" t="str">
        <f t="shared" ca="1" si="3"/>
        <v>above</v>
      </c>
      <c r="M7" s="23" t="str">
        <f t="shared" ca="1" si="3"/>
        <v>above</v>
      </c>
      <c r="N7" s="23" t="e">
        <f t="shared" ca="1" si="3"/>
        <v>#DIV/0!</v>
      </c>
      <c r="O7" s="23" t="e">
        <f t="shared" ca="1" si="3"/>
        <v>#DIV/0!</v>
      </c>
      <c r="P7" s="23" t="str">
        <f t="shared" ca="1" si="3"/>
        <v>above</v>
      </c>
      <c r="Q7" s="23" t="e">
        <f t="shared" ca="1" si="3"/>
        <v>#N/A</v>
      </c>
      <c r="R7" s="23" t="str">
        <f t="shared" ca="1" si="3"/>
        <v>below</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35">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35">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35">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35">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35">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35">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35">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35">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35">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35">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35">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35">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35">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35">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35">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35">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35">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35">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2" customFormat="1" x14ac:dyDescent="0.35">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2" customFormat="1" x14ac:dyDescent="0.35">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2" customFormat="1" x14ac:dyDescent="0.35">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2" customFormat="1" x14ac:dyDescent="0.35">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2" customFormat="1" x14ac:dyDescent="0.35">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2" customFormat="1" x14ac:dyDescent="0.35">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2" customFormat="1" x14ac:dyDescent="0.35">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2" customFormat="1" x14ac:dyDescent="0.35">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2" customFormat="1" x14ac:dyDescent="0.35">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2" customFormat="1" x14ac:dyDescent="0.35">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2" customFormat="1" x14ac:dyDescent="0.35">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2" customFormat="1" x14ac:dyDescent="0.35">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2" customFormat="1" x14ac:dyDescent="0.35">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2" customFormat="1" x14ac:dyDescent="0.35">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2" customFormat="1" x14ac:dyDescent="0.35">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2" customFormat="1" x14ac:dyDescent="0.35">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2" customFormat="1" x14ac:dyDescent="0.35">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2" customFormat="1" x14ac:dyDescent="0.35">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2" customFormat="1" x14ac:dyDescent="0.35">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2" customFormat="1" x14ac:dyDescent="0.35">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2" customFormat="1" x14ac:dyDescent="0.35">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2" customFormat="1" x14ac:dyDescent="0.35">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2" customFormat="1" x14ac:dyDescent="0.35">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2" customFormat="1" x14ac:dyDescent="0.35">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2" customFormat="1" x14ac:dyDescent="0.35">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2" customFormat="1" x14ac:dyDescent="0.35">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2" customFormat="1" x14ac:dyDescent="0.35">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2" customFormat="1" x14ac:dyDescent="0.35">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2" customFormat="1" x14ac:dyDescent="0.35">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2" customFormat="1" x14ac:dyDescent="0.35">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2" customFormat="1" x14ac:dyDescent="0.35">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2" customFormat="1" x14ac:dyDescent="0.35">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2" customFormat="1" x14ac:dyDescent="0.35">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2" customFormat="1" x14ac:dyDescent="0.35">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2" customFormat="1" x14ac:dyDescent="0.35">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2" customFormat="1" x14ac:dyDescent="0.35">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2" customFormat="1" x14ac:dyDescent="0.35">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2" customFormat="1" x14ac:dyDescent="0.35">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2" customFormat="1" x14ac:dyDescent="0.35">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2" customFormat="1" x14ac:dyDescent="0.35">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2" customFormat="1" x14ac:dyDescent="0.35">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2" customFormat="1" x14ac:dyDescent="0.35">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2" customFormat="1" x14ac:dyDescent="0.35">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4.0985355141356899E-2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2" customFormat="1" x14ac:dyDescent="0.35">
      <c r="B151" s="15">
        <v>44805</v>
      </c>
      <c r="C151" s="20">
        <f>IF(VLOOKUP(B151,'Data Core CPI'!$A:$AX,MATCH($C$1,'Data Core CPI'!$A$1:$AX$1,),)=0,#N/A,(VLOOKUP(B151,'Data Core CPI'!$A:$AX,MATCH($C$1,'Data Core CPI'!$A$1:$AX$1,),)-VLOOKUP(EDATE(B151,-12),'Data Core CPI'!$A:$AX,MATCH($C$1,'Data Core CPI'!$A$1:$AX$1,),))/VLOOKUP(EDATE(B151,-12),'Data Core CPI'!$A:$AX,MATCH($C$1,'Data Core CPI'!$A$1:$AX$1,),))</f>
        <v>6.6306089223442846E-2</v>
      </c>
      <c r="D151" s="20" t="e">
        <f>(VLOOKUP(B151,'Data Core CPI'!$A:$AX,MATCH($D$1,'Data Core CPI'!$A$1:$AX$1,),)-VLOOKUP(EDATE(B151,-12),'Data Core CPI'!$A:$AX,MATCH($D$1,'Data Core CPI'!$A$1:$AX$1,),))/VLOOKUP(EDATE(B151,-12),'Data Core CPI'!$A:$AX,MATCH($D$1,'Data Core CPI'!$A$1:$AX$1,),)</f>
        <v>#DIV/0!</v>
      </c>
      <c r="E151" s="20">
        <f>IF(VLOOKUP(B151,'Data Core CPI'!$A:$AX,MATCH($E$1,'Data Core CPI'!$A$1:$AX$1,),)=0,#N/A,(VLOOKUP(B151,'Data Core CPI'!$A:$AX,MATCH($E$1,'Data Core CPI'!$A$1:$AX$1,),)-VLOOKUP(EDATE(B151,-12),'Data Core CPI'!$A:$AX,MATCH($E$1,'Data Core CPI'!$A$1:$AX$1,),))/VLOOKUP(EDATE(B151,-12),'Data Core CPI'!$A:$AX,MATCH($E$1,'Data Core CPI'!$A$1:$AX$1,),))</f>
        <v>4.7521047708138427E-2</v>
      </c>
      <c r="F151" s="20" t="e">
        <f>IF(VLOOKUP(B151,'Data Core CPI'!$A:$AX,MATCH($F$1,'Data Core CPI'!$A$1:$AX$1,),)=0,#N/A,(VLOOKUP(B151,'Data Core CPI'!$A:$AX,MATCH($F$1,'Data Core CPI'!$A$1:$AX$1,),)-VLOOKUP(EDATE(B151,-12),'Data Core CPI'!$A:$AX,MATCH($F$1,'Data Core CPI'!$A$1:$AX$1,),))/VLOOKUP(EDATE(B151,-12),'Data Core CPI'!$A:$AX,MATCH($F$1,'Data Core CPI'!$A$1:$AX$1,),))</f>
        <v>#N/A</v>
      </c>
      <c r="G151" s="20">
        <f>IF(VLOOKUP(B151,'Data Core CPI'!$A:$AX,MATCH($G$1,'Data Core CPI'!$A$1:$AX$1,),)=0,#N/A,(VLOOKUP(B151,'Data Core CPI'!$A:$AX,MATCH($G$1,'Data Core CPI'!$A$1:$AX$1,),)-VLOOKUP(EDATE(B151,-12),'Data Core CPI'!$A:$AX,MATCH($G$1,'Data Core CPI'!$A$1:$AX$1,),))/VLOOKUP(EDATE(B151,-12),'Data Core CPI'!$A:$AX,MATCH($G$1,'Data Core CPI'!$A$1:$AX$1,),))</f>
        <v>4.6833043536932351E-2</v>
      </c>
      <c r="H151" s="20">
        <f>IF(VLOOKUP(B151,'Data Core CPI'!$A:$AX,MATCH($H$1,'Data Core CPI'!$A$1:$AX$1,),)=0,#N/A,(VLOOKUP(B151,'Data Core CPI'!$A:$AX,MATCH($H$1,'Data Core CPI'!$A$1:$AX$1,),)-VLOOKUP(EDATE(B151,-12),'Data Core CPI'!$A:$AX,MATCH($H$1,'Data Core CPI'!$A$1:$AX$1,),))/VLOOKUP(EDATE(B151,-12),'Data Core CPI'!$A:$AX,MATCH($H$1,'Data Core CPI'!$A$1:$AX$1,),))</f>
        <v>3.0955243159212314E-2</v>
      </c>
      <c r="I151" s="20">
        <f>IF(VLOOKUP(B151,'Data Core CPI'!$A:$AX,MATCH($I$1,'Data Core CPI'!$A$1:$AX$1,),)=0,#N/A,(VLOOKUP(B151,'Data Core CPI'!$A:$AX,MATCH($I$1,'Data Core CPI'!$A$1:$AX$1,),)-VLOOKUP(EDATE(B151,-12),'Data Core CPI'!$A:$AX,MATCH($I$1,'Data Core CPI'!$A$1:$AX$1,),))/VLOOKUP(EDATE(B151,-12),'Data Core CPI'!$A:$AX,MATCH($I$1,'Data Core CPI'!$A$1:$AX$1,),))</f>
        <v>5.7624113475177305E-2</v>
      </c>
      <c r="J151" s="20">
        <f>IF(VLOOKUP(B151,'Data Core CPI'!$A:$AX,MATCH($J$1,'Data Core CPI'!$A$1:$AX$1,),)=0,#N/A,(VLOOKUP(B151,'Data Core CPI'!$A:$AX,MATCH($J$1,'Data Core CPI'!$A$1:$AX$1,),)-VLOOKUP(EDATE(B151,-12),'Data Core CPI'!$A:$AX,MATCH($J$1,'Data Core CPI'!$A$1:$AX$1,),))/VLOOKUP(EDATE(B151,-12),'Data Core CPI'!$A:$AX,MATCH($J$1,'Data Core CPI'!$A$1:$AX$1,),))</f>
        <v>3.8833475714406727E-2</v>
      </c>
      <c r="K151" s="20">
        <f>IF(VLOOKUP(B151,'Data Core CPI'!$A:$AX,MATCH($K$1,'Data Core CPI'!$A$1:$AX$1,),)=0,#N/A,(VLOOKUP(B151,'Data Core CPI'!$A:$AX,MATCH($K$1,'Data Core CPI'!$A$1:$AX$1,),)-VLOOKUP(EDATE(B151,-12),'Data Core CPI'!$A:$AX,MATCH($K$1,'Data Core CPI'!$A$1:$AX$1,),))/VLOOKUP(EDATE(B151,-12),'Data Core CPI'!$A:$AX,MATCH($K$1,'Data Core CPI'!$A$1:$AX$1,),))</f>
        <v>4.4188912173965332E-2</v>
      </c>
      <c r="L151" s="20">
        <f>IF(VLOOKUP(B151,'Data Core CPI'!$A:$AX,MATCH($L$1,'Data Core CPI'!$A$1:$AX$1,),)=0,#N/A,(VLOOKUP(B151,'Data Core CPI'!$A:$AX,MATCH($L$1,'Data Core CPI'!$A$1:$AX$1,),)-VLOOKUP(EDATE(B151,-12),'Data Core CPI'!$A:$AX,MATCH($L$1,'Data Core CPI'!$A$1:$AX$1,),))/VLOOKUP(EDATE(B151,-12),'Data Core CPI'!$A:$AX,MATCH($L$1,'Data Core CPI'!$A$1:$AX$1,),))</f>
        <v>7.3769383506330957E-2</v>
      </c>
      <c r="M151" s="20">
        <f>IF(VLOOKUP(B151,'Data Core CPI'!$A:$AX,MATCH($M$1,'Data Core CPI'!$A$1:$AX$1,),)=0,#N/A,(VLOOKUP(B151,'Data Core CPI'!$A:$AX,MATCH($M$1,'Data Core CPI'!$A$1:$AX$1,),)-VLOOKUP(EDATE(B151,-12),'Data Core CPI'!$A:$AX,MATCH($M$1,'Data Core CPI'!$A$1:$AX$1,),))/VLOOKUP(EDATE(B151,-12),'Data Core CPI'!$A:$AX,MATCH($M$1,'Data Core CPI'!$A$1:$AX$1,),))</f>
        <v>6.5008274305672603E-2</v>
      </c>
      <c r="N151" s="20" t="e">
        <f>(VLOOKUP(B151,'Data Core CPI'!$A:$AX,MATCH($N$1,'Data Core CPI'!$A$1:$AX$1,),)-VLOOKUP(EDATE(B151,-12),'Data Core CPI'!$A:$AX,MATCH($N$1,'Data Core CPI'!$A$1:$AX$1,),))/VLOOKUP(EDATE(B151,-12),'Data Core CPI'!$A:$AX,MATCH($N$1,'Data Core CPI'!$A$1:$AX$1,),)</f>
        <v>#DIV/0!</v>
      </c>
      <c r="O151" s="20" t="e">
        <f>(VLOOKUP(B151,'Data Core CPI'!$A:$AX,MATCH($O$1,'Data Core CPI'!$A$1:$AX$1,),)-VLOOKUP(EDATE(B151,-12),'Data Core CPI'!$A:$AX,MATCH($O$1,'Data Core CPI'!$A$1:$AX$1,),))/VLOOKUP(EDATE(B151,-12),'Data Core CPI'!$A:$AX,MATCH($O$1,'Data Core CPI'!$A$1:$AX$1,),)</f>
        <v>#DIV/0!</v>
      </c>
      <c r="P151" s="20">
        <f>IF(VLOOKUP(B151,'Data Core CPI'!$A:$AX,MATCH($P$1,'Data Core CPI'!$A$1:$AX$1,),)=0,#N/A,(VLOOKUP(B151,'Data Core CPI'!$A:$AX,MATCH($P$1,'Data Core CPI'!$A$1:$AX$1,),)-VLOOKUP(EDATE(B151,-12),'Data Core CPI'!$A:$AX,MATCH($P$1,'Data Core CPI'!$A$1:$AX$1,),))/VLOOKUP(EDATE(B151,-12),'Data Core CPI'!$A:$AX,MATCH($P$1,'Data Core CPI'!$A$1:$AX$1,),))</f>
        <v>5.5939801075335596E-2</v>
      </c>
      <c r="Q151" s="20" t="e">
        <f>(VLOOKUP(B151,'Data Core CPI'!$A:$AX,MATCH($Q$1,'Data Core CPI'!$A$1:$AX$1,),)-VLOOKUP(EDATE(B151,-12),'Data Core CPI'!$A:$AX,MATCH($Q$1,'Data Core CPI'!$A$1:$AX$1,),))/VLOOKUP(EDATE(B151,-12),'Data Core CPI'!$A:$AX,MATCH($Q$1,'Data Core CPI'!$A$1:$AX$1,),)</f>
        <v>#N/A</v>
      </c>
      <c r="R151" s="20">
        <f>IF(VLOOKUP(B151,'Data Core CPI'!$A:$AX,MATCH($R$1,'Data Core CPI'!$A$1:$AX$1,),)=0,#N/A,(VLOOKUP(B151,'Data Core CPI'!$A:$AX,MATCH($R$1,'Data Core CPI'!$A$1:$AX$1,),)-VLOOKUP(EDATE(B151,-12),'Data Core CPI'!$A:$AX,MATCH($R$1,'Data Core CPI'!$A$1:$AX$1,),))/VLOOKUP(EDATE(B151,-12),'Data Core CPI'!$A:$AX,MATCH($R$1,'Data Core CPI'!$A$1:$AX$1,),))</f>
        <v>1.918427971623848E-2</v>
      </c>
      <c r="S151" s="20">
        <f>(VLOOKUP(B151,'Data Core CPI'!$A:$AX,MATCH($S$1,'Data Core CPI'!$A$1:$AX$1,),)-VLOOKUP(EDATE(B151,-12),'Data Core CPI'!$A:$AX,MATCH($S$1,'Data Core CPI'!$A$1:$AX$1,),))/VLOOKUP(EDATE(B151,-12),'Data Core CPI'!$A:$AX,MATCH($S$1,'Data Core CPI'!$A$1:$AX$1,),)</f>
        <v>4.0657374243815894E-2</v>
      </c>
      <c r="T151" s="20" t="e">
        <f>(VLOOKUP(B151,'Data Core CPI'!$A:$AX,MATCH($T$1,'Data Core CPI'!$A$1:$AX$1,),)-VLOOKUP(EDATE(B151,-12),'Data Core CPI'!$A:$AX,MATCH($T$1,'Data Core CPI'!$A$1:$AX$1,),))/VLOOKUP(EDATE(B151,-12),'Data Core CPI'!$A:$AX,MATCH($T$1,'Data Core CPI'!$A$1:$AX$1,),)</f>
        <v>#DIV/0!</v>
      </c>
      <c r="U151" s="20">
        <f>IF(VLOOKUP(B151,'Data Core CPI'!$A:$AX,MATCH($U$1,'Data Core CPI'!$A$1:$AX$1,),)=0,#N/A,(VLOOKUP(B151,'Data Core CPI'!$A:$AX,MATCH($U$1,'Data Core CPI'!$A$1:$AX$1,),)-VLOOKUP(EDATE(B151,-12),'Data Core CPI'!$A:$AX,MATCH($U$1,'Data Core CPI'!$A$1:$AX$1,),))/VLOOKUP(EDATE(B151,-12),'Data Core CPI'!$A:$AX,MATCH($U$1,'Data Core CPI'!$A$1:$AX$1,),))</f>
        <v>4.7170596799185879E-2</v>
      </c>
      <c r="V151" s="20">
        <f>(VLOOKUP(B151,'Data Core CPI'!$A:$AX,MATCH($V$1,'Data Core CPI'!$A$1:$AX$1,),)-VLOOKUP(EDATE(B151,-12),'Data Core CPI'!$A:$AX,MATCH($V$1,'Data Core CPI'!$A$1:$AX$1,),))/VLOOKUP(EDATE(B151,-12),'Data Core CPI'!$A:$AX,MATCH($V$1,'Data Core CPI'!$A$1:$AX$1,),)</f>
        <v>4.9671012757962305E-2</v>
      </c>
      <c r="W151" s="20">
        <f>IF(VLOOKUP(B151,'Data Core CPI'!$A:$AX,MATCH($W$1,'Data Core CPI'!$A$1:$AX$1,),)=0,#N/A,(VLOOKUP(B151,'Data Core CPI'!$A:$AX,MATCH($W$1,'Data Core CPI'!$A$1:$AX$1,),)-VLOOKUP(EDATE(B151,-12),'Data Core CPI'!$A:$AX,MATCH($W$1,'Data Core CPI'!$A$1:$AX$1,),))/VLOOKUP(EDATE(B151,-12),'Data Core CPI'!$A:$AX,MATCH($W$1,'Data Core CPI'!$A$1:$AX$1,),))</f>
        <v>0.69668230826487498</v>
      </c>
      <c r="X151" s="20">
        <f>IF(VLOOKUP(B151,'Data Core CPI'!$A:$AX,MATCH($X$1,'Data Core CPI'!$A$1:$AX$1,),)=0,#N/A,(VLOOKUP(B151,'Data Core CPI'!$A:$AX,MATCH($X$1,'Data Core CPI'!$A$1:$AX$1,),)-VLOOKUP(EDATE(B151,-12),'Data Core CPI'!$A:$AX,MATCH($X$1,'Data Core CPI'!$A$1:$AX$1,),))/VLOOKUP(EDATE(B151,-12),'Data Core CPI'!$A:$AX,MATCH($X$1,'Data Core CPI'!$A$1:$AX$1,),))</f>
        <v>0.13405495420482927</v>
      </c>
      <c r="Y151" s="20">
        <f>IF(VLOOKUP(B151,'Data Core CPI'!$A:$AX,MATCH($Y$1,'Data Core CPI'!$A$1:$AX$1,),)=0,#N/A,(VLOOKUP(B151,'Data Core CPI'!$A:$AX,MATCH($Y$1,'Data Core CPI'!$A$1:$AX$1,),)-VLOOKUP(EDATE(B151,-12),'Data Core CPI'!$A:$AX,MATCH($Y$1,'Data Core CPI'!$A$1:$AX$1,),))/VLOOKUP(EDATE(B151,-12),'Data Core CPI'!$A:$AX,MATCH($Y$1,'Data Core CPI'!$A$1:$AX$1,),))</f>
        <v>0.10587276316853836</v>
      </c>
    </row>
    <row r="152" spans="2:25" s="72" customFormat="1" x14ac:dyDescent="0.35">
      <c r="B152" s="15">
        <v>44835</v>
      </c>
      <c r="C152" s="20">
        <f>IF(VLOOKUP(B152,'Data Core CPI'!$A:$AX,MATCH($C$1,'Data Core CPI'!$A$1:$AX$1,),)=0,#N/A,(VLOOKUP(B152,'Data Core CPI'!$A:$AX,MATCH($C$1,'Data Core CPI'!$A$1:$AX$1,),)-VLOOKUP(EDATE(B152,-12),'Data Core CPI'!$A:$AX,MATCH($C$1,'Data Core CPI'!$A$1:$AX$1,),))/VLOOKUP(EDATE(B152,-12),'Data Core CPI'!$A:$AX,MATCH($C$1,'Data Core CPI'!$A$1:$AX$1,),))</f>
        <v>6.2843487827767719E-2</v>
      </c>
      <c r="D152" s="20" t="e">
        <f>(VLOOKUP(B152,'Data Core CPI'!$A:$AX,MATCH($D$1,'Data Core CPI'!$A$1:$AX$1,),)-VLOOKUP(EDATE(B152,-12),'Data Core CPI'!$A:$AX,MATCH($D$1,'Data Core CPI'!$A$1:$AX$1,),))/VLOOKUP(EDATE(B152,-12),'Data Core CPI'!$A:$AX,MATCH($D$1,'Data Core CPI'!$A$1:$AX$1,),)</f>
        <v>#DIV/0!</v>
      </c>
      <c r="E152" s="20">
        <f>IF(VLOOKUP(B152,'Data Core CPI'!$A:$AX,MATCH($E$1,'Data Core CPI'!$A$1:$AX$1,),)=0,#N/A,(VLOOKUP(B152,'Data Core CPI'!$A:$AX,MATCH($E$1,'Data Core CPI'!$A$1:$AX$1,),)-VLOOKUP(EDATE(B152,-12),'Data Core CPI'!$A:$AX,MATCH($E$1,'Data Core CPI'!$A$1:$AX$1,),))/VLOOKUP(EDATE(B152,-12),'Data Core CPI'!$A:$AX,MATCH($E$1,'Data Core CPI'!$A$1:$AX$1,),))</f>
        <v>5.0177205745196747E-2</v>
      </c>
      <c r="F152" s="20" t="e">
        <f>IF(VLOOKUP(B152,'Data Core CPI'!$A:$AX,MATCH($F$1,'Data Core CPI'!$A$1:$AX$1,),)=0,#N/A,(VLOOKUP(B152,'Data Core CPI'!$A:$AX,MATCH($F$1,'Data Core CPI'!$A$1:$AX$1,),)-VLOOKUP(EDATE(B152,-12),'Data Core CPI'!$A:$AX,MATCH($F$1,'Data Core CPI'!$A$1:$AX$1,),))/VLOOKUP(EDATE(B152,-12),'Data Core CPI'!$A:$AX,MATCH($F$1,'Data Core CPI'!$A$1:$AX$1,),))</f>
        <v>#N/A</v>
      </c>
      <c r="G152" s="20">
        <f>IF(VLOOKUP(B152,'Data Core CPI'!$A:$AX,MATCH($G$1,'Data Core CPI'!$A$1:$AX$1,),)=0,#N/A,(VLOOKUP(B152,'Data Core CPI'!$A:$AX,MATCH($G$1,'Data Core CPI'!$A$1:$AX$1,),)-VLOOKUP(EDATE(B152,-12),'Data Core CPI'!$A:$AX,MATCH($G$1,'Data Core CPI'!$A$1:$AX$1,),))/VLOOKUP(EDATE(B152,-12),'Data Core CPI'!$A:$AX,MATCH($G$1,'Data Core CPI'!$A$1:$AX$1,),))</f>
        <v>5.0144327417837198E-2</v>
      </c>
      <c r="H152" s="20">
        <f>IF(VLOOKUP(B152,'Data Core CPI'!$A:$AX,MATCH($H$1,'Data Core CPI'!$A$1:$AX$1,),)=0,#N/A,(VLOOKUP(B152,'Data Core CPI'!$A:$AX,MATCH($H$1,'Data Core CPI'!$A$1:$AX$1,),)-VLOOKUP(EDATE(B152,-12),'Data Core CPI'!$A:$AX,MATCH($H$1,'Data Core CPI'!$A$1:$AX$1,),))/VLOOKUP(EDATE(B152,-12),'Data Core CPI'!$A:$AX,MATCH($H$1,'Data Core CPI'!$A$1:$AX$1,),))</f>
        <v>3.278185924461758E-2</v>
      </c>
      <c r="I152" s="20">
        <f>IF(VLOOKUP(B152,'Data Core CPI'!$A:$AX,MATCH($I$1,'Data Core CPI'!$A$1:$AX$1,),)=0,#N/A,(VLOOKUP(B152,'Data Core CPI'!$A:$AX,MATCH($I$1,'Data Core CPI'!$A$1:$AX$1,),)-VLOOKUP(EDATE(B152,-12),'Data Core CPI'!$A:$AX,MATCH($I$1,'Data Core CPI'!$A$1:$AX$1,),))/VLOOKUP(EDATE(B152,-12),'Data Core CPI'!$A:$AX,MATCH($I$1,'Data Core CPI'!$A$1:$AX$1,),))</f>
        <v>5.8201058201058149E-2</v>
      </c>
      <c r="J152" s="20">
        <f>IF(VLOOKUP(B152,'Data Core CPI'!$A:$AX,MATCH($J$1,'Data Core CPI'!$A$1:$AX$1,),)=0,#N/A,(VLOOKUP(B152,'Data Core CPI'!$A:$AX,MATCH($J$1,'Data Core CPI'!$A$1:$AX$1,),)-VLOOKUP(EDATE(B152,-12),'Data Core CPI'!$A:$AX,MATCH($J$1,'Data Core CPI'!$A$1:$AX$1,),))/VLOOKUP(EDATE(B152,-12),'Data Core CPI'!$A:$AX,MATCH($J$1,'Data Core CPI'!$A$1:$AX$1,),))</f>
        <v>4.0634775149301985E-2</v>
      </c>
      <c r="K152" s="20">
        <f>IF(VLOOKUP(B152,'Data Core CPI'!$A:$AX,MATCH($K$1,'Data Core CPI'!$A$1:$AX$1,),)=0,#N/A,(VLOOKUP(B152,'Data Core CPI'!$A:$AX,MATCH($K$1,'Data Core CPI'!$A$1:$AX$1,),)-VLOOKUP(EDATE(B152,-12),'Data Core CPI'!$A:$AX,MATCH($K$1,'Data Core CPI'!$A$1:$AX$1,),))/VLOOKUP(EDATE(B152,-12),'Data Core CPI'!$A:$AX,MATCH($K$1,'Data Core CPI'!$A$1:$AX$1,),))</f>
        <v>4.2213581326618267E-2</v>
      </c>
      <c r="L152" s="20">
        <f>IF(VLOOKUP(B152,'Data Core CPI'!$A:$AX,MATCH($L$1,'Data Core CPI'!$A$1:$AX$1,),)=0,#N/A,(VLOOKUP(B152,'Data Core CPI'!$A:$AX,MATCH($L$1,'Data Core CPI'!$A$1:$AX$1,),)-VLOOKUP(EDATE(B152,-12),'Data Core CPI'!$A:$AX,MATCH($L$1,'Data Core CPI'!$A$1:$AX$1,),))/VLOOKUP(EDATE(B152,-12),'Data Core CPI'!$A:$AX,MATCH($L$1,'Data Core CPI'!$A$1:$AX$1,),))</f>
        <v>8.2195532400470256E-2</v>
      </c>
      <c r="M152" s="20">
        <f>IF(VLOOKUP(B152,'Data Core CPI'!$A:$AX,MATCH($M$1,'Data Core CPI'!$A$1:$AX$1,),)=0,#N/A,(VLOOKUP(B152,'Data Core CPI'!$A:$AX,MATCH($M$1,'Data Core CPI'!$A$1:$AX$1,),)-VLOOKUP(EDATE(B152,-12),'Data Core CPI'!$A:$AX,MATCH($M$1,'Data Core CPI'!$A$1:$AX$1,),))/VLOOKUP(EDATE(B152,-12),'Data Core CPI'!$A:$AX,MATCH($M$1,'Data Core CPI'!$A$1:$AX$1,),))</f>
        <v>6.550430869482872E-2</v>
      </c>
      <c r="N152" s="20" t="e">
        <f>(VLOOKUP(B152,'Data Core CPI'!$A:$AX,MATCH($N$1,'Data Core CPI'!$A$1:$AX$1,),)-VLOOKUP(EDATE(B152,-12),'Data Core CPI'!$A:$AX,MATCH($N$1,'Data Core CPI'!$A$1:$AX$1,),))/VLOOKUP(EDATE(B152,-12),'Data Core CPI'!$A:$AX,MATCH($N$1,'Data Core CPI'!$A$1:$AX$1,),)</f>
        <v>#DIV/0!</v>
      </c>
      <c r="O152" s="20" t="e">
        <f>(VLOOKUP(B152,'Data Core CPI'!$A:$AX,MATCH($O$1,'Data Core CPI'!$A$1:$AX$1,),)-VLOOKUP(EDATE(B152,-12),'Data Core CPI'!$A:$AX,MATCH($O$1,'Data Core CPI'!$A$1:$AX$1,),))/VLOOKUP(EDATE(B152,-12),'Data Core CPI'!$A:$AX,MATCH($O$1,'Data Core CPI'!$A$1:$AX$1,),)</f>
        <v>#DIV/0!</v>
      </c>
      <c r="P152" s="20">
        <f>IF(VLOOKUP(B152,'Data Core CPI'!$A:$AX,MATCH($P$1,'Data Core CPI'!$A$1:$AX$1,),)=0,#N/A,(VLOOKUP(B152,'Data Core CPI'!$A:$AX,MATCH($P$1,'Data Core CPI'!$A$1:$AX$1,),)-VLOOKUP(EDATE(B152,-12),'Data Core CPI'!$A:$AX,MATCH($P$1,'Data Core CPI'!$A$1:$AX$1,),))/VLOOKUP(EDATE(B152,-12),'Data Core CPI'!$A:$AX,MATCH($P$1,'Data Core CPI'!$A$1:$AX$1,),))</f>
        <v>5.4218298201081573E-2</v>
      </c>
      <c r="Q152" s="20" t="e">
        <f>(VLOOKUP(B152,'Data Core CPI'!$A:$AX,MATCH($Q$1,'Data Core CPI'!$A$1:$AX$1,),)-VLOOKUP(EDATE(B152,-12),'Data Core CPI'!$A:$AX,MATCH($Q$1,'Data Core CPI'!$A$1:$AX$1,),))/VLOOKUP(EDATE(B152,-12),'Data Core CPI'!$A:$AX,MATCH($Q$1,'Data Core CPI'!$A$1:$AX$1,),)</f>
        <v>#N/A</v>
      </c>
      <c r="R152" s="20">
        <f>IF(VLOOKUP(B152,'Data Core CPI'!$A:$AX,MATCH($R$1,'Data Core CPI'!$A$1:$AX$1,),)=0,#N/A,(VLOOKUP(B152,'Data Core CPI'!$A:$AX,MATCH($R$1,'Data Core CPI'!$A$1:$AX$1,),)-VLOOKUP(EDATE(B152,-12),'Data Core CPI'!$A:$AX,MATCH($R$1,'Data Core CPI'!$A$1:$AX$1,),))/VLOOKUP(EDATE(B152,-12),'Data Core CPI'!$A:$AX,MATCH($R$1,'Data Core CPI'!$A$1:$AX$1,),))</f>
        <v>1.6061961318603126E-2</v>
      </c>
      <c r="S152" s="20">
        <f>(VLOOKUP(B152,'Data Core CPI'!$A:$AX,MATCH($S$1,'Data Core CPI'!$A$1:$AX$1,),)-VLOOKUP(EDATE(B152,-12),'Data Core CPI'!$A:$AX,MATCH($S$1,'Data Core CPI'!$A$1:$AX$1,),))/VLOOKUP(EDATE(B152,-12),'Data Core CPI'!$A:$AX,MATCH($S$1,'Data Core CPI'!$A$1:$AX$1,),)</f>
        <v>4.1834836496225811E-2</v>
      </c>
      <c r="T152" s="20" t="e">
        <f>(VLOOKUP(B152,'Data Core CPI'!$A:$AX,MATCH($T$1,'Data Core CPI'!$A$1:$AX$1,),)-VLOOKUP(EDATE(B152,-12),'Data Core CPI'!$A:$AX,MATCH($T$1,'Data Core CPI'!$A$1:$AX$1,),))/VLOOKUP(EDATE(B152,-12),'Data Core CPI'!$A:$AX,MATCH($T$1,'Data Core CPI'!$A$1:$AX$1,),)</f>
        <v>#DIV/0!</v>
      </c>
      <c r="U152" s="20">
        <f>IF(VLOOKUP(B152,'Data Core CPI'!$A:$AX,MATCH($U$1,'Data Core CPI'!$A$1:$AX$1,),)=0,#N/A,(VLOOKUP(B152,'Data Core CPI'!$A:$AX,MATCH($U$1,'Data Core CPI'!$A$1:$AX$1,),)-VLOOKUP(EDATE(B152,-12),'Data Core CPI'!$A:$AX,MATCH($U$1,'Data Core CPI'!$A$1:$AX$1,),))/VLOOKUP(EDATE(B152,-12),'Data Core CPI'!$A:$AX,MATCH($U$1,'Data Core CPI'!$A$1:$AX$1,),))</f>
        <v>5.0113409205337911E-2</v>
      </c>
      <c r="V152" s="20">
        <f>(VLOOKUP(B152,'Data Core CPI'!$A:$AX,MATCH($V$1,'Data Core CPI'!$A$1:$AX$1,),)-VLOOKUP(EDATE(B152,-12),'Data Core CPI'!$A:$AX,MATCH($V$1,'Data Core CPI'!$A$1:$AX$1,),))/VLOOKUP(EDATE(B152,-12),'Data Core CPI'!$A:$AX,MATCH($V$1,'Data Core CPI'!$A$1:$AX$1,),)</f>
        <v>4.994480009308775E-2</v>
      </c>
      <c r="W152" s="20">
        <f>IF(VLOOKUP(B152,'Data Core CPI'!$A:$AX,MATCH($W$1,'Data Core CPI'!$A$1:$AX$1,),)=0,#N/A,(VLOOKUP(B152,'Data Core CPI'!$A:$AX,MATCH($W$1,'Data Core CPI'!$A$1:$AX$1,),)-VLOOKUP(EDATE(B152,-12),'Data Core CPI'!$A:$AX,MATCH($W$1,'Data Core CPI'!$A$1:$AX$1,),))/VLOOKUP(EDATE(B152,-12),'Data Core CPI'!$A:$AX,MATCH($W$1,'Data Core CPI'!$A$1:$AX$1,),))</f>
        <v>0.71718986218556846</v>
      </c>
      <c r="X152" s="20">
        <f>IF(VLOOKUP(B152,'Data Core CPI'!$A:$AX,MATCH($X$1,'Data Core CPI'!$A$1:$AX$1,),)=0,#N/A,(VLOOKUP(B152,'Data Core CPI'!$A:$AX,MATCH($X$1,'Data Core CPI'!$A$1:$AX$1,),)-VLOOKUP(EDATE(B152,-12),'Data Core CPI'!$A:$AX,MATCH($X$1,'Data Core CPI'!$A$1:$AX$1,),))/VLOOKUP(EDATE(B152,-12),'Data Core CPI'!$A:$AX,MATCH($X$1,'Data Core CPI'!$A$1:$AX$1,),))</f>
        <v>0.13179571663920922</v>
      </c>
      <c r="Y152" s="20">
        <f>IF(VLOOKUP(B152,'Data Core CPI'!$A:$AX,MATCH($Y$1,'Data Core CPI'!$A$1:$AX$1,),)=0,#N/A,(VLOOKUP(B152,'Data Core CPI'!$A:$AX,MATCH($Y$1,'Data Core CPI'!$A$1:$AX$1,),)-VLOOKUP(EDATE(B152,-12),'Data Core CPI'!$A:$AX,MATCH($Y$1,'Data Core CPI'!$A$1:$AX$1,),))/VLOOKUP(EDATE(B152,-12),'Data Core CPI'!$A:$AX,MATCH($Y$1,'Data Core CPI'!$A$1:$AX$1,),))</f>
        <v>0.1089798083857919</v>
      </c>
    </row>
    <row r="153" spans="2:25" s="72" customFormat="1" x14ac:dyDescent="0.35">
      <c r="B153" s="15">
        <v>44866</v>
      </c>
      <c r="C153" s="20">
        <f>IF(VLOOKUP(B153,'Data Core CPI'!$A:$AX,MATCH($C$1,'Data Core CPI'!$A$1:$AX$1,),)=0,#N/A,(VLOOKUP(B153,'Data Core CPI'!$A:$AX,MATCH($C$1,'Data Core CPI'!$A$1:$AX$1,),)-VLOOKUP(EDATE(B153,-12),'Data Core CPI'!$A:$AX,MATCH($C$1,'Data Core CPI'!$A$1:$AX$1,),))/VLOOKUP(EDATE(B153,-12),'Data Core CPI'!$A:$AX,MATCH($C$1,'Data Core CPI'!$A$1:$AX$1,),))</f>
        <v>5.9578518457594924E-2</v>
      </c>
      <c r="D153" s="20" t="e">
        <f>(VLOOKUP(B153,'Data Core CPI'!$A:$AX,MATCH($D$1,'Data Core CPI'!$A$1:$AX$1,),)-VLOOKUP(EDATE(B153,-12),'Data Core CPI'!$A:$AX,MATCH($D$1,'Data Core CPI'!$A$1:$AX$1,),))/VLOOKUP(EDATE(B153,-12),'Data Core CPI'!$A:$AX,MATCH($D$1,'Data Core CPI'!$A$1:$AX$1,),)</f>
        <v>#DIV/0!</v>
      </c>
      <c r="E153" s="20">
        <f>IF(VLOOKUP(B153,'Data Core CPI'!$A:$AX,MATCH($E$1,'Data Core CPI'!$A$1:$AX$1,),)=0,#N/A,(VLOOKUP(B153,'Data Core CPI'!$A:$AX,MATCH($E$1,'Data Core CPI'!$A$1:$AX$1,),)-VLOOKUP(EDATE(B153,-12),'Data Core CPI'!$A:$AX,MATCH($E$1,'Data Core CPI'!$A$1:$AX$1,),))/VLOOKUP(EDATE(B153,-12),'Data Core CPI'!$A:$AX,MATCH($E$1,'Data Core CPI'!$A$1:$AX$1,),))</f>
        <v>4.9785567779227942E-2</v>
      </c>
      <c r="F153" s="20" t="e">
        <f>IF(VLOOKUP(B153,'Data Core CPI'!$A:$AX,MATCH($F$1,'Data Core CPI'!$A$1:$AX$1,),)=0,#N/A,(VLOOKUP(B153,'Data Core CPI'!$A:$AX,MATCH($F$1,'Data Core CPI'!$A$1:$AX$1,),)-VLOOKUP(EDATE(B153,-12),'Data Core CPI'!$A:$AX,MATCH($F$1,'Data Core CPI'!$A$1:$AX$1,),))/VLOOKUP(EDATE(B153,-12),'Data Core CPI'!$A:$AX,MATCH($F$1,'Data Core CPI'!$A$1:$AX$1,),))</f>
        <v>#N/A</v>
      </c>
      <c r="G153" s="20">
        <f>IF(VLOOKUP(B153,'Data Core CPI'!$A:$AX,MATCH($G$1,'Data Core CPI'!$A$1:$AX$1,),)=0,#N/A,(VLOOKUP(B153,'Data Core CPI'!$A:$AX,MATCH($G$1,'Data Core CPI'!$A$1:$AX$1,),)-VLOOKUP(EDATE(B153,-12),'Data Core CPI'!$A:$AX,MATCH($G$1,'Data Core CPI'!$A$1:$AX$1,),))/VLOOKUP(EDATE(B153,-12),'Data Core CPI'!$A:$AX,MATCH($G$1,'Data Core CPI'!$A$1:$AX$1,),))</f>
        <v>4.9739229533892711E-2</v>
      </c>
      <c r="H153" s="20">
        <f>IF(VLOOKUP(B153,'Data Core CPI'!$A:$AX,MATCH($H$1,'Data Core CPI'!$A$1:$AX$1,),)=0,#N/A,(VLOOKUP(B153,'Data Core CPI'!$A:$AX,MATCH($H$1,'Data Core CPI'!$A$1:$AX$1,),)-VLOOKUP(EDATE(B153,-12),'Data Core CPI'!$A:$AX,MATCH($H$1,'Data Core CPI'!$A$1:$AX$1,),))/VLOOKUP(EDATE(B153,-12),'Data Core CPI'!$A:$AX,MATCH($H$1,'Data Core CPI'!$A$1:$AX$1,),))</f>
        <v>3.2785545393031156E-2</v>
      </c>
      <c r="I153" s="20">
        <f>IF(VLOOKUP(B153,'Data Core CPI'!$A:$AX,MATCH($I$1,'Data Core CPI'!$A$1:$AX$1,),)=0,#N/A,(VLOOKUP(B153,'Data Core CPI'!$A:$AX,MATCH($I$1,'Data Core CPI'!$A$1:$AX$1,),)-VLOOKUP(EDATE(B153,-12),'Data Core CPI'!$A:$AX,MATCH($I$1,'Data Core CPI'!$A$1:$AX$1,),))/VLOOKUP(EDATE(B153,-12),'Data Core CPI'!$A:$AX,MATCH($I$1,'Data Core CPI'!$A$1:$AX$1,),))</f>
        <v>5.7067603160667252E-2</v>
      </c>
      <c r="J153" s="20">
        <f>IF(VLOOKUP(B153,'Data Core CPI'!$A:$AX,MATCH($J$1,'Data Core CPI'!$A$1:$AX$1,),)=0,#N/A,(VLOOKUP(B153,'Data Core CPI'!$A:$AX,MATCH($J$1,'Data Core CPI'!$A$1:$AX$1,),)-VLOOKUP(EDATE(B153,-12),'Data Core CPI'!$A:$AX,MATCH($J$1,'Data Core CPI'!$A$1:$AX$1,),))/VLOOKUP(EDATE(B153,-12),'Data Core CPI'!$A:$AX,MATCH($J$1,'Data Core CPI'!$A$1:$AX$1,),))</f>
        <v>4.1408408093028065E-2</v>
      </c>
      <c r="K153" s="20">
        <f>IF(VLOOKUP(B153,'Data Core CPI'!$A:$AX,MATCH($K$1,'Data Core CPI'!$A$1:$AX$1,),)=0,#N/A,(VLOOKUP(B153,'Data Core CPI'!$A:$AX,MATCH($K$1,'Data Core CPI'!$A$1:$AX$1,),)-VLOOKUP(EDATE(B153,-12),'Data Core CPI'!$A:$AX,MATCH($K$1,'Data Core CPI'!$A$1:$AX$1,),))/VLOOKUP(EDATE(B153,-12),'Data Core CPI'!$A:$AX,MATCH($K$1,'Data Core CPI'!$A$1:$AX$1,),))</f>
        <v>4.0856701788042703E-2</v>
      </c>
      <c r="L153" s="20">
        <f>IF(VLOOKUP(B153,'Data Core CPI'!$A:$AX,MATCH($L$1,'Data Core CPI'!$A$1:$AX$1,),)=0,#N/A,(VLOOKUP(B153,'Data Core CPI'!$A:$AX,MATCH($L$1,'Data Core CPI'!$A$1:$AX$1,),)-VLOOKUP(EDATE(B153,-12),'Data Core CPI'!$A:$AX,MATCH($L$1,'Data Core CPI'!$A$1:$AX$1,),))/VLOOKUP(EDATE(B153,-12),'Data Core CPI'!$A:$AX,MATCH($L$1,'Data Core CPI'!$A$1:$AX$1,),))</f>
        <v>8.6835443737853471E-2</v>
      </c>
      <c r="M153" s="20">
        <f>IF(VLOOKUP(B153,'Data Core CPI'!$A:$AX,MATCH($M$1,'Data Core CPI'!$A$1:$AX$1,),)=0,#N/A,(VLOOKUP(B153,'Data Core CPI'!$A:$AX,MATCH($M$1,'Data Core CPI'!$A$1:$AX$1,),)-VLOOKUP(EDATE(B153,-12),'Data Core CPI'!$A:$AX,MATCH($M$1,'Data Core CPI'!$A$1:$AX$1,),))/VLOOKUP(EDATE(B153,-12),'Data Core CPI'!$A:$AX,MATCH($M$1,'Data Core CPI'!$A$1:$AX$1,),))</f>
        <v>6.6332856309621296E-2</v>
      </c>
      <c r="N153" s="20" t="e">
        <f>(VLOOKUP(B153,'Data Core CPI'!$A:$AX,MATCH($N$1,'Data Core CPI'!$A$1:$AX$1,),)-VLOOKUP(EDATE(B153,-12),'Data Core CPI'!$A:$AX,MATCH($N$1,'Data Core CPI'!$A$1:$AX$1,),))/VLOOKUP(EDATE(B153,-12),'Data Core CPI'!$A:$AX,MATCH($N$1,'Data Core CPI'!$A$1:$AX$1,),)</f>
        <v>#DIV/0!</v>
      </c>
      <c r="O153" s="20" t="e">
        <f>(VLOOKUP(B153,'Data Core CPI'!$A:$AX,MATCH($O$1,'Data Core CPI'!$A$1:$AX$1,),)-VLOOKUP(EDATE(B153,-12),'Data Core CPI'!$A:$AX,MATCH($O$1,'Data Core CPI'!$A$1:$AX$1,),))/VLOOKUP(EDATE(B153,-12),'Data Core CPI'!$A:$AX,MATCH($O$1,'Data Core CPI'!$A$1:$AX$1,),)</f>
        <v>#DIV/0!</v>
      </c>
      <c r="P153" s="20">
        <f>IF(VLOOKUP(B153,'Data Core CPI'!$A:$AX,MATCH($P$1,'Data Core CPI'!$A$1:$AX$1,),)=0,#N/A,(VLOOKUP(B153,'Data Core CPI'!$A:$AX,MATCH($P$1,'Data Core CPI'!$A$1:$AX$1,),)-VLOOKUP(EDATE(B153,-12),'Data Core CPI'!$A:$AX,MATCH($P$1,'Data Core CPI'!$A$1:$AX$1,),))/VLOOKUP(EDATE(B153,-12),'Data Core CPI'!$A:$AX,MATCH($P$1,'Data Core CPI'!$A$1:$AX$1,),))</f>
        <v>5.4841212193957316E-2</v>
      </c>
      <c r="Q153" s="20" t="e">
        <f>(VLOOKUP(B153,'Data Core CPI'!$A:$AX,MATCH($Q$1,'Data Core CPI'!$A$1:$AX$1,),)-VLOOKUP(EDATE(B153,-12),'Data Core CPI'!$A:$AX,MATCH($Q$1,'Data Core CPI'!$A$1:$AX$1,),))/VLOOKUP(EDATE(B153,-12),'Data Core CPI'!$A:$AX,MATCH($Q$1,'Data Core CPI'!$A$1:$AX$1,),)</f>
        <v>#N/A</v>
      </c>
      <c r="R153" s="20">
        <f>IF(VLOOKUP(B153,'Data Core CPI'!$A:$AX,MATCH($R$1,'Data Core CPI'!$A$1:$AX$1,),)=0,#N/A,(VLOOKUP(B153,'Data Core CPI'!$A:$AX,MATCH($R$1,'Data Core CPI'!$A$1:$AX$1,),)-VLOOKUP(EDATE(B153,-12),'Data Core CPI'!$A:$AX,MATCH($R$1,'Data Core CPI'!$A$1:$AX$1,),))/VLOOKUP(EDATE(B153,-12),'Data Core CPI'!$A:$AX,MATCH($R$1,'Data Core CPI'!$A$1:$AX$1,),))</f>
        <v>1.6792431413385076E-2</v>
      </c>
      <c r="S153" s="20">
        <f>(VLOOKUP(B153,'Data Core CPI'!$A:$AX,MATCH($S$1,'Data Core CPI'!$A$1:$AX$1,),)-VLOOKUP(EDATE(B153,-12),'Data Core CPI'!$A:$AX,MATCH($S$1,'Data Core CPI'!$A$1:$AX$1,),))/VLOOKUP(EDATE(B153,-12),'Data Core CPI'!$A:$AX,MATCH($S$1,'Data Core CPI'!$A$1:$AX$1,),)</f>
        <v>4.2524105853663577E-2</v>
      </c>
      <c r="T153" s="20" t="e">
        <f>(VLOOKUP(B153,'Data Core CPI'!$A:$AX,MATCH($T$1,'Data Core CPI'!$A$1:$AX$1,),)-VLOOKUP(EDATE(B153,-12),'Data Core CPI'!$A:$AX,MATCH($T$1,'Data Core CPI'!$A$1:$AX$1,),))/VLOOKUP(EDATE(B153,-12),'Data Core CPI'!$A:$AX,MATCH($T$1,'Data Core CPI'!$A$1:$AX$1,),)</f>
        <v>#DIV/0!</v>
      </c>
      <c r="U153" s="20">
        <f>IF(VLOOKUP(B153,'Data Core CPI'!$A:$AX,MATCH($U$1,'Data Core CPI'!$A$1:$AX$1,),)=0,#N/A,(VLOOKUP(B153,'Data Core CPI'!$A:$AX,MATCH($U$1,'Data Core CPI'!$A$1:$AX$1,),)-VLOOKUP(EDATE(B153,-12),'Data Core CPI'!$A:$AX,MATCH($U$1,'Data Core CPI'!$A$1:$AX$1,),))/VLOOKUP(EDATE(B153,-12),'Data Core CPI'!$A:$AX,MATCH($U$1,'Data Core CPI'!$A$1:$AX$1,),))</f>
        <v>5.7032999339529898E-2</v>
      </c>
      <c r="V153" s="20">
        <f>(VLOOKUP(B153,'Data Core CPI'!$A:$AX,MATCH($V$1,'Data Core CPI'!$A$1:$AX$1,),)-VLOOKUP(EDATE(B153,-12),'Data Core CPI'!$A:$AX,MATCH($V$1,'Data Core CPI'!$A$1:$AX$1,),))/VLOOKUP(EDATE(B153,-12),'Data Core CPI'!$A:$AX,MATCH($V$1,'Data Core CPI'!$A$1:$AX$1,),)</f>
        <v>4.9999387054400331E-2</v>
      </c>
      <c r="W153" s="20">
        <f>IF(VLOOKUP(B153,'Data Core CPI'!$A:$AX,MATCH($W$1,'Data Core CPI'!$A$1:$AX$1,),)=0,#N/A,(VLOOKUP(B153,'Data Core CPI'!$A:$AX,MATCH($W$1,'Data Core CPI'!$A$1:$AX$1,),)-VLOOKUP(EDATE(B153,-12),'Data Core CPI'!$A:$AX,MATCH($W$1,'Data Core CPI'!$A$1:$AX$1,),))/VLOOKUP(EDATE(B153,-12),'Data Core CPI'!$A:$AX,MATCH($W$1,'Data Core CPI'!$A$1:$AX$1,),))</f>
        <v>0.70580041425117412</v>
      </c>
      <c r="X153" s="20">
        <f>IF(VLOOKUP(B153,'Data Core CPI'!$A:$AX,MATCH($X$1,'Data Core CPI'!$A$1:$AX$1,),)=0,#N/A,(VLOOKUP(B153,'Data Core CPI'!$A:$AX,MATCH($X$1,'Data Core CPI'!$A$1:$AX$1,),)-VLOOKUP(EDATE(B153,-12),'Data Core CPI'!$A:$AX,MATCH($X$1,'Data Core CPI'!$A$1:$AX$1,),))/VLOOKUP(EDATE(B153,-12),'Data Core CPI'!$A:$AX,MATCH($X$1,'Data Core CPI'!$A$1:$AX$1,),))</f>
        <v>0.13125512715340443</v>
      </c>
      <c r="Y153" s="20">
        <f>IF(VLOOKUP(B153,'Data Core CPI'!$A:$AX,MATCH($Y$1,'Data Core CPI'!$A$1:$AX$1,),)=0,#N/A,(VLOOKUP(B153,'Data Core CPI'!$A:$AX,MATCH($Y$1,'Data Core CPI'!$A$1:$AX$1,),)-VLOOKUP(EDATE(B153,-12),'Data Core CPI'!$A:$AX,MATCH($Y$1,'Data Core CPI'!$A$1:$AX$1,),))/VLOOKUP(EDATE(B153,-12),'Data Core CPI'!$A:$AX,MATCH($Y$1,'Data Core CPI'!$A$1:$AX$1,),))</f>
        <v>0.11238506292958507</v>
      </c>
    </row>
    <row r="154" spans="2:25" s="72" customFormat="1" x14ac:dyDescent="0.35">
      <c r="B154" s="15">
        <v>44896</v>
      </c>
      <c r="C154" s="20">
        <f>IF(VLOOKUP(B154,'Data Core CPI'!$A:$AX,MATCH($C$1,'Data Core CPI'!$A$1:$AX$1,),)=0,#N/A,(VLOOKUP(B154,'Data Core CPI'!$A:$AX,MATCH($C$1,'Data Core CPI'!$A$1:$AX$1,),)-VLOOKUP(EDATE(B154,-12),'Data Core CPI'!$A:$AX,MATCH($C$1,'Data Core CPI'!$A$1:$AX$1,),))/VLOOKUP(EDATE(B154,-12),'Data Core CPI'!$A:$AX,MATCH($C$1,'Data Core CPI'!$A$1:$AX$1,),))</f>
        <v>5.7077765832181493E-2</v>
      </c>
      <c r="D154" s="20" t="e">
        <f>(VLOOKUP(B154,'Data Core CPI'!$A:$AX,MATCH($D$1,'Data Core CPI'!$A$1:$AX$1,),)-VLOOKUP(EDATE(B154,-12),'Data Core CPI'!$A:$AX,MATCH($D$1,'Data Core CPI'!$A$1:$AX$1,),))/VLOOKUP(EDATE(B154,-12),'Data Core CPI'!$A:$AX,MATCH($D$1,'Data Core CPI'!$A$1:$AX$1,),)</f>
        <v>#DIV/0!</v>
      </c>
      <c r="E154" s="20">
        <f>IF(VLOOKUP(B154,'Data Core CPI'!$A:$AX,MATCH($E$1,'Data Core CPI'!$A$1:$AX$1,),)=0,#N/A,(VLOOKUP(B154,'Data Core CPI'!$A:$AX,MATCH($E$1,'Data Core CPI'!$A$1:$AX$1,),)-VLOOKUP(EDATE(B154,-12),'Data Core CPI'!$A:$AX,MATCH($E$1,'Data Core CPI'!$A$1:$AX$1,),))/VLOOKUP(EDATE(B154,-12),'Data Core CPI'!$A:$AX,MATCH($E$1,'Data Core CPI'!$A$1:$AX$1,),))</f>
        <v>5.1820208023774128E-2</v>
      </c>
      <c r="F154" s="20" t="e">
        <f>IF(VLOOKUP(B154,'Data Core CPI'!$A:$AX,MATCH($F$1,'Data Core CPI'!$A$1:$AX$1,),)=0,#N/A,(VLOOKUP(B154,'Data Core CPI'!$A:$AX,MATCH($F$1,'Data Core CPI'!$A$1:$AX$1,),)-VLOOKUP(EDATE(B154,-12),'Data Core CPI'!$A:$AX,MATCH($F$1,'Data Core CPI'!$A$1:$AX$1,),))/VLOOKUP(EDATE(B154,-12),'Data Core CPI'!$A:$AX,MATCH($F$1,'Data Core CPI'!$A$1:$AX$1,),))</f>
        <v>#N/A</v>
      </c>
      <c r="G154" s="20">
        <f>IF(VLOOKUP(B154,'Data Core CPI'!$A:$AX,MATCH($G$1,'Data Core CPI'!$A$1:$AX$1,),)=0,#N/A,(VLOOKUP(B154,'Data Core CPI'!$A:$AX,MATCH($G$1,'Data Core CPI'!$A$1:$AX$1,),)-VLOOKUP(EDATE(B154,-12),'Data Core CPI'!$A:$AX,MATCH($G$1,'Data Core CPI'!$A$1:$AX$1,),))/VLOOKUP(EDATE(B154,-12),'Data Core CPI'!$A:$AX,MATCH($G$1,'Data Core CPI'!$A$1:$AX$1,),))</f>
        <v>5.0550632871133094E-2</v>
      </c>
      <c r="H154" s="20">
        <f>IF(VLOOKUP(B154,'Data Core CPI'!$A:$AX,MATCH($H$1,'Data Core CPI'!$A$1:$AX$1,),)=0,#N/A,(VLOOKUP(B154,'Data Core CPI'!$A:$AX,MATCH($H$1,'Data Core CPI'!$A$1:$AX$1,),)-VLOOKUP(EDATE(B154,-12),'Data Core CPI'!$A:$AX,MATCH($H$1,'Data Core CPI'!$A$1:$AX$1,),))/VLOOKUP(EDATE(B154,-12),'Data Core CPI'!$A:$AX,MATCH($H$1,'Data Core CPI'!$A$1:$AX$1,),))</f>
        <v>3.3600397608657129E-2</v>
      </c>
      <c r="I154" s="20">
        <f>IF(VLOOKUP(B154,'Data Core CPI'!$A:$AX,MATCH($I$1,'Data Core CPI'!$A$1:$AX$1,),)=0,#N/A,(VLOOKUP(B154,'Data Core CPI'!$A:$AX,MATCH($I$1,'Data Core CPI'!$A$1:$AX$1,),)-VLOOKUP(EDATE(B154,-12),'Data Core CPI'!$A:$AX,MATCH($I$1,'Data Core CPI'!$A$1:$AX$1,),))/VLOOKUP(EDATE(B154,-12),'Data Core CPI'!$A:$AX,MATCH($I$1,'Data Core CPI'!$A$1:$AX$1,),))</f>
        <v>5.769230769230764E-2</v>
      </c>
      <c r="J154" s="20">
        <f>IF(VLOOKUP(B154,'Data Core CPI'!$A:$AX,MATCH($J$1,'Data Core CPI'!$A$1:$AX$1,),)=0,#N/A,(VLOOKUP(B154,'Data Core CPI'!$A:$AX,MATCH($J$1,'Data Core CPI'!$A$1:$AX$1,),)-VLOOKUP(EDATE(B154,-12),'Data Core CPI'!$A:$AX,MATCH($J$1,'Data Core CPI'!$A$1:$AX$1,),))/VLOOKUP(EDATE(B154,-12),'Data Core CPI'!$A:$AX,MATCH($J$1,'Data Core CPI'!$A$1:$AX$1,),))</f>
        <v>4.4694652640069971E-2</v>
      </c>
      <c r="K154" s="20">
        <f>IF(VLOOKUP(B154,'Data Core CPI'!$A:$AX,MATCH($K$1,'Data Core CPI'!$A$1:$AX$1,),)=0,#N/A,(VLOOKUP(B154,'Data Core CPI'!$A:$AX,MATCH($K$1,'Data Core CPI'!$A$1:$AX$1,),)-VLOOKUP(EDATE(B154,-12),'Data Core CPI'!$A:$AX,MATCH($K$1,'Data Core CPI'!$A$1:$AX$1,),))/VLOOKUP(EDATE(B154,-12),'Data Core CPI'!$A:$AX,MATCH($K$1,'Data Core CPI'!$A$1:$AX$1,),))</f>
        <v>4.4423051375175188E-2</v>
      </c>
      <c r="L154" s="20">
        <f>IF(VLOOKUP(B154,'Data Core CPI'!$A:$AX,MATCH($L$1,'Data Core CPI'!$A$1:$AX$1,),)=0,#N/A,(VLOOKUP(B154,'Data Core CPI'!$A:$AX,MATCH($L$1,'Data Core CPI'!$A$1:$AX$1,),)-VLOOKUP(EDATE(B154,-12),'Data Core CPI'!$A:$AX,MATCH($L$1,'Data Core CPI'!$A$1:$AX$1,),))/VLOOKUP(EDATE(B154,-12),'Data Core CPI'!$A:$AX,MATCH($L$1,'Data Core CPI'!$A$1:$AX$1,),))</f>
        <v>9.4480157615351709E-2</v>
      </c>
      <c r="M154" s="20">
        <f>IF(VLOOKUP(B154,'Data Core CPI'!$A:$AX,MATCH($M$1,'Data Core CPI'!$A$1:$AX$1,),)=0,#N/A,(VLOOKUP(B154,'Data Core CPI'!$A:$AX,MATCH($M$1,'Data Core CPI'!$A$1:$AX$1,),)-VLOOKUP(EDATE(B154,-12),'Data Core CPI'!$A:$AX,MATCH($M$1,'Data Core CPI'!$A$1:$AX$1,),))/VLOOKUP(EDATE(B154,-12),'Data Core CPI'!$A:$AX,MATCH($M$1,'Data Core CPI'!$A$1:$AX$1,),))</f>
        <v>6.4120774222937826E-2</v>
      </c>
      <c r="N154" s="20" t="e">
        <f>(VLOOKUP(B154,'Data Core CPI'!$A:$AX,MATCH($N$1,'Data Core CPI'!$A$1:$AX$1,),)-VLOOKUP(EDATE(B154,-12),'Data Core CPI'!$A:$AX,MATCH($N$1,'Data Core CPI'!$A$1:$AX$1,),))/VLOOKUP(EDATE(B154,-12),'Data Core CPI'!$A:$AX,MATCH($N$1,'Data Core CPI'!$A$1:$AX$1,),)</f>
        <v>#DIV/0!</v>
      </c>
      <c r="O154" s="20" t="e">
        <f>(VLOOKUP(B154,'Data Core CPI'!$A:$AX,MATCH($O$1,'Data Core CPI'!$A$1:$AX$1,),)-VLOOKUP(EDATE(B154,-12),'Data Core CPI'!$A:$AX,MATCH($O$1,'Data Core CPI'!$A$1:$AX$1,),))/VLOOKUP(EDATE(B154,-12),'Data Core CPI'!$A:$AX,MATCH($O$1,'Data Core CPI'!$A$1:$AX$1,),)</f>
        <v>#DIV/0!</v>
      </c>
      <c r="P154" s="20">
        <f>IF(VLOOKUP(B154,'Data Core CPI'!$A:$AX,MATCH($P$1,'Data Core CPI'!$A$1:$AX$1,),)=0,#N/A,(VLOOKUP(B154,'Data Core CPI'!$A:$AX,MATCH($P$1,'Data Core CPI'!$A$1:$AX$1,),)-VLOOKUP(EDATE(B154,-12),'Data Core CPI'!$A:$AX,MATCH($P$1,'Data Core CPI'!$A$1:$AX$1,),))/VLOOKUP(EDATE(B154,-12),'Data Core CPI'!$A:$AX,MATCH($P$1,'Data Core CPI'!$A$1:$AX$1,),))</f>
        <v>5.5827534341308514E-2</v>
      </c>
      <c r="Q154" s="20" t="e">
        <f>(VLOOKUP(B154,'Data Core CPI'!$A:$AX,MATCH($Q$1,'Data Core CPI'!$A$1:$AX$1,),)-VLOOKUP(EDATE(B154,-12),'Data Core CPI'!$A:$AX,MATCH($Q$1,'Data Core CPI'!$A$1:$AX$1,),))/VLOOKUP(EDATE(B154,-12),'Data Core CPI'!$A:$AX,MATCH($Q$1,'Data Core CPI'!$A$1:$AX$1,),)</f>
        <v>#N/A</v>
      </c>
      <c r="R154" s="20">
        <f>IF(VLOOKUP(B154,'Data Core CPI'!$A:$AX,MATCH($R$1,'Data Core CPI'!$A$1:$AX$1,),)=0,#N/A,(VLOOKUP(B154,'Data Core CPI'!$A:$AX,MATCH($R$1,'Data Core CPI'!$A$1:$AX$1,),)-VLOOKUP(EDATE(B154,-12),'Data Core CPI'!$A:$AX,MATCH($R$1,'Data Core CPI'!$A$1:$AX$1,),))/VLOOKUP(EDATE(B154,-12),'Data Core CPI'!$A:$AX,MATCH($R$1,'Data Core CPI'!$A$1:$AX$1,),))</f>
        <v>1.7640314403724263E-2</v>
      </c>
      <c r="S154" s="20">
        <f>(VLOOKUP(B154,'Data Core CPI'!$A:$AX,MATCH($S$1,'Data Core CPI'!$A$1:$AX$1,),)-VLOOKUP(EDATE(B154,-12),'Data Core CPI'!$A:$AX,MATCH($S$1,'Data Core CPI'!$A$1:$AX$1,),))/VLOOKUP(EDATE(B154,-12),'Data Core CPI'!$A:$AX,MATCH($S$1,'Data Core CPI'!$A$1:$AX$1,),)</f>
        <v>4.0776299749741354E-2</v>
      </c>
      <c r="T154" s="20" t="e">
        <f>(VLOOKUP(B154,'Data Core CPI'!$A:$AX,MATCH($T$1,'Data Core CPI'!$A$1:$AX$1,),)-VLOOKUP(EDATE(B154,-12),'Data Core CPI'!$A:$AX,MATCH($T$1,'Data Core CPI'!$A$1:$AX$1,),))/VLOOKUP(EDATE(B154,-12),'Data Core CPI'!$A:$AX,MATCH($T$1,'Data Core CPI'!$A$1:$AX$1,),)</f>
        <v>#DIV/0!</v>
      </c>
      <c r="U154" s="20">
        <f>IF(VLOOKUP(B154,'Data Core CPI'!$A:$AX,MATCH($U$1,'Data Core CPI'!$A$1:$AX$1,),)=0,#N/A,(VLOOKUP(B154,'Data Core CPI'!$A:$AX,MATCH($U$1,'Data Core CPI'!$A$1:$AX$1,),)-VLOOKUP(EDATE(B154,-12),'Data Core CPI'!$A:$AX,MATCH($U$1,'Data Core CPI'!$A$1:$AX$1,),))/VLOOKUP(EDATE(B154,-12),'Data Core CPI'!$A:$AX,MATCH($U$1,'Data Core CPI'!$A$1:$AX$1,),))</f>
        <v>5.054003731819337E-2</v>
      </c>
      <c r="V154" s="20">
        <f>(VLOOKUP(B154,'Data Core CPI'!$A:$AX,MATCH($V$1,'Data Core CPI'!$A$1:$AX$1,),)-VLOOKUP(EDATE(B154,-12),'Data Core CPI'!$A:$AX,MATCH($V$1,'Data Core CPI'!$A$1:$AX$1,),))/VLOOKUP(EDATE(B154,-12),'Data Core CPI'!$A:$AX,MATCH($V$1,'Data Core CPI'!$A$1:$AX$1,),)</f>
        <v>4.9997280616043624E-2</v>
      </c>
      <c r="W154" s="20">
        <f>IF(VLOOKUP(B154,'Data Core CPI'!$A:$AX,MATCH($W$1,'Data Core CPI'!$A$1:$AX$1,),)=0,#N/A,(VLOOKUP(B154,'Data Core CPI'!$A:$AX,MATCH($W$1,'Data Core CPI'!$A$1:$AX$1,),)-VLOOKUP(EDATE(B154,-12),'Data Core CPI'!$A:$AX,MATCH($W$1,'Data Core CPI'!$A$1:$AX$1,),))/VLOOKUP(EDATE(B154,-12),'Data Core CPI'!$A:$AX,MATCH($W$1,'Data Core CPI'!$A$1:$AX$1,),))</f>
        <v>0.54278563494295085</v>
      </c>
      <c r="X154" s="20">
        <f>IF(VLOOKUP(B154,'Data Core CPI'!$A:$AX,MATCH($X$1,'Data Core CPI'!$A$1:$AX$1,),)=0,#N/A,(VLOOKUP(B154,'Data Core CPI'!$A:$AX,MATCH($X$1,'Data Core CPI'!$A$1:$AX$1,),)-VLOOKUP(EDATE(B154,-12),'Data Core CPI'!$A:$AX,MATCH($X$1,'Data Core CPI'!$A$1:$AX$1,),))/VLOOKUP(EDATE(B154,-12),'Data Core CPI'!$A:$AX,MATCH($X$1,'Data Core CPI'!$A$1:$AX$1,),))</f>
        <v>0.1210398050365557</v>
      </c>
      <c r="Y154" s="20">
        <f>IF(VLOOKUP(B154,'Data Core CPI'!$A:$AX,MATCH($Y$1,'Data Core CPI'!$A$1:$AX$1,),)=0,#N/A,(VLOOKUP(B154,'Data Core CPI'!$A:$AX,MATCH($Y$1,'Data Core CPI'!$A$1:$AX$1,),)-VLOOKUP(EDATE(B154,-12),'Data Core CPI'!$A:$AX,MATCH($Y$1,'Data Core CPI'!$A$1:$AX$1,),))/VLOOKUP(EDATE(B154,-12),'Data Core CPI'!$A:$AX,MATCH($Y$1,'Data Core CPI'!$A$1:$AX$1,),))</f>
        <v>0.11500397287407435</v>
      </c>
    </row>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4">
    <cfRule type="colorScale" priority="44">
      <colorScale>
        <cfvo type="min"/>
        <cfvo type="percentile" val="50"/>
        <cfvo type="max"/>
        <color rgb="FFF8696B"/>
        <color rgb="FFFFEB84"/>
        <color rgb="FF63BE7B"/>
      </colorScale>
    </cfRule>
  </conditionalFormatting>
  <conditionalFormatting sqref="D59:D154">
    <cfRule type="colorScale" priority="45">
      <colorScale>
        <cfvo type="min"/>
        <cfvo type="percentile" val="50"/>
        <cfvo type="max"/>
        <color rgb="FFF8696B"/>
        <color rgb="FFFFEB84"/>
        <color rgb="FF63BE7B"/>
      </colorScale>
    </cfRule>
  </conditionalFormatting>
  <conditionalFormatting sqref="E59:AA59 Z60:AA106 E60:Y154">
    <cfRule type="colorScale" priority="46">
      <colorScale>
        <cfvo type="min"/>
        <cfvo type="percentile" val="50"/>
        <cfvo type="max"/>
        <color rgb="FFF8696B"/>
        <color rgb="FFFFEB84"/>
        <color rgb="FF63BE7B"/>
      </colorScale>
    </cfRule>
  </conditionalFormatting>
  <conditionalFormatting sqref="C59:C154">
    <cfRule type="colorScale" priority="16">
      <colorScale>
        <cfvo type="min"/>
        <cfvo type="percentile" val="50"/>
        <cfvo type="max"/>
        <color rgb="FFF8696B"/>
        <color rgb="FFFFEB84"/>
        <color rgb="FF63BE7B"/>
      </colorScale>
    </cfRule>
  </conditionalFormatting>
  <conditionalFormatting sqref="E59:E154">
    <cfRule type="colorScale" priority="15">
      <colorScale>
        <cfvo type="min"/>
        <cfvo type="percentile" val="50"/>
        <cfvo type="max"/>
        <color rgb="FFF8696B"/>
        <color rgb="FFFFEB84"/>
        <color rgb="FF63BE7B"/>
      </colorScale>
    </cfRule>
  </conditionalFormatting>
  <conditionalFormatting sqref="F59:F154">
    <cfRule type="colorScale" priority="14">
      <colorScale>
        <cfvo type="min"/>
        <cfvo type="percentile" val="50"/>
        <cfvo type="max"/>
        <color rgb="FFF8696B"/>
        <color rgb="FFFFEB84"/>
        <color rgb="FF63BE7B"/>
      </colorScale>
    </cfRule>
  </conditionalFormatting>
  <conditionalFormatting sqref="G59:G154">
    <cfRule type="colorScale" priority="13">
      <colorScale>
        <cfvo type="min"/>
        <cfvo type="percentile" val="50"/>
        <cfvo type="max"/>
        <color rgb="FFF8696B"/>
        <color rgb="FFFFEB84"/>
        <color rgb="FF63BE7B"/>
      </colorScale>
    </cfRule>
  </conditionalFormatting>
  <conditionalFormatting sqref="H59:H154">
    <cfRule type="colorScale" priority="12">
      <colorScale>
        <cfvo type="min"/>
        <cfvo type="percentile" val="50"/>
        <cfvo type="max"/>
        <color rgb="FFF8696B"/>
        <color rgb="FFFFEB84"/>
        <color rgb="FF63BE7B"/>
      </colorScale>
    </cfRule>
  </conditionalFormatting>
  <conditionalFormatting sqref="I59:I154">
    <cfRule type="colorScale" priority="11">
      <colorScale>
        <cfvo type="min"/>
        <cfvo type="percentile" val="50"/>
        <cfvo type="max"/>
        <color rgb="FFF8696B"/>
        <color rgb="FFFFEB84"/>
        <color rgb="FF63BE7B"/>
      </colorScale>
    </cfRule>
  </conditionalFormatting>
  <conditionalFormatting sqref="J59:J154">
    <cfRule type="colorScale" priority="10">
      <colorScale>
        <cfvo type="min"/>
        <cfvo type="percentile" val="50"/>
        <cfvo type="max"/>
        <color rgb="FFF8696B"/>
        <color rgb="FFFFEB84"/>
        <color rgb="FF63BE7B"/>
      </colorScale>
    </cfRule>
  </conditionalFormatting>
  <conditionalFormatting sqref="K59:K154">
    <cfRule type="colorScale" priority="9">
      <colorScale>
        <cfvo type="min"/>
        <cfvo type="percentile" val="50"/>
        <cfvo type="max"/>
        <color rgb="FFF8696B"/>
        <color rgb="FFFFEB84"/>
        <color rgb="FF63BE7B"/>
      </colorScale>
    </cfRule>
  </conditionalFormatting>
  <conditionalFormatting sqref="L59:L154">
    <cfRule type="colorScale" priority="8">
      <colorScale>
        <cfvo type="min"/>
        <cfvo type="percentile" val="50"/>
        <cfvo type="max"/>
        <color rgb="FFF8696B"/>
        <color rgb="FFFFEB84"/>
        <color rgb="FF63BE7B"/>
      </colorScale>
    </cfRule>
  </conditionalFormatting>
  <conditionalFormatting sqref="M59:M154">
    <cfRule type="colorScale" priority="7">
      <colorScale>
        <cfvo type="min"/>
        <cfvo type="percentile" val="50"/>
        <cfvo type="max"/>
        <color rgb="FFF8696B"/>
        <color rgb="FFFFEB84"/>
        <color rgb="FF63BE7B"/>
      </colorScale>
    </cfRule>
  </conditionalFormatting>
  <conditionalFormatting sqref="P59:P154">
    <cfRule type="colorScale" priority="6">
      <colorScale>
        <cfvo type="min"/>
        <cfvo type="percentile" val="50"/>
        <cfvo type="max"/>
        <color rgb="FFF8696B"/>
        <color rgb="FFFFEB84"/>
        <color rgb="FF63BE7B"/>
      </colorScale>
    </cfRule>
  </conditionalFormatting>
  <conditionalFormatting sqref="R59:R154">
    <cfRule type="colorScale" priority="5">
      <colorScale>
        <cfvo type="min"/>
        <cfvo type="percentile" val="50"/>
        <cfvo type="max"/>
        <color rgb="FFF8696B"/>
        <color rgb="FFFFEB84"/>
        <color rgb="FF63BE7B"/>
      </colorScale>
    </cfRule>
  </conditionalFormatting>
  <conditionalFormatting sqref="U59:U154">
    <cfRule type="colorScale" priority="4">
      <colorScale>
        <cfvo type="min"/>
        <cfvo type="percentile" val="50"/>
        <cfvo type="max"/>
        <color rgb="FFF8696B"/>
        <color rgb="FFFFEB84"/>
        <color rgb="FF63BE7B"/>
      </colorScale>
    </cfRule>
  </conditionalFormatting>
  <conditionalFormatting sqref="W59:W154">
    <cfRule type="colorScale" priority="3">
      <colorScale>
        <cfvo type="min"/>
        <cfvo type="percentile" val="50"/>
        <cfvo type="max"/>
        <color rgb="FFF8696B"/>
        <color rgb="FFFFEB84"/>
        <color rgb="FF63BE7B"/>
      </colorScale>
    </cfRule>
  </conditionalFormatting>
  <conditionalFormatting sqref="X59:X154">
    <cfRule type="colorScale" priority="2">
      <colorScale>
        <cfvo type="min"/>
        <cfvo type="percentile" val="50"/>
        <cfvo type="max"/>
        <color rgb="FFF8696B"/>
        <color rgb="FFFFEB84"/>
        <color rgb="FF63BE7B"/>
      </colorScale>
    </cfRule>
  </conditionalFormatting>
  <conditionalFormatting sqref="Y59:Y15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90" zoomScaleNormal="90" workbookViewId="0">
      <pane ySplit="2" topLeftCell="A819" activePane="bottomLeft" state="frozen"/>
      <selection activeCell="T26" sqref="T26"/>
      <selection pane="bottomLeft" activeCell="AB858" sqref="AB858"/>
    </sheetView>
  </sheetViews>
  <sheetFormatPr defaultColWidth="8.81640625" defaultRowHeight="14.5" x14ac:dyDescent="0.35"/>
  <cols>
    <col min="1" max="1" width="11.1796875" style="32" customWidth="1"/>
    <col min="2" max="2" width="12.6328125" style="2" customWidth="1"/>
    <col min="3" max="5" width="11" style="1" customWidth="1"/>
    <col min="6" max="9" width="9.1796875" style="32" customWidth="1"/>
    <col min="10" max="174" width="9.1796875" style="26" customWidth="1"/>
  </cols>
  <sheetData>
    <row r="1" spans="1:17" ht="16" customHeight="1" thickBot="1" x14ac:dyDescent="0.4"/>
    <row r="2" spans="1:17" ht="33" customHeight="1" thickBot="1" x14ac:dyDescent="0.4">
      <c r="A2" s="41" t="s">
        <v>555</v>
      </c>
      <c r="B2" s="47" t="s">
        <v>229</v>
      </c>
      <c r="C2" s="42" t="s">
        <v>556</v>
      </c>
      <c r="D2" s="43" t="s">
        <v>557</v>
      </c>
      <c r="E2" s="44" t="s">
        <v>558</v>
      </c>
      <c r="F2" s="44" t="s">
        <v>33</v>
      </c>
      <c r="G2" s="44" t="s">
        <v>559</v>
      </c>
      <c r="H2" s="45" t="s">
        <v>560</v>
      </c>
      <c r="I2" s="46" t="s">
        <v>561</v>
      </c>
      <c r="K2" s="36" t="str">
        <f>Table143454[[#Headers],[JPN]]</f>
        <v>JPN</v>
      </c>
      <c r="L2" s="26" t="str">
        <f>VLOOKUP(K2,Notes!O13:P246,2,)</f>
        <v>Japan</v>
      </c>
      <c r="M2" s="26" t="str">
        <f>L2&amp;" CPI yoy %"</f>
        <v>Japan CPI yoy %</v>
      </c>
      <c r="N2" s="26" t="str">
        <f>L2&amp;" Core CPI yoy %"</f>
        <v>Japan Core CPI yoy %</v>
      </c>
      <c r="Q2" s="37" t="s">
        <v>562</v>
      </c>
    </row>
    <row r="3" spans="1:17" x14ac:dyDescent="0.35">
      <c r="A3" s="38">
        <f>IF(Data!A30="",#N/A,Data!A30)</f>
        <v>18749</v>
      </c>
      <c r="B3" s="39">
        <f>VLOOKUP(A3,Data!A:AX,MATCH($B$2,Data!$B$1:$AX$1,0),FALSE)</f>
        <v>0</v>
      </c>
      <c r="C3" s="40"/>
      <c r="D3" s="40"/>
      <c r="E3" s="40" t="e">
        <f>(Table143454[[#This Row],[JPN]]-#REF!)/#REF!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35">
      <c r="A4" s="33">
        <f>IF(Data!A31="",#N/A,Data!A31)</f>
        <v>18780</v>
      </c>
      <c r="B4" s="34">
        <f>VLOOKUP(A4,Data!A:AX,MATCH($B$2,Data!$B$1:$AX$1,0),FALSE)</f>
        <v>0</v>
      </c>
      <c r="C4" s="35" t="e">
        <f t="shared" ref="C4:C67" si="2">(B4/B3)-1</f>
        <v>#DIV/0!</v>
      </c>
      <c r="D4" s="35" t="e">
        <f>(Table143454[[#This Row],[JPN]]-#REF!)/#REF!</f>
        <v>#REF!</v>
      </c>
      <c r="E4" s="35" t="e">
        <f>(Table143454[[#This Row],[JPN]]-#REF!)/#REF!</f>
        <v>#REF!</v>
      </c>
      <c r="F4" s="34">
        <f>VLOOKUP(Table143454[[#This Row],[Date]],'Data Core CPI'!$A:$AX,MATCH($B$2,'Data Core CPI'!$B$1:$AX$1,0),FALSE)</f>
        <v>0</v>
      </c>
      <c r="G4" s="35" t="e">
        <f t="shared" si="0"/>
        <v>#DIV/0!</v>
      </c>
      <c r="H4" s="35" t="e">
        <f t="shared" si="1"/>
        <v>#DIV/0!</v>
      </c>
      <c r="I4" s="35" t="e">
        <f>(Table143454[[#This Row],[Core CPI]]-#REF!)/#REF!</f>
        <v>#REF!</v>
      </c>
    </row>
    <row r="5" spans="1:17" x14ac:dyDescent="0.35">
      <c r="A5" s="33">
        <f>IF(Data!A32="",#N/A,Data!A32)</f>
        <v>18810</v>
      </c>
      <c r="B5" s="34">
        <f>VLOOKUP(A5,Data!A:AX,MATCH($B$2,Data!$B$1:$AX$1,0),FALSE)</f>
        <v>0</v>
      </c>
      <c r="C5" s="35" t="e">
        <f t="shared" si="2"/>
        <v>#DIV/0!</v>
      </c>
      <c r="D5" s="35" t="e">
        <f>(Table143454[[#This Row],[JPN]]-#REF!)/#REF!</f>
        <v>#REF!</v>
      </c>
      <c r="E5" s="35" t="e">
        <f>(Table143454[[#This Row],[JPN]]-#REF!)/#REF!</f>
        <v>#REF!</v>
      </c>
      <c r="F5" s="34">
        <f>VLOOKUP(Table143454[[#This Row],[Date]],'Data Core CPI'!$A:$AX,MATCH($B$2,'Data Core CPI'!$B$1:$AX$1,0),FALSE)</f>
        <v>0</v>
      </c>
      <c r="G5" s="35" t="e">
        <f t="shared" si="0"/>
        <v>#DIV/0!</v>
      </c>
      <c r="H5" s="35" t="e">
        <f t="shared" si="1"/>
        <v>#DIV/0!</v>
      </c>
      <c r="I5" s="35" t="e">
        <f>(Table143454[[#This Row],[Core CPI]]-#REF!)/#REF!</f>
        <v>#REF!</v>
      </c>
    </row>
    <row r="6" spans="1:17" x14ac:dyDescent="0.35">
      <c r="A6" s="33">
        <f>IF(Data!A33="",#N/A,Data!A33)</f>
        <v>18841</v>
      </c>
      <c r="B6" s="34">
        <f>VLOOKUP(A6,Data!A:AX,MATCH($B$2,Data!$B$1:$AX$1,0),FALSE)</f>
        <v>0</v>
      </c>
      <c r="C6" s="35" t="e">
        <f t="shared" si="2"/>
        <v>#DIV/0!</v>
      </c>
      <c r="D6" s="35" t="e">
        <f>(Table143454[[#This Row],[JPN]]-#REF!)/#REF!</f>
        <v>#REF!</v>
      </c>
      <c r="E6" s="35" t="e">
        <f>(Table143454[[#This Row],[JPN]]-#REF!)/#REF!</f>
        <v>#REF!</v>
      </c>
      <c r="F6" s="34">
        <f>VLOOKUP(Table143454[[#This Row],[Date]],'Data Core CPI'!$A:$AX,MATCH($B$2,'Data Core CPI'!$B$1:$AX$1,0),FALSE)</f>
        <v>0</v>
      </c>
      <c r="G6" s="35" t="e">
        <f t="shared" si="0"/>
        <v>#DIV/0!</v>
      </c>
      <c r="H6" s="35" t="e">
        <f t="shared" si="1"/>
        <v>#DIV/0!</v>
      </c>
      <c r="I6" s="35" t="e">
        <f>(Table143454[[#This Row],[Core CPI]]-#REF!)/#REF!</f>
        <v>#REF!</v>
      </c>
    </row>
    <row r="7" spans="1:17" x14ac:dyDescent="0.35">
      <c r="A7" s="33">
        <f>IF(Data!A34="",#N/A,Data!A34)</f>
        <v>18872</v>
      </c>
      <c r="B7" s="34">
        <f>VLOOKUP(A7,Data!A:AX,MATCH($B$2,Data!$B$1:$AX$1,0),FALSE)</f>
        <v>0</v>
      </c>
      <c r="C7" s="35" t="e">
        <f t="shared" si="2"/>
        <v>#DIV/0!</v>
      </c>
      <c r="D7" s="35" t="e">
        <f>(Table143454[[#This Row],[JPN]]-#REF!)/#REF!</f>
        <v>#REF!</v>
      </c>
      <c r="E7" s="35" t="e">
        <f>(Table143454[[#This Row],[JPN]]-#REF!)/#REF!</f>
        <v>#REF!</v>
      </c>
      <c r="F7" s="34">
        <f>VLOOKUP(Table143454[[#This Row],[Date]],'Data Core CPI'!$A:$AX,MATCH($B$2,'Data Core CPI'!$B$1:$AX$1,0),FALSE)</f>
        <v>0</v>
      </c>
      <c r="G7" s="35" t="e">
        <f t="shared" si="0"/>
        <v>#DIV/0!</v>
      </c>
      <c r="H7" s="35" t="e">
        <f t="shared" si="1"/>
        <v>#DIV/0!</v>
      </c>
      <c r="I7" s="35" t="e">
        <f>(Table143454[[#This Row],[Core CPI]]-#REF!)/#REF!</f>
        <v>#REF!</v>
      </c>
    </row>
    <row r="8" spans="1:17" x14ac:dyDescent="0.35">
      <c r="A8" s="33">
        <f>IF(Data!A35="",#N/A,Data!A35)</f>
        <v>18902</v>
      </c>
      <c r="B8" s="34">
        <f>VLOOKUP(A8,Data!A:AX,MATCH($B$2,Data!$B$1:$AX$1,0),FALSE)</f>
        <v>0</v>
      </c>
      <c r="C8" s="35" t="e">
        <f t="shared" si="2"/>
        <v>#DIV/0!</v>
      </c>
      <c r="D8" s="35" t="e">
        <f>(Table143454[[#This Row],[JPN]]-#REF!)/#REF!</f>
        <v>#REF!</v>
      </c>
      <c r="E8" s="35" t="e">
        <f>(Table143454[[#This Row],[JPN]]-#REF!)/#REF!</f>
        <v>#REF!</v>
      </c>
      <c r="F8" s="34">
        <f>VLOOKUP(Table143454[[#This Row],[Date]],'Data Core CPI'!$A:$AX,MATCH($B$2,'Data Core CPI'!$B$1:$AX$1,0),FALSE)</f>
        <v>0</v>
      </c>
      <c r="G8" s="35" t="e">
        <f t="shared" si="0"/>
        <v>#DIV/0!</v>
      </c>
      <c r="H8" s="35" t="e">
        <f t="shared" si="1"/>
        <v>#DIV/0!</v>
      </c>
      <c r="I8" s="35" t="e">
        <f>(Table143454[[#This Row],[Core CPI]]-#REF!)/#REF!</f>
        <v>#REF!</v>
      </c>
    </row>
    <row r="9" spans="1:17" x14ac:dyDescent="0.35">
      <c r="A9" s="33">
        <f>IF(Data!A36="",#N/A,Data!A36)</f>
        <v>18933</v>
      </c>
      <c r="B9" s="34">
        <f>VLOOKUP(A9,Data!A:AX,MATCH($B$2,Data!$B$1:$AX$1,0),FALSE)</f>
        <v>0</v>
      </c>
      <c r="C9" s="35" t="e">
        <f t="shared" si="2"/>
        <v>#DIV/0!</v>
      </c>
      <c r="D9" s="35" t="e">
        <f>(Table143454[[#This Row],[JPN]]-#REF!)/#REF!</f>
        <v>#REF!</v>
      </c>
      <c r="E9" s="35" t="e">
        <f>(Table143454[[#This Row],[JPN]]-#REF!)/#REF!</f>
        <v>#REF!</v>
      </c>
      <c r="F9" s="34">
        <f>VLOOKUP(Table143454[[#This Row],[Date]],'Data Core CPI'!$A:$AX,MATCH($B$2,'Data Core CPI'!$B$1:$AX$1,0),FALSE)</f>
        <v>0</v>
      </c>
      <c r="G9" s="35" t="e">
        <f t="shared" si="0"/>
        <v>#DIV/0!</v>
      </c>
      <c r="H9" s="35" t="e">
        <f t="shared" si="1"/>
        <v>#DIV/0!</v>
      </c>
      <c r="I9" s="35" t="e">
        <f>(Table143454[[#This Row],[Core CPI]]-#REF!)/#REF!</f>
        <v>#REF!</v>
      </c>
    </row>
    <row r="10" spans="1:17" x14ac:dyDescent="0.35">
      <c r="A10" s="33">
        <f>IF(Data!A37="",#N/A,Data!A37)</f>
        <v>18963</v>
      </c>
      <c r="B10" s="34">
        <f>VLOOKUP(A10,Data!A:AX,MATCH($B$2,Data!$B$1:$AX$1,0),FALSE)</f>
        <v>0</v>
      </c>
      <c r="C10" s="35" t="e">
        <f t="shared" si="2"/>
        <v>#DIV/0!</v>
      </c>
      <c r="D10" s="35" t="e">
        <f>(Table143454[[#This Row],[JPN]]-#REF!)/#REF!</f>
        <v>#REF!</v>
      </c>
      <c r="E10" s="35" t="e">
        <f>(Table143454[[#This Row],[JPN]]-#REF!)/#REF!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35">
      <c r="A11" s="33">
        <f>IF(Data!A38="",#N/A,Data!A38)</f>
        <v>18994</v>
      </c>
      <c r="B11" s="34">
        <f>VLOOKUP(A11,Data!A:AX,MATCH($B$2,Data!$B$1:$AX$1,0),FALSE)</f>
        <v>0</v>
      </c>
      <c r="C11" s="35" t="e">
        <f t="shared" si="2"/>
        <v>#DIV/0!</v>
      </c>
      <c r="D11" s="35" t="e">
        <f>(Table143454[[#This Row],[JPN]]-#REF!)/#REF!</f>
        <v>#REF!</v>
      </c>
      <c r="E11" s="35" t="e">
        <f>(Table143454[[#This Row],[JPN]]-#REF!)/#REF!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35">
      <c r="A12" s="33">
        <f>IF(Data!A39="",#N/A,Data!A39)</f>
        <v>19025</v>
      </c>
      <c r="B12" s="34">
        <f>VLOOKUP(A12,Data!A:AX,MATCH($B$2,Data!$B$1:$AX$1,0),FALSE)</f>
        <v>0</v>
      </c>
      <c r="C12" s="35" t="e">
        <f t="shared" si="2"/>
        <v>#DIV/0!</v>
      </c>
      <c r="D12" s="35" t="e">
        <f>(Table143454[[#This Row],[JPN]]-#REF!)/#REF!</f>
        <v>#REF!</v>
      </c>
      <c r="E12" s="35" t="e">
        <f>(Table143454[[#This Row],[JPN]]-#REF!)/#REF!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35">
      <c r="A13" s="33">
        <f>IF(Data!A40="",#N/A,Data!A40)</f>
        <v>19054</v>
      </c>
      <c r="B13" s="34">
        <f>VLOOKUP(A13,Data!A:AX,MATCH($B$2,Data!$B$1:$AX$1,0),FALSE)</f>
        <v>0</v>
      </c>
      <c r="C13" s="35" t="e">
        <f t="shared" si="2"/>
        <v>#DIV/0!</v>
      </c>
      <c r="D13" s="35" t="e">
        <f>(Table143454[[#This Row],[JPN]]-#REF!)/#REF!</f>
        <v>#REF!</v>
      </c>
      <c r="E13" s="35" t="e">
        <f>(Table143454[[#This Row],[JPN]]-#REF!)/#REF!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35">
      <c r="A14" s="33">
        <f>IF(Data!A41="",#N/A,Data!A41)</f>
        <v>19085</v>
      </c>
      <c r="B14" s="34">
        <f>VLOOKUP(A14,Data!A:AX,MATCH($B$2,Data!$B$1:$AX$1,0),FALSE)</f>
        <v>0</v>
      </c>
      <c r="C14" s="35" t="e">
        <f t="shared" si="2"/>
        <v>#DIV/0!</v>
      </c>
      <c r="D14" s="35" t="e">
        <f>(Table143454[[#This Row],[JPN]]-B2)/B2</f>
        <v>#VALUE!</v>
      </c>
      <c r="E14" s="35" t="e">
        <f>(Table143454[[#This Row],[JPN]]-B2)/B2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35">
      <c r="A15" s="33">
        <f>IF(Data!A42="",#N/A,Data!A42)</f>
        <v>19115</v>
      </c>
      <c r="B15" s="34">
        <f>VLOOKUP(A15,Data!A:AX,MATCH($B$2,Data!$B$1:$AX$1,0),FALSE)</f>
        <v>0</v>
      </c>
      <c r="C15" s="35" t="e">
        <f t="shared" si="2"/>
        <v>#DIV/0!</v>
      </c>
      <c r="D15" s="35" t="e">
        <f>(Table143454[[#This Row],[JPN]]-B3)/B3</f>
        <v>#DIV/0!</v>
      </c>
      <c r="E15" s="35" t="e">
        <f>(Table143454[[#This Row],[JPN]]-B3)/B3</f>
        <v>#DIV/0!</v>
      </c>
      <c r="F15" s="34">
        <f>VLOOKUP(Table143454[[#This Row],[Date]],'Data Core CPI'!$A:$AX,MATCH($B$2,'Data Core CPI'!$B$1:$AX$1,0),FALSE)</f>
        <v>0</v>
      </c>
      <c r="G15" s="35" t="e">
        <f t="shared" si="0"/>
        <v>#DIV/0!</v>
      </c>
      <c r="H15" s="35" t="e">
        <f t="shared" si="1"/>
        <v>#DIV/0!</v>
      </c>
      <c r="I15" s="35" t="e">
        <f>(Table143454[[#This Row],[Core CPI]]-F3)/F3</f>
        <v>#DIV/0!</v>
      </c>
    </row>
    <row r="16" spans="1:17" x14ac:dyDescent="0.35">
      <c r="A16" s="33">
        <f>IF(Data!A43="",#N/A,Data!A43)</f>
        <v>19146</v>
      </c>
      <c r="B16" s="34">
        <f>VLOOKUP(A16,Data!A:AX,MATCH($B$2,Data!$B$1:$AX$1,0),FALSE)</f>
        <v>0</v>
      </c>
      <c r="C16" s="35" t="e">
        <f t="shared" si="2"/>
        <v>#DIV/0!</v>
      </c>
      <c r="D16" s="35" t="e">
        <f>(Table143454[[#This Row],[JPN]]-B4)/B4</f>
        <v>#DIV/0!</v>
      </c>
      <c r="E16" s="35" t="e">
        <f>(Table143454[[#This Row],[JPN]]-B4)/B4</f>
        <v>#DIV/0!</v>
      </c>
      <c r="F16" s="34">
        <f>VLOOKUP(Table143454[[#This Row],[Date]],'Data Core CPI'!$A:$AX,MATCH($B$2,'Data Core CPI'!$B$1:$AX$1,0),FALSE)</f>
        <v>0</v>
      </c>
      <c r="G16" s="35" t="e">
        <f t="shared" si="0"/>
        <v>#DIV/0!</v>
      </c>
      <c r="H16" s="35" t="e">
        <f t="shared" si="1"/>
        <v>#DIV/0!</v>
      </c>
      <c r="I16" s="35" t="e">
        <f>(Table143454[[#This Row],[Core CPI]]-F4)/F4</f>
        <v>#DIV/0!</v>
      </c>
    </row>
    <row r="17" spans="1:9" x14ac:dyDescent="0.35">
      <c r="A17" s="33">
        <f>IF(Data!A44="",#N/A,Data!A44)</f>
        <v>19176</v>
      </c>
      <c r="B17" s="34">
        <f>VLOOKUP(A17,Data!A:AX,MATCH($B$2,Data!$B$1:$AX$1,0),FALSE)</f>
        <v>0</v>
      </c>
      <c r="C17" s="35" t="e">
        <f t="shared" si="2"/>
        <v>#DIV/0!</v>
      </c>
      <c r="D17" s="35" t="e">
        <f>(Table143454[[#This Row],[JPN]]-B5)/B5</f>
        <v>#DIV/0!</v>
      </c>
      <c r="E17" s="35" t="e">
        <f>(Table143454[[#This Row],[JPN]]-B5)/B5</f>
        <v>#DIV/0!</v>
      </c>
      <c r="F17" s="34">
        <f>VLOOKUP(Table143454[[#This Row],[Date]],'Data Core CPI'!$A:$AX,MATCH($B$2,'Data Core CPI'!$B$1:$AX$1,0),FALSE)</f>
        <v>0</v>
      </c>
      <c r="G17" s="35" t="e">
        <f t="shared" si="0"/>
        <v>#DIV/0!</v>
      </c>
      <c r="H17" s="35" t="e">
        <f t="shared" si="1"/>
        <v>#DIV/0!</v>
      </c>
      <c r="I17" s="35" t="e">
        <f>(Table143454[[#This Row],[Core CPI]]-F5)/F5</f>
        <v>#DIV/0!</v>
      </c>
    </row>
    <row r="18" spans="1:9" x14ac:dyDescent="0.35">
      <c r="A18" s="33">
        <f>IF(Data!A45="",#N/A,Data!A45)</f>
        <v>19207</v>
      </c>
      <c r="B18" s="34">
        <f>VLOOKUP(A18,Data!A:AX,MATCH($B$2,Data!$B$1:$AX$1,0),FALSE)</f>
        <v>0</v>
      </c>
      <c r="C18" s="35" t="e">
        <f t="shared" si="2"/>
        <v>#DIV/0!</v>
      </c>
      <c r="D18" s="35" t="e">
        <f>(Table143454[[#This Row],[JPN]]-B6)/B6</f>
        <v>#DIV/0!</v>
      </c>
      <c r="E18" s="35" t="e">
        <f>(Table143454[[#This Row],[JPN]]-B6)/B6</f>
        <v>#DIV/0!</v>
      </c>
      <c r="F18" s="34">
        <f>VLOOKUP(Table143454[[#This Row],[Date]],'Data Core CPI'!$A:$AX,MATCH($B$2,'Data Core CPI'!$B$1:$AX$1,0),FALSE)</f>
        <v>0</v>
      </c>
      <c r="G18" s="35" t="e">
        <f t="shared" si="0"/>
        <v>#DIV/0!</v>
      </c>
      <c r="H18" s="35" t="e">
        <f t="shared" si="1"/>
        <v>#DIV/0!</v>
      </c>
      <c r="I18" s="35" t="e">
        <f>(Table143454[[#This Row],[Core CPI]]-F6)/F6</f>
        <v>#DIV/0!</v>
      </c>
    </row>
    <row r="19" spans="1:9" x14ac:dyDescent="0.35">
      <c r="A19" s="33">
        <f>IF(Data!A46="",#N/A,Data!A46)</f>
        <v>19238</v>
      </c>
      <c r="B19" s="34">
        <f>VLOOKUP(A19,Data!A:AX,MATCH($B$2,Data!$B$1:$AX$1,0),FALSE)</f>
        <v>0</v>
      </c>
      <c r="C19" s="35" t="e">
        <f t="shared" si="2"/>
        <v>#DIV/0!</v>
      </c>
      <c r="D19" s="35" t="e">
        <f>(Table143454[[#This Row],[JPN]]-B7)/B7</f>
        <v>#DIV/0!</v>
      </c>
      <c r="E19" s="35" t="e">
        <f>(Table143454[[#This Row],[JPN]]-B7)/B7</f>
        <v>#DIV/0!</v>
      </c>
      <c r="F19" s="34">
        <f>VLOOKUP(Table143454[[#This Row],[Date]],'Data Core CPI'!$A:$AX,MATCH($B$2,'Data Core CPI'!$B$1:$AX$1,0),FALSE)</f>
        <v>0</v>
      </c>
      <c r="G19" s="35" t="e">
        <f t="shared" si="0"/>
        <v>#DIV/0!</v>
      </c>
      <c r="H19" s="35" t="e">
        <f t="shared" si="1"/>
        <v>#DIV/0!</v>
      </c>
      <c r="I19" s="35" t="e">
        <f>(Table143454[[#This Row],[Core CPI]]-F7)/F7</f>
        <v>#DIV/0!</v>
      </c>
    </row>
    <row r="20" spans="1:9" x14ac:dyDescent="0.35">
      <c r="A20" s="33">
        <f>IF(Data!A47="",#N/A,Data!A47)</f>
        <v>19268</v>
      </c>
      <c r="B20" s="34">
        <f>VLOOKUP(A20,Data!A:AX,MATCH($B$2,Data!$B$1:$AX$1,0),FALSE)</f>
        <v>0</v>
      </c>
      <c r="C20" s="35" t="e">
        <f t="shared" si="2"/>
        <v>#DIV/0!</v>
      </c>
      <c r="D20" s="35" t="e">
        <f>(Table143454[[#This Row],[JPN]]-B8)/B8</f>
        <v>#DIV/0!</v>
      </c>
      <c r="E20" s="35" t="e">
        <f>(Table143454[[#This Row],[JPN]]-B8)/B8</f>
        <v>#DIV/0!</v>
      </c>
      <c r="F20" s="34">
        <f>VLOOKUP(Table143454[[#This Row],[Date]],'Data Core CPI'!$A:$AX,MATCH($B$2,'Data Core CPI'!$B$1:$AX$1,0),FALSE)</f>
        <v>0</v>
      </c>
      <c r="G20" s="35" t="e">
        <f t="shared" si="0"/>
        <v>#DIV/0!</v>
      </c>
      <c r="H20" s="35" t="e">
        <f t="shared" si="1"/>
        <v>#DIV/0!</v>
      </c>
      <c r="I20" s="35" t="e">
        <f>(Table143454[[#This Row],[Core CPI]]-F8)/F8</f>
        <v>#DIV/0!</v>
      </c>
    </row>
    <row r="21" spans="1:9" x14ac:dyDescent="0.35">
      <c r="A21" s="33">
        <f>IF(Data!A48="",#N/A,Data!A48)</f>
        <v>19299</v>
      </c>
      <c r="B21" s="34">
        <f>VLOOKUP(A21,Data!A:AX,MATCH($B$2,Data!$B$1:$AX$1,0),FALSE)</f>
        <v>0</v>
      </c>
      <c r="C21" s="35" t="e">
        <f t="shared" si="2"/>
        <v>#DIV/0!</v>
      </c>
      <c r="D21" s="35" t="e">
        <f>(Table143454[[#This Row],[JPN]]-B9)/B9</f>
        <v>#DIV/0!</v>
      </c>
      <c r="E21" s="35" t="e">
        <f>(Table143454[[#This Row],[JPN]]-B9)/B9</f>
        <v>#DIV/0!</v>
      </c>
      <c r="F21" s="34">
        <f>VLOOKUP(Table143454[[#This Row],[Date]],'Data Core CPI'!$A:$AX,MATCH($B$2,'Data Core CPI'!$B$1:$AX$1,0),FALSE)</f>
        <v>0</v>
      </c>
      <c r="G21" s="35" t="e">
        <f t="shared" si="0"/>
        <v>#DIV/0!</v>
      </c>
      <c r="H21" s="35" t="e">
        <f t="shared" si="1"/>
        <v>#DIV/0!</v>
      </c>
      <c r="I21" s="35" t="e">
        <f>(Table143454[[#This Row],[Core CPI]]-F9)/F9</f>
        <v>#DIV/0!</v>
      </c>
    </row>
    <row r="22" spans="1:9" x14ac:dyDescent="0.35">
      <c r="A22" s="33">
        <f>IF(Data!A49="",#N/A,Data!A49)</f>
        <v>19329</v>
      </c>
      <c r="B22" s="34">
        <f>VLOOKUP(A22,Data!A:AX,MATCH($B$2,Data!$B$1:$AX$1,0),FALSE)</f>
        <v>0</v>
      </c>
      <c r="C22" s="35" t="e">
        <f t="shared" si="2"/>
        <v>#DIV/0!</v>
      </c>
      <c r="D22" s="35" t="e">
        <f>(Table143454[[#This Row],[JPN]]-B10)/B10</f>
        <v>#DIV/0!</v>
      </c>
      <c r="E22" s="35" t="e">
        <f>(Table143454[[#This Row],[JPN]]-B10)/B10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35">
      <c r="A23" s="33">
        <f>IF(Data!A50="",#N/A,Data!A50)</f>
        <v>19360</v>
      </c>
      <c r="B23" s="34">
        <f>VLOOKUP(A23,Data!A:AX,MATCH($B$2,Data!$B$1:$AX$1,0),FALSE)</f>
        <v>0</v>
      </c>
      <c r="C23" s="35" t="e">
        <f t="shared" si="2"/>
        <v>#DIV/0!</v>
      </c>
      <c r="D23" s="35" t="e">
        <f>(Table143454[[#This Row],[JPN]]-B11)/B11</f>
        <v>#DIV/0!</v>
      </c>
      <c r="E23" s="35" t="e">
        <f>(Table143454[[#This Row],[JPN]]-B11)/B11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35">
      <c r="A24" s="33">
        <f>IF(Data!A51="",#N/A,Data!A51)</f>
        <v>19391</v>
      </c>
      <c r="B24" s="34">
        <f>VLOOKUP(A24,Data!A:AX,MATCH($B$2,Data!$B$1:$AX$1,0),FALSE)</f>
        <v>0</v>
      </c>
      <c r="C24" s="35" t="e">
        <f t="shared" si="2"/>
        <v>#DIV/0!</v>
      </c>
      <c r="D24" s="35" t="e">
        <f>(Table143454[[#This Row],[JPN]]-B12)/B12</f>
        <v>#DIV/0!</v>
      </c>
      <c r="E24" s="35" t="e">
        <f>(Table143454[[#This Row],[JPN]]-B12)/B12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35">
      <c r="A25" s="33">
        <f>IF(Data!A52="",#N/A,Data!A52)</f>
        <v>19419</v>
      </c>
      <c r="B25" s="34">
        <f>VLOOKUP(A25,Data!A:AX,MATCH($B$2,Data!$B$1:$AX$1,0),FALSE)</f>
        <v>0</v>
      </c>
      <c r="C25" s="35" t="e">
        <f t="shared" si="2"/>
        <v>#DIV/0!</v>
      </c>
      <c r="D25" s="35" t="e">
        <f>(Table143454[[#This Row],[JPN]]-B13)/B13</f>
        <v>#DIV/0!</v>
      </c>
      <c r="E25" s="35" t="e">
        <f>(Table143454[[#This Row],[JPN]]-B13)/B13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35">
      <c r="A26" s="33">
        <f>IF(Data!A53="",#N/A,Data!A53)</f>
        <v>19450</v>
      </c>
      <c r="B26" s="34">
        <f>VLOOKUP(A26,Data!A:AX,MATCH($B$2,Data!$B$1:$AX$1,0),FALSE)</f>
        <v>0</v>
      </c>
      <c r="C26" s="35" t="e">
        <f t="shared" si="2"/>
        <v>#DIV/0!</v>
      </c>
      <c r="D26" s="35" t="e">
        <f>(Table143454[[#This Row],[JPN]]-B14)/B14</f>
        <v>#DIV/0!</v>
      </c>
      <c r="E26" s="35" t="e">
        <f>(Table143454[[#This Row],[JPN]]-B14)/B14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35">
      <c r="A27" s="33">
        <f>IF(Data!A54="",#N/A,Data!A54)</f>
        <v>19480</v>
      </c>
      <c r="B27" s="34">
        <f>VLOOKUP(A27,Data!A:AX,MATCH($B$2,Data!$B$1:$AX$1,0),FALSE)</f>
        <v>0</v>
      </c>
      <c r="C27" s="35" t="e">
        <f t="shared" si="2"/>
        <v>#DIV/0!</v>
      </c>
      <c r="D27" s="35" t="e">
        <f>(Table143454[[#This Row],[JPN]]-B15)/B15</f>
        <v>#DIV/0!</v>
      </c>
      <c r="E27" s="35" t="e">
        <f>(Table143454[[#This Row],[JPN]]-B15)/B15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35">
      <c r="A28" s="33">
        <f>IF(Data!A55="",#N/A,Data!A55)</f>
        <v>19511</v>
      </c>
      <c r="B28" s="34">
        <f>VLOOKUP(A28,Data!A:AX,MATCH($B$2,Data!$B$1:$AX$1,0),FALSE)</f>
        <v>0</v>
      </c>
      <c r="C28" s="35" t="e">
        <f t="shared" si="2"/>
        <v>#DIV/0!</v>
      </c>
      <c r="D28" s="35" t="e">
        <f>(Table143454[[#This Row],[JPN]]-B16)/B16</f>
        <v>#DIV/0!</v>
      </c>
      <c r="E28" s="35" t="e">
        <f>(Table143454[[#This Row],[JPN]]-B16)/B16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35">
      <c r="A29" s="33">
        <f>IF(Data!A56="",#N/A,Data!A56)</f>
        <v>19541</v>
      </c>
      <c r="B29" s="34">
        <f>VLOOKUP(A29,Data!A:AX,MATCH($B$2,Data!$B$1:$AX$1,0),FALSE)</f>
        <v>0</v>
      </c>
      <c r="C29" s="35" t="e">
        <f t="shared" si="2"/>
        <v>#DIV/0!</v>
      </c>
      <c r="D29" s="35" t="e">
        <f>(Table143454[[#This Row],[JPN]]-B17)/B17</f>
        <v>#DIV/0!</v>
      </c>
      <c r="E29" s="35" t="e">
        <f>(Table143454[[#This Row],[JPN]]-B17)/B17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35">
      <c r="A30" s="33">
        <f>IF(Data!A57="",#N/A,Data!A57)</f>
        <v>19572</v>
      </c>
      <c r="B30" s="34">
        <f>VLOOKUP(A30,Data!A:AX,MATCH($B$2,Data!$B$1:$AX$1,0),FALSE)</f>
        <v>0</v>
      </c>
      <c r="C30" s="35" t="e">
        <f t="shared" si="2"/>
        <v>#DIV/0!</v>
      </c>
      <c r="D30" s="35" t="e">
        <f>(Table143454[[#This Row],[JPN]]-B18)/B18</f>
        <v>#DIV/0!</v>
      </c>
      <c r="E30" s="35" t="e">
        <f>(Table143454[[#This Row],[JPN]]-B18)/B18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35">
      <c r="A31" s="33">
        <f>IF(Data!A58="",#N/A,Data!A58)</f>
        <v>19603</v>
      </c>
      <c r="B31" s="34">
        <f>VLOOKUP(A31,Data!A:AX,MATCH($B$2,Data!$B$1:$AX$1,0),FALSE)</f>
        <v>0</v>
      </c>
      <c r="C31" s="35" t="e">
        <f t="shared" si="2"/>
        <v>#DIV/0!</v>
      </c>
      <c r="D31" s="35" t="e">
        <f>(Table143454[[#This Row],[JPN]]-B19)/B19</f>
        <v>#DIV/0!</v>
      </c>
      <c r="E31" s="35" t="e">
        <f>(Table143454[[#This Row],[JPN]]-B19)/B19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35">
      <c r="A32" s="33">
        <f>IF(Data!A59="",#N/A,Data!A59)</f>
        <v>19633</v>
      </c>
      <c r="B32" s="34">
        <f>VLOOKUP(A32,Data!A:AX,MATCH($B$2,Data!$B$1:$AX$1,0),FALSE)</f>
        <v>0</v>
      </c>
      <c r="C32" s="35" t="e">
        <f t="shared" si="2"/>
        <v>#DIV/0!</v>
      </c>
      <c r="D32" s="35" t="e">
        <f>(Table143454[[#This Row],[JPN]]-B20)/B20</f>
        <v>#DIV/0!</v>
      </c>
      <c r="E32" s="35" t="e">
        <f>(Table143454[[#This Row],[JPN]]-B20)/B20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35">
      <c r="A33" s="33">
        <f>IF(Data!A60="",#N/A,Data!A60)</f>
        <v>19664</v>
      </c>
      <c r="B33" s="34">
        <f>VLOOKUP(A33,Data!A:AX,MATCH($B$2,Data!$B$1:$AX$1,0),FALSE)</f>
        <v>0</v>
      </c>
      <c r="C33" s="35" t="e">
        <f t="shared" si="2"/>
        <v>#DIV/0!</v>
      </c>
      <c r="D33" s="35" t="e">
        <f>(Table143454[[#This Row],[JPN]]-B21)/B21</f>
        <v>#DIV/0!</v>
      </c>
      <c r="E33" s="35" t="e">
        <f>(Table143454[[#This Row],[JPN]]-B21)/B21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35">
      <c r="A34" s="33">
        <f>IF(Data!A61="",#N/A,Data!A61)</f>
        <v>19694</v>
      </c>
      <c r="B34" s="34">
        <f>VLOOKUP(A34,Data!A:AX,MATCH($B$2,Data!$B$1:$AX$1,0),FALSE)</f>
        <v>0</v>
      </c>
      <c r="C34" s="35" t="e">
        <f t="shared" si="2"/>
        <v>#DIV/0!</v>
      </c>
      <c r="D34" s="35" t="e">
        <f>(Table143454[[#This Row],[JPN]]-B22)/B22</f>
        <v>#DIV/0!</v>
      </c>
      <c r="E34" s="35" t="e">
        <f>(Table143454[[#This Row],[JPN]]-B22)/B22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35">
      <c r="A35" s="33">
        <f>IF(Data!A62="",#N/A,Data!A62)</f>
        <v>19725</v>
      </c>
      <c r="B35" s="34">
        <f>VLOOKUP(A35,Data!A:AX,MATCH($B$2,Data!$B$1:$AX$1,0),FALSE)</f>
        <v>0</v>
      </c>
      <c r="C35" s="35" t="e">
        <f t="shared" si="2"/>
        <v>#DIV/0!</v>
      </c>
      <c r="D35" s="35" t="e">
        <f>(Table143454[[#This Row],[JPN]]-B23)/B23</f>
        <v>#DIV/0!</v>
      </c>
      <c r="E35" s="35" t="e">
        <f>(Table143454[[#This Row],[JPN]]-B23)/B23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35">
      <c r="A36" s="33">
        <f>IF(Data!A63="",#N/A,Data!A63)</f>
        <v>19756</v>
      </c>
      <c r="B36" s="34">
        <f>VLOOKUP(A36,Data!A:AX,MATCH($B$2,Data!$B$1:$AX$1,0),FALSE)</f>
        <v>0</v>
      </c>
      <c r="C36" s="35" t="e">
        <f t="shared" si="2"/>
        <v>#DIV/0!</v>
      </c>
      <c r="D36" s="35" t="e">
        <f>(Table143454[[#This Row],[JPN]]-B24)/B24</f>
        <v>#DIV/0!</v>
      </c>
      <c r="E36" s="35" t="e">
        <f>(Table143454[[#This Row],[JPN]]-B24)/B24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35">
      <c r="A37" s="33">
        <f>IF(Data!A64="",#N/A,Data!A64)</f>
        <v>19784</v>
      </c>
      <c r="B37" s="34">
        <f>VLOOKUP(A37,Data!A:AX,MATCH($B$2,Data!$B$1:$AX$1,0),FALSE)</f>
        <v>0</v>
      </c>
      <c r="C37" s="35" t="e">
        <f t="shared" si="2"/>
        <v>#DIV/0!</v>
      </c>
      <c r="D37" s="35" t="e">
        <f>(Table143454[[#This Row],[JPN]]-B25)/B25</f>
        <v>#DIV/0!</v>
      </c>
      <c r="E37" s="35" t="e">
        <f>(Table143454[[#This Row],[JPN]]-B25)/B25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35">
      <c r="A38" s="33">
        <f>IF(Data!A65="",#N/A,Data!A65)</f>
        <v>19815</v>
      </c>
      <c r="B38" s="34">
        <f>VLOOKUP(A38,Data!A:AX,MATCH($B$2,Data!$B$1:$AX$1,0),FALSE)</f>
        <v>0</v>
      </c>
      <c r="C38" s="35" t="e">
        <f t="shared" si="2"/>
        <v>#DIV/0!</v>
      </c>
      <c r="D38" s="35" t="e">
        <f>(Table143454[[#This Row],[JPN]]-B26)/B26</f>
        <v>#DIV/0!</v>
      </c>
      <c r="E38" s="35" t="e">
        <f>(Table143454[[#This Row],[JPN]]-B26)/B26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35">
      <c r="A39" s="33">
        <f>IF(Data!A66="",#N/A,Data!A66)</f>
        <v>19845</v>
      </c>
      <c r="B39" s="34">
        <f>VLOOKUP(A39,Data!A:AX,MATCH($B$2,Data!$B$1:$AX$1,0),FALSE)</f>
        <v>0</v>
      </c>
      <c r="C39" s="35" t="e">
        <f t="shared" si="2"/>
        <v>#DIV/0!</v>
      </c>
      <c r="D39" s="35" t="e">
        <f>(Table143454[[#This Row],[JPN]]-B27)/B27</f>
        <v>#DIV/0!</v>
      </c>
      <c r="E39" s="35" t="e">
        <f>(Table143454[[#This Row],[JPN]]-B27)/B27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35">
      <c r="A40" s="33">
        <f>IF(Data!A67="",#N/A,Data!A67)</f>
        <v>19876</v>
      </c>
      <c r="B40" s="34">
        <f>VLOOKUP(A40,Data!A:AX,MATCH($B$2,Data!$B$1:$AX$1,0),FALSE)</f>
        <v>0</v>
      </c>
      <c r="C40" s="35" t="e">
        <f t="shared" si="2"/>
        <v>#DIV/0!</v>
      </c>
      <c r="D40" s="35" t="e">
        <f>(Table143454[[#This Row],[JPN]]-B28)/B28</f>
        <v>#DIV/0!</v>
      </c>
      <c r="E40" s="35" t="e">
        <f>(Table143454[[#This Row],[JPN]]-B28)/B28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35">
      <c r="A41" s="33">
        <f>IF(Data!A68="",#N/A,Data!A68)</f>
        <v>19906</v>
      </c>
      <c r="B41" s="34">
        <f>VLOOKUP(A41,Data!A:AX,MATCH($B$2,Data!$B$1:$AX$1,0),FALSE)</f>
        <v>0</v>
      </c>
      <c r="C41" s="35" t="e">
        <f t="shared" si="2"/>
        <v>#DIV/0!</v>
      </c>
      <c r="D41" s="35" t="e">
        <f>(Table143454[[#This Row],[JPN]]-B29)/B29</f>
        <v>#DIV/0!</v>
      </c>
      <c r="E41" s="35" t="e">
        <f>(Table143454[[#This Row],[JPN]]-B29)/B29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35">
      <c r="A42" s="33">
        <f>IF(Data!A69="",#N/A,Data!A69)</f>
        <v>19937</v>
      </c>
      <c r="B42" s="34">
        <f>VLOOKUP(A42,Data!A:AX,MATCH($B$2,Data!$B$1:$AX$1,0),FALSE)</f>
        <v>0</v>
      </c>
      <c r="C42" s="35" t="e">
        <f t="shared" si="2"/>
        <v>#DIV/0!</v>
      </c>
      <c r="D42" s="35" t="e">
        <f>(Table143454[[#This Row],[JPN]]-B30)/B30</f>
        <v>#DIV/0!</v>
      </c>
      <c r="E42" s="35" t="e">
        <f>(Table143454[[#This Row],[JPN]]-B30)/B30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35">
      <c r="A43" s="33">
        <f>IF(Data!A70="",#N/A,Data!A70)</f>
        <v>19968</v>
      </c>
      <c r="B43" s="34">
        <f>VLOOKUP(A43,Data!A:AX,MATCH($B$2,Data!$B$1:$AX$1,0),FALSE)</f>
        <v>0</v>
      </c>
      <c r="C43" s="35" t="e">
        <f t="shared" si="2"/>
        <v>#DIV/0!</v>
      </c>
      <c r="D43" s="35" t="e">
        <f>(Table143454[[#This Row],[JPN]]-B31)/B31</f>
        <v>#DIV/0!</v>
      </c>
      <c r="E43" s="35" t="e">
        <f>(Table143454[[#This Row],[JPN]]-B31)/B31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35">
      <c r="A44" s="33">
        <f>IF(Data!A71="",#N/A,Data!A71)</f>
        <v>19998</v>
      </c>
      <c r="B44" s="34">
        <f>VLOOKUP(A44,Data!A:AX,MATCH($B$2,Data!$B$1:$AX$1,0),FALSE)</f>
        <v>0</v>
      </c>
      <c r="C44" s="35" t="e">
        <f t="shared" si="2"/>
        <v>#DIV/0!</v>
      </c>
      <c r="D44" s="35" t="e">
        <f>(Table143454[[#This Row],[JPN]]-B32)/B32</f>
        <v>#DIV/0!</v>
      </c>
      <c r="E44" s="35" t="e">
        <f>(Table143454[[#This Row],[JPN]]-B32)/B32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35">
      <c r="A45" s="33">
        <f>IF(Data!A72="",#N/A,Data!A72)</f>
        <v>20029</v>
      </c>
      <c r="B45" s="34">
        <f>VLOOKUP(A45,Data!A:AX,MATCH($B$2,Data!$B$1:$AX$1,0),FALSE)</f>
        <v>0</v>
      </c>
      <c r="C45" s="35" t="e">
        <f t="shared" si="2"/>
        <v>#DIV/0!</v>
      </c>
      <c r="D45" s="35" t="e">
        <f>(Table143454[[#This Row],[JPN]]-B33)/B33</f>
        <v>#DIV/0!</v>
      </c>
      <c r="E45" s="35" t="e">
        <f>(Table143454[[#This Row],[JPN]]-B33)/B33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35">
      <c r="A46" s="33">
        <f>IF(Data!A73="",#N/A,Data!A73)</f>
        <v>20059</v>
      </c>
      <c r="B46" s="34">
        <f>VLOOKUP(A46,Data!A:AX,MATCH($B$2,Data!$B$1:$AX$1,0),FALSE)</f>
        <v>0</v>
      </c>
      <c r="C46" s="35" t="e">
        <f t="shared" si="2"/>
        <v>#DIV/0!</v>
      </c>
      <c r="D46" s="35" t="e">
        <f>(Table143454[[#This Row],[JPN]]-B34)/B34</f>
        <v>#DIV/0!</v>
      </c>
      <c r="E46" s="35" t="e">
        <f>(Table143454[[#This Row],[JPN]]-B34)/B34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35">
      <c r="A47" s="33">
        <f>IF(Data!A74="",#N/A,Data!A74)</f>
        <v>20090</v>
      </c>
      <c r="B47" s="34">
        <f>VLOOKUP(A47,Data!A:AX,MATCH($B$2,Data!$B$1:$AX$1,0),FALSE)</f>
        <v>3.506081</v>
      </c>
      <c r="C47" s="35" t="e">
        <f t="shared" si="2"/>
        <v>#DIV/0!</v>
      </c>
      <c r="D47" s="35" t="e">
        <f>(Table143454[[#This Row],[JPN]]-B35)/B35</f>
        <v>#DIV/0!</v>
      </c>
      <c r="E47" s="35" t="e">
        <f>(Table143454[[#This Row],[JPN]]-B35)/B35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35">
      <c r="A48" s="33">
        <f>IF(Data!A75="",#N/A,Data!A75)</f>
        <v>20121</v>
      </c>
      <c r="B48" s="34">
        <f>VLOOKUP(A48,Data!A:AX,MATCH($B$2,Data!$B$1:$AX$1,0),FALSE)</f>
        <v>3.496054</v>
      </c>
      <c r="C48" s="35">
        <f t="shared" si="2"/>
        <v>-2.8598882912288515E-3</v>
      </c>
      <c r="D48" s="35" t="e">
        <f>(Table143454[[#This Row],[JPN]]-B36)/B36</f>
        <v>#DIV/0!</v>
      </c>
      <c r="E48" s="35" t="e">
        <f>(Table143454[[#This Row],[JPN]]-B36)/B36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35">
      <c r="A49" s="33">
        <f>IF(Data!A76="",#N/A,Data!A76)</f>
        <v>20149</v>
      </c>
      <c r="B49" s="34">
        <f>VLOOKUP(A49,Data!A:AX,MATCH($B$2,Data!$B$1:$AX$1,0),FALSE)</f>
        <v>3.496054</v>
      </c>
      <c r="C49" s="35">
        <f t="shared" si="2"/>
        <v>0</v>
      </c>
      <c r="D49" s="35" t="e">
        <f>(Table143454[[#This Row],[JPN]]-B37)/B37</f>
        <v>#DIV/0!</v>
      </c>
      <c r="E49" s="35" t="e">
        <f>(Table143454[[#This Row],[JPN]]-B37)/B37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35">
      <c r="A50" s="33">
        <f>IF(Data!A77="",#N/A,Data!A77)</f>
        <v>20180</v>
      </c>
      <c r="B50" s="34">
        <f>VLOOKUP(A50,Data!A:AX,MATCH($B$2,Data!$B$1:$AX$1,0),FALSE)</f>
        <v>3.502739</v>
      </c>
      <c r="C50" s="35">
        <f t="shared" si="2"/>
        <v>1.9121558191035337E-3</v>
      </c>
      <c r="D50" s="35" t="e">
        <f>(Table143454[[#This Row],[JPN]]-B38)/B38</f>
        <v>#DIV/0!</v>
      </c>
      <c r="E50" s="35" t="e">
        <f>(Table143454[[#This Row],[JPN]]-B38)/B38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35">
      <c r="A51" s="33">
        <f>IF(Data!A78="",#N/A,Data!A78)</f>
        <v>20210</v>
      </c>
      <c r="B51" s="34">
        <f>VLOOKUP(A51,Data!A:AX,MATCH($B$2,Data!$B$1:$AX$1,0),FALSE)</f>
        <v>3.506081</v>
      </c>
      <c r="C51" s="35">
        <f t="shared" si="2"/>
        <v>9.5411048325333425E-4</v>
      </c>
      <c r="D51" s="35" t="e">
        <f>(Table143454[[#This Row],[JPN]]-B39)/B39</f>
        <v>#DIV/0!</v>
      </c>
      <c r="E51" s="35" t="e">
        <f>(Table143454[[#This Row],[JPN]]-B39)/B39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35">
      <c r="A52" s="33">
        <f>IF(Data!A79="",#N/A,Data!A79)</f>
        <v>20241</v>
      </c>
      <c r="B52" s="34">
        <f>VLOOKUP(A52,Data!A:AX,MATCH($B$2,Data!$B$1:$AX$1,0),FALSE)</f>
        <v>3.509423</v>
      </c>
      <c r="C52" s="35">
        <f t="shared" si="2"/>
        <v>9.5320102416351915E-4</v>
      </c>
      <c r="D52" s="35" t="e">
        <f>(Table143454[[#This Row],[JPN]]-B40)/B40</f>
        <v>#DIV/0!</v>
      </c>
      <c r="E52" s="35" t="e">
        <f>(Table143454[[#This Row],[JPN]]-B40)/B40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35">
      <c r="A53" s="33">
        <f>IF(Data!A80="",#N/A,Data!A80)</f>
        <v>20271</v>
      </c>
      <c r="B53" s="34">
        <f>VLOOKUP(A53,Data!A:AX,MATCH($B$2,Data!$B$1:$AX$1,0),FALSE)</f>
        <v>3.509423</v>
      </c>
      <c r="C53" s="35">
        <f t="shared" si="2"/>
        <v>0</v>
      </c>
      <c r="D53" s="35" t="e">
        <f>(Table143454[[#This Row],[JPN]]-B41)/B41</f>
        <v>#DIV/0!</v>
      </c>
      <c r="E53" s="35" t="e">
        <f>(Table143454[[#This Row],[JPN]]-B41)/B41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35">
      <c r="A54" s="33">
        <f>IF(Data!A81="",#N/A,Data!A81)</f>
        <v>20302</v>
      </c>
      <c r="B54" s="34">
        <f>VLOOKUP(A54,Data!A:AX,MATCH($B$2,Data!$B$1:$AX$1,0),FALSE)</f>
        <v>3.516108</v>
      </c>
      <c r="C54" s="35">
        <f t="shared" si="2"/>
        <v>1.9048715415610484E-3</v>
      </c>
      <c r="D54" s="35" t="e">
        <f>(Table143454[[#This Row],[JPN]]-B42)/B42</f>
        <v>#DIV/0!</v>
      </c>
      <c r="E54" s="35" t="e">
        <f>(Table143454[[#This Row],[JPN]]-B42)/B42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35">
      <c r="A55" s="33">
        <f>IF(Data!A82="",#N/A,Data!A82)</f>
        <v>20333</v>
      </c>
      <c r="B55" s="34">
        <f>VLOOKUP(A55,Data!A:AX,MATCH($B$2,Data!$B$1:$AX$1,0),FALSE)</f>
        <v>3.516108</v>
      </c>
      <c r="C55" s="35">
        <f t="shared" si="2"/>
        <v>0</v>
      </c>
      <c r="D55" s="35" t="e">
        <f>(Table143454[[#This Row],[JPN]]-B43)/B43</f>
        <v>#DIV/0!</v>
      </c>
      <c r="E55" s="35" t="e">
        <f>(Table143454[[#This Row],[JPN]]-B43)/B43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35">
      <c r="A56" s="33">
        <f>IF(Data!A83="",#N/A,Data!A83)</f>
        <v>20363</v>
      </c>
      <c r="B56" s="34">
        <f>VLOOKUP(A56,Data!A:AX,MATCH($B$2,Data!$B$1:$AX$1,0),FALSE)</f>
        <v>3.529477</v>
      </c>
      <c r="C56" s="35">
        <f t="shared" si="2"/>
        <v>3.8022154040775469E-3</v>
      </c>
      <c r="D56" s="35" t="e">
        <f>(Table143454[[#This Row],[JPN]]-B44)/B44</f>
        <v>#DIV/0!</v>
      </c>
      <c r="E56" s="35" t="e">
        <f>(Table143454[[#This Row],[JPN]]-B44)/B44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35">
      <c r="A57" s="33">
        <f>IF(Data!A84="",#N/A,Data!A84)</f>
        <v>20394</v>
      </c>
      <c r="B57" s="34">
        <f>VLOOKUP(A57,Data!A:AX,MATCH($B$2,Data!$B$1:$AX$1,0),FALSE)</f>
        <v>3.539504</v>
      </c>
      <c r="C57" s="35">
        <f t="shared" si="2"/>
        <v>2.8409308234620401E-3</v>
      </c>
      <c r="D57" s="35" t="e">
        <f>(Table143454[[#This Row],[JPN]]-B45)/B45</f>
        <v>#DIV/0!</v>
      </c>
      <c r="E57" s="35" t="e">
        <f>(Table143454[[#This Row],[JPN]]-B45)/B45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35">
      <c r="A58" s="33">
        <f>IF(Data!A85="",#N/A,Data!A85)</f>
        <v>20424</v>
      </c>
      <c r="B58" s="34">
        <f>VLOOKUP(A58,Data!A:AX,MATCH($B$2,Data!$B$1:$AX$1,0),FALSE)</f>
        <v>3.5629</v>
      </c>
      <c r="C58" s="35">
        <f t="shared" si="2"/>
        <v>6.6099656901079662E-3</v>
      </c>
      <c r="D58" s="35" t="e">
        <f>(Table143454[[#This Row],[JPN]]-B46)/B46</f>
        <v>#DIV/0!</v>
      </c>
      <c r="E58" s="35" t="e">
        <f>(Table143454[[#This Row],[JPN]]-B46)/B46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35">
      <c r="A59" s="33">
        <f>IF(Data!A86="",#N/A,Data!A86)</f>
        <v>20455</v>
      </c>
      <c r="B59" s="34">
        <f>VLOOKUP(A59,Data!A:AX,MATCH($B$2,Data!$B$1:$AX$1,0),FALSE)</f>
        <v>3.569585</v>
      </c>
      <c r="C59" s="35">
        <f t="shared" si="2"/>
        <v>1.8762805579723985E-3</v>
      </c>
      <c r="D59" s="35">
        <f t="shared" ref="D59:D122" si="3">((1+C59)^12)-1</f>
        <v>2.274917431383261E-2</v>
      </c>
      <c r="E59" s="35">
        <f>(Table143454[[#This Row],[JPN]]-B47)/B47</f>
        <v>1.8112530771536656E-2</v>
      </c>
      <c r="F59" s="34">
        <f>VLOOKUP(Table143454[[#This Row],[Date]],'Data Core CPI'!$A:$AX,MATCH($B$2,'Data Core CPI'!$B$1:$AX$1,0),FALSE)</f>
        <v>0</v>
      </c>
      <c r="G59" s="35" t="e">
        <f t="shared" si="0"/>
        <v>#DIV/0!</v>
      </c>
      <c r="H59" s="35" t="e">
        <f t="shared" si="1"/>
        <v>#DIV/0!</v>
      </c>
      <c r="I59" s="35" t="e">
        <f>(Table143454[[#This Row],[Core CPI]]-F47)/F47</f>
        <v>#DIV/0!</v>
      </c>
    </row>
    <row r="60" spans="1:9" x14ac:dyDescent="0.35">
      <c r="A60" s="33">
        <f>IF(Data!A87="",#N/A,Data!A87)</f>
        <v>20486</v>
      </c>
      <c r="B60" s="34">
        <f>VLOOKUP(A60,Data!A:AX,MATCH($B$2,Data!$B$1:$AX$1,0),FALSE)</f>
        <v>3.6063499999999999</v>
      </c>
      <c r="C60" s="35">
        <f t="shared" si="2"/>
        <v>1.0299516610474235E-2</v>
      </c>
      <c r="D60" s="35">
        <f t="shared" si="3"/>
        <v>0.13084151134823774</v>
      </c>
      <c r="E60" s="35">
        <f>(Table143454[[#This Row],[JPN]]-B48)/B48</f>
        <v>3.1548711776191084E-2</v>
      </c>
      <c r="F60" s="34">
        <f>VLOOKUP(Table143454[[#This Row],[Date]],'Data Core CPI'!$A:$AX,MATCH($B$2,'Data Core CPI'!$B$1:$AX$1,0),FALSE)</f>
        <v>0</v>
      </c>
      <c r="G60" s="35" t="e">
        <f t="shared" si="0"/>
        <v>#DIV/0!</v>
      </c>
      <c r="H60" s="35" t="e">
        <f t="shared" si="1"/>
        <v>#DIV/0!</v>
      </c>
      <c r="I60" s="35" t="e">
        <f>(Table143454[[#This Row],[Core CPI]]-F48)/F48</f>
        <v>#DIV/0!</v>
      </c>
    </row>
    <row r="61" spans="1:9" x14ac:dyDescent="0.35">
      <c r="A61" s="33">
        <f>IF(Data!A88="",#N/A,Data!A88)</f>
        <v>20515</v>
      </c>
      <c r="B61" s="34">
        <f>VLOOKUP(A61,Data!A:AX,MATCH($B$2,Data!$B$1:$AX$1,0),FALSE)</f>
        <v>3.6297459999999999</v>
      </c>
      <c r="C61" s="35">
        <f t="shared" si="2"/>
        <v>6.4874457554036091E-3</v>
      </c>
      <c r="D61" s="35">
        <f t="shared" si="3"/>
        <v>8.0688041995367499E-2</v>
      </c>
      <c r="E61" s="35">
        <f>(Table143454[[#This Row],[JPN]]-B49)/B49</f>
        <v>3.8240828087895647E-2</v>
      </c>
      <c r="F61" s="34">
        <f>VLOOKUP(Table143454[[#This Row],[Date]],'Data Core CPI'!$A:$AX,MATCH($B$2,'Data Core CPI'!$B$1:$AX$1,0),FALSE)</f>
        <v>0</v>
      </c>
      <c r="G61" s="35" t="e">
        <f t="shared" si="0"/>
        <v>#DIV/0!</v>
      </c>
      <c r="H61" s="35" t="e">
        <f t="shared" si="1"/>
        <v>#DIV/0!</v>
      </c>
      <c r="I61" s="35" t="e">
        <f>(Table143454[[#This Row],[Core CPI]]-F49)/F49</f>
        <v>#DIV/0!</v>
      </c>
    </row>
    <row r="62" spans="1:9" x14ac:dyDescent="0.35">
      <c r="A62" s="33">
        <f>IF(Data!A89="",#N/A,Data!A89)</f>
        <v>20546</v>
      </c>
      <c r="B62" s="34">
        <f>VLOOKUP(A62,Data!A:AX,MATCH($B$2,Data!$B$1:$AX$1,0),FALSE)</f>
        <v>3.643116</v>
      </c>
      <c r="C62" s="35">
        <f t="shared" si="2"/>
        <v>3.6834533325471597E-3</v>
      </c>
      <c r="D62" s="35">
        <f t="shared" si="3"/>
        <v>4.5108003152214193E-2</v>
      </c>
      <c r="E62" s="35">
        <f>(Table143454[[#This Row],[JPN]]-B50)/B50</f>
        <v>4.007635167792975E-2</v>
      </c>
      <c r="F62" s="34">
        <f>VLOOKUP(Table143454[[#This Row],[Date]],'Data Core CPI'!$A:$AX,MATCH($B$2,'Data Core CPI'!$B$1:$AX$1,0),FALSE)</f>
        <v>0</v>
      </c>
      <c r="G62" s="35" t="e">
        <f t="shared" si="0"/>
        <v>#DIV/0!</v>
      </c>
      <c r="H62" s="35" t="e">
        <f t="shared" si="1"/>
        <v>#DIV/0!</v>
      </c>
      <c r="I62" s="35" t="e">
        <f>(Table143454[[#This Row],[Core CPI]]-F50)/F50</f>
        <v>#DIV/0!</v>
      </c>
    </row>
    <row r="63" spans="1:9" x14ac:dyDescent="0.35">
      <c r="A63" s="33">
        <f>IF(Data!A90="",#N/A,Data!A90)</f>
        <v>20576</v>
      </c>
      <c r="B63" s="34">
        <f>VLOOKUP(A63,Data!A:AX,MATCH($B$2,Data!$B$1:$AX$1,0),FALSE)</f>
        <v>3.6497999999999999</v>
      </c>
      <c r="C63" s="35">
        <f t="shared" si="2"/>
        <v>1.8346931582744475E-3</v>
      </c>
      <c r="D63" s="35">
        <f t="shared" si="3"/>
        <v>2.2239844724393887E-2</v>
      </c>
      <c r="E63" s="35">
        <f>(Table143454[[#This Row],[JPN]]-B51)/B51</f>
        <v>4.0991351882629048E-2</v>
      </c>
      <c r="F63" s="34">
        <f>VLOOKUP(Table143454[[#This Row],[Date]],'Data Core CPI'!$A:$AX,MATCH($B$2,'Data Core CPI'!$B$1:$AX$1,0),FALSE)</f>
        <v>0</v>
      </c>
      <c r="G63" s="35" t="e">
        <f t="shared" si="0"/>
        <v>#DIV/0!</v>
      </c>
      <c r="H63" s="35" t="e">
        <f t="shared" si="1"/>
        <v>#DIV/0!</v>
      </c>
      <c r="I63" s="35" t="e">
        <f>(Table143454[[#This Row],[Core CPI]]-F51)/F51</f>
        <v>#DIV/0!</v>
      </c>
    </row>
    <row r="64" spans="1:9" x14ac:dyDescent="0.35">
      <c r="A64" s="33">
        <f>IF(Data!A91="",#N/A,Data!A91)</f>
        <v>20607</v>
      </c>
      <c r="B64" s="34">
        <f>VLOOKUP(A64,Data!A:AX,MATCH($B$2,Data!$B$1:$AX$1,0),FALSE)</f>
        <v>3.636431</v>
      </c>
      <c r="C64" s="35">
        <f t="shared" si="2"/>
        <v>-3.6629404350922989E-3</v>
      </c>
      <c r="D64" s="35">
        <f t="shared" si="3"/>
        <v>-4.3080478032533343E-2</v>
      </c>
      <c r="E64" s="35">
        <f>(Table143454[[#This Row],[JPN]]-B52)/B52</f>
        <v>3.6190564659774556E-2</v>
      </c>
      <c r="F64" s="34">
        <f>VLOOKUP(Table143454[[#This Row],[Date]],'Data Core CPI'!$A:$AX,MATCH($B$2,'Data Core CPI'!$B$1:$AX$1,0),FALSE)</f>
        <v>0</v>
      </c>
      <c r="G64" s="35" t="e">
        <f t="shared" si="0"/>
        <v>#DIV/0!</v>
      </c>
      <c r="H64" s="35" t="e">
        <f t="shared" si="1"/>
        <v>#DIV/0!</v>
      </c>
      <c r="I64" s="35" t="e">
        <f>(Table143454[[#This Row],[Core CPI]]-F52)/F52</f>
        <v>#DIV/0!</v>
      </c>
    </row>
    <row r="65" spans="1:9" x14ac:dyDescent="0.35">
      <c r="A65" s="33">
        <f>IF(Data!A92="",#N/A,Data!A92)</f>
        <v>20637</v>
      </c>
      <c r="B65" s="34">
        <f>VLOOKUP(A65,Data!A:AX,MATCH($B$2,Data!$B$1:$AX$1,0),FALSE)</f>
        <v>3.636431</v>
      </c>
      <c r="C65" s="35">
        <f t="shared" si="2"/>
        <v>0</v>
      </c>
      <c r="D65" s="35">
        <f t="shared" si="3"/>
        <v>0</v>
      </c>
      <c r="E65" s="35">
        <f>(Table143454[[#This Row],[JPN]]-B53)/B53</f>
        <v>3.6190564659774556E-2</v>
      </c>
      <c r="F65" s="34">
        <f>VLOOKUP(Table143454[[#This Row],[Date]],'Data Core CPI'!$A:$AX,MATCH($B$2,'Data Core CPI'!$B$1:$AX$1,0),FALSE)</f>
        <v>0</v>
      </c>
      <c r="G65" s="35" t="e">
        <f t="shared" si="0"/>
        <v>#DIV/0!</v>
      </c>
      <c r="H65" s="35" t="e">
        <f t="shared" si="1"/>
        <v>#DIV/0!</v>
      </c>
      <c r="I65" s="35" t="e">
        <f>(Table143454[[#This Row],[Core CPI]]-F53)/F53</f>
        <v>#DIV/0!</v>
      </c>
    </row>
    <row r="66" spans="1:9" x14ac:dyDescent="0.35">
      <c r="A66" s="33">
        <f>IF(Data!A93="",#N/A,Data!A93)</f>
        <v>20668</v>
      </c>
      <c r="B66" s="34">
        <f>VLOOKUP(A66,Data!A:AX,MATCH($B$2,Data!$B$1:$AX$1,0),FALSE)</f>
        <v>3.6397729999999999</v>
      </c>
      <c r="C66" s="35">
        <f t="shared" si="2"/>
        <v>9.1903297491402469E-4</v>
      </c>
      <c r="D66" s="35">
        <f t="shared" si="3"/>
        <v>1.108431185053016E-2</v>
      </c>
      <c r="E66" s="35">
        <f>(Table143454[[#This Row],[JPN]]-B54)/B54</f>
        <v>3.5170990197115649E-2</v>
      </c>
      <c r="F66" s="34">
        <f>VLOOKUP(Table143454[[#This Row],[Date]],'Data Core CPI'!$A:$AX,MATCH($B$2,'Data Core CPI'!$B$1:$AX$1,0),FALSE)</f>
        <v>0</v>
      </c>
      <c r="G66" s="35" t="e">
        <f t="shared" si="0"/>
        <v>#DIV/0!</v>
      </c>
      <c r="H66" s="35" t="e">
        <f t="shared" si="1"/>
        <v>#DIV/0!</v>
      </c>
      <c r="I66" s="35" t="e">
        <f>(Table143454[[#This Row],[Core CPI]]-F54)/F54</f>
        <v>#DIV/0!</v>
      </c>
    </row>
    <row r="67" spans="1:9" x14ac:dyDescent="0.35">
      <c r="A67" s="33">
        <f>IF(Data!A94="",#N/A,Data!A94)</f>
        <v>20699</v>
      </c>
      <c r="B67" s="34">
        <f>VLOOKUP(A67,Data!A:AX,MATCH($B$2,Data!$B$1:$AX$1,0),FALSE)</f>
        <v>3.646458</v>
      </c>
      <c r="C67" s="35">
        <f t="shared" si="2"/>
        <v>1.8366530000635262E-3</v>
      </c>
      <c r="D67" s="35">
        <f t="shared" si="3"/>
        <v>2.2263842095643582E-2</v>
      </c>
      <c r="E67" s="35">
        <f>(Table143454[[#This Row],[JPN]]-B55)/B55</f>
        <v>3.7072240101839862E-2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35">
      <c r="A68" s="33">
        <f>IF(Data!A95="",#N/A,Data!A95)</f>
        <v>20729</v>
      </c>
      <c r="B68" s="34">
        <f>VLOOKUP(A68,Data!A:AX,MATCH($B$2,Data!$B$1:$AX$1,0),FALSE)</f>
        <v>3.6397729999999999</v>
      </c>
      <c r="C68" s="35">
        <f t="shared" ref="C68:C131" si="6">(B68/B67)-1</f>
        <v>-1.8332858900336202E-3</v>
      </c>
      <c r="D68" s="35">
        <f t="shared" si="3"/>
        <v>-2.1778958796002557E-2</v>
      </c>
      <c r="E68" s="35">
        <f>(Table143454[[#This Row],[JPN]]-B56)/B56</f>
        <v>3.1249955729984909E-2</v>
      </c>
      <c r="F68" s="34">
        <f>VLOOKUP(Table143454[[#This Row],[Date]],'Data Core CPI'!$A:$AX,MATCH($B$2,'Data Core CPI'!$B$1:$AX$1,0),FALSE)</f>
        <v>0</v>
      </c>
      <c r="G68" s="35" t="e">
        <f t="shared" si="4"/>
        <v>#DIV/0!</v>
      </c>
      <c r="H68" s="35" t="e">
        <f t="shared" si="5"/>
        <v>#DIV/0!</v>
      </c>
      <c r="I68" s="35" t="e">
        <f>(Table143454[[#This Row],[Core CPI]]-F56)/F56</f>
        <v>#DIV/0!</v>
      </c>
    </row>
    <row r="69" spans="1:9" x14ac:dyDescent="0.35">
      <c r="A69" s="33">
        <f>IF(Data!A96="",#N/A,Data!A96)</f>
        <v>20760</v>
      </c>
      <c r="B69" s="34">
        <f>VLOOKUP(A69,Data!A:AX,MATCH($B$2,Data!$B$1:$AX$1,0),FALSE)</f>
        <v>3.6497999999999999</v>
      </c>
      <c r="C69" s="35">
        <f t="shared" si="6"/>
        <v>2.7548421288909886E-3</v>
      </c>
      <c r="D69" s="35">
        <f t="shared" si="3"/>
        <v>3.3563617946015034E-2</v>
      </c>
      <c r="E69" s="35">
        <f>(Table143454[[#This Row],[JPN]]-B57)/B57</f>
        <v>3.116142826791549E-2</v>
      </c>
      <c r="F69" s="34">
        <f>VLOOKUP(Table143454[[#This Row],[Date]],'Data Core CPI'!$A:$AX,MATCH($B$2,'Data Core CPI'!$B$1:$AX$1,0),FALSE)</f>
        <v>0</v>
      </c>
      <c r="G69" s="35" t="e">
        <f t="shared" si="4"/>
        <v>#DIV/0!</v>
      </c>
      <c r="H69" s="35" t="e">
        <f t="shared" si="5"/>
        <v>#DIV/0!</v>
      </c>
      <c r="I69" s="35" t="e">
        <f>(Table143454[[#This Row],[Core CPI]]-F57)/F57</f>
        <v>#DIV/0!</v>
      </c>
    </row>
    <row r="70" spans="1:9" x14ac:dyDescent="0.35">
      <c r="A70" s="33">
        <f>IF(Data!A97="",#N/A,Data!A97)</f>
        <v>20790</v>
      </c>
      <c r="B70" s="34">
        <f>VLOOKUP(A70,Data!A:AX,MATCH($B$2,Data!$B$1:$AX$1,0),FALSE)</f>
        <v>3.6698539999999999</v>
      </c>
      <c r="C70" s="35">
        <f t="shared" si="6"/>
        <v>5.4945476464463017E-3</v>
      </c>
      <c r="D70" s="35">
        <f t="shared" si="3"/>
        <v>6.7964064216690989E-2</v>
      </c>
      <c r="E70" s="35">
        <f>(Table143454[[#This Row],[JPN]]-B58)/B58</f>
        <v>3.0018804906115804E-2</v>
      </c>
      <c r="F70" s="34">
        <f>VLOOKUP(Table143454[[#This Row],[Date]],'Data Core CPI'!$A:$AX,MATCH($B$2,'Data Core CPI'!$B$1:$AX$1,0),FALSE)</f>
        <v>0</v>
      </c>
      <c r="G70" s="35" t="e">
        <f t="shared" si="4"/>
        <v>#DIV/0!</v>
      </c>
      <c r="H70" s="35" t="e">
        <f t="shared" si="5"/>
        <v>#DIV/0!</v>
      </c>
      <c r="I70" s="35" t="e">
        <f>(Table143454[[#This Row],[Core CPI]]-F58)/F58</f>
        <v>#DIV/0!</v>
      </c>
    </row>
    <row r="71" spans="1:9" x14ac:dyDescent="0.35">
      <c r="A71" s="33">
        <f>IF(Data!A98="",#N/A,Data!A98)</f>
        <v>20821</v>
      </c>
      <c r="B71" s="34">
        <f>VLOOKUP(A71,Data!A:AX,MATCH($B$2,Data!$B$1:$AX$1,0),FALSE)</f>
        <v>3.6832229999999999</v>
      </c>
      <c r="C71" s="35">
        <f t="shared" si="6"/>
        <v>3.6429242144238039E-3</v>
      </c>
      <c r="D71" s="35">
        <f t="shared" si="3"/>
        <v>4.460169332377717E-2</v>
      </c>
      <c r="E71" s="35">
        <f>(Table143454[[#This Row],[JPN]]-B59)/B59</f>
        <v>3.1835073264819276E-2</v>
      </c>
      <c r="F71" s="34">
        <f>VLOOKUP(Table143454[[#This Row],[Date]],'Data Core CPI'!$A:$AX,MATCH($B$2,'Data Core CPI'!$B$1:$AX$1,0),FALSE)</f>
        <v>0</v>
      </c>
      <c r="G71" s="35" t="e">
        <f t="shared" si="4"/>
        <v>#DIV/0!</v>
      </c>
      <c r="H71" s="35" t="e">
        <f t="shared" si="5"/>
        <v>#DIV/0!</v>
      </c>
      <c r="I71" s="35" t="e">
        <f>(Table143454[[#This Row],[Core CPI]]-F59)/F59</f>
        <v>#DIV/0!</v>
      </c>
    </row>
    <row r="72" spans="1:9" x14ac:dyDescent="0.35">
      <c r="A72" s="33">
        <f>IF(Data!A99="",#N/A,Data!A99)</f>
        <v>20852</v>
      </c>
      <c r="B72" s="34">
        <f>VLOOKUP(A72,Data!A:AX,MATCH($B$2,Data!$B$1:$AX$1,0),FALSE)</f>
        <v>3.6698539999999999</v>
      </c>
      <c r="C72" s="35">
        <f t="shared" si="6"/>
        <v>-3.6297014869857147E-3</v>
      </c>
      <c r="D72" s="35">
        <f t="shared" si="3"/>
        <v>-4.2697320527846694E-2</v>
      </c>
      <c r="E72" s="35">
        <f>(Table143454[[#This Row],[JPN]]-B60)/B60</f>
        <v>1.7608939786765015E-2</v>
      </c>
      <c r="F72" s="34">
        <f>VLOOKUP(Table143454[[#This Row],[Date]],'Data Core CPI'!$A:$AX,MATCH($B$2,'Data Core CPI'!$B$1:$AX$1,0),FALSE)</f>
        <v>0</v>
      </c>
      <c r="G72" s="35" t="e">
        <f t="shared" si="4"/>
        <v>#DIV/0!</v>
      </c>
      <c r="H72" s="35" t="e">
        <f t="shared" si="5"/>
        <v>#DIV/0!</v>
      </c>
      <c r="I72" s="35" t="e">
        <f>(Table143454[[#This Row],[Core CPI]]-F60)/F60</f>
        <v>#DIV/0!</v>
      </c>
    </row>
    <row r="73" spans="1:9" x14ac:dyDescent="0.35">
      <c r="A73" s="33">
        <f>IF(Data!A100="",#N/A,Data!A100)</f>
        <v>20880</v>
      </c>
      <c r="B73" s="34">
        <f>VLOOKUP(A73,Data!A:AX,MATCH($B$2,Data!$B$1:$AX$1,0),FALSE)</f>
        <v>3.6598269999999999</v>
      </c>
      <c r="C73" s="35">
        <f t="shared" si="6"/>
        <v>-2.7322612834188575E-3</v>
      </c>
      <c r="D73" s="35">
        <f t="shared" si="3"/>
        <v>-3.2298888665335146E-2</v>
      </c>
      <c r="E73" s="35">
        <f>(Table143454[[#This Row],[JPN]]-B61)/B61</f>
        <v>8.2873567461745328E-3</v>
      </c>
      <c r="F73" s="34">
        <f>VLOOKUP(Table143454[[#This Row],[Date]],'Data Core CPI'!$A:$AX,MATCH($B$2,'Data Core CPI'!$B$1:$AX$1,0),FALSE)</f>
        <v>0</v>
      </c>
      <c r="G73" s="35" t="e">
        <f t="shared" si="4"/>
        <v>#DIV/0!</v>
      </c>
      <c r="H73" s="35" t="e">
        <f t="shared" si="5"/>
        <v>#DIV/0!</v>
      </c>
      <c r="I73" s="35" t="e">
        <f>(Table143454[[#This Row],[Core CPI]]-F61)/F61</f>
        <v>#DIV/0!</v>
      </c>
    </row>
    <row r="74" spans="1:9" x14ac:dyDescent="0.35">
      <c r="A74" s="33">
        <f>IF(Data!A101="",#N/A,Data!A101)</f>
        <v>20911</v>
      </c>
      <c r="B74" s="34">
        <f>VLOOKUP(A74,Data!A:AX,MATCH($B$2,Data!$B$1:$AX$1,0),FALSE)</f>
        <v>3.6531419999999999</v>
      </c>
      <c r="C74" s="35">
        <f t="shared" si="6"/>
        <v>-1.826589071013518E-3</v>
      </c>
      <c r="D74" s="35">
        <f t="shared" si="3"/>
        <v>-2.1700199876244497E-2</v>
      </c>
      <c r="E74" s="35">
        <f>(Table143454[[#This Row],[JPN]]-B62)/B62</f>
        <v>2.7520397374115641E-3</v>
      </c>
      <c r="F74" s="34">
        <f>VLOOKUP(Table143454[[#This Row],[Date]],'Data Core CPI'!$A:$AX,MATCH($B$2,'Data Core CPI'!$B$1:$AX$1,0),FALSE)</f>
        <v>0</v>
      </c>
      <c r="G74" s="35" t="e">
        <f t="shared" si="4"/>
        <v>#DIV/0!</v>
      </c>
      <c r="H74" s="35" t="e">
        <f t="shared" si="5"/>
        <v>#DIV/0!</v>
      </c>
      <c r="I74" s="35" t="e">
        <f>(Table143454[[#This Row],[Core CPI]]-F62)/F62</f>
        <v>#DIV/0!</v>
      </c>
    </row>
    <row r="75" spans="1:9" x14ac:dyDescent="0.35">
      <c r="A75" s="33">
        <f>IF(Data!A102="",#N/A,Data!A102)</f>
        <v>20941</v>
      </c>
      <c r="B75" s="34">
        <f>VLOOKUP(A75,Data!A:AX,MATCH($B$2,Data!$B$1:$AX$1,0),FALSE)</f>
        <v>3.6531419999999999</v>
      </c>
      <c r="C75" s="35">
        <f t="shared" si="6"/>
        <v>0</v>
      </c>
      <c r="D75" s="35">
        <f t="shared" si="3"/>
        <v>0</v>
      </c>
      <c r="E75" s="35">
        <f>(Table143454[[#This Row],[JPN]]-B63)/B63</f>
        <v>9.1566661186913152E-4</v>
      </c>
      <c r="F75" s="34">
        <f>VLOOKUP(Table143454[[#This Row],[Date]],'Data Core CPI'!$A:$AX,MATCH($B$2,'Data Core CPI'!$B$1:$AX$1,0),FALSE)</f>
        <v>0</v>
      </c>
      <c r="G75" s="35" t="e">
        <f t="shared" si="4"/>
        <v>#DIV/0!</v>
      </c>
      <c r="H75" s="35" t="e">
        <f t="shared" si="5"/>
        <v>#DIV/0!</v>
      </c>
      <c r="I75" s="35" t="e">
        <f>(Table143454[[#This Row],[Core CPI]]-F63)/F63</f>
        <v>#DIV/0!</v>
      </c>
    </row>
    <row r="76" spans="1:9" x14ac:dyDescent="0.35">
      <c r="A76" s="33">
        <f>IF(Data!A103="",#N/A,Data!A103)</f>
        <v>20972</v>
      </c>
      <c r="B76" s="34">
        <f>VLOOKUP(A76,Data!A:AX,MATCH($B$2,Data!$B$1:$AX$1,0),FALSE)</f>
        <v>3.6531419999999999</v>
      </c>
      <c r="C76" s="35">
        <f t="shared" si="6"/>
        <v>0</v>
      </c>
      <c r="D76" s="35">
        <f t="shared" si="3"/>
        <v>0</v>
      </c>
      <c r="E76" s="35">
        <f>(Table143454[[#This Row],[JPN]]-B64)/B64</f>
        <v>4.595439869476396E-3</v>
      </c>
      <c r="F76" s="34">
        <f>VLOOKUP(Table143454[[#This Row],[Date]],'Data Core CPI'!$A:$AX,MATCH($B$2,'Data Core CPI'!$B$1:$AX$1,0),FALSE)</f>
        <v>0</v>
      </c>
      <c r="G76" s="35" t="e">
        <f t="shared" si="4"/>
        <v>#DIV/0!</v>
      </c>
      <c r="H76" s="35" t="e">
        <f t="shared" si="5"/>
        <v>#DIV/0!</v>
      </c>
      <c r="I76" s="35" t="e">
        <f>(Table143454[[#This Row],[Core CPI]]-F64)/F64</f>
        <v>#DIV/0!</v>
      </c>
    </row>
    <row r="77" spans="1:9" x14ac:dyDescent="0.35">
      <c r="A77" s="33">
        <f>IF(Data!A104="",#N/A,Data!A104)</f>
        <v>21002</v>
      </c>
      <c r="B77" s="34">
        <f>VLOOKUP(A77,Data!A:AX,MATCH($B$2,Data!$B$1:$AX$1,0),FALSE)</f>
        <v>3.6731959999999999</v>
      </c>
      <c r="C77" s="35">
        <f t="shared" si="6"/>
        <v>5.4895210752825552E-3</v>
      </c>
      <c r="D77" s="35">
        <f t="shared" si="3"/>
        <v>6.7899999625369745E-2</v>
      </c>
      <c r="E77" s="35">
        <f>(Table143454[[#This Row],[JPN]]-B65)/B65</f>
        <v>1.0110187708772677E-2</v>
      </c>
      <c r="F77" s="34">
        <f>VLOOKUP(Table143454[[#This Row],[Date]],'Data Core CPI'!$A:$AX,MATCH($B$2,'Data Core CPI'!$B$1:$AX$1,0),FALSE)</f>
        <v>0</v>
      </c>
      <c r="G77" s="35" t="e">
        <f t="shared" si="4"/>
        <v>#DIV/0!</v>
      </c>
      <c r="H77" s="35" t="e">
        <f t="shared" si="5"/>
        <v>#DIV/0!</v>
      </c>
      <c r="I77" s="35" t="e">
        <f>(Table143454[[#This Row],[Core CPI]]-F65)/F65</f>
        <v>#DIV/0!</v>
      </c>
    </row>
    <row r="78" spans="1:9" x14ac:dyDescent="0.35">
      <c r="A78" s="33">
        <f>IF(Data!A105="",#N/A,Data!A105)</f>
        <v>21033</v>
      </c>
      <c r="B78" s="34">
        <f>VLOOKUP(A78,Data!A:AX,MATCH($B$2,Data!$B$1:$AX$1,0),FALSE)</f>
        <v>3.676539</v>
      </c>
      <c r="C78" s="35">
        <f t="shared" si="6"/>
        <v>9.1010662104618056E-4</v>
      </c>
      <c r="D78" s="35">
        <f t="shared" si="3"/>
        <v>1.0976113044623981E-2</v>
      </c>
      <c r="E78" s="35">
        <f>(Table143454[[#This Row],[JPN]]-B66)/B66</f>
        <v>1.0101179386736502E-2</v>
      </c>
      <c r="F78" s="34">
        <f>VLOOKUP(Table143454[[#This Row],[Date]],'Data Core CPI'!$A:$AX,MATCH($B$2,'Data Core CPI'!$B$1:$AX$1,0),FALSE)</f>
        <v>0</v>
      </c>
      <c r="G78" s="35" t="e">
        <f t="shared" si="4"/>
        <v>#DIV/0!</v>
      </c>
      <c r="H78" s="35" t="e">
        <f t="shared" si="5"/>
        <v>#DIV/0!</v>
      </c>
      <c r="I78" s="35" t="e">
        <f>(Table143454[[#This Row],[Core CPI]]-F66)/F66</f>
        <v>#DIV/0!</v>
      </c>
    </row>
    <row r="79" spans="1:9" x14ac:dyDescent="0.35">
      <c r="A79" s="33">
        <f>IF(Data!A106="",#N/A,Data!A106)</f>
        <v>21064</v>
      </c>
      <c r="B79" s="34">
        <f>VLOOKUP(A79,Data!A:AX,MATCH($B$2,Data!$B$1:$AX$1,0),FALSE)</f>
        <v>3.686566</v>
      </c>
      <c r="C79" s="35">
        <f t="shared" si="6"/>
        <v>2.7272932505271186E-3</v>
      </c>
      <c r="D79" s="35">
        <f t="shared" si="3"/>
        <v>3.3222925902437472E-2</v>
      </c>
      <c r="E79" s="35">
        <f>(Table143454[[#This Row],[JPN]]-B67)/B67</f>
        <v>1.0999166862747366E-2</v>
      </c>
      <c r="F79" s="34">
        <f>VLOOKUP(Table143454[[#This Row],[Date]],'Data Core CPI'!$A:$AX,MATCH($B$2,'Data Core CPI'!$B$1:$AX$1,0),FALSE)</f>
        <v>0</v>
      </c>
      <c r="G79" s="35" t="e">
        <f t="shared" si="4"/>
        <v>#DIV/0!</v>
      </c>
      <c r="H79" s="35" t="e">
        <f t="shared" si="5"/>
        <v>#DIV/0!</v>
      </c>
      <c r="I79" s="35" t="e">
        <f>(Table143454[[#This Row],[Core CPI]]-F67)/F67</f>
        <v>#DIV/0!</v>
      </c>
    </row>
    <row r="80" spans="1:9" x14ac:dyDescent="0.35">
      <c r="A80" s="33">
        <f>IF(Data!A107="",#N/A,Data!A107)</f>
        <v>21094</v>
      </c>
      <c r="B80" s="34">
        <f>VLOOKUP(A80,Data!A:AX,MATCH($B$2,Data!$B$1:$AX$1,0),FALSE)</f>
        <v>3.70662</v>
      </c>
      <c r="C80" s="35">
        <f t="shared" si="6"/>
        <v>5.4397507056702654E-3</v>
      </c>
      <c r="D80" s="35">
        <f t="shared" si="3"/>
        <v>6.7265857039105148E-2</v>
      </c>
      <c r="E80" s="35">
        <f>(Table143454[[#This Row],[JPN]]-B68)/B68</f>
        <v>1.8365705773409523E-2</v>
      </c>
      <c r="F80" s="34">
        <f>VLOOKUP(Table143454[[#This Row],[Date]],'Data Core CPI'!$A:$AX,MATCH($B$2,'Data Core CPI'!$B$1:$AX$1,0),FALSE)</f>
        <v>0</v>
      </c>
      <c r="G80" s="35" t="e">
        <f t="shared" si="4"/>
        <v>#DIV/0!</v>
      </c>
      <c r="H80" s="35" t="e">
        <f t="shared" si="5"/>
        <v>#DIV/0!</v>
      </c>
      <c r="I80" s="35" t="e">
        <f>(Table143454[[#This Row],[Core CPI]]-F68)/F68</f>
        <v>#DIV/0!</v>
      </c>
    </row>
    <row r="81" spans="1:9" x14ac:dyDescent="0.35">
      <c r="A81" s="33">
        <f>IF(Data!A108="",#N/A,Data!A108)</f>
        <v>21125</v>
      </c>
      <c r="B81" s="34">
        <f>VLOOKUP(A81,Data!A:AX,MATCH($B$2,Data!$B$1:$AX$1,0),FALSE)</f>
        <v>3.7266729999999999</v>
      </c>
      <c r="C81" s="35">
        <f t="shared" si="6"/>
        <v>5.4100501265303969E-3</v>
      </c>
      <c r="D81" s="35">
        <f t="shared" si="3"/>
        <v>6.6887595513083875E-2</v>
      </c>
      <c r="E81" s="35">
        <f>(Table143454[[#This Row],[JPN]]-B69)/B69</f>
        <v>2.1062249986300612E-2</v>
      </c>
      <c r="F81" s="34">
        <f>VLOOKUP(Table143454[[#This Row],[Date]],'Data Core CPI'!$A:$AX,MATCH($B$2,'Data Core CPI'!$B$1:$AX$1,0),FALSE)</f>
        <v>0</v>
      </c>
      <c r="G81" s="35" t="e">
        <f t="shared" si="4"/>
        <v>#DIV/0!</v>
      </c>
      <c r="H81" s="35" t="e">
        <f t="shared" si="5"/>
        <v>#DIV/0!</v>
      </c>
      <c r="I81" s="35" t="e">
        <f>(Table143454[[#This Row],[Core CPI]]-F69)/F69</f>
        <v>#DIV/0!</v>
      </c>
    </row>
    <row r="82" spans="1:9" x14ac:dyDescent="0.35">
      <c r="A82" s="33">
        <f>IF(Data!A109="",#N/A,Data!A109)</f>
        <v>21155</v>
      </c>
      <c r="B82" s="34">
        <f>VLOOKUP(A82,Data!A:AX,MATCH($B$2,Data!$B$1:$AX$1,0),FALSE)</f>
        <v>3.7500689999999999</v>
      </c>
      <c r="C82" s="35">
        <f t="shared" si="6"/>
        <v>6.2779857529760008E-3</v>
      </c>
      <c r="D82" s="35">
        <f t="shared" si="3"/>
        <v>7.7992306364063291E-2</v>
      </c>
      <c r="E82" s="35">
        <f>(Table143454[[#This Row],[JPN]]-B70)/B70</f>
        <v>2.1857817776946963E-2</v>
      </c>
      <c r="F82" s="34">
        <f>VLOOKUP(Table143454[[#This Row],[Date]],'Data Core CPI'!$A:$AX,MATCH($B$2,'Data Core CPI'!$B$1:$AX$1,0),FALSE)</f>
        <v>0</v>
      </c>
      <c r="G82" s="35" t="e">
        <f t="shared" si="4"/>
        <v>#DIV/0!</v>
      </c>
      <c r="H82" s="35" t="e">
        <f t="shared" si="5"/>
        <v>#DIV/0!</v>
      </c>
      <c r="I82" s="35" t="e">
        <f>(Table143454[[#This Row],[Core CPI]]-F70)/F70</f>
        <v>#DIV/0!</v>
      </c>
    </row>
    <row r="83" spans="1:9" x14ac:dyDescent="0.35">
      <c r="A83" s="33">
        <f>IF(Data!A110="",#N/A,Data!A110)</f>
        <v>21186</v>
      </c>
      <c r="B83" s="34">
        <f>VLOOKUP(A83,Data!A:AX,MATCH($B$2,Data!$B$1:$AX$1,0),FALSE)</f>
        <v>3.7600959999999999</v>
      </c>
      <c r="C83" s="35">
        <f t="shared" si="6"/>
        <v>2.6738174684253213E-3</v>
      </c>
      <c r="D83" s="35">
        <f t="shared" si="3"/>
        <v>3.2561894323780871E-2</v>
      </c>
      <c r="E83" s="35">
        <f>(Table143454[[#This Row],[JPN]]-B71)/B71</f>
        <v>2.0871122926849655E-2</v>
      </c>
      <c r="F83" s="34">
        <f>VLOOKUP(Table143454[[#This Row],[Date]],'Data Core CPI'!$A:$AX,MATCH($B$2,'Data Core CPI'!$B$1:$AX$1,0),FALSE)</f>
        <v>0</v>
      </c>
      <c r="G83" s="35" t="e">
        <f t="shared" si="4"/>
        <v>#DIV/0!</v>
      </c>
      <c r="H83" s="35" t="e">
        <f t="shared" si="5"/>
        <v>#DIV/0!</v>
      </c>
      <c r="I83" s="35" t="e">
        <f>(Table143454[[#This Row],[Core CPI]]-F71)/F71</f>
        <v>#DIV/0!</v>
      </c>
    </row>
    <row r="84" spans="1:9" x14ac:dyDescent="0.35">
      <c r="A84" s="33">
        <f>IF(Data!A111="",#N/A,Data!A111)</f>
        <v>21217</v>
      </c>
      <c r="B84" s="34">
        <f>VLOOKUP(A84,Data!A:AX,MATCH($B$2,Data!$B$1:$AX$1,0),FALSE)</f>
        <v>3.753412</v>
      </c>
      <c r="C84" s="35">
        <f t="shared" si="6"/>
        <v>-1.7776141885739172E-3</v>
      </c>
      <c r="D84" s="35">
        <f t="shared" si="3"/>
        <v>-2.1124046891941028E-2</v>
      </c>
      <c r="E84" s="35">
        <f>(Table143454[[#This Row],[JPN]]-B72)/B72</f>
        <v>2.2768753198356126E-2</v>
      </c>
      <c r="F84" s="34">
        <f>VLOOKUP(Table143454[[#This Row],[Date]],'Data Core CPI'!$A:$AX,MATCH($B$2,'Data Core CPI'!$B$1:$AX$1,0),FALSE)</f>
        <v>0</v>
      </c>
      <c r="G84" s="35" t="e">
        <f t="shared" si="4"/>
        <v>#DIV/0!</v>
      </c>
      <c r="H84" s="35" t="e">
        <f t="shared" si="5"/>
        <v>#DIV/0!</v>
      </c>
      <c r="I84" s="35" t="e">
        <f>(Table143454[[#This Row],[Core CPI]]-F72)/F72</f>
        <v>#DIV/0!</v>
      </c>
    </row>
    <row r="85" spans="1:9" x14ac:dyDescent="0.35">
      <c r="A85" s="33">
        <f>IF(Data!A112="",#N/A,Data!A112)</f>
        <v>21245</v>
      </c>
      <c r="B85" s="34">
        <f>VLOOKUP(A85,Data!A:AX,MATCH($B$2,Data!$B$1:$AX$1,0),FALSE)</f>
        <v>3.7567539999999999</v>
      </c>
      <c r="C85" s="35">
        <f t="shared" si="6"/>
        <v>8.9038986394252007E-4</v>
      </c>
      <c r="D85" s="35">
        <f t="shared" si="3"/>
        <v>1.0737158387205792E-2</v>
      </c>
      <c r="E85" s="35">
        <f>(Table143454[[#This Row],[JPN]]-B73)/B73</f>
        <v>2.6484038726420672E-2</v>
      </c>
      <c r="F85" s="34">
        <f>VLOOKUP(Table143454[[#This Row],[Date]],'Data Core CPI'!$A:$AX,MATCH($B$2,'Data Core CPI'!$B$1:$AX$1,0),FALSE)</f>
        <v>0</v>
      </c>
      <c r="G85" s="35" t="e">
        <f t="shared" si="4"/>
        <v>#DIV/0!</v>
      </c>
      <c r="H85" s="35" t="e">
        <f t="shared" si="5"/>
        <v>#DIV/0!</v>
      </c>
      <c r="I85" s="35" t="e">
        <f>(Table143454[[#This Row],[Core CPI]]-F73)/F73</f>
        <v>#DIV/0!</v>
      </c>
    </row>
    <row r="86" spans="1:9" x14ac:dyDescent="0.35">
      <c r="A86" s="33">
        <f>IF(Data!A113="",#N/A,Data!A113)</f>
        <v>21276</v>
      </c>
      <c r="B86" s="34">
        <f>VLOOKUP(A86,Data!A:AX,MATCH($B$2,Data!$B$1:$AX$1,0),FALSE)</f>
        <v>3.7901769999999999</v>
      </c>
      <c r="C86" s="35">
        <f t="shared" si="6"/>
        <v>8.8967763127423272E-3</v>
      </c>
      <c r="D86" s="35">
        <f t="shared" si="3"/>
        <v>0.11214345981324669</v>
      </c>
      <c r="E86" s="35">
        <f>(Table143454[[#This Row],[JPN]]-B74)/B74</f>
        <v>3.7511544856455081E-2</v>
      </c>
      <c r="F86" s="34">
        <f>VLOOKUP(Table143454[[#This Row],[Date]],'Data Core CPI'!$A:$AX,MATCH($B$2,'Data Core CPI'!$B$1:$AX$1,0),FALSE)</f>
        <v>0</v>
      </c>
      <c r="G86" s="35" t="e">
        <f t="shared" si="4"/>
        <v>#DIV/0!</v>
      </c>
      <c r="H86" s="35" t="e">
        <f t="shared" si="5"/>
        <v>#DIV/0!</v>
      </c>
      <c r="I86" s="35" t="e">
        <f>(Table143454[[#This Row],[Core CPI]]-F74)/F74</f>
        <v>#DIV/0!</v>
      </c>
    </row>
    <row r="87" spans="1:9" x14ac:dyDescent="0.35">
      <c r="A87" s="33">
        <f>IF(Data!A114="",#N/A,Data!A114)</f>
        <v>21306</v>
      </c>
      <c r="B87" s="34">
        <f>VLOOKUP(A87,Data!A:AX,MATCH($B$2,Data!$B$1:$AX$1,0),FALSE)</f>
        <v>3.8135729999999999</v>
      </c>
      <c r="C87" s="35">
        <f t="shared" si="6"/>
        <v>6.1727987901356585E-3</v>
      </c>
      <c r="D87" s="35">
        <f t="shared" si="3"/>
        <v>7.6640883749230282E-2</v>
      </c>
      <c r="E87" s="35">
        <f>(Table143454[[#This Row],[JPN]]-B75)/B75</f>
        <v>4.3915894865296776E-2</v>
      </c>
      <c r="F87" s="34">
        <f>VLOOKUP(Table143454[[#This Row],[Date]],'Data Core CPI'!$A:$AX,MATCH($B$2,'Data Core CPI'!$B$1:$AX$1,0),FALSE)</f>
        <v>0</v>
      </c>
      <c r="G87" s="35" t="e">
        <f t="shared" si="4"/>
        <v>#DIV/0!</v>
      </c>
      <c r="H87" s="35" t="e">
        <f t="shared" si="5"/>
        <v>#DIV/0!</v>
      </c>
      <c r="I87" s="35" t="e">
        <f>(Table143454[[#This Row],[Core CPI]]-F75)/F75</f>
        <v>#DIV/0!</v>
      </c>
    </row>
    <row r="88" spans="1:9" x14ac:dyDescent="0.35">
      <c r="A88" s="33">
        <f>IF(Data!A115="",#N/A,Data!A115)</f>
        <v>21337</v>
      </c>
      <c r="B88" s="34">
        <f>VLOOKUP(A88,Data!A:AX,MATCH($B$2,Data!$B$1:$AX$1,0),FALSE)</f>
        <v>3.8235999999999999</v>
      </c>
      <c r="C88" s="35">
        <f t="shared" si="6"/>
        <v>2.6292927918254438E-3</v>
      </c>
      <c r="D88" s="35">
        <f t="shared" si="3"/>
        <v>3.2011806068118931E-2</v>
      </c>
      <c r="E88" s="35">
        <f>(Table143454[[#This Row],[JPN]]-B76)/B76</f>
        <v>4.6660655402938074E-2</v>
      </c>
      <c r="F88" s="34">
        <f>VLOOKUP(Table143454[[#This Row],[Date]],'Data Core CPI'!$A:$AX,MATCH($B$2,'Data Core CPI'!$B$1:$AX$1,0),FALSE)</f>
        <v>0</v>
      </c>
      <c r="G88" s="35" t="e">
        <f t="shared" si="4"/>
        <v>#DIV/0!</v>
      </c>
      <c r="H88" s="35" t="e">
        <f t="shared" si="5"/>
        <v>#DIV/0!</v>
      </c>
      <c r="I88" s="35" t="e">
        <f>(Table143454[[#This Row],[Core CPI]]-F76)/F76</f>
        <v>#DIV/0!</v>
      </c>
    </row>
    <row r="89" spans="1:9" x14ac:dyDescent="0.35">
      <c r="A89" s="33">
        <f>IF(Data!A116="",#N/A,Data!A116)</f>
        <v>21367</v>
      </c>
      <c r="B89" s="34">
        <f>VLOOKUP(A89,Data!A:AX,MATCH($B$2,Data!$B$1:$AX$1,0),FALSE)</f>
        <v>3.816916</v>
      </c>
      <c r="C89" s="35">
        <f t="shared" si="6"/>
        <v>-1.7480908044774646E-3</v>
      </c>
      <c r="D89" s="35">
        <f t="shared" si="3"/>
        <v>-2.0776576035640537E-2</v>
      </c>
      <c r="E89" s="35">
        <f>(Table143454[[#This Row],[JPN]]-B77)/B77</f>
        <v>3.9126689672971462E-2</v>
      </c>
      <c r="F89" s="34">
        <f>VLOOKUP(Table143454[[#This Row],[Date]],'Data Core CPI'!$A:$AX,MATCH($B$2,'Data Core CPI'!$B$1:$AX$1,0),FALSE)</f>
        <v>0</v>
      </c>
      <c r="G89" s="35" t="e">
        <f t="shared" si="4"/>
        <v>#DIV/0!</v>
      </c>
      <c r="H89" s="35" t="e">
        <f t="shared" si="5"/>
        <v>#DIV/0!</v>
      </c>
      <c r="I89" s="35" t="e">
        <f>(Table143454[[#This Row],[Core CPI]]-F77)/F77</f>
        <v>#DIV/0!</v>
      </c>
    </row>
    <row r="90" spans="1:9" x14ac:dyDescent="0.35">
      <c r="A90" s="33">
        <f>IF(Data!A117="",#N/A,Data!A117)</f>
        <v>21398</v>
      </c>
      <c r="B90" s="34">
        <f>VLOOKUP(A90,Data!A:AX,MATCH($B$2,Data!$B$1:$AX$1,0),FALSE)</f>
        <v>3.8135729999999999</v>
      </c>
      <c r="C90" s="35">
        <f t="shared" si="6"/>
        <v>-8.7583798019130743E-4</v>
      </c>
      <c r="D90" s="35">
        <f t="shared" si="3"/>
        <v>-1.0459575195032267E-2</v>
      </c>
      <c r="E90" s="35">
        <f>(Table143454[[#This Row],[JPN]]-B78)/B78</f>
        <v>3.7272554432307092E-2</v>
      </c>
      <c r="F90" s="34">
        <f>VLOOKUP(Table143454[[#This Row],[Date]],'Data Core CPI'!$A:$AX,MATCH($B$2,'Data Core CPI'!$B$1:$AX$1,0),FALSE)</f>
        <v>0</v>
      </c>
      <c r="G90" s="35" t="e">
        <f t="shared" si="4"/>
        <v>#DIV/0!</v>
      </c>
      <c r="H90" s="35" t="e">
        <f t="shared" si="5"/>
        <v>#DIV/0!</v>
      </c>
      <c r="I90" s="35" t="e">
        <f>(Table143454[[#This Row],[Core CPI]]-F78)/F78</f>
        <v>#DIV/0!</v>
      </c>
    </row>
    <row r="91" spans="1:9" x14ac:dyDescent="0.35">
      <c r="A91" s="33">
        <f>IF(Data!A118="",#N/A,Data!A118)</f>
        <v>21429</v>
      </c>
      <c r="B91" s="34">
        <f>VLOOKUP(A91,Data!A:AX,MATCH($B$2,Data!$B$1:$AX$1,0),FALSE)</f>
        <v>3.8035459999999999</v>
      </c>
      <c r="C91" s="35">
        <f t="shared" si="6"/>
        <v>-2.6292927918254438E-3</v>
      </c>
      <c r="D91" s="35">
        <f t="shared" si="3"/>
        <v>-3.109921891612466E-2</v>
      </c>
      <c r="E91" s="35">
        <f>(Table143454[[#This Row],[JPN]]-B79)/B79</f>
        <v>3.1731427024499187E-2</v>
      </c>
      <c r="F91" s="34">
        <f>VLOOKUP(Table143454[[#This Row],[Date]],'Data Core CPI'!$A:$AX,MATCH($B$2,'Data Core CPI'!$B$1:$AX$1,0),FALSE)</f>
        <v>0</v>
      </c>
      <c r="G91" s="35" t="e">
        <f t="shared" si="4"/>
        <v>#DIV/0!</v>
      </c>
      <c r="H91" s="35" t="e">
        <f t="shared" si="5"/>
        <v>#DIV/0!</v>
      </c>
      <c r="I91" s="35" t="e">
        <f>(Table143454[[#This Row],[Core CPI]]-F79)/F79</f>
        <v>#DIV/0!</v>
      </c>
    </row>
    <row r="92" spans="1:9" x14ac:dyDescent="0.35">
      <c r="A92" s="33">
        <f>IF(Data!A119="",#N/A,Data!A119)</f>
        <v>21459</v>
      </c>
      <c r="B92" s="34">
        <f>VLOOKUP(A92,Data!A:AX,MATCH($B$2,Data!$B$1:$AX$1,0),FALSE)</f>
        <v>3.7801499999999999</v>
      </c>
      <c r="C92" s="35">
        <f t="shared" si="6"/>
        <v>-6.1511021557252299E-3</v>
      </c>
      <c r="D92" s="35">
        <f t="shared" si="3"/>
        <v>-7.1366545717436503E-2</v>
      </c>
      <c r="E92" s="35">
        <f>(Table143454[[#This Row],[JPN]]-B80)/B80</f>
        <v>1.9837479968272946E-2</v>
      </c>
      <c r="F92" s="34">
        <f>VLOOKUP(Table143454[[#This Row],[Date]],'Data Core CPI'!$A:$AX,MATCH($B$2,'Data Core CPI'!$B$1:$AX$1,0),FALSE)</f>
        <v>0</v>
      </c>
      <c r="G92" s="35" t="e">
        <f t="shared" si="4"/>
        <v>#DIV/0!</v>
      </c>
      <c r="H92" s="35" t="e">
        <f t="shared" si="5"/>
        <v>#DIV/0!</v>
      </c>
      <c r="I92" s="35" t="e">
        <f>(Table143454[[#This Row],[Core CPI]]-F80)/F80</f>
        <v>#DIV/0!</v>
      </c>
    </row>
    <row r="93" spans="1:9" x14ac:dyDescent="0.35">
      <c r="A93" s="33">
        <f>IF(Data!A120="",#N/A,Data!A120)</f>
        <v>21490</v>
      </c>
      <c r="B93" s="34">
        <f>VLOOKUP(A93,Data!A:AX,MATCH($B$2,Data!$B$1:$AX$1,0),FALSE)</f>
        <v>3.7768079999999999</v>
      </c>
      <c r="C93" s="35">
        <f t="shared" si="6"/>
        <v>-8.8409190111504721E-4</v>
      </c>
      <c r="D93" s="35">
        <f t="shared" si="3"/>
        <v>-1.0557667716051156E-2</v>
      </c>
      <c r="E93" s="35">
        <f>(Table143454[[#This Row],[JPN]]-B81)/B81</f>
        <v>1.3453018281990409E-2</v>
      </c>
      <c r="F93" s="34">
        <f>VLOOKUP(Table143454[[#This Row],[Date]],'Data Core CPI'!$A:$AX,MATCH($B$2,'Data Core CPI'!$B$1:$AX$1,0),FALSE)</f>
        <v>0</v>
      </c>
      <c r="G93" s="35" t="e">
        <f t="shared" si="4"/>
        <v>#DIV/0!</v>
      </c>
      <c r="H93" s="35" t="e">
        <f t="shared" si="5"/>
        <v>#DIV/0!</v>
      </c>
      <c r="I93" s="35" t="e">
        <f>(Table143454[[#This Row],[Core CPI]]-F81)/F81</f>
        <v>#DIV/0!</v>
      </c>
    </row>
    <row r="94" spans="1:9" x14ac:dyDescent="0.35">
      <c r="A94" s="33">
        <f>IF(Data!A121="",#N/A,Data!A121)</f>
        <v>21520</v>
      </c>
      <c r="B94" s="34">
        <f>VLOOKUP(A94,Data!A:AX,MATCH($B$2,Data!$B$1:$AX$1,0),FALSE)</f>
        <v>3.7667809999999999</v>
      </c>
      <c r="C94" s="35">
        <f t="shared" si="6"/>
        <v>-2.6548874075674744E-3</v>
      </c>
      <c r="D94" s="35">
        <f t="shared" si="3"/>
        <v>-3.1397545023199358E-2</v>
      </c>
      <c r="E94" s="35">
        <f>(Table143454[[#This Row],[JPN]]-B82)/B82</f>
        <v>4.4564513346287927E-3</v>
      </c>
      <c r="F94" s="34">
        <f>VLOOKUP(Table143454[[#This Row],[Date]],'Data Core CPI'!$A:$AX,MATCH($B$2,'Data Core CPI'!$B$1:$AX$1,0),FALSE)</f>
        <v>0</v>
      </c>
      <c r="G94" s="35" t="e">
        <f t="shared" si="4"/>
        <v>#DIV/0!</v>
      </c>
      <c r="H94" s="35" t="e">
        <f t="shared" si="5"/>
        <v>#DIV/0!</v>
      </c>
      <c r="I94" s="35" t="e">
        <f>(Table143454[[#This Row],[Core CPI]]-F82)/F82</f>
        <v>#DIV/0!</v>
      </c>
    </row>
    <row r="95" spans="1:9" x14ac:dyDescent="0.35">
      <c r="A95" s="33">
        <f>IF(Data!A122="",#N/A,Data!A122)</f>
        <v>21551</v>
      </c>
      <c r="B95" s="34">
        <f>VLOOKUP(A95,Data!A:AX,MATCH($B$2,Data!$B$1:$AX$1,0),FALSE)</f>
        <v>3.7600959999999999</v>
      </c>
      <c r="C95" s="35">
        <f t="shared" si="6"/>
        <v>-1.7747248910939817E-3</v>
      </c>
      <c r="D95" s="35">
        <f t="shared" si="3"/>
        <v>-2.1090046746609525E-2</v>
      </c>
      <c r="E95" s="35">
        <f>(Table143454[[#This Row],[JPN]]-B83)/B83</f>
        <v>0</v>
      </c>
      <c r="F95" s="34">
        <f>VLOOKUP(Table143454[[#This Row],[Date]],'Data Core CPI'!$A:$AX,MATCH($B$2,'Data Core CPI'!$B$1:$AX$1,0),FALSE)</f>
        <v>0</v>
      </c>
      <c r="G95" s="35" t="e">
        <f t="shared" si="4"/>
        <v>#DIV/0!</v>
      </c>
      <c r="H95" s="35" t="e">
        <f t="shared" si="5"/>
        <v>#DIV/0!</v>
      </c>
      <c r="I95" s="35" t="e">
        <f>(Table143454[[#This Row],[Core CPI]]-F83)/F83</f>
        <v>#DIV/0!</v>
      </c>
    </row>
    <row r="96" spans="1:9" x14ac:dyDescent="0.35">
      <c r="A96" s="33">
        <f>IF(Data!A123="",#N/A,Data!A123)</f>
        <v>21582</v>
      </c>
      <c r="B96" s="34">
        <f>VLOOKUP(A96,Data!A:AX,MATCH($B$2,Data!$B$1:$AX$1,0),FALSE)</f>
        <v>3.7567539999999999</v>
      </c>
      <c r="C96" s="35">
        <f t="shared" si="6"/>
        <v>-8.8880709428695859E-4</v>
      </c>
      <c r="D96" s="35">
        <f t="shared" si="3"/>
        <v>-1.0613700741994636E-2</v>
      </c>
      <c r="E96" s="35">
        <f>(Table143454[[#This Row],[JPN]]-B84)/B84</f>
        <v>8.9038986394244916E-4</v>
      </c>
      <c r="F96" s="34">
        <f>VLOOKUP(Table143454[[#This Row],[Date]],'Data Core CPI'!$A:$AX,MATCH($B$2,'Data Core CPI'!$B$1:$AX$1,0),FALSE)</f>
        <v>0</v>
      </c>
      <c r="G96" s="35" t="e">
        <f t="shared" si="4"/>
        <v>#DIV/0!</v>
      </c>
      <c r="H96" s="35" t="e">
        <f t="shared" si="5"/>
        <v>#DIV/0!</v>
      </c>
      <c r="I96" s="35" t="e">
        <f>(Table143454[[#This Row],[Core CPI]]-F84)/F84</f>
        <v>#DIV/0!</v>
      </c>
    </row>
    <row r="97" spans="1:9" x14ac:dyDescent="0.35">
      <c r="A97" s="33">
        <f>IF(Data!A124="",#N/A,Data!A124)</f>
        <v>21610</v>
      </c>
      <c r="B97" s="34">
        <f>VLOOKUP(A97,Data!A:AX,MATCH($B$2,Data!$B$1:$AX$1,0),FALSE)</f>
        <v>3.7467269999999999</v>
      </c>
      <c r="C97" s="35">
        <f t="shared" si="6"/>
        <v>-2.669059512547256E-3</v>
      </c>
      <c r="D97" s="35">
        <f t="shared" si="3"/>
        <v>-3.1562696235813092E-2</v>
      </c>
      <c r="E97" s="35">
        <f>(Table143454[[#This Row],[JPN]]-B85)/B85</f>
        <v>-2.6690595125472704E-3</v>
      </c>
      <c r="F97" s="34">
        <f>VLOOKUP(Table143454[[#This Row],[Date]],'Data Core CPI'!$A:$AX,MATCH($B$2,'Data Core CPI'!$B$1:$AX$1,0),FALSE)</f>
        <v>0</v>
      </c>
      <c r="G97" s="35" t="e">
        <f t="shared" si="4"/>
        <v>#DIV/0!</v>
      </c>
      <c r="H97" s="35" t="e">
        <f t="shared" si="5"/>
        <v>#DIV/0!</v>
      </c>
      <c r="I97" s="35" t="e">
        <f>(Table143454[[#This Row],[Core CPI]]-F85)/F85</f>
        <v>#DIV/0!</v>
      </c>
    </row>
    <row r="98" spans="1:9" x14ac:dyDescent="0.35">
      <c r="A98" s="33">
        <f>IF(Data!A125="",#N/A,Data!A125)</f>
        <v>21641</v>
      </c>
      <c r="B98" s="34">
        <f>VLOOKUP(A98,Data!A:AX,MATCH($B$2,Data!$B$1:$AX$1,0),FALSE)</f>
        <v>3.7400419999999999</v>
      </c>
      <c r="C98" s="35">
        <f t="shared" si="6"/>
        <v>-1.7842239373191404E-3</v>
      </c>
      <c r="D98" s="35">
        <f t="shared" si="3"/>
        <v>-2.1201823811017095E-2</v>
      </c>
      <c r="E98" s="35">
        <f>(Table143454[[#This Row],[JPN]]-B86)/B86</f>
        <v>-1.3227614435948517E-2</v>
      </c>
      <c r="F98" s="34">
        <f>VLOOKUP(Table143454[[#This Row],[Date]],'Data Core CPI'!$A:$AX,MATCH($B$2,'Data Core CPI'!$B$1:$AX$1,0),FALSE)</f>
        <v>0</v>
      </c>
      <c r="G98" s="35" t="e">
        <f t="shared" si="4"/>
        <v>#DIV/0!</v>
      </c>
      <c r="H98" s="35" t="e">
        <f t="shared" si="5"/>
        <v>#DIV/0!</v>
      </c>
      <c r="I98" s="35" t="e">
        <f>(Table143454[[#This Row],[Core CPI]]-F86)/F86</f>
        <v>#DIV/0!</v>
      </c>
    </row>
    <row r="99" spans="1:9" x14ac:dyDescent="0.35">
      <c r="A99" s="33">
        <f>IF(Data!A126="",#N/A,Data!A126)</f>
        <v>21671</v>
      </c>
      <c r="B99" s="34">
        <f>VLOOKUP(A99,Data!A:AX,MATCH($B$2,Data!$B$1:$AX$1,0),FALSE)</f>
        <v>3.7567539999999999</v>
      </c>
      <c r="C99" s="35">
        <f t="shared" si="6"/>
        <v>4.468399017979019E-3</v>
      </c>
      <c r="D99" s="35">
        <f t="shared" si="3"/>
        <v>5.4958410010601755E-2</v>
      </c>
      <c r="E99" s="35">
        <f>(Table143454[[#This Row],[JPN]]-B87)/B87</f>
        <v>-1.4899151006156157E-2</v>
      </c>
      <c r="F99" s="34">
        <f>VLOOKUP(Table143454[[#This Row],[Date]],'Data Core CPI'!$A:$AX,MATCH($B$2,'Data Core CPI'!$B$1:$AX$1,0),FALSE)</f>
        <v>0</v>
      </c>
      <c r="G99" s="35" t="e">
        <f t="shared" si="4"/>
        <v>#DIV/0!</v>
      </c>
      <c r="H99" s="35" t="e">
        <f t="shared" si="5"/>
        <v>#DIV/0!</v>
      </c>
      <c r="I99" s="35" t="e">
        <f>(Table143454[[#This Row],[Core CPI]]-F87)/F87</f>
        <v>#DIV/0!</v>
      </c>
    </row>
    <row r="100" spans="1:9" x14ac:dyDescent="0.35">
      <c r="A100" s="33">
        <f>IF(Data!A127="",#N/A,Data!A127)</f>
        <v>21702</v>
      </c>
      <c r="B100" s="34">
        <f>VLOOKUP(A100,Data!A:AX,MATCH($B$2,Data!$B$1:$AX$1,0),FALSE)</f>
        <v>3.753412</v>
      </c>
      <c r="C100" s="35">
        <f t="shared" si="6"/>
        <v>-8.8959777510055904E-4</v>
      </c>
      <c r="D100" s="35">
        <f t="shared" si="3"/>
        <v>-1.0623096517334951E-2</v>
      </c>
      <c r="E100" s="35">
        <f>(Table143454[[#This Row],[JPN]]-B88)/B88</f>
        <v>-1.8356522648812615E-2</v>
      </c>
      <c r="F100" s="34">
        <f>VLOOKUP(Table143454[[#This Row],[Date]],'Data Core CPI'!$A:$AX,MATCH($B$2,'Data Core CPI'!$B$1:$AX$1,0),FALSE)</f>
        <v>0</v>
      </c>
      <c r="G100" s="35" t="e">
        <f t="shared" si="4"/>
        <v>#DIV/0!</v>
      </c>
      <c r="H100" s="35" t="e">
        <f t="shared" si="5"/>
        <v>#DIV/0!</v>
      </c>
      <c r="I100" s="35" t="e">
        <f>(Table143454[[#This Row],[Core CPI]]-F88)/F88</f>
        <v>#DIV/0!</v>
      </c>
    </row>
    <row r="101" spans="1:9" x14ac:dyDescent="0.35">
      <c r="A101" s="33">
        <f>IF(Data!A128="",#N/A,Data!A128)</f>
        <v>21732</v>
      </c>
      <c r="B101" s="34">
        <f>VLOOKUP(A101,Data!A:AX,MATCH($B$2,Data!$B$1:$AX$1,0),FALSE)</f>
        <v>3.7400419999999999</v>
      </c>
      <c r="C101" s="35">
        <f t="shared" si="6"/>
        <v>-3.5620923042820607E-3</v>
      </c>
      <c r="D101" s="35">
        <f t="shared" si="3"/>
        <v>-4.1917530780148371E-2</v>
      </c>
      <c r="E101" s="35">
        <f>(Table143454[[#This Row],[JPN]]-B89)/B89</f>
        <v>-2.0140343670125335E-2</v>
      </c>
      <c r="F101" s="34">
        <f>VLOOKUP(Table143454[[#This Row],[Date]],'Data Core CPI'!$A:$AX,MATCH($B$2,'Data Core CPI'!$B$1:$AX$1,0),FALSE)</f>
        <v>0</v>
      </c>
      <c r="G101" s="35" t="e">
        <f t="shared" si="4"/>
        <v>#DIV/0!</v>
      </c>
      <c r="H101" s="35" t="e">
        <f t="shared" si="5"/>
        <v>#DIV/0!</v>
      </c>
      <c r="I101" s="35" t="e">
        <f>(Table143454[[#This Row],[Core CPI]]-F89)/F89</f>
        <v>#DIV/0!</v>
      </c>
    </row>
    <row r="102" spans="1:9" x14ac:dyDescent="0.35">
      <c r="A102" s="33">
        <f>IF(Data!A129="",#N/A,Data!A129)</f>
        <v>21763</v>
      </c>
      <c r="B102" s="34">
        <f>VLOOKUP(A102,Data!A:AX,MATCH($B$2,Data!$B$1:$AX$1,0),FALSE)</f>
        <v>3.7500689999999999</v>
      </c>
      <c r="C102" s="35">
        <f t="shared" si="6"/>
        <v>2.6809859354519627E-3</v>
      </c>
      <c r="D102" s="35">
        <f t="shared" si="3"/>
        <v>3.2650483575717093E-2</v>
      </c>
      <c r="E102" s="35">
        <f>(Table143454[[#This Row],[JPN]]-B90)/B90</f>
        <v>-1.6652100274467018E-2</v>
      </c>
      <c r="F102" s="34">
        <f>VLOOKUP(Table143454[[#This Row],[Date]],'Data Core CPI'!$A:$AX,MATCH($B$2,'Data Core CPI'!$B$1:$AX$1,0),FALSE)</f>
        <v>0</v>
      </c>
      <c r="G102" s="35" t="e">
        <f t="shared" si="4"/>
        <v>#DIV/0!</v>
      </c>
      <c r="H102" s="35" t="e">
        <f t="shared" si="5"/>
        <v>#DIV/0!</v>
      </c>
      <c r="I102" s="35" t="e">
        <f>(Table143454[[#This Row],[Core CPI]]-F90)/F90</f>
        <v>#DIV/0!</v>
      </c>
    </row>
    <row r="103" spans="1:9" x14ac:dyDescent="0.35">
      <c r="A103" s="33">
        <f>IF(Data!A130="",#N/A,Data!A130)</f>
        <v>21794</v>
      </c>
      <c r="B103" s="34">
        <f>VLOOKUP(A103,Data!A:AX,MATCH($B$2,Data!$B$1:$AX$1,0),FALSE)</f>
        <v>3.763439</v>
      </c>
      <c r="C103" s="35">
        <f t="shared" si="6"/>
        <v>3.5652677324071735E-3</v>
      </c>
      <c r="D103" s="35">
        <f t="shared" si="3"/>
        <v>4.3632198160967528E-2</v>
      </c>
      <c r="E103" s="35">
        <f>(Table143454[[#This Row],[JPN]]-B91)/B91</f>
        <v>-1.0544633875862129E-2</v>
      </c>
      <c r="F103" s="34">
        <f>VLOOKUP(Table143454[[#This Row],[Date]],'Data Core CPI'!$A:$AX,MATCH($B$2,'Data Core CPI'!$B$1:$AX$1,0),FALSE)</f>
        <v>0</v>
      </c>
      <c r="G103" s="35" t="e">
        <f t="shared" si="4"/>
        <v>#DIV/0!</v>
      </c>
      <c r="H103" s="35" t="e">
        <f t="shared" si="5"/>
        <v>#DIV/0!</v>
      </c>
      <c r="I103" s="35" t="e">
        <f>(Table143454[[#This Row],[Core CPI]]-F91)/F91</f>
        <v>#DIV/0!</v>
      </c>
    </row>
    <row r="104" spans="1:9" x14ac:dyDescent="0.35">
      <c r="A104" s="33">
        <f>IF(Data!A131="",#N/A,Data!A131)</f>
        <v>21824</v>
      </c>
      <c r="B104" s="34">
        <f>VLOOKUP(A104,Data!A:AX,MATCH($B$2,Data!$B$1:$AX$1,0),FALSE)</f>
        <v>3.8035459999999999</v>
      </c>
      <c r="C104" s="35">
        <f t="shared" si="6"/>
        <v>1.0657008124749678E-2</v>
      </c>
      <c r="D104" s="35">
        <f t="shared" si="3"/>
        <v>0.13565260666422163</v>
      </c>
      <c r="E104" s="35">
        <f>(Table143454[[#This Row],[JPN]]-B92)/B92</f>
        <v>6.1891723873391197E-3</v>
      </c>
      <c r="F104" s="34">
        <f>VLOOKUP(Table143454[[#This Row],[Date]],'Data Core CPI'!$A:$AX,MATCH($B$2,'Data Core CPI'!$B$1:$AX$1,0),FALSE)</f>
        <v>0</v>
      </c>
      <c r="G104" s="35" t="e">
        <f t="shared" si="4"/>
        <v>#DIV/0!</v>
      </c>
      <c r="H104" s="35" t="e">
        <f t="shared" si="5"/>
        <v>#DIV/0!</v>
      </c>
      <c r="I104" s="35" t="e">
        <f>(Table143454[[#This Row],[Core CPI]]-F92)/F92</f>
        <v>#DIV/0!</v>
      </c>
    </row>
    <row r="105" spans="1:9" x14ac:dyDescent="0.35">
      <c r="A105" s="33">
        <f>IF(Data!A132="",#N/A,Data!A132)</f>
        <v>21855</v>
      </c>
      <c r="B105" s="34">
        <f>VLOOKUP(A105,Data!A:AX,MATCH($B$2,Data!$B$1:$AX$1,0),FALSE)</f>
        <v>3.8202579999999999</v>
      </c>
      <c r="C105" s="35">
        <f t="shared" si="6"/>
        <v>4.393794632692849E-3</v>
      </c>
      <c r="D105" s="35">
        <f t="shared" si="3"/>
        <v>5.4018541148451504E-2</v>
      </c>
      <c r="E105" s="35">
        <f>(Table143454[[#This Row],[JPN]]-B93)/B93</f>
        <v>1.1504423841508488E-2</v>
      </c>
      <c r="F105" s="34">
        <f>VLOOKUP(Table143454[[#This Row],[Date]],'Data Core CPI'!$A:$AX,MATCH($B$2,'Data Core CPI'!$B$1:$AX$1,0),FALSE)</f>
        <v>0</v>
      </c>
      <c r="G105" s="35" t="e">
        <f t="shared" si="4"/>
        <v>#DIV/0!</v>
      </c>
      <c r="H105" s="35" t="e">
        <f t="shared" si="5"/>
        <v>#DIV/0!</v>
      </c>
      <c r="I105" s="35" t="e">
        <f>(Table143454[[#This Row],[Core CPI]]-F93)/F93</f>
        <v>#DIV/0!</v>
      </c>
    </row>
    <row r="106" spans="1:9" x14ac:dyDescent="0.35">
      <c r="A106" s="33">
        <f>IF(Data!A133="",#N/A,Data!A133)</f>
        <v>21885</v>
      </c>
      <c r="B106" s="34">
        <f>VLOOKUP(A106,Data!A:AX,MATCH($B$2,Data!$B$1:$AX$1,0),FALSE)</f>
        <v>3.8336269999999999</v>
      </c>
      <c r="C106" s="35">
        <f t="shared" si="6"/>
        <v>3.4995018661043709E-3</v>
      </c>
      <c r="D106" s="35">
        <f t="shared" si="3"/>
        <v>4.2811795400967689E-2</v>
      </c>
      <c r="E106" s="35">
        <f>(Table143454[[#This Row],[JPN]]-B94)/B94</f>
        <v>1.774618699627081E-2</v>
      </c>
      <c r="F106" s="34">
        <f>VLOOKUP(Table143454[[#This Row],[Date]],'Data Core CPI'!$A:$AX,MATCH($B$2,'Data Core CPI'!$B$1:$AX$1,0),FALSE)</f>
        <v>0</v>
      </c>
      <c r="G106" s="35" t="e">
        <f t="shared" si="4"/>
        <v>#DIV/0!</v>
      </c>
      <c r="H106" s="35" t="e">
        <f t="shared" si="5"/>
        <v>#DIV/0!</v>
      </c>
      <c r="I106" s="35" t="e">
        <f>(Table143454[[#This Row],[Core CPI]]-F94)/F94</f>
        <v>#DIV/0!</v>
      </c>
    </row>
    <row r="107" spans="1:9" x14ac:dyDescent="0.35">
      <c r="A107" s="33">
        <f>IF(Data!A134="",#N/A,Data!A134)</f>
        <v>21916</v>
      </c>
      <c r="B107" s="34">
        <f>VLOOKUP(A107,Data!A:AX,MATCH($B$2,Data!$B$1:$AX$1,0),FALSE)</f>
        <v>3.8536809999999999</v>
      </c>
      <c r="C107" s="35">
        <f t="shared" si="6"/>
        <v>5.2310775148443067E-3</v>
      </c>
      <c r="D107" s="35">
        <f t="shared" si="3"/>
        <v>6.4610831007201108E-2</v>
      </c>
      <c r="E107" s="35">
        <f>(Table143454[[#This Row],[JPN]]-B95)/B95</f>
        <v>2.488899219594394E-2</v>
      </c>
      <c r="F107" s="34">
        <f>VLOOKUP(Table143454[[#This Row],[Date]],'Data Core CPI'!$A:$AX,MATCH($B$2,'Data Core CPI'!$B$1:$AX$1,0),FALSE)</f>
        <v>3.6834289999999998</v>
      </c>
      <c r="G107" s="35" t="e">
        <f t="shared" si="4"/>
        <v>#DIV/0!</v>
      </c>
      <c r="H107" s="35" t="e">
        <f t="shared" si="5"/>
        <v>#DIV/0!</v>
      </c>
      <c r="I107" s="35" t="e">
        <f>(Table143454[[#This Row],[Core CPI]]-F95)/F95</f>
        <v>#DIV/0!</v>
      </c>
    </row>
    <row r="108" spans="1:9" x14ac:dyDescent="0.35">
      <c r="A108" s="33">
        <f>IF(Data!A135="",#N/A,Data!A135)</f>
        <v>21947</v>
      </c>
      <c r="B108" s="34">
        <f>VLOOKUP(A108,Data!A:AX,MATCH($B$2,Data!$B$1:$AX$1,0),FALSE)</f>
        <v>3.8469959999999999</v>
      </c>
      <c r="C108" s="35">
        <f t="shared" si="6"/>
        <v>-1.7347050780799345E-3</v>
      </c>
      <c r="D108" s="35">
        <f t="shared" si="3"/>
        <v>-2.0618997571328013E-2</v>
      </c>
      <c r="E108" s="35">
        <f>(Table143454[[#This Row],[JPN]]-B96)/B96</f>
        <v>2.4021269425679705E-2</v>
      </c>
      <c r="F108" s="34">
        <f>VLOOKUP(Table143454[[#This Row],[Date]],'Data Core CPI'!$A:$AX,MATCH($B$2,'Data Core CPI'!$B$1:$AX$1,0),FALSE)</f>
        <v>3.681524</v>
      </c>
      <c r="G108" s="35">
        <f t="shared" si="4"/>
        <v>-5.1718113746723748E-4</v>
      </c>
      <c r="H108" s="35">
        <f t="shared" si="5"/>
        <v>-6.1885506099278453E-3</v>
      </c>
      <c r="I108" s="35" t="e">
        <f>(Table143454[[#This Row],[Core CPI]]-F96)/F96</f>
        <v>#DIV/0!</v>
      </c>
    </row>
    <row r="109" spans="1:9" x14ac:dyDescent="0.35">
      <c r="A109" s="33">
        <f>IF(Data!A136="",#N/A,Data!A136)</f>
        <v>21976</v>
      </c>
      <c r="B109" s="34">
        <f>VLOOKUP(A109,Data!A:AX,MATCH($B$2,Data!$B$1:$AX$1,0),FALSE)</f>
        <v>3.8403119999999999</v>
      </c>
      <c r="C109" s="35">
        <f t="shared" si="6"/>
        <v>-1.7374595658534719E-3</v>
      </c>
      <c r="D109" s="35">
        <f t="shared" si="3"/>
        <v>-2.0651425649163335E-2</v>
      </c>
      <c r="E109" s="35">
        <f>(Table143454[[#This Row],[JPN]]-B97)/B97</f>
        <v>2.4977800624384972E-2</v>
      </c>
      <c r="F109" s="34">
        <f>VLOOKUP(Table143454[[#This Row],[Date]],'Data Core CPI'!$A:$AX,MATCH($B$2,'Data Core CPI'!$B$1:$AX$1,0),FALSE)</f>
        <v>3.6773549999999999</v>
      </c>
      <c r="G109" s="35">
        <f t="shared" si="4"/>
        <v>-1.1324114687287778E-3</v>
      </c>
      <c r="H109" s="35">
        <f t="shared" si="5"/>
        <v>-1.3504620807699985E-2</v>
      </c>
      <c r="I109" s="35" t="e">
        <f>(Table143454[[#This Row],[Core CPI]]-F97)/F97</f>
        <v>#DIV/0!</v>
      </c>
    </row>
    <row r="110" spans="1:9" x14ac:dyDescent="0.35">
      <c r="A110" s="33">
        <f>IF(Data!A137="",#N/A,Data!A137)</f>
        <v>22007</v>
      </c>
      <c r="B110" s="34">
        <f>VLOOKUP(A110,Data!A:AX,MATCH($B$2,Data!$B$1:$AX$1,0),FALSE)</f>
        <v>3.8369689999999999</v>
      </c>
      <c r="C110" s="35">
        <f t="shared" si="6"/>
        <v>-8.7050218836393078E-4</v>
      </c>
      <c r="D110" s="35">
        <f t="shared" si="3"/>
        <v>-1.039615801024163E-2</v>
      </c>
      <c r="E110" s="35">
        <f>(Table143454[[#This Row],[JPN]]-B98)/B98</f>
        <v>2.5916019124918914E-2</v>
      </c>
      <c r="F110" s="34">
        <f>VLOOKUP(Table143454[[#This Row],[Date]],'Data Core CPI'!$A:$AX,MATCH($B$2,'Data Core CPI'!$B$1:$AX$1,0),FALSE)</f>
        <v>3.6759360000000001</v>
      </c>
      <c r="G110" s="35">
        <f t="shared" si="4"/>
        <v>-3.8587517386812209E-4</v>
      </c>
      <c r="H110" s="35">
        <f t="shared" si="5"/>
        <v>-4.6206873390312042E-3</v>
      </c>
      <c r="I110" s="35" t="e">
        <f>(Table143454[[#This Row],[Core CPI]]-F98)/F98</f>
        <v>#DIV/0!</v>
      </c>
    </row>
    <row r="111" spans="1:9" x14ac:dyDescent="0.35">
      <c r="A111" s="33">
        <f>IF(Data!A138="",#N/A,Data!A138)</f>
        <v>22037</v>
      </c>
      <c r="B111" s="34">
        <f>VLOOKUP(A111,Data!A:AX,MATCH($B$2,Data!$B$1:$AX$1,0),FALSE)</f>
        <v>3.8436539999999999</v>
      </c>
      <c r="C111" s="35">
        <f t="shared" si="6"/>
        <v>1.742260622903169E-3</v>
      </c>
      <c r="D111" s="35">
        <f t="shared" si="3"/>
        <v>2.1108636694072924E-2</v>
      </c>
      <c r="E111" s="35">
        <f>(Table143454[[#This Row],[JPN]]-B99)/B99</f>
        <v>2.3131671650579191E-2</v>
      </c>
      <c r="F111" s="34">
        <f>VLOOKUP(Table143454[[#This Row],[Date]],'Data Core CPI'!$A:$AX,MATCH($B$2,'Data Core CPI'!$B$1:$AX$1,0),FALSE)</f>
        <v>3.679967</v>
      </c>
      <c r="G111" s="35">
        <f t="shared" si="4"/>
        <v>1.0965914531699816E-3</v>
      </c>
      <c r="H111" s="35">
        <f t="shared" si="5"/>
        <v>1.3238754107246509E-2</v>
      </c>
      <c r="I111" s="35" t="e">
        <f>(Table143454[[#This Row],[Core CPI]]-F99)/F99</f>
        <v>#DIV/0!</v>
      </c>
    </row>
    <row r="112" spans="1:9" x14ac:dyDescent="0.35">
      <c r="A112" s="33">
        <f>IF(Data!A139="",#N/A,Data!A139)</f>
        <v>22068</v>
      </c>
      <c r="B112" s="34">
        <f>VLOOKUP(A112,Data!A:AX,MATCH($B$2,Data!$B$1:$AX$1,0),FALSE)</f>
        <v>3.8436539999999999</v>
      </c>
      <c r="C112" s="35">
        <f t="shared" si="6"/>
        <v>0</v>
      </c>
      <c r="D112" s="35">
        <f t="shared" si="3"/>
        <v>0</v>
      </c>
      <c r="E112" s="35">
        <f>(Table143454[[#This Row],[JPN]]-B100)/B100</f>
        <v>2.404265772049536E-2</v>
      </c>
      <c r="F112" s="34">
        <f>VLOOKUP(Table143454[[#This Row],[Date]],'Data Core CPI'!$A:$AX,MATCH($B$2,'Data Core CPI'!$B$1:$AX$1,0),FALSE)</f>
        <v>3.6754359999999999</v>
      </c>
      <c r="G112" s="35">
        <f t="shared" si="4"/>
        <v>-1.2312610411995273E-3</v>
      </c>
      <c r="H112" s="35">
        <f t="shared" si="5"/>
        <v>-1.4675485762584928E-2</v>
      </c>
      <c r="I112" s="35" t="e">
        <f>(Table143454[[#This Row],[Core CPI]]-F100)/F100</f>
        <v>#DIV/0!</v>
      </c>
    </row>
    <row r="113" spans="1:9" x14ac:dyDescent="0.35">
      <c r="A113" s="33">
        <f>IF(Data!A140="",#N/A,Data!A140)</f>
        <v>22098</v>
      </c>
      <c r="B113" s="34">
        <f>VLOOKUP(A113,Data!A:AX,MATCH($B$2,Data!$B$1:$AX$1,0),FALSE)</f>
        <v>3.860366</v>
      </c>
      <c r="C113" s="35">
        <f t="shared" si="6"/>
        <v>4.3479459909763207E-3</v>
      </c>
      <c r="D113" s="35">
        <f t="shared" si="3"/>
        <v>5.344131909320704E-2</v>
      </c>
      <c r="E113" s="35">
        <f>(Table143454[[#This Row],[JPN]]-B101)/B101</f>
        <v>3.2171831225424767E-2</v>
      </c>
      <c r="F113" s="34">
        <f>VLOOKUP(Table143454[[#This Row],[Date]],'Data Core CPI'!$A:$AX,MATCH($B$2,'Data Core CPI'!$B$1:$AX$1,0),FALSE)</f>
        <v>3.6921119999999998</v>
      </c>
      <c r="G113" s="35">
        <f t="shared" si="4"/>
        <v>4.537148789966583E-3</v>
      </c>
      <c r="H113" s="35">
        <f t="shared" si="5"/>
        <v>5.5825202344483182E-2</v>
      </c>
      <c r="I113" s="35" t="e">
        <f>(Table143454[[#This Row],[Core CPI]]-F101)/F101</f>
        <v>#DIV/0!</v>
      </c>
    </row>
    <row r="114" spans="1:9" x14ac:dyDescent="0.35">
      <c r="A114" s="33">
        <f>IF(Data!A141="",#N/A,Data!A141)</f>
        <v>22129</v>
      </c>
      <c r="B114" s="34">
        <f>VLOOKUP(A114,Data!A:AX,MATCH($B$2,Data!$B$1:$AX$1,0),FALSE)</f>
        <v>3.8670499999999999</v>
      </c>
      <c r="C114" s="35">
        <f t="shared" si="6"/>
        <v>1.7314420446143952E-3</v>
      </c>
      <c r="D114" s="35">
        <f t="shared" si="3"/>
        <v>2.0976311787623381E-2</v>
      </c>
      <c r="E114" s="35">
        <f>(Table143454[[#This Row],[JPN]]-B102)/B102</f>
        <v>3.1194359357121164E-2</v>
      </c>
      <c r="F114" s="34">
        <f>VLOOKUP(Table143454[[#This Row],[Date]],'Data Core CPI'!$A:$AX,MATCH($B$2,'Data Core CPI'!$B$1:$AX$1,0),FALSE)</f>
        <v>3.706</v>
      </c>
      <c r="G114" s="35">
        <f t="shared" si="4"/>
        <v>3.7615326945661387E-3</v>
      </c>
      <c r="H114" s="35">
        <f t="shared" si="5"/>
        <v>4.6084043423612941E-2</v>
      </c>
      <c r="I114" s="35" t="e">
        <f>(Table143454[[#This Row],[Core CPI]]-F102)/F102</f>
        <v>#DIV/0!</v>
      </c>
    </row>
    <row r="115" spans="1:9" x14ac:dyDescent="0.35">
      <c r="A115" s="33">
        <f>IF(Data!A142="",#N/A,Data!A142)</f>
        <v>22160</v>
      </c>
      <c r="B115" s="34">
        <f>VLOOKUP(A115,Data!A:AX,MATCH($B$2,Data!$B$1:$AX$1,0),FALSE)</f>
        <v>3.8637079999999999</v>
      </c>
      <c r="C115" s="35">
        <f t="shared" si="6"/>
        <v>-8.6422466738211856E-4</v>
      </c>
      <c r="D115" s="35">
        <f t="shared" si="3"/>
        <v>-1.0321543375319875E-2</v>
      </c>
      <c r="E115" s="35">
        <f>(Table143454[[#This Row],[JPN]]-B103)/B103</f>
        <v>2.6642918883499889E-2</v>
      </c>
      <c r="F115" s="34">
        <f>VLOOKUP(Table143454[[#This Row],[Date]],'Data Core CPI'!$A:$AX,MATCH($B$2,'Data Core CPI'!$B$1:$AX$1,0),FALSE)</f>
        <v>3.707106</v>
      </c>
      <c r="G115" s="35">
        <f t="shared" si="4"/>
        <v>2.9843497031833977E-4</v>
      </c>
      <c r="H115" s="35">
        <f t="shared" si="5"/>
        <v>3.5871036817494151E-3</v>
      </c>
      <c r="I115" s="35" t="e">
        <f>(Table143454[[#This Row],[Core CPI]]-F103)/F103</f>
        <v>#DIV/0!</v>
      </c>
    </row>
    <row r="116" spans="1:9" x14ac:dyDescent="0.35">
      <c r="A116" s="33">
        <f>IF(Data!A143="",#N/A,Data!A143)</f>
        <v>22190</v>
      </c>
      <c r="B116" s="34">
        <f>VLOOKUP(A116,Data!A:AX,MATCH($B$2,Data!$B$1:$AX$1,0),FALSE)</f>
        <v>3.8637079999999999</v>
      </c>
      <c r="C116" s="35">
        <f t="shared" si="6"/>
        <v>0</v>
      </c>
      <c r="D116" s="35">
        <f t="shared" si="3"/>
        <v>0</v>
      </c>
      <c r="E116" s="35">
        <f>(Table143454[[#This Row],[JPN]]-B104)/B104</f>
        <v>1.5817345182626962E-2</v>
      </c>
      <c r="F116" s="34">
        <f>VLOOKUP(Table143454[[#This Row],[Date]],'Data Core CPI'!$A:$AX,MATCH($B$2,'Data Core CPI'!$B$1:$AX$1,0),FALSE)</f>
        <v>3.708437</v>
      </c>
      <c r="G116" s="35">
        <f t="shared" si="4"/>
        <v>3.5904017851118297E-4</v>
      </c>
      <c r="H116" s="35">
        <f t="shared" si="5"/>
        <v>4.3170003828894021E-3</v>
      </c>
      <c r="I116" s="35" t="e">
        <f>(Table143454[[#This Row],[Core CPI]]-F104)/F104</f>
        <v>#DIV/0!</v>
      </c>
    </row>
    <row r="117" spans="1:9" x14ac:dyDescent="0.35">
      <c r="A117" s="33">
        <f>IF(Data!A144="",#N/A,Data!A144)</f>
        <v>22221</v>
      </c>
      <c r="B117" s="34">
        <f>VLOOKUP(A117,Data!A:AX,MATCH($B$2,Data!$B$1:$AX$1,0),FALSE)</f>
        <v>3.8804189999999998</v>
      </c>
      <c r="C117" s="35">
        <f t="shared" si="6"/>
        <v>4.325119807190303E-3</v>
      </c>
      <c r="D117" s="35">
        <f t="shared" si="3"/>
        <v>5.3154051641169264E-2</v>
      </c>
      <c r="E117" s="35">
        <f>(Table143454[[#This Row],[JPN]]-B105)/B105</f>
        <v>1.57478892786822E-2</v>
      </c>
      <c r="F117" s="34">
        <f>VLOOKUP(Table143454[[#This Row],[Date]],'Data Core CPI'!$A:$AX,MATCH($B$2,'Data Core CPI'!$B$1:$AX$1,0),FALSE)</f>
        <v>3.7207210000000002</v>
      </c>
      <c r="G117" s="35">
        <f t="shared" si="4"/>
        <v>3.3124467262084512E-3</v>
      </c>
      <c r="H117" s="35">
        <f t="shared" si="5"/>
        <v>4.0481588581493533E-2</v>
      </c>
      <c r="I117" s="35" t="e">
        <f>(Table143454[[#This Row],[Core CPI]]-F105)/F105</f>
        <v>#DIV/0!</v>
      </c>
    </row>
    <row r="118" spans="1:9" x14ac:dyDescent="0.35">
      <c r="A118" s="33">
        <f>IF(Data!A145="",#N/A,Data!A145)</f>
        <v>22251</v>
      </c>
      <c r="B118" s="34">
        <f>VLOOKUP(A118,Data!A:AX,MATCH($B$2,Data!$B$1:$AX$1,0),FALSE)</f>
        <v>3.8871039999999999</v>
      </c>
      <c r="C118" s="35">
        <f t="shared" si="6"/>
        <v>1.7227521048628347E-3</v>
      </c>
      <c r="D118" s="35">
        <f t="shared" si="3"/>
        <v>2.0870034209041322E-2</v>
      </c>
      <c r="E118" s="35">
        <f>(Table143454[[#This Row],[JPN]]-B106)/B106</f>
        <v>1.394945308972417E-2</v>
      </c>
      <c r="F118" s="34">
        <f>VLOOKUP(Table143454[[#This Row],[Date]],'Data Core CPI'!$A:$AX,MATCH($B$2,'Data Core CPI'!$B$1:$AX$1,0),FALSE)</f>
        <v>3.7287469999999998</v>
      </c>
      <c r="G118" s="35">
        <f t="shared" si="4"/>
        <v>2.1571087969238789E-3</v>
      </c>
      <c r="H118" s="35">
        <f t="shared" si="5"/>
        <v>2.6194630331705104E-2</v>
      </c>
      <c r="I118" s="35" t="e">
        <f>(Table143454[[#This Row],[Core CPI]]-F106)/F106</f>
        <v>#DIV/0!</v>
      </c>
    </row>
    <row r="119" spans="1:9" x14ac:dyDescent="0.35">
      <c r="A119" s="33">
        <f>IF(Data!A146="",#N/A,Data!A146)</f>
        <v>22282</v>
      </c>
      <c r="B119" s="34">
        <f>VLOOKUP(A119,Data!A:AX,MATCH($B$2,Data!$B$1:$AX$1,0),FALSE)</f>
        <v>3.903816</v>
      </c>
      <c r="C119" s="35">
        <f t="shared" si="6"/>
        <v>4.2993447049526345E-3</v>
      </c>
      <c r="D119" s="35">
        <f t="shared" si="3"/>
        <v>5.2829758383486469E-2</v>
      </c>
      <c r="E119" s="35">
        <f>(Table143454[[#This Row],[JPN]]-B107)/B107</f>
        <v>1.3009639355203516E-2</v>
      </c>
      <c r="F119" s="34">
        <f>VLOOKUP(Table143454[[#This Row],[Date]],'Data Core CPI'!$A:$AX,MATCH($B$2,'Data Core CPI'!$B$1:$AX$1,0),FALSE)</f>
        <v>3.752478</v>
      </c>
      <c r="G119" s="35">
        <f t="shared" si="4"/>
        <v>6.3643363306762346E-3</v>
      </c>
      <c r="H119" s="35">
        <f t="shared" si="5"/>
        <v>7.9102884617388236E-2</v>
      </c>
      <c r="I119" s="35">
        <f>(Table143454[[#This Row],[Core CPI]]-F107)/F107</f>
        <v>1.8745847958519125E-2</v>
      </c>
    </row>
    <row r="120" spans="1:9" x14ac:dyDescent="0.35">
      <c r="A120" s="33">
        <f>IF(Data!A147="",#N/A,Data!A147)</f>
        <v>22313</v>
      </c>
      <c r="B120" s="34">
        <f>VLOOKUP(A120,Data!A:AX,MATCH($B$2,Data!$B$1:$AX$1,0),FALSE)</f>
        <v>3.903816</v>
      </c>
      <c r="C120" s="35">
        <f t="shared" si="6"/>
        <v>0</v>
      </c>
      <c r="D120" s="35">
        <f t="shared" si="3"/>
        <v>0</v>
      </c>
      <c r="E120" s="35">
        <f>(Table143454[[#This Row],[JPN]]-B108)/B108</f>
        <v>1.4769965968251616E-2</v>
      </c>
      <c r="F120" s="34">
        <f>VLOOKUP(Table143454[[#This Row],[Date]],'Data Core CPI'!$A:$AX,MATCH($B$2,'Data Core CPI'!$B$1:$AX$1,0),FALSE)</f>
        <v>3.7543449999999998</v>
      </c>
      <c r="G120" s="35">
        <f t="shared" si="4"/>
        <v>4.9753789362649847E-4</v>
      </c>
      <c r="H120" s="35">
        <f t="shared" si="5"/>
        <v>5.9868197506933729E-3</v>
      </c>
      <c r="I120" s="35">
        <f>(Table143454[[#This Row],[Core CPI]]-F108)/F108</f>
        <v>1.9780123666177322E-2</v>
      </c>
    </row>
    <row r="121" spans="1:9" x14ac:dyDescent="0.35">
      <c r="A121" s="33">
        <f>IF(Data!A148="",#N/A,Data!A148)</f>
        <v>22341</v>
      </c>
      <c r="B121" s="34">
        <f>VLOOKUP(A121,Data!A:AX,MATCH($B$2,Data!$B$1:$AX$1,0),FALSE)</f>
        <v>3.9071579999999999</v>
      </c>
      <c r="C121" s="35">
        <f t="shared" si="6"/>
        <v>8.5608543025594841E-4</v>
      </c>
      <c r="D121" s="35">
        <f t="shared" si="3"/>
        <v>1.032153368888844E-2</v>
      </c>
      <c r="E121" s="35">
        <f>(Table143454[[#This Row],[JPN]]-B109)/B109</f>
        <v>1.7406398230143789E-2</v>
      </c>
      <c r="F121" s="34">
        <f>VLOOKUP(Table143454[[#This Row],[Date]],'Data Core CPI'!$A:$AX,MATCH($B$2,'Data Core CPI'!$B$1:$AX$1,0),FALSE)</f>
        <v>3.7570960000000002</v>
      </c>
      <c r="G121" s="35">
        <f t="shared" si="4"/>
        <v>7.3275098585789955E-4</v>
      </c>
      <c r="H121" s="35">
        <f t="shared" si="5"/>
        <v>8.8285355125954368E-3</v>
      </c>
      <c r="I121" s="35">
        <f>(Table143454[[#This Row],[Core CPI]]-F109)/F109</f>
        <v>2.1684335616224237E-2</v>
      </c>
    </row>
    <row r="122" spans="1:9" x14ac:dyDescent="0.35">
      <c r="A122" s="33">
        <f>IF(Data!A149="",#N/A,Data!A149)</f>
        <v>22372</v>
      </c>
      <c r="B122" s="34">
        <f>VLOOKUP(A122,Data!A:AX,MATCH($B$2,Data!$B$1:$AX$1,0),FALSE)</f>
        <v>3.913843</v>
      </c>
      <c r="C122" s="35">
        <f t="shared" si="6"/>
        <v>1.7109622902375943E-3</v>
      </c>
      <c r="D122" s="35">
        <f t="shared" si="3"/>
        <v>2.0725861510314525E-2</v>
      </c>
      <c r="E122" s="35">
        <f>(Table143454[[#This Row],[JPN]]-B110)/B110</f>
        <v>2.0035084985049426E-2</v>
      </c>
      <c r="F122" s="34">
        <f>VLOOKUP(Table143454[[#This Row],[Date]],'Data Core CPI'!$A:$AX,MATCH($B$2,'Data Core CPI'!$B$1:$AX$1,0),FALSE)</f>
        <v>3.7641879999999999</v>
      </c>
      <c r="G122" s="35">
        <f t="shared" si="4"/>
        <v>1.8876281042592424E-3</v>
      </c>
      <c r="H122" s="35">
        <f t="shared" si="5"/>
        <v>2.2888190479642745E-2</v>
      </c>
      <c r="I122" s="35">
        <f>(Table143454[[#This Row],[Core CPI]]-F110)/F110</f>
        <v>2.4008034960347452E-2</v>
      </c>
    </row>
    <row r="123" spans="1:9" x14ac:dyDescent="0.35">
      <c r="A123" s="33">
        <f>IF(Data!A150="",#N/A,Data!A150)</f>
        <v>22402</v>
      </c>
      <c r="B123" s="34">
        <f>VLOOKUP(A123,Data!A:AX,MATCH($B$2,Data!$B$1:$AX$1,0),FALSE)</f>
        <v>3.92387</v>
      </c>
      <c r="C123" s="35">
        <f t="shared" si="6"/>
        <v>2.5619320958965019E-3</v>
      </c>
      <c r="D123" s="35">
        <f t="shared" ref="D123:D186" si="7">((1+C123)^12)-1</f>
        <v>3.1180096653866229E-2</v>
      </c>
      <c r="E123" s="35">
        <f>(Table143454[[#This Row],[JPN]]-B111)/B111</f>
        <v>2.086972448612702E-2</v>
      </c>
      <c r="F123" s="34">
        <f>VLOOKUP(Table143454[[#This Row],[Date]],'Data Core CPI'!$A:$AX,MATCH($B$2,'Data Core CPI'!$B$1:$AX$1,0),FALSE)</f>
        <v>3.7753619999999999</v>
      </c>
      <c r="G123" s="35">
        <f t="shared" si="4"/>
        <v>2.9685021045706694E-3</v>
      </c>
      <c r="H123" s="35">
        <f t="shared" si="5"/>
        <v>3.620941104867903E-2</v>
      </c>
      <c r="I123" s="35">
        <f>(Table143454[[#This Row],[Core CPI]]-F111)/F111</f>
        <v>2.592278680759906E-2</v>
      </c>
    </row>
    <row r="124" spans="1:9" x14ac:dyDescent="0.35">
      <c r="A124" s="33">
        <f>IF(Data!A151="",#N/A,Data!A151)</f>
        <v>22433</v>
      </c>
      <c r="B124" s="34">
        <f>VLOOKUP(A124,Data!A:AX,MATCH($B$2,Data!$B$1:$AX$1,0),FALSE)</f>
        <v>3.92387</v>
      </c>
      <c r="C124" s="35">
        <f t="shared" si="6"/>
        <v>0</v>
      </c>
      <c r="D124" s="35">
        <f t="shared" si="7"/>
        <v>0</v>
      </c>
      <c r="E124" s="35">
        <f>(Table143454[[#This Row],[JPN]]-B112)/B112</f>
        <v>2.086972448612702E-2</v>
      </c>
      <c r="F124" s="34">
        <f>VLOOKUP(Table143454[[#This Row],[Date]],'Data Core CPI'!$A:$AX,MATCH($B$2,'Data Core CPI'!$B$1:$AX$1,0),FALSE)</f>
        <v>3.7723019999999998</v>
      </c>
      <c r="G124" s="35">
        <f t="shared" si="4"/>
        <v>-8.105183026158036E-4</v>
      </c>
      <c r="H124" s="35">
        <f t="shared" si="5"/>
        <v>-9.6829785249953337E-3</v>
      </c>
      <c r="I124" s="35">
        <f>(Table143454[[#This Row],[Core CPI]]-F112)/F112</f>
        <v>2.6354968498975333E-2</v>
      </c>
    </row>
    <row r="125" spans="1:9" x14ac:dyDescent="0.35">
      <c r="A125" s="33">
        <f>IF(Data!A152="",#N/A,Data!A152)</f>
        <v>22463</v>
      </c>
      <c r="B125" s="34">
        <f>VLOOKUP(A125,Data!A:AX,MATCH($B$2,Data!$B$1:$AX$1,0),FALSE)</f>
        <v>3.9338959999999998</v>
      </c>
      <c r="C125" s="35">
        <f t="shared" si="6"/>
        <v>2.5551305216533482E-3</v>
      </c>
      <c r="D125" s="35">
        <f t="shared" si="7"/>
        <v>3.1096151081234202E-2</v>
      </c>
      <c r="E125" s="35">
        <f>(Table143454[[#This Row],[JPN]]-B113)/B113</f>
        <v>1.904741674753116E-2</v>
      </c>
      <c r="F125" s="34">
        <f>VLOOKUP(Table143454[[#This Row],[Date]],'Data Core CPI'!$A:$AX,MATCH($B$2,'Data Core CPI'!$B$1:$AX$1,0),FALSE)</f>
        <v>3.7927970000000002</v>
      </c>
      <c r="G125" s="35">
        <f t="shared" si="4"/>
        <v>5.4330220645113503E-3</v>
      </c>
      <c r="H125" s="35">
        <f t="shared" si="5"/>
        <v>6.7180151440316083E-2</v>
      </c>
      <c r="I125" s="35">
        <f>(Table143454[[#This Row],[Core CPI]]-F113)/F113</f>
        <v>2.7270299492539868E-2</v>
      </c>
    </row>
    <row r="126" spans="1:9" x14ac:dyDescent="0.35">
      <c r="A126" s="33">
        <f>IF(Data!A153="",#N/A,Data!A153)</f>
        <v>22494</v>
      </c>
      <c r="B126" s="34">
        <f>VLOOKUP(A126,Data!A:AX,MATCH($B$2,Data!$B$1:$AX$1,0),FALSE)</f>
        <v>3.9405809999999999</v>
      </c>
      <c r="C126" s="35">
        <f t="shared" si="6"/>
        <v>1.6993331801349321E-3</v>
      </c>
      <c r="D126" s="35">
        <f t="shared" si="7"/>
        <v>2.0583672284247623E-2</v>
      </c>
      <c r="E126" s="35">
        <f>(Table143454[[#This Row],[JPN]]-B114)/B114</f>
        <v>1.9014752847778028E-2</v>
      </c>
      <c r="F126" s="34">
        <f>VLOOKUP(Table143454[[#This Row],[Date]],'Data Core CPI'!$A:$AX,MATCH($B$2,'Data Core CPI'!$B$1:$AX$1,0),FALSE)</f>
        <v>3.7977620000000001</v>
      </c>
      <c r="G126" s="35">
        <f t="shared" si="4"/>
        <v>1.3090603056267192E-3</v>
      </c>
      <c r="H126" s="35">
        <f t="shared" si="5"/>
        <v>1.5822318806955504E-2</v>
      </c>
      <c r="I126" s="35">
        <f>(Table143454[[#This Row],[Core CPI]]-F114)/F114</f>
        <v>2.4760388559093394E-2</v>
      </c>
    </row>
    <row r="127" spans="1:9" x14ac:dyDescent="0.35">
      <c r="A127" s="33">
        <f>IF(Data!A154="",#N/A,Data!A154)</f>
        <v>22525</v>
      </c>
      <c r="B127" s="34">
        <f>VLOOKUP(A127,Data!A:AX,MATCH($B$2,Data!$B$1:$AX$1,0),FALSE)</f>
        <v>3.9472659999999999</v>
      </c>
      <c r="C127" s="35">
        <f t="shared" si="6"/>
        <v>1.6964503457739255E-3</v>
      </c>
      <c r="D127" s="35">
        <f t="shared" si="7"/>
        <v>2.0548426653016927E-2</v>
      </c>
      <c r="E127" s="35">
        <f>(Table143454[[#This Row],[JPN]]-B115)/B115</f>
        <v>2.1626375492143822E-2</v>
      </c>
      <c r="F127" s="34">
        <f>VLOOKUP(Table143454[[#This Row],[Date]],'Data Core CPI'!$A:$AX,MATCH($B$2,'Data Core CPI'!$B$1:$AX$1,0),FALSE)</f>
        <v>3.8044560000000001</v>
      </c>
      <c r="G127" s="35">
        <f t="shared" si="4"/>
        <v>1.7626170360334203E-3</v>
      </c>
      <c r="H127" s="35">
        <f t="shared" si="5"/>
        <v>2.1357664014630684E-2</v>
      </c>
      <c r="I127" s="35">
        <f>(Table143454[[#This Row],[Core CPI]]-F115)/F115</f>
        <v>2.6260376692762506E-2</v>
      </c>
    </row>
    <row r="128" spans="1:9" x14ac:dyDescent="0.35">
      <c r="A128" s="33">
        <f>IF(Data!A155="",#N/A,Data!A155)</f>
        <v>22555</v>
      </c>
      <c r="B128" s="34">
        <f>VLOOKUP(A128,Data!A:AX,MATCH($B$2,Data!$B$1:$AX$1,0),FALSE)</f>
        <v>3.9572929999999999</v>
      </c>
      <c r="C128" s="35">
        <f t="shared" si="6"/>
        <v>2.540239244074316E-3</v>
      </c>
      <c r="D128" s="35">
        <f t="shared" si="7"/>
        <v>3.0912383614553063E-2</v>
      </c>
      <c r="E128" s="35">
        <f>(Table143454[[#This Row],[JPN]]-B116)/B116</f>
        <v>2.4221550903950305E-2</v>
      </c>
      <c r="F128" s="34">
        <f>VLOOKUP(Table143454[[#This Row],[Date]],'Data Core CPI'!$A:$AX,MATCH($B$2,'Data Core CPI'!$B$1:$AX$1,0),FALSE)</f>
        <v>3.815769</v>
      </c>
      <c r="G128" s="35">
        <f t="shared" si="4"/>
        <v>2.9736183044304365E-3</v>
      </c>
      <c r="H128" s="35">
        <f t="shared" si="5"/>
        <v>3.6272841991982441E-2</v>
      </c>
      <c r="I128" s="35">
        <f>(Table143454[[#This Row],[Core CPI]]-F116)/F116</f>
        <v>2.8942651580706368E-2</v>
      </c>
    </row>
    <row r="129" spans="1:9" x14ac:dyDescent="0.35">
      <c r="A129" s="33">
        <f>IF(Data!A156="",#N/A,Data!A156)</f>
        <v>22586</v>
      </c>
      <c r="B129" s="34">
        <f>VLOOKUP(A129,Data!A:AX,MATCH($B$2,Data!$B$1:$AX$1,0),FALSE)</f>
        <v>3.9840309999999999</v>
      </c>
      <c r="C129" s="35">
        <f t="shared" si="6"/>
        <v>6.756638944854565E-3</v>
      </c>
      <c r="D129" s="35">
        <f t="shared" si="7"/>
        <v>8.4161613578195071E-2</v>
      </c>
      <c r="E129" s="35">
        <f>(Table143454[[#This Row],[JPN]]-B117)/B117</f>
        <v>2.6701240252663447E-2</v>
      </c>
      <c r="F129" s="34">
        <f>VLOOKUP(Table143454[[#This Row],[Date]],'Data Core CPI'!$A:$AX,MATCH($B$2,'Data Core CPI'!$B$1:$AX$1,0),FALSE)</f>
        <v>3.836166</v>
      </c>
      <c r="G129" s="35">
        <f t="shared" si="4"/>
        <v>5.3454493707558726E-3</v>
      </c>
      <c r="H129" s="35">
        <f t="shared" si="5"/>
        <v>6.6065275579552996E-2</v>
      </c>
      <c r="I129" s="35">
        <f>(Table143454[[#This Row],[Core CPI]]-F117)/F117</f>
        <v>3.1027588470084102E-2</v>
      </c>
    </row>
    <row r="130" spans="1:9" x14ac:dyDescent="0.35">
      <c r="A130" s="33">
        <f>IF(Data!A157="",#N/A,Data!A157)</f>
        <v>22616</v>
      </c>
      <c r="B130" s="34">
        <f>VLOOKUP(A130,Data!A:AX,MATCH($B$2,Data!$B$1:$AX$1,0),FALSE)</f>
        <v>3.9973999999999998</v>
      </c>
      <c r="C130" s="35">
        <f t="shared" si="6"/>
        <v>3.3556465800592683E-3</v>
      </c>
      <c r="D130" s="35">
        <f t="shared" si="7"/>
        <v>4.1019318961379669E-2</v>
      </c>
      <c r="E130" s="35">
        <f>(Table143454[[#This Row],[JPN]]-B118)/B118</f>
        <v>2.8374851817702832E-2</v>
      </c>
      <c r="F130" s="34">
        <f>VLOOKUP(Table143454[[#This Row],[Date]],'Data Core CPI'!$A:$AX,MATCH($B$2,'Data Core CPI'!$B$1:$AX$1,0),FALSE)</f>
        <v>3.8443670000000001</v>
      </c>
      <c r="G130" s="35">
        <f t="shared" si="4"/>
        <v>2.1378115545573895E-3</v>
      </c>
      <c r="H130" s="35">
        <f t="shared" si="5"/>
        <v>2.5957534221056511E-2</v>
      </c>
      <c r="I130" s="35">
        <f>(Table143454[[#This Row],[Core CPI]]-F118)/F118</f>
        <v>3.1007735306257111E-2</v>
      </c>
    </row>
    <row r="131" spans="1:9" x14ac:dyDescent="0.35">
      <c r="A131" s="33">
        <f>IF(Data!A158="",#N/A,Data!A158)</f>
        <v>22647</v>
      </c>
      <c r="B131" s="34">
        <f>VLOOKUP(A131,Data!A:AX,MATCH($B$2,Data!$B$1:$AX$1,0),FALSE)</f>
        <v>4.0141119999999999</v>
      </c>
      <c r="C131" s="35">
        <f t="shared" si="6"/>
        <v>4.1807174663530677E-3</v>
      </c>
      <c r="D131" s="35">
        <f t="shared" si="7"/>
        <v>5.1338412029790836E-2</v>
      </c>
      <c r="E131" s="35">
        <f>(Table143454[[#This Row],[JPN]]-B119)/B119</f>
        <v>2.8253380794586617E-2</v>
      </c>
      <c r="F131" s="34">
        <f>VLOOKUP(Table143454[[#This Row],[Date]],'Data Core CPI'!$A:$AX,MATCH($B$2,'Data Core CPI'!$B$1:$AX$1,0),FALSE)</f>
        <v>3.8680979999999998</v>
      </c>
      <c r="G131" s="35">
        <f t="shared" ref="G131:G194" si="8">(F131/F130)-1</f>
        <v>6.1729278188060732E-3</v>
      </c>
      <c r="H131" s="35">
        <f t="shared" ref="H131:H194" si="9">((1+G131)^12)-1</f>
        <v>7.6642540533908399E-2</v>
      </c>
      <c r="I131" s="35">
        <f>(Table143454[[#This Row],[Core CPI]]-F119)/F119</f>
        <v>3.0811639668507005E-2</v>
      </c>
    </row>
    <row r="132" spans="1:9" x14ac:dyDescent="0.35">
      <c r="A132" s="33">
        <f>IF(Data!A159="",#N/A,Data!A159)</f>
        <v>22678</v>
      </c>
      <c r="B132" s="34">
        <f>VLOOKUP(A132,Data!A:AX,MATCH($B$2,Data!$B$1:$AX$1,0),FALSE)</f>
        <v>4.0375079999999999</v>
      </c>
      <c r="C132" s="35">
        <f t="shared" ref="C132:C195" si="10">(B132/B131)-1</f>
        <v>5.8284372732997358E-3</v>
      </c>
      <c r="D132" s="35">
        <f t="shared" si="7"/>
        <v>7.2227447942206924E-2</v>
      </c>
      <c r="E132" s="35">
        <f>(Table143454[[#This Row],[JPN]]-B120)/B120</f>
        <v>3.4246491125606307E-2</v>
      </c>
      <c r="F132" s="34">
        <f>VLOOKUP(Table143454[[#This Row],[Date]],'Data Core CPI'!$A:$AX,MATCH($B$2,'Data Core CPI'!$B$1:$AX$1,0),FALSE)</f>
        <v>3.8974690000000001</v>
      </c>
      <c r="G132" s="35">
        <f t="shared" si="8"/>
        <v>7.5931375058233552E-3</v>
      </c>
      <c r="H132" s="35">
        <f t="shared" si="9"/>
        <v>9.5020907711014457E-2</v>
      </c>
      <c r="I132" s="35">
        <f>(Table143454[[#This Row],[Core CPI]]-F120)/F120</f>
        <v>3.8122229043947811E-2</v>
      </c>
    </row>
    <row r="133" spans="1:9" x14ac:dyDescent="0.35">
      <c r="A133" s="33">
        <f>IF(Data!A160="",#N/A,Data!A160)</f>
        <v>22706</v>
      </c>
      <c r="B133" s="34">
        <f>VLOOKUP(A133,Data!A:AX,MATCH($B$2,Data!$B$1:$AX$1,0),FALSE)</f>
        <v>4.0609039999999998</v>
      </c>
      <c r="C133" s="35">
        <f t="shared" si="10"/>
        <v>5.7946634409145048E-3</v>
      </c>
      <c r="D133" s="35">
        <f t="shared" si="7"/>
        <v>7.1795487082904286E-2</v>
      </c>
      <c r="E133" s="35">
        <f>(Table143454[[#This Row],[JPN]]-B121)/B121</f>
        <v>3.9349829210899571E-2</v>
      </c>
      <c r="F133" s="34">
        <f>VLOOKUP(Table143454[[#This Row],[Date]],'Data Core CPI'!$A:$AX,MATCH($B$2,'Data Core CPI'!$B$1:$AX$1,0),FALSE)</f>
        <v>3.9204409999999998</v>
      </c>
      <c r="G133" s="35">
        <f t="shared" si="8"/>
        <v>5.89408151803128E-3</v>
      </c>
      <c r="H133" s="35">
        <f t="shared" si="9"/>
        <v>7.3067481835123793E-2</v>
      </c>
      <c r="I133" s="35">
        <f>(Table143454[[#This Row],[Core CPI]]-F121)/F121</f>
        <v>4.3476397728458259E-2</v>
      </c>
    </row>
    <row r="134" spans="1:9" x14ac:dyDescent="0.35">
      <c r="A134" s="33">
        <f>IF(Data!A161="",#N/A,Data!A161)</f>
        <v>22737</v>
      </c>
      <c r="B134" s="34">
        <f>VLOOKUP(A134,Data!A:AX,MATCH($B$2,Data!$B$1:$AX$1,0),FALSE)</f>
        <v>4.0943269999999998</v>
      </c>
      <c r="C134" s="35">
        <f t="shared" si="10"/>
        <v>8.2304334207359275E-3</v>
      </c>
      <c r="D134" s="35">
        <f t="shared" si="7"/>
        <v>0.10336100149080774</v>
      </c>
      <c r="E134" s="35">
        <f>(Table143454[[#This Row],[JPN]]-B122)/B122</f>
        <v>4.6114266719436595E-2</v>
      </c>
      <c r="F134" s="34">
        <f>VLOOKUP(Table143454[[#This Row],[Date]],'Data Core CPI'!$A:$AX,MATCH($B$2,'Data Core CPI'!$B$1:$AX$1,0),FALSE)</f>
        <v>3.9488639999999999</v>
      </c>
      <c r="G134" s="35">
        <f t="shared" si="8"/>
        <v>7.2499496867826085E-3</v>
      </c>
      <c r="H134" s="35">
        <f t="shared" si="9"/>
        <v>9.0553692088609417E-2</v>
      </c>
      <c r="I134" s="35">
        <f>(Table143454[[#This Row],[Core CPI]]-F122)/F122</f>
        <v>4.9061311496662777E-2</v>
      </c>
    </row>
    <row r="135" spans="1:9" x14ac:dyDescent="0.35">
      <c r="A135" s="33">
        <f>IF(Data!A162="",#N/A,Data!A162)</f>
        <v>22767</v>
      </c>
      <c r="B135" s="34">
        <f>VLOOKUP(A135,Data!A:AX,MATCH($B$2,Data!$B$1:$AX$1,0),FALSE)</f>
        <v>4.0943269999999998</v>
      </c>
      <c r="C135" s="35">
        <f t="shared" si="10"/>
        <v>0</v>
      </c>
      <c r="D135" s="35">
        <f t="shared" si="7"/>
        <v>0</v>
      </c>
      <c r="E135" s="35">
        <f>(Table143454[[#This Row],[JPN]]-B123)/B123</f>
        <v>4.3441041624722496E-2</v>
      </c>
      <c r="F135" s="34">
        <f>VLOOKUP(Table143454[[#This Row],[Date]],'Data Core CPI'!$A:$AX,MATCH($B$2,'Data Core CPI'!$B$1:$AX$1,0),FALSE)</f>
        <v>3.952461</v>
      </c>
      <c r="G135" s="35">
        <f t="shared" si="8"/>
        <v>9.108948801477279E-4</v>
      </c>
      <c r="H135" s="35">
        <f t="shared" si="9"/>
        <v>1.098566732410422E-2</v>
      </c>
      <c r="I135" s="35">
        <f>(Table143454[[#This Row],[Core CPI]]-F123)/F123</f>
        <v>4.6909144076779957E-2</v>
      </c>
    </row>
    <row r="136" spans="1:9" x14ac:dyDescent="0.35">
      <c r="A136" s="33">
        <f>IF(Data!A163="",#N/A,Data!A163)</f>
        <v>22798</v>
      </c>
      <c r="B136" s="34">
        <f>VLOOKUP(A136,Data!A:AX,MATCH($B$2,Data!$B$1:$AX$1,0),FALSE)</f>
        <v>4.1076969999999999</v>
      </c>
      <c r="C136" s="35">
        <f t="shared" si="10"/>
        <v>3.2654939383200965E-3</v>
      </c>
      <c r="D136" s="35">
        <f t="shared" si="7"/>
        <v>3.9897432300099345E-2</v>
      </c>
      <c r="E136" s="35">
        <f>(Table143454[[#This Row],[JPN]]-B124)/B124</f>
        <v>4.6848392021142382E-2</v>
      </c>
      <c r="F136" s="34">
        <f>VLOOKUP(Table143454[[#This Row],[Date]],'Data Core CPI'!$A:$AX,MATCH($B$2,'Data Core CPI'!$B$1:$AX$1,0),FALSE)</f>
        <v>3.9623919999999999</v>
      </c>
      <c r="G136" s="35">
        <f t="shared" si="8"/>
        <v>2.5126117626461664E-3</v>
      </c>
      <c r="H136" s="35">
        <f t="shared" si="9"/>
        <v>3.0571523126189604E-2</v>
      </c>
      <c r="I136" s="35">
        <f>(Table143454[[#This Row],[Core CPI]]-F124)/F124</f>
        <v>5.0390981421954049E-2</v>
      </c>
    </row>
    <row r="137" spans="1:9" x14ac:dyDescent="0.35">
      <c r="A137" s="33">
        <f>IF(Data!A164="",#N/A,Data!A164)</f>
        <v>22828</v>
      </c>
      <c r="B137" s="34">
        <f>VLOOKUP(A137,Data!A:AX,MATCH($B$2,Data!$B$1:$AX$1,0),FALSE)</f>
        <v>4.1344349999999999</v>
      </c>
      <c r="C137" s="35">
        <f t="shared" si="10"/>
        <v>6.5092435006768312E-3</v>
      </c>
      <c r="D137" s="35">
        <f t="shared" si="7"/>
        <v>8.0968932161230356E-2</v>
      </c>
      <c r="E137" s="35">
        <f>(Table143454[[#This Row],[JPN]]-B125)/B125</f>
        <v>5.0977199193878039E-2</v>
      </c>
      <c r="F137" s="34">
        <f>VLOOKUP(Table143454[[#This Row],[Date]],'Data Core CPI'!$A:$AX,MATCH($B$2,'Data Core CPI'!$B$1:$AX$1,0),FALSE)</f>
        <v>3.986783</v>
      </c>
      <c r="G137" s="35">
        <f t="shared" si="8"/>
        <v>6.1556251880177104E-3</v>
      </c>
      <c r="H137" s="35">
        <f t="shared" si="9"/>
        <v>7.642038802667539E-2</v>
      </c>
      <c r="I137" s="35">
        <f>(Table143454[[#This Row],[Core CPI]]-F125)/F125</f>
        <v>5.1145895759778272E-2</v>
      </c>
    </row>
    <row r="138" spans="1:9" x14ac:dyDescent="0.35">
      <c r="A138" s="33">
        <f>IF(Data!A165="",#N/A,Data!A165)</f>
        <v>22859</v>
      </c>
      <c r="B138" s="34">
        <f>VLOOKUP(A138,Data!A:AX,MATCH($B$2,Data!$B$1:$AX$1,0),FALSE)</f>
        <v>4.1377769999999998</v>
      </c>
      <c r="C138" s="35">
        <f t="shared" si="10"/>
        <v>8.0833294029281078E-4</v>
      </c>
      <c r="D138" s="35">
        <f t="shared" si="7"/>
        <v>9.7432362331406619E-3</v>
      </c>
      <c r="E138" s="35">
        <f>(Table143454[[#This Row],[JPN]]-B126)/B126</f>
        <v>5.0042366848949416E-2</v>
      </c>
      <c r="F138" s="34">
        <f>VLOOKUP(Table143454[[#This Row],[Date]],'Data Core CPI'!$A:$AX,MATCH($B$2,'Data Core CPI'!$B$1:$AX$1,0),FALSE)</f>
        <v>3.992197</v>
      </c>
      <c r="G138" s="35">
        <f t="shared" si="8"/>
        <v>1.357987128970839E-3</v>
      </c>
      <c r="H138" s="35">
        <f t="shared" si="9"/>
        <v>1.6418110698287691E-2</v>
      </c>
      <c r="I138" s="35">
        <f>(Table143454[[#This Row],[Core CPI]]-F126)/F126</f>
        <v>5.1197257753382103E-2</v>
      </c>
    </row>
    <row r="139" spans="1:9" x14ac:dyDescent="0.35">
      <c r="A139" s="33">
        <f>IF(Data!A166="",#N/A,Data!A166)</f>
        <v>22890</v>
      </c>
      <c r="B139" s="34">
        <f>VLOOKUP(A139,Data!A:AX,MATCH($B$2,Data!$B$1:$AX$1,0),FALSE)</f>
        <v>4.1511459999999998</v>
      </c>
      <c r="C139" s="35">
        <f t="shared" si="10"/>
        <v>3.2309619392247857E-3</v>
      </c>
      <c r="D139" s="35">
        <f t="shared" si="7"/>
        <v>3.9467999331127324E-2</v>
      </c>
      <c r="E139" s="35">
        <f>(Table143454[[#This Row],[JPN]]-B127)/B127</f>
        <v>5.1650940169727565E-2</v>
      </c>
      <c r="F139" s="34">
        <f>VLOOKUP(Table143454[[#This Row],[Date]],'Data Core CPI'!$A:$AX,MATCH($B$2,'Data Core CPI'!$B$1:$AX$1,0),FALSE)</f>
        <v>4.0035970000000001</v>
      </c>
      <c r="G139" s="35">
        <f t="shared" si="8"/>
        <v>2.8555705041610757E-3</v>
      </c>
      <c r="H139" s="35">
        <f t="shared" si="9"/>
        <v>3.4810184514741271E-2</v>
      </c>
      <c r="I139" s="35">
        <f>(Table143454[[#This Row],[Core CPI]]-F127)/F127</f>
        <v>5.2344145917313803E-2</v>
      </c>
    </row>
    <row r="140" spans="1:9" x14ac:dyDescent="0.35">
      <c r="A140" s="33">
        <f>IF(Data!A167="",#N/A,Data!A167)</f>
        <v>22920</v>
      </c>
      <c r="B140" s="34">
        <f>VLOOKUP(A140,Data!A:AX,MATCH($B$2,Data!$B$1:$AX$1,0),FALSE)</f>
        <v>4.1678579999999998</v>
      </c>
      <c r="C140" s="35">
        <f t="shared" si="10"/>
        <v>4.0258762279139493E-3</v>
      </c>
      <c r="D140" s="35">
        <f t="shared" si="7"/>
        <v>4.9394707472520283E-2</v>
      </c>
      <c r="E140" s="35">
        <f>(Table143454[[#This Row],[JPN]]-B128)/B128</f>
        <v>5.3209352959207187E-2</v>
      </c>
      <c r="F140" s="34">
        <f>VLOOKUP(Table143454[[#This Row],[Date]],'Data Core CPI'!$A:$AX,MATCH($B$2,'Data Core CPI'!$B$1:$AX$1,0),FALSE)</f>
        <v>4.0213450000000002</v>
      </c>
      <c r="G140" s="35">
        <f t="shared" si="8"/>
        <v>4.4330136125090291E-3</v>
      </c>
      <c r="H140" s="35">
        <f t="shared" si="9"/>
        <v>5.4512527602147864E-2</v>
      </c>
      <c r="I140" s="35">
        <f>(Table143454[[#This Row],[Core CPI]]-F128)/F128</f>
        <v>5.3875378724445901E-2</v>
      </c>
    </row>
    <row r="141" spans="1:9" x14ac:dyDescent="0.35">
      <c r="A141" s="33">
        <f>IF(Data!A168="",#N/A,Data!A168)</f>
        <v>22951</v>
      </c>
      <c r="B141" s="34">
        <f>VLOOKUP(A141,Data!A:AX,MATCH($B$2,Data!$B$1:$AX$1,0),FALSE)</f>
        <v>4.1945959999999998</v>
      </c>
      <c r="C141" s="35">
        <f t="shared" si="10"/>
        <v>6.4152857415007425E-3</v>
      </c>
      <c r="D141" s="35">
        <f t="shared" si="7"/>
        <v>7.9758650715442192E-2</v>
      </c>
      <c r="E141" s="35">
        <f>(Table143454[[#This Row],[JPN]]-B129)/B129</f>
        <v>5.2852249392637732E-2</v>
      </c>
      <c r="F141" s="34">
        <f>VLOOKUP(Table143454[[#This Row],[Date]],'Data Core CPI'!$A:$AX,MATCH($B$2,'Data Core CPI'!$B$1:$AX$1,0),FALSE)</f>
        <v>4.043609</v>
      </c>
      <c r="G141" s="35">
        <f t="shared" si="8"/>
        <v>5.5364560862098955E-3</v>
      </c>
      <c r="H141" s="35">
        <f t="shared" si="9"/>
        <v>6.8498332282959318E-2</v>
      </c>
      <c r="I141" s="35">
        <f>(Table143454[[#This Row],[Core CPI]]-F129)/F129</f>
        <v>5.407560569589534E-2</v>
      </c>
    </row>
    <row r="142" spans="1:9" x14ac:dyDescent="0.35">
      <c r="A142" s="33">
        <f>IF(Data!A169="",#N/A,Data!A169)</f>
        <v>22981</v>
      </c>
      <c r="B142" s="34">
        <f>VLOOKUP(A142,Data!A:AX,MATCH($B$2,Data!$B$1:$AX$1,0),FALSE)</f>
        <v>4.2581009999999999</v>
      </c>
      <c r="C142" s="35">
        <f t="shared" si="10"/>
        <v>1.5139717865558566E-2</v>
      </c>
      <c r="D142" s="35">
        <f t="shared" si="7"/>
        <v>0.19759463351390072</v>
      </c>
      <c r="E142" s="35">
        <f>(Table143454[[#This Row],[JPN]]-B130)/B130</f>
        <v>6.5217641466953538E-2</v>
      </c>
      <c r="F142" s="34">
        <f>VLOOKUP(Table143454[[#This Row],[Date]],'Data Core CPI'!$A:$AX,MATCH($B$2,'Data Core CPI'!$B$1:$AX$1,0),FALSE)</f>
        <v>4.103307</v>
      </c>
      <c r="G142" s="35">
        <f t="shared" si="8"/>
        <v>1.4763544150782071E-2</v>
      </c>
      <c r="H142" s="35">
        <f t="shared" si="9"/>
        <v>0.19228005571186535</v>
      </c>
      <c r="I142" s="35">
        <f>(Table143454[[#This Row],[Core CPI]]-F130)/F130</f>
        <v>6.7355692107439261E-2</v>
      </c>
    </row>
    <row r="143" spans="1:9" x14ac:dyDescent="0.35">
      <c r="A143" s="33">
        <f>IF(Data!A170="",#N/A,Data!A170)</f>
        <v>23012</v>
      </c>
      <c r="B143" s="34">
        <f>VLOOKUP(A143,Data!A:AX,MATCH($B$2,Data!$B$1:$AX$1,0),FALSE)</f>
        <v>4.3048929999999999</v>
      </c>
      <c r="C143" s="35">
        <f t="shared" si="10"/>
        <v>1.0988936147827477E-2</v>
      </c>
      <c r="D143" s="35">
        <f t="shared" si="7"/>
        <v>0.14013646120493672</v>
      </c>
      <c r="E143" s="35">
        <f>(Table143454[[#This Row],[JPN]]-B131)/B131</f>
        <v>7.2439682799084817E-2</v>
      </c>
      <c r="F143" s="34">
        <f>VLOOKUP(Table143454[[#This Row],[Date]],'Data Core CPI'!$A:$AX,MATCH($B$2,'Data Core CPI'!$B$1:$AX$1,0),FALSE)</f>
        <v>4.1481969999999997</v>
      </c>
      <c r="G143" s="35">
        <f t="shared" si="8"/>
        <v>1.0939956479005808E-2</v>
      </c>
      <c r="H143" s="35">
        <f t="shared" si="9"/>
        <v>0.13947379960748196</v>
      </c>
      <c r="I143" s="35">
        <f>(Table143454[[#This Row],[Core CPI]]-F131)/F131</f>
        <v>7.2412591407973612E-2</v>
      </c>
    </row>
    <row r="144" spans="1:9" x14ac:dyDescent="0.35">
      <c r="A144" s="33">
        <f>IF(Data!A171="",#N/A,Data!A171)</f>
        <v>23043</v>
      </c>
      <c r="B144" s="34">
        <f>VLOOKUP(A144,Data!A:AX,MATCH($B$2,Data!$B$1:$AX$1,0),FALSE)</f>
        <v>4.3650539999999998</v>
      </c>
      <c r="C144" s="35">
        <f t="shared" si="10"/>
        <v>1.3975027950752672E-2</v>
      </c>
      <c r="D144" s="35">
        <f t="shared" si="7"/>
        <v>0.18120999333819809</v>
      </c>
      <c r="E144" s="35">
        <f>(Table143454[[#This Row],[JPN]]-B132)/B132</f>
        <v>8.1125783527859235E-2</v>
      </c>
      <c r="F144" s="34">
        <f>VLOOKUP(Table143454[[#This Row],[Date]],'Data Core CPI'!$A:$AX,MATCH($B$2,'Data Core CPI'!$B$1:$AX$1,0),FALSE)</f>
        <v>4.1966200000000002</v>
      </c>
      <c r="G144" s="35">
        <f t="shared" si="8"/>
        <v>1.1673264312181963E-2</v>
      </c>
      <c r="H144" s="35">
        <f t="shared" si="9"/>
        <v>0.14943197847835532</v>
      </c>
      <c r="I144" s="35">
        <f>(Table143454[[#This Row],[Core CPI]]-F132)/F132</f>
        <v>7.6755196770006417E-2</v>
      </c>
    </row>
    <row r="145" spans="1:9" x14ac:dyDescent="0.35">
      <c r="A145" s="33">
        <f>IF(Data!A172="",#N/A,Data!A172)</f>
        <v>23071</v>
      </c>
      <c r="B145" s="34">
        <f>VLOOKUP(A145,Data!A:AX,MATCH($B$2,Data!$B$1:$AX$1,0),FALSE)</f>
        <v>4.3784229999999997</v>
      </c>
      <c r="C145" s="35">
        <f t="shared" si="10"/>
        <v>3.0627341609061887E-3</v>
      </c>
      <c r="D145" s="35">
        <f t="shared" si="7"/>
        <v>3.7378276663853294E-2</v>
      </c>
      <c r="E145" s="35">
        <f>(Table143454[[#This Row],[JPN]]-B133)/B133</f>
        <v>7.8189240622285064E-2</v>
      </c>
      <c r="F145" s="34">
        <f>VLOOKUP(Table143454[[#This Row],[Date]],'Data Core CPI'!$A:$AX,MATCH($B$2,'Data Core CPI'!$B$1:$AX$1,0),FALSE)</f>
        <v>4.209352</v>
      </c>
      <c r="G145" s="35">
        <f t="shared" si="8"/>
        <v>3.0338701145207203E-3</v>
      </c>
      <c r="H145" s="35">
        <f t="shared" si="9"/>
        <v>3.7020115263123543E-2</v>
      </c>
      <c r="I145" s="35">
        <f>(Table143454[[#This Row],[Core CPI]]-F133)/F133</f>
        <v>7.3693495196076195E-2</v>
      </c>
    </row>
    <row r="146" spans="1:9" x14ac:dyDescent="0.35">
      <c r="A146" s="33">
        <f>IF(Data!A173="",#N/A,Data!A173)</f>
        <v>23102</v>
      </c>
      <c r="B146" s="34">
        <f>VLOOKUP(A146,Data!A:AX,MATCH($B$2,Data!$B$1:$AX$1,0),FALSE)</f>
        <v>4.4051619999999998</v>
      </c>
      <c r="C146" s="35">
        <f t="shared" si="10"/>
        <v>6.1069933170001534E-3</v>
      </c>
      <c r="D146" s="35">
        <f t="shared" si="7"/>
        <v>7.5796217107037656E-2</v>
      </c>
      <c r="E146" s="35">
        <f>(Table143454[[#This Row],[JPN]]-B134)/B134</f>
        <v>7.5918459859214957E-2</v>
      </c>
      <c r="F146" s="34">
        <f>VLOOKUP(Table143454[[#This Row],[Date]],'Data Core CPI'!$A:$AX,MATCH($B$2,'Data Core CPI'!$B$1:$AX$1,0),FALSE)</f>
        <v>4.2352129999999999</v>
      </c>
      <c r="G146" s="35">
        <f t="shared" si="8"/>
        <v>6.1437009782028262E-3</v>
      </c>
      <c r="H146" s="35">
        <f t="shared" si="9"/>
        <v>7.6267314776840456E-2</v>
      </c>
      <c r="I146" s="35">
        <f>(Table143454[[#This Row],[Core CPI]]-F134)/F134</f>
        <v>7.2514272459117346E-2</v>
      </c>
    </row>
    <row r="147" spans="1:9" x14ac:dyDescent="0.35">
      <c r="A147" s="33">
        <f>IF(Data!A174="",#N/A,Data!A174)</f>
        <v>23132</v>
      </c>
      <c r="B147" s="34">
        <f>VLOOKUP(A147,Data!A:AX,MATCH($B$2,Data!$B$1:$AX$1,0),FALSE)</f>
        <v>4.4051619999999998</v>
      </c>
      <c r="C147" s="35">
        <f t="shared" si="10"/>
        <v>0</v>
      </c>
      <c r="D147" s="35">
        <f t="shared" si="7"/>
        <v>0</v>
      </c>
      <c r="E147" s="35">
        <f>(Table143454[[#This Row],[JPN]]-B135)/B135</f>
        <v>7.5918459859214957E-2</v>
      </c>
      <c r="F147" s="34">
        <f>VLOOKUP(Table143454[[#This Row],[Date]],'Data Core CPI'!$A:$AX,MATCH($B$2,'Data Core CPI'!$B$1:$AX$1,0),FALSE)</f>
        <v>4.2380139999999997</v>
      </c>
      <c r="G147" s="35">
        <f t="shared" si="8"/>
        <v>6.6135988910120957E-4</v>
      </c>
      <c r="H147" s="35">
        <f t="shared" si="9"/>
        <v>7.9652506004970203E-3</v>
      </c>
      <c r="I147" s="35">
        <f>(Table143454[[#This Row],[Core CPI]]-F135)/F135</f>
        <v>7.2246886180534028E-2</v>
      </c>
    </row>
    <row r="148" spans="1:9" x14ac:dyDescent="0.35">
      <c r="A148" s="33">
        <f>IF(Data!A175="",#N/A,Data!A175)</f>
        <v>23163</v>
      </c>
      <c r="B148" s="34">
        <f>VLOOKUP(A148,Data!A:AX,MATCH($B$2,Data!$B$1:$AX$1,0),FALSE)</f>
        <v>4.4118469999999999</v>
      </c>
      <c r="C148" s="35">
        <f t="shared" si="10"/>
        <v>1.517537834022864E-3</v>
      </c>
      <c r="D148" s="35">
        <f t="shared" si="7"/>
        <v>1.8363218280362581E-2</v>
      </c>
      <c r="E148" s="35">
        <f>(Table143454[[#This Row],[JPN]]-B136)/B136</f>
        <v>7.4043922908627366E-2</v>
      </c>
      <c r="F148" s="34">
        <f>VLOOKUP(Table143454[[#This Row],[Date]],'Data Core CPI'!$A:$AX,MATCH($B$2,'Data Core CPI'!$B$1:$AX$1,0),FALSE)</f>
        <v>4.2480460000000004</v>
      </c>
      <c r="G148" s="35">
        <f t="shared" si="8"/>
        <v>2.3671464983363588E-3</v>
      </c>
      <c r="H148" s="35">
        <f t="shared" si="9"/>
        <v>2.8778514914986397E-2</v>
      </c>
      <c r="I148" s="35">
        <f>(Table143454[[#This Row],[Core CPI]]-F136)/F136</f>
        <v>7.2091302425403778E-2</v>
      </c>
    </row>
    <row r="149" spans="1:9" x14ac:dyDescent="0.35">
      <c r="A149" s="33">
        <f>IF(Data!A176="",#N/A,Data!A176)</f>
        <v>23193</v>
      </c>
      <c r="B149" s="34">
        <f>VLOOKUP(A149,Data!A:AX,MATCH($B$2,Data!$B$1:$AX$1,0),FALSE)</f>
        <v>4.4085039999999998</v>
      </c>
      <c r="C149" s="35">
        <f t="shared" si="10"/>
        <v>-7.5773253242916727E-4</v>
      </c>
      <c r="D149" s="35">
        <f t="shared" si="7"/>
        <v>-9.0549914720822189E-3</v>
      </c>
      <c r="E149" s="35">
        <f>(Table143454[[#This Row],[JPN]]-B137)/B137</f>
        <v>6.6289347879456298E-2</v>
      </c>
      <c r="F149" s="34">
        <f>VLOOKUP(Table143454[[#This Row],[Date]],'Data Core CPI'!$A:$AX,MATCH($B$2,'Data Core CPI'!$B$1:$AX$1,0),FALSE)</f>
        <v>4.2511570000000001</v>
      </c>
      <c r="G149" s="35">
        <f t="shared" si="8"/>
        <v>7.3233670256867001E-4</v>
      </c>
      <c r="H149" s="35">
        <f t="shared" si="9"/>
        <v>8.8235239066263293E-3</v>
      </c>
      <c r="I149" s="35">
        <f>(Table143454[[#This Row],[Core CPI]]-F137)/F137</f>
        <v>6.6312613453002114E-2</v>
      </c>
    </row>
    <row r="150" spans="1:9" x14ac:dyDescent="0.35">
      <c r="A150" s="33">
        <f>IF(Data!A177="",#N/A,Data!A177)</f>
        <v>23224</v>
      </c>
      <c r="B150" s="34">
        <f>VLOOKUP(A150,Data!A:AX,MATCH($B$2,Data!$B$1:$AX$1,0),FALSE)</f>
        <v>4.4252159999999998</v>
      </c>
      <c r="C150" s="35">
        <f t="shared" si="10"/>
        <v>3.7908551290868342E-3</v>
      </c>
      <c r="D150" s="35">
        <f t="shared" si="7"/>
        <v>4.6450807743611211E-2</v>
      </c>
      <c r="E150" s="35">
        <f>(Table143454[[#This Row],[JPN]]-B138)/B138</f>
        <v>6.9467010909481111E-2</v>
      </c>
      <c r="F150" s="34">
        <f>VLOOKUP(Table143454[[#This Row],[Date]],'Data Core CPI'!$A:$AX,MATCH($B$2,'Data Core CPI'!$B$1:$AX$1,0),FALSE)</f>
        <v>4.2697010000000004</v>
      </c>
      <c r="G150" s="35">
        <f t="shared" si="8"/>
        <v>4.3621065982744067E-3</v>
      </c>
      <c r="H150" s="35">
        <f t="shared" si="9"/>
        <v>5.3619566391627016E-2</v>
      </c>
      <c r="I150" s="35">
        <f>(Table143454[[#This Row],[Core CPI]]-F138)/F138</f>
        <v>6.9511599753218689E-2</v>
      </c>
    </row>
    <row r="151" spans="1:9" x14ac:dyDescent="0.35">
      <c r="A151" s="33">
        <f>IF(Data!A178="",#N/A,Data!A178)</f>
        <v>23255</v>
      </c>
      <c r="B151" s="34">
        <f>VLOOKUP(A151,Data!A:AX,MATCH($B$2,Data!$B$1:$AX$1,0),FALSE)</f>
        <v>4.4552969999999998</v>
      </c>
      <c r="C151" s="35">
        <f t="shared" si="10"/>
        <v>6.7976342849704885E-3</v>
      </c>
      <c r="D151" s="35">
        <f t="shared" si="7"/>
        <v>8.4691499683366311E-2</v>
      </c>
      <c r="E151" s="35">
        <f>(Table143454[[#This Row],[JPN]]-B139)/B139</f>
        <v>7.3269164707769868E-2</v>
      </c>
      <c r="F151" s="34">
        <f>VLOOKUP(Table143454[[#This Row],[Date]],'Data Core CPI'!$A:$AX,MATCH($B$2,'Data Core CPI'!$B$1:$AX$1,0),FALSE)</f>
        <v>4.2947160000000002</v>
      </c>
      <c r="G151" s="35">
        <f t="shared" si="8"/>
        <v>5.8587240652214767E-3</v>
      </c>
      <c r="H151" s="35">
        <f t="shared" si="9"/>
        <v>7.2614945933951347E-2</v>
      </c>
      <c r="I151" s="35">
        <f>(Table143454[[#This Row],[Core CPI]]-F139)/F139</f>
        <v>7.2714361610321951E-2</v>
      </c>
    </row>
    <row r="152" spans="1:9" x14ac:dyDescent="0.35">
      <c r="A152" s="33">
        <f>IF(Data!A179="",#N/A,Data!A179)</f>
        <v>23285</v>
      </c>
      <c r="B152" s="34">
        <f>VLOOKUP(A152,Data!A:AX,MATCH($B$2,Data!$B$1:$AX$1,0),FALSE)</f>
        <v>4.5054309999999997</v>
      </c>
      <c r="C152" s="35">
        <f t="shared" si="10"/>
        <v>1.1252672941893582E-2</v>
      </c>
      <c r="D152" s="35">
        <f t="shared" si="7"/>
        <v>0.14371071687347725</v>
      </c>
      <c r="E152" s="35">
        <f>(Table143454[[#This Row],[JPN]]-B140)/B140</f>
        <v>8.0994362091990638E-2</v>
      </c>
      <c r="F152" s="34">
        <f>VLOOKUP(Table143454[[#This Row],[Date]],'Data Core CPI'!$A:$AX,MATCH($B$2,'Data Core CPI'!$B$1:$AX$1,0),FALSE)</f>
        <v>4.3331739999999996</v>
      </c>
      <c r="G152" s="35">
        <f t="shared" si="8"/>
        <v>8.9547248293018189E-3</v>
      </c>
      <c r="H152" s="35">
        <f t="shared" si="9"/>
        <v>0.11291024700110519</v>
      </c>
      <c r="I152" s="35">
        <f>(Table143454[[#This Row],[Core CPI]]-F140)/F140</f>
        <v>7.7543458718413727E-2</v>
      </c>
    </row>
    <row r="153" spans="1:9" x14ac:dyDescent="0.35">
      <c r="A153" s="33">
        <f>IF(Data!A180="",#N/A,Data!A180)</f>
        <v>23316</v>
      </c>
      <c r="B153" s="34">
        <f>VLOOKUP(A153,Data!A:AX,MATCH($B$2,Data!$B$1:$AX$1,0),FALSE)</f>
        <v>4.5221419999999997</v>
      </c>
      <c r="C153" s="35">
        <f t="shared" si="10"/>
        <v>3.709079109190716E-3</v>
      </c>
      <c r="D153" s="35">
        <f t="shared" si="7"/>
        <v>4.5428249125740949E-2</v>
      </c>
      <c r="E153" s="35">
        <f>(Table143454[[#This Row],[JPN]]-B141)/B141</f>
        <v>7.8087615589200937E-2</v>
      </c>
      <c r="F153" s="34">
        <f>VLOOKUP(Table143454[[#This Row],[Date]],'Data Core CPI'!$A:$AX,MATCH($B$2,'Data Core CPI'!$B$1:$AX$1,0),FALSE)</f>
        <v>4.3527889999999996</v>
      </c>
      <c r="G153" s="35">
        <f t="shared" si="8"/>
        <v>4.5267049049957375E-3</v>
      </c>
      <c r="H153" s="35">
        <f t="shared" si="9"/>
        <v>5.5693484530475512E-2</v>
      </c>
      <c r="I153" s="35">
        <f>(Table143454[[#This Row],[Core CPI]]-F141)/F141</f>
        <v>7.6461398715850018E-2</v>
      </c>
    </row>
    <row r="154" spans="1:9" x14ac:dyDescent="0.35">
      <c r="A154" s="33">
        <f>IF(Data!A181="",#N/A,Data!A181)</f>
        <v>23346</v>
      </c>
      <c r="B154" s="34">
        <f>VLOOKUP(A154,Data!A:AX,MATCH($B$2,Data!$B$1:$AX$1,0),FALSE)</f>
        <v>4.5522229999999997</v>
      </c>
      <c r="C154" s="35">
        <f t="shared" si="10"/>
        <v>6.6519361842241054E-3</v>
      </c>
      <c r="D154" s="35">
        <f t="shared" si="7"/>
        <v>8.2809352645611289E-2</v>
      </c>
      <c r="E154" s="35">
        <f>(Table143454[[#This Row],[JPN]]-B142)/B142</f>
        <v>6.9073514226177302E-2</v>
      </c>
      <c r="F154" s="34">
        <f>VLOOKUP(Table143454[[#This Row],[Date]],'Data Core CPI'!$A:$AX,MATCH($B$2,'Data Core CPI'!$B$1:$AX$1,0),FALSE)</f>
        <v>4.3778050000000004</v>
      </c>
      <c r="G154" s="35">
        <f t="shared" si="8"/>
        <v>5.7471198351219943E-3</v>
      </c>
      <c r="H154" s="35">
        <f t="shared" si="9"/>
        <v>7.1187683783586753E-2</v>
      </c>
      <c r="I154" s="35">
        <f>(Table143454[[#This Row],[Core CPI]]-F142)/F142</f>
        <v>6.6896773748588725E-2</v>
      </c>
    </row>
    <row r="155" spans="1:9" x14ac:dyDescent="0.35">
      <c r="A155" s="33">
        <f>IF(Data!A182="",#N/A,Data!A182)</f>
        <v>23377</v>
      </c>
      <c r="B155" s="34">
        <f>VLOOKUP(A155,Data!A:AX,MATCH($B$2,Data!$B$1:$AX$1,0),FALSE)</f>
        <v>4.5856469999999998</v>
      </c>
      <c r="C155" s="35">
        <f t="shared" si="10"/>
        <v>7.342346805066402E-3</v>
      </c>
      <c r="D155" s="35">
        <f t="shared" si="7"/>
        <v>9.1754762851618876E-2</v>
      </c>
      <c r="E155" s="35">
        <f>(Table143454[[#This Row],[JPN]]-B143)/B143</f>
        <v>6.5217416553675078E-2</v>
      </c>
      <c r="F155" s="34">
        <f>VLOOKUP(Table143454[[#This Row],[Date]],'Data Core CPI'!$A:$AX,MATCH($B$2,'Data Core CPI'!$B$1:$AX$1,0),FALSE)</f>
        <v>4.4176919999999997</v>
      </c>
      <c r="G155" s="35">
        <f t="shared" si="8"/>
        <v>9.1111869989639604E-3</v>
      </c>
      <c r="H155" s="35">
        <f t="shared" si="9"/>
        <v>0.11498300930725636</v>
      </c>
      <c r="I155" s="35">
        <f>(Table143454[[#This Row],[Core CPI]]-F143)/F143</f>
        <v>6.4966779543015926E-2</v>
      </c>
    </row>
    <row r="156" spans="1:9" x14ac:dyDescent="0.35">
      <c r="A156" s="33">
        <f>IF(Data!A183="",#N/A,Data!A183)</f>
        <v>23408</v>
      </c>
      <c r="B156" s="34">
        <f>VLOOKUP(A156,Data!A:AX,MATCH($B$2,Data!$B$1:$AX$1,0),FALSE)</f>
        <v>4.5923309999999997</v>
      </c>
      <c r="C156" s="35">
        <f t="shared" si="10"/>
        <v>1.4575914805479151E-3</v>
      </c>
      <c r="D156" s="35">
        <f t="shared" si="7"/>
        <v>1.7632003106193173E-2</v>
      </c>
      <c r="E156" s="35">
        <f>(Table143454[[#This Row],[JPN]]-B144)/B144</f>
        <v>5.2067397104365712E-2</v>
      </c>
      <c r="F156" s="34">
        <f>VLOOKUP(Table143454[[#This Row],[Date]],'Data Core CPI'!$A:$AX,MATCH($B$2,'Data Core CPI'!$B$1:$AX$1,0),FALSE)</f>
        <v>4.4281220000000001</v>
      </c>
      <c r="G156" s="35">
        <f t="shared" si="8"/>
        <v>2.3609613345612068E-3</v>
      </c>
      <c r="H156" s="35">
        <f t="shared" si="9"/>
        <v>2.870233986064985E-2</v>
      </c>
      <c r="I156" s="35">
        <f>(Table143454[[#This Row],[Core CPI]]-F144)/F144</f>
        <v>5.5163917628948976E-2</v>
      </c>
    </row>
    <row r="157" spans="1:9" x14ac:dyDescent="0.35">
      <c r="A157" s="33">
        <f>IF(Data!A184="",#N/A,Data!A184)</f>
        <v>23437</v>
      </c>
      <c r="B157" s="34">
        <f>VLOOKUP(A157,Data!A:AX,MATCH($B$2,Data!$B$1:$AX$1,0),FALSE)</f>
        <v>4.6056999999999997</v>
      </c>
      <c r="C157" s="35">
        <f t="shared" si="10"/>
        <v>2.9111577540903433E-3</v>
      </c>
      <c r="D157" s="35">
        <f t="shared" si="7"/>
        <v>3.5498695923370516E-2</v>
      </c>
      <c r="E157" s="35">
        <f>(Table143454[[#This Row],[JPN]]-B145)/B145</f>
        <v>5.1908415427198325E-2</v>
      </c>
      <c r="F157" s="34">
        <f>VLOOKUP(Table143454[[#This Row],[Date]],'Data Core CPI'!$A:$AX,MATCH($B$2,'Data Core CPI'!$B$1:$AX$1,0),FALSE)</f>
        <v>4.44618</v>
      </c>
      <c r="G157" s="35">
        <f t="shared" si="8"/>
        <v>4.0780267571669526E-3</v>
      </c>
      <c r="H157" s="35">
        <f t="shared" si="9"/>
        <v>5.0048978971334313E-2</v>
      </c>
      <c r="I157" s="35">
        <f>(Table143454[[#This Row],[Core CPI]]-F145)/F145</f>
        <v>5.6262341567063064E-2</v>
      </c>
    </row>
    <row r="158" spans="1:9" x14ac:dyDescent="0.35">
      <c r="A158" s="33">
        <f>IF(Data!A185="",#N/A,Data!A185)</f>
        <v>23468</v>
      </c>
      <c r="B158" s="34">
        <f>VLOOKUP(A158,Data!A:AX,MATCH($B$2,Data!$B$1:$AX$1,0),FALSE)</f>
        <v>4.6123849999999997</v>
      </c>
      <c r="C158" s="35">
        <f t="shared" si="10"/>
        <v>1.4514623184316289E-3</v>
      </c>
      <c r="D158" s="35">
        <f t="shared" si="7"/>
        <v>1.7557267780894614E-2</v>
      </c>
      <c r="E158" s="35">
        <f>(Table143454[[#This Row],[JPN]]-B146)/B146</f>
        <v>4.7040948777820189E-2</v>
      </c>
      <c r="F158" s="34">
        <f>VLOOKUP(Table143454[[#This Row],[Date]],'Data Core CPI'!$A:$AX,MATCH($B$2,'Data Core CPI'!$B$1:$AX$1,0),FALSE)</f>
        <v>4.4564709999999996</v>
      </c>
      <c r="G158" s="35">
        <f t="shared" si="8"/>
        <v>2.3145711599619201E-3</v>
      </c>
      <c r="H158" s="35">
        <f t="shared" si="9"/>
        <v>2.8131173932731901E-2</v>
      </c>
      <c r="I158" s="35">
        <f>(Table143454[[#This Row],[Core CPI]]-F146)/F146</f>
        <v>5.2242472810694468E-2</v>
      </c>
    </row>
    <row r="159" spans="1:9" x14ac:dyDescent="0.35">
      <c r="A159" s="33">
        <f>IF(Data!A186="",#N/A,Data!A186)</f>
        <v>23498</v>
      </c>
      <c r="B159" s="34">
        <f>VLOOKUP(A159,Data!A:AX,MATCH($B$2,Data!$B$1:$AX$1,0),FALSE)</f>
        <v>4.6524929999999998</v>
      </c>
      <c r="C159" s="35">
        <f t="shared" si="10"/>
        <v>8.6957181588267485E-3</v>
      </c>
      <c r="D159" s="35">
        <f t="shared" si="7"/>
        <v>0.10948676875858743</v>
      </c>
      <c r="E159" s="35">
        <f>(Table143454[[#This Row],[JPN]]-B147)/B147</f>
        <v>5.6145721769142648E-2</v>
      </c>
      <c r="F159" s="34">
        <f>VLOOKUP(Table143454[[#This Row],[Date]],'Data Core CPI'!$A:$AX,MATCH($B$2,'Data Core CPI'!$B$1:$AX$1,0),FALSE)</f>
        <v>4.5017050000000003</v>
      </c>
      <c r="G159" s="35">
        <f t="shared" si="8"/>
        <v>1.015018385623967E-2</v>
      </c>
      <c r="H159" s="35">
        <f t="shared" si="9"/>
        <v>0.12883733982986922</v>
      </c>
      <c r="I159" s="35">
        <f>(Table143454[[#This Row],[Core CPI]]-F147)/F147</f>
        <v>6.2220417393618943E-2</v>
      </c>
    </row>
    <row r="160" spans="1:9" x14ac:dyDescent="0.35">
      <c r="A160" s="33">
        <f>IF(Data!A187="",#N/A,Data!A187)</f>
        <v>23529</v>
      </c>
      <c r="B160" s="34">
        <f>VLOOKUP(A160,Data!A:AX,MATCH($B$2,Data!$B$1:$AX$1,0),FALSE)</f>
        <v>4.6825729999999997</v>
      </c>
      <c r="C160" s="35">
        <f t="shared" si="10"/>
        <v>6.4653509419574373E-3</v>
      </c>
      <c r="D160" s="35">
        <f t="shared" si="7"/>
        <v>8.040339203112068E-2</v>
      </c>
      <c r="E160" s="35">
        <f>(Table143454[[#This Row],[JPN]]-B148)/B148</f>
        <v>6.1363415367758634E-2</v>
      </c>
      <c r="F160" s="34">
        <f>VLOOKUP(Table143454[[#This Row],[Date]],'Data Core CPI'!$A:$AX,MATCH($B$2,'Data Core CPI'!$B$1:$AX$1,0),FALSE)</f>
        <v>4.5224489999999999</v>
      </c>
      <c r="G160" s="35">
        <f t="shared" si="8"/>
        <v>4.6080318457117908E-3</v>
      </c>
      <c r="H160" s="35">
        <f t="shared" si="9"/>
        <v>5.6719574468935274E-2</v>
      </c>
      <c r="I160" s="35">
        <f>(Table143454[[#This Row],[Core CPI]]-F148)/F148</f>
        <v>6.4595110316601909E-2</v>
      </c>
    </row>
    <row r="161" spans="1:9" x14ac:dyDescent="0.35">
      <c r="A161" s="33">
        <f>IF(Data!A188="",#N/A,Data!A188)</f>
        <v>23559</v>
      </c>
      <c r="B161" s="34">
        <f>VLOOKUP(A161,Data!A:AX,MATCH($B$2,Data!$B$1:$AX$1,0),FALSE)</f>
        <v>4.7093119999999997</v>
      </c>
      <c r="C161" s="35">
        <f t="shared" si="10"/>
        <v>5.710322081470931E-3</v>
      </c>
      <c r="D161" s="35">
        <f t="shared" si="7"/>
        <v>7.0717473703496792E-2</v>
      </c>
      <c r="E161" s="35">
        <f>(Table143454[[#This Row],[JPN]]-B149)/B149</f>
        <v>6.8233577649016539E-2</v>
      </c>
      <c r="F161" s="34">
        <f>VLOOKUP(Table143454[[#This Row],[Date]],'Data Core CPI'!$A:$AX,MATCH($B$2,'Data Core CPI'!$B$1:$AX$1,0),FALSE)</f>
        <v>4.5471000000000004</v>
      </c>
      <c r="G161" s="35">
        <f t="shared" si="8"/>
        <v>5.4508077371353547E-3</v>
      </c>
      <c r="H161" s="35">
        <f t="shared" si="9"/>
        <v>6.7406708911502689E-2</v>
      </c>
      <c r="I161" s="35">
        <f>(Table143454[[#This Row],[Core CPI]]-F149)/F149</f>
        <v>6.961469548172422E-2</v>
      </c>
    </row>
    <row r="162" spans="1:9" x14ac:dyDescent="0.35">
      <c r="A162" s="33">
        <f>IF(Data!A189="",#N/A,Data!A189)</f>
        <v>23590</v>
      </c>
      <c r="B162" s="34">
        <f>VLOOKUP(A162,Data!A:AX,MATCH($B$2,Data!$B$1:$AX$1,0),FALSE)</f>
        <v>4.7226809999999997</v>
      </c>
      <c r="C162" s="35">
        <f t="shared" si="10"/>
        <v>2.8388435508202026E-3</v>
      </c>
      <c r="D162" s="35">
        <f t="shared" si="7"/>
        <v>3.4603084297481823E-2</v>
      </c>
      <c r="E162" s="35">
        <f>(Table143454[[#This Row],[JPN]]-B150)/B150</f>
        <v>6.7220447544255435E-2</v>
      </c>
      <c r="F162" s="34">
        <f>VLOOKUP(Table143454[[#This Row],[Date]],'Data Core CPI'!$A:$AX,MATCH($B$2,'Data Core CPI'!$B$1:$AX$1,0),FALSE)</f>
        <v>4.5668870000000004</v>
      </c>
      <c r="G162" s="35">
        <f t="shared" si="8"/>
        <v>4.3515647335663488E-3</v>
      </c>
      <c r="H162" s="35">
        <f t="shared" si="9"/>
        <v>5.3486867553121042E-2</v>
      </c>
      <c r="I162" s="35">
        <f>(Table143454[[#This Row],[Core CPI]]-F150)/F150</f>
        <v>6.9603468720643422E-2</v>
      </c>
    </row>
    <row r="163" spans="1:9" x14ac:dyDescent="0.35">
      <c r="A163" s="33">
        <f>IF(Data!A190="",#N/A,Data!A190)</f>
        <v>23621</v>
      </c>
      <c r="B163" s="34">
        <f>VLOOKUP(A163,Data!A:AX,MATCH($B$2,Data!$B$1:$AX$1,0),FALSE)</f>
        <v>4.7427349999999997</v>
      </c>
      <c r="C163" s="35">
        <f t="shared" si="10"/>
        <v>4.2463168695916487E-3</v>
      </c>
      <c r="D163" s="35">
        <f t="shared" si="7"/>
        <v>5.2162868697728682E-2</v>
      </c>
      <c r="E163" s="35">
        <f>(Table143454[[#This Row],[JPN]]-B151)/B151</f>
        <v>6.4516013186101812E-2</v>
      </c>
      <c r="F163" s="34">
        <f>VLOOKUP(Table143454[[#This Row],[Date]],'Data Core CPI'!$A:$AX,MATCH($B$2,'Data Core CPI'!$B$1:$AX$1,0),FALSE)</f>
        <v>4.5859160000000001</v>
      </c>
      <c r="G163" s="35">
        <f t="shared" si="8"/>
        <v>4.1667332692925108E-3</v>
      </c>
      <c r="H163" s="35">
        <f t="shared" si="9"/>
        <v>5.1162734517767428E-2</v>
      </c>
      <c r="I163" s="35">
        <f>(Table143454[[#This Row],[Core CPI]]-F151)/F151</f>
        <v>6.7804250618667197E-2</v>
      </c>
    </row>
    <row r="164" spans="1:9" x14ac:dyDescent="0.35">
      <c r="A164" s="33">
        <f>IF(Data!A191="",#N/A,Data!A191)</f>
        <v>23651</v>
      </c>
      <c r="B164" s="34">
        <f>VLOOKUP(A164,Data!A:AX,MATCH($B$2,Data!$B$1:$AX$1,0),FALSE)</f>
        <v>4.7627889999999997</v>
      </c>
      <c r="C164" s="35">
        <f t="shared" si="10"/>
        <v>4.2283619051033394E-3</v>
      </c>
      <c r="D164" s="35">
        <f t="shared" si="7"/>
        <v>5.1937150894740158E-2</v>
      </c>
      <c r="E164" s="35">
        <f>(Table143454[[#This Row],[JPN]]-B152)/B152</f>
        <v>5.7121727088928896E-2</v>
      </c>
      <c r="F164" s="34">
        <f>VLOOKUP(Table143454[[#This Row],[Date]],'Data Core CPI'!$A:$AX,MATCH($B$2,'Data Core CPI'!$B$1:$AX$1,0),FALSE)</f>
        <v>4.6049439999999997</v>
      </c>
      <c r="G164" s="35">
        <f t="shared" si="8"/>
        <v>4.1492255854662652E-3</v>
      </c>
      <c r="H164" s="35">
        <f t="shared" si="9"/>
        <v>5.0942830875736478E-2</v>
      </c>
      <c r="I164" s="35">
        <f>(Table143454[[#This Row],[Core CPI]]-F152)/F152</f>
        <v>6.2718459955681469E-2</v>
      </c>
    </row>
    <row r="165" spans="1:9" x14ac:dyDescent="0.35">
      <c r="A165" s="33">
        <f>IF(Data!A192="",#N/A,Data!A192)</f>
        <v>23682</v>
      </c>
      <c r="B165" s="34">
        <f>VLOOKUP(A165,Data!A:AX,MATCH($B$2,Data!$B$1:$AX$1,0),FALSE)</f>
        <v>4.7962119999999997</v>
      </c>
      <c r="C165" s="35">
        <f t="shared" si="10"/>
        <v>7.0175269154271191E-3</v>
      </c>
      <c r="D165" s="35">
        <f t="shared" si="7"/>
        <v>8.7537780403215137E-2</v>
      </c>
      <c r="E165" s="35">
        <f>(Table143454[[#This Row],[JPN]]-B153)/B153</f>
        <v>6.0606234832961917E-2</v>
      </c>
      <c r="F165" s="34">
        <f>VLOOKUP(Table143454[[#This Row],[Date]],'Data Core CPI'!$A:$AX,MATCH($B$2,'Data Core CPI'!$B$1:$AX$1,0),FALSE)</f>
        <v>4.6335050000000004</v>
      </c>
      <c r="G165" s="35">
        <f t="shared" si="8"/>
        <v>6.2022469762934573E-3</v>
      </c>
      <c r="H165" s="35">
        <f t="shared" si="9"/>
        <v>7.701907197283786E-2</v>
      </c>
      <c r="I165" s="35">
        <f>(Table143454[[#This Row],[Core CPI]]-F153)/F153</f>
        <v>6.4491065383596793E-2</v>
      </c>
    </row>
    <row r="166" spans="1:9" x14ac:dyDescent="0.35">
      <c r="A166" s="33">
        <f>IF(Data!A193="",#N/A,Data!A193)</f>
        <v>23712</v>
      </c>
      <c r="B166" s="34">
        <f>VLOOKUP(A166,Data!A:AX,MATCH($B$2,Data!$B$1:$AX$1,0),FALSE)</f>
        <v>4.8162659999999997</v>
      </c>
      <c r="C166" s="35">
        <f t="shared" si="10"/>
        <v>4.1812163432308758E-3</v>
      </c>
      <c r="D166" s="35">
        <f t="shared" si="7"/>
        <v>5.1344679704705021E-2</v>
      </c>
      <c r="E166" s="35">
        <f>(Table143454[[#This Row],[JPN]]-B154)/B154</f>
        <v>5.8003089918925332E-2</v>
      </c>
      <c r="F166" s="34">
        <f>VLOOKUP(Table143454[[#This Row],[Date]],'Data Core CPI'!$A:$AX,MATCH($B$2,'Data Core CPI'!$B$1:$AX$1,0),FALSE)</f>
        <v>4.6480040000000002</v>
      </c>
      <c r="G166" s="35">
        <f t="shared" si="8"/>
        <v>3.1291646388640348E-3</v>
      </c>
      <c r="H166" s="35">
        <f t="shared" si="9"/>
        <v>3.8203014417503622E-2</v>
      </c>
      <c r="I166" s="35">
        <f>(Table143454[[#This Row],[Core CPI]]-F154)/F154</f>
        <v>6.1720199963223539E-2</v>
      </c>
    </row>
    <row r="167" spans="1:9" x14ac:dyDescent="0.35">
      <c r="A167" s="33">
        <f>IF(Data!A194="",#N/A,Data!A194)</f>
        <v>23743</v>
      </c>
      <c r="B167" s="34">
        <f>VLOOKUP(A167,Data!A:AX,MATCH($B$2,Data!$B$1:$AX$1,0),FALSE)</f>
        <v>4.8396619999999997</v>
      </c>
      <c r="C167" s="35">
        <f t="shared" si="10"/>
        <v>4.8577051184466313E-3</v>
      </c>
      <c r="D167" s="35">
        <f t="shared" si="7"/>
        <v>5.9875379261573602E-2</v>
      </c>
      <c r="E167" s="35">
        <f>(Table143454[[#This Row],[JPN]]-B155)/B155</f>
        <v>5.5393491910737981E-2</v>
      </c>
      <c r="F167" s="34">
        <f>VLOOKUP(Table143454[[#This Row],[Date]],'Data Core CPI'!$A:$AX,MATCH($B$2,'Data Core CPI'!$B$1:$AX$1,0),FALSE)</f>
        <v>4.6740370000000002</v>
      </c>
      <c r="G167" s="35">
        <f t="shared" si="8"/>
        <v>5.600898794407172E-3</v>
      </c>
      <c r="H167" s="35">
        <f t="shared" si="9"/>
        <v>6.9320355615015927E-2</v>
      </c>
      <c r="I167" s="35">
        <f>(Table143454[[#This Row],[Core CPI]]-F155)/F155</f>
        <v>5.8026906357437437E-2</v>
      </c>
    </row>
    <row r="168" spans="1:9" x14ac:dyDescent="0.35">
      <c r="A168" s="33">
        <f>IF(Data!A195="",#N/A,Data!A195)</f>
        <v>23774</v>
      </c>
      <c r="B168" s="34">
        <f>VLOOKUP(A168,Data!A:AX,MATCH($B$2,Data!$B$1:$AX$1,0),FALSE)</f>
        <v>4.8496889999999997</v>
      </c>
      <c r="C168" s="35">
        <f t="shared" si="10"/>
        <v>2.0718389011464833E-3</v>
      </c>
      <c r="D168" s="35">
        <f t="shared" si="7"/>
        <v>2.514733859787377E-2</v>
      </c>
      <c r="E168" s="35">
        <f>(Table143454[[#This Row],[JPN]]-B156)/B156</f>
        <v>5.6040821099350199E-2</v>
      </c>
      <c r="F168" s="34">
        <f>VLOOKUP(Table143454[[#This Row],[Date]],'Data Core CPI'!$A:$AX,MATCH($B$2,'Data Core CPI'!$B$1:$AX$1,0),FALSE)</f>
        <v>4.6861449999999998</v>
      </c>
      <c r="G168" s="35">
        <f t="shared" si="8"/>
        <v>2.5904801352663043E-3</v>
      </c>
      <c r="H168" s="35">
        <f t="shared" si="9"/>
        <v>3.1532507172055579E-2</v>
      </c>
      <c r="I168" s="35">
        <f>(Table143454[[#This Row],[Core CPI]]-F156)/F156</f>
        <v>5.8269171445592433E-2</v>
      </c>
    </row>
    <row r="169" spans="1:9" x14ac:dyDescent="0.35">
      <c r="A169" s="33">
        <f>IF(Data!A196="",#N/A,Data!A196)</f>
        <v>23802</v>
      </c>
      <c r="B169" s="34">
        <f>VLOOKUP(A169,Data!A:AX,MATCH($B$2,Data!$B$1:$AX$1,0),FALSE)</f>
        <v>4.8597159999999997</v>
      </c>
      <c r="C169" s="35">
        <f t="shared" si="10"/>
        <v>2.0675552597291258E-3</v>
      </c>
      <c r="D169" s="35">
        <f t="shared" si="7"/>
        <v>2.5094752423715949E-2</v>
      </c>
      <c r="E169" s="35">
        <f>(Table143454[[#This Row],[JPN]]-B157)/B157</f>
        <v>5.5152528388735703E-2</v>
      </c>
      <c r="F169" s="34">
        <f>VLOOKUP(Table143454[[#This Row],[Date]],'Data Core CPI'!$A:$AX,MATCH($B$2,'Data Core CPI'!$B$1:$AX$1,0),FALSE)</f>
        <v>4.6963850000000003</v>
      </c>
      <c r="G169" s="35">
        <f t="shared" si="8"/>
        <v>2.1851649916937443E-3</v>
      </c>
      <c r="H169" s="35">
        <f t="shared" si="9"/>
        <v>2.6539433154524117E-2</v>
      </c>
      <c r="I169" s="35">
        <f>(Table143454[[#This Row],[Core CPI]]-F157)/F157</f>
        <v>5.6274149944446746E-2</v>
      </c>
    </row>
    <row r="170" spans="1:9" x14ac:dyDescent="0.35">
      <c r="A170" s="33">
        <f>IF(Data!A197="",#N/A,Data!A197)</f>
        <v>23833</v>
      </c>
      <c r="B170" s="34">
        <f>VLOOKUP(A170,Data!A:AX,MATCH($B$2,Data!$B$1:$AX$1,0),FALSE)</f>
        <v>4.8663999999999996</v>
      </c>
      <c r="C170" s="35">
        <f t="shared" si="10"/>
        <v>1.3753890145020709E-3</v>
      </c>
      <c r="D170" s="35">
        <f t="shared" si="7"/>
        <v>1.6630094215028146E-2</v>
      </c>
      <c r="E170" s="35">
        <f>(Table143454[[#This Row],[JPN]]-B158)/B158</f>
        <v>5.5072375788231015E-2</v>
      </c>
      <c r="F170" s="34">
        <f>VLOOKUP(Table143454[[#This Row],[Date]],'Data Core CPI'!$A:$AX,MATCH($B$2,'Data Core CPI'!$B$1:$AX$1,0),FALSE)</f>
        <v>4.7026820000000003</v>
      </c>
      <c r="G170" s="35">
        <f t="shared" si="8"/>
        <v>1.3408185231833514E-3</v>
      </c>
      <c r="H170" s="35">
        <f t="shared" si="9"/>
        <v>1.6209008619610277E-2</v>
      </c>
      <c r="I170" s="35">
        <f>(Table143454[[#This Row],[Core CPI]]-F158)/F158</f>
        <v>5.5247975359875703E-2</v>
      </c>
    </row>
    <row r="171" spans="1:9" x14ac:dyDescent="0.35">
      <c r="A171" s="33">
        <f>IF(Data!A198="",#N/A,Data!A198)</f>
        <v>23863</v>
      </c>
      <c r="B171" s="34">
        <f>VLOOKUP(A171,Data!A:AX,MATCH($B$2,Data!$B$1:$AX$1,0),FALSE)</f>
        <v>4.8764269999999996</v>
      </c>
      <c r="C171" s="35">
        <f t="shared" si="10"/>
        <v>2.0604553674175019E-3</v>
      </c>
      <c r="D171" s="35">
        <f t="shared" si="7"/>
        <v>2.5007599272786729E-2</v>
      </c>
      <c r="E171" s="35">
        <f>(Table143454[[#This Row],[JPN]]-B159)/B159</f>
        <v>4.8132044475940078E-2</v>
      </c>
      <c r="F171" s="34">
        <f>VLOOKUP(Table143454[[#This Row],[Date]],'Data Core CPI'!$A:$AX,MATCH($B$2,'Data Core CPI'!$B$1:$AX$1,0),FALSE)</f>
        <v>4.7113319999999996</v>
      </c>
      <c r="G171" s="35">
        <f t="shared" si="8"/>
        <v>1.8393759135741927E-3</v>
      </c>
      <c r="H171" s="35">
        <f t="shared" si="9"/>
        <v>2.2297183790169095E-2</v>
      </c>
      <c r="I171" s="35">
        <f>(Table143454[[#This Row],[Core CPI]]-F159)/F159</f>
        <v>4.6566134386859942E-2</v>
      </c>
    </row>
    <row r="172" spans="1:9" x14ac:dyDescent="0.35">
      <c r="A172" s="33">
        <f>IF(Data!A199="",#N/A,Data!A199)</f>
        <v>23894</v>
      </c>
      <c r="B172" s="34">
        <f>VLOOKUP(A172,Data!A:AX,MATCH($B$2,Data!$B$1:$AX$1,0),FALSE)</f>
        <v>4.8897959999999996</v>
      </c>
      <c r="C172" s="35">
        <f t="shared" si="10"/>
        <v>2.7415564715722596E-3</v>
      </c>
      <c r="D172" s="35">
        <f t="shared" si="7"/>
        <v>3.3399303748114617E-2</v>
      </c>
      <c r="E172" s="35">
        <f>(Table143454[[#This Row],[JPN]]-B160)/B160</f>
        <v>4.4254088510739704E-2</v>
      </c>
      <c r="F172" s="34">
        <f>VLOOKUP(Table143454[[#This Row],[Date]],'Data Core CPI'!$A:$AX,MATCH($B$2,'Data Core CPI'!$B$1:$AX$1,0),FALSE)</f>
        <v>4.7191349999999996</v>
      </c>
      <c r="G172" s="35">
        <f t="shared" si="8"/>
        <v>1.6562195149907311E-3</v>
      </c>
      <c r="H172" s="35">
        <f t="shared" si="9"/>
        <v>2.0056679562968194E-2</v>
      </c>
      <c r="I172" s="35">
        <f>(Table143454[[#This Row],[Core CPI]]-F160)/F160</f>
        <v>4.3491037709877924E-2</v>
      </c>
    </row>
    <row r="173" spans="1:9" x14ac:dyDescent="0.35">
      <c r="A173" s="33">
        <f>IF(Data!A200="",#N/A,Data!A200)</f>
        <v>23924</v>
      </c>
      <c r="B173" s="34">
        <f>VLOOKUP(A173,Data!A:AX,MATCH($B$2,Data!$B$1:$AX$1,0),FALSE)</f>
        <v>4.9165349999999997</v>
      </c>
      <c r="C173" s="35">
        <f t="shared" si="10"/>
        <v>5.4683262860046877E-3</v>
      </c>
      <c r="D173" s="35">
        <f t="shared" si="7"/>
        <v>6.7629906806567774E-2</v>
      </c>
      <c r="E173" s="35">
        <f>(Table143454[[#This Row],[JPN]]-B161)/B161</f>
        <v>4.400281824606226E-2</v>
      </c>
      <c r="F173" s="34">
        <f>VLOOKUP(Table143454[[#This Row],[Date]],'Data Core CPI'!$A:$AX,MATCH($B$2,'Data Core CPI'!$B$1:$AX$1,0),FALSE)</f>
        <v>4.7361950000000004</v>
      </c>
      <c r="G173" s="35">
        <f t="shared" si="8"/>
        <v>3.6150692870622336E-3</v>
      </c>
      <c r="H173" s="35">
        <f t="shared" si="9"/>
        <v>4.42538461473303E-2</v>
      </c>
      <c r="I173" s="35">
        <f>(Table143454[[#This Row],[Core CPI]]-F161)/F161</f>
        <v>4.1585845923775594E-2</v>
      </c>
    </row>
    <row r="174" spans="1:9" x14ac:dyDescent="0.35">
      <c r="A174" s="33">
        <f>IF(Data!A201="",#N/A,Data!A201)</f>
        <v>23955</v>
      </c>
      <c r="B174" s="34">
        <f>VLOOKUP(A174,Data!A:AX,MATCH($B$2,Data!$B$1:$AX$1,0),FALSE)</f>
        <v>4.9232199999999997</v>
      </c>
      <c r="C174" s="35">
        <f t="shared" si="10"/>
        <v>1.3596974291854025E-3</v>
      </c>
      <c r="D174" s="35">
        <f t="shared" si="7"/>
        <v>1.643894316538308E-2</v>
      </c>
      <c r="E174" s="35">
        <f>(Table143454[[#This Row],[JPN]]-B162)/B162</f>
        <v>4.2462956951782267E-2</v>
      </c>
      <c r="F174" s="34">
        <f>VLOOKUP(Table143454[[#This Row],[Date]],'Data Core CPI'!$A:$AX,MATCH($B$2,'Data Core CPI'!$B$1:$AX$1,0),FALSE)</f>
        <v>4.7443590000000002</v>
      </c>
      <c r="G174" s="35">
        <f t="shared" si="8"/>
        <v>1.7237465940485031E-3</v>
      </c>
      <c r="H174" s="35">
        <f t="shared" si="9"/>
        <v>2.0882196253883212E-2</v>
      </c>
      <c r="I174" s="35">
        <f>(Table143454[[#This Row],[Core CPI]]-F162)/F162</f>
        <v>3.8860606798460269E-2</v>
      </c>
    </row>
    <row r="175" spans="1:9" x14ac:dyDescent="0.35">
      <c r="A175" s="33">
        <f>IF(Data!A202="",#N/A,Data!A202)</f>
        <v>23986</v>
      </c>
      <c r="B175" s="34">
        <f>VLOOKUP(A175,Data!A:AX,MATCH($B$2,Data!$B$1:$AX$1,0),FALSE)</f>
        <v>4.9365889999999997</v>
      </c>
      <c r="C175" s="35">
        <f t="shared" si="10"/>
        <v>2.7154992058042726E-3</v>
      </c>
      <c r="D175" s="35">
        <f t="shared" si="7"/>
        <v>3.3077102536159808E-2</v>
      </c>
      <c r="E175" s="35">
        <f>(Table143454[[#This Row],[JPN]]-B163)/B163</f>
        <v>4.0873883950927045E-2</v>
      </c>
      <c r="F175" s="34">
        <f>VLOOKUP(Table143454[[#This Row],[Date]],'Data Core CPI'!$A:$AX,MATCH($B$2,'Data Core CPI'!$B$1:$AX$1,0),FALSE)</f>
        <v>4.7584229999999996</v>
      </c>
      <c r="G175" s="35">
        <f t="shared" si="8"/>
        <v>2.9643625197839363E-3</v>
      </c>
      <c r="H175" s="35">
        <f t="shared" si="9"/>
        <v>3.615809084071242E-2</v>
      </c>
      <c r="I175" s="35">
        <f>(Table143454[[#This Row],[Core CPI]]-F163)/F163</f>
        <v>3.7616694243854339E-2</v>
      </c>
    </row>
    <row r="176" spans="1:9" x14ac:dyDescent="0.35">
      <c r="A176" s="33">
        <f>IF(Data!A203="",#N/A,Data!A203)</f>
        <v>24016</v>
      </c>
      <c r="B176" s="34">
        <f>VLOOKUP(A176,Data!A:AX,MATCH($B$2,Data!$B$1:$AX$1,0),FALSE)</f>
        <v>4.9365889999999997</v>
      </c>
      <c r="C176" s="35">
        <f t="shared" si="10"/>
        <v>0</v>
      </c>
      <c r="D176" s="35">
        <f t="shared" si="7"/>
        <v>0</v>
      </c>
      <c r="E176" s="35">
        <f>(Table143454[[#This Row],[JPN]]-B164)/B164</f>
        <v>3.6491223944625714E-2</v>
      </c>
      <c r="F176" s="34">
        <f>VLOOKUP(Table143454[[#This Row],[Date]],'Data Core CPI'!$A:$AX,MATCH($B$2,'Data Core CPI'!$B$1:$AX$1,0),FALSE)</f>
        <v>4.7608259999999998</v>
      </c>
      <c r="G176" s="35">
        <f t="shared" si="8"/>
        <v>5.04999240294568E-4</v>
      </c>
      <c r="H176" s="35">
        <f t="shared" si="9"/>
        <v>6.0768508482613726E-3</v>
      </c>
      <c r="I176" s="35">
        <f>(Table143454[[#This Row],[Core CPI]]-F164)/F164</f>
        <v>3.3851008828771879E-2</v>
      </c>
    </row>
    <row r="177" spans="1:9" x14ac:dyDescent="0.35">
      <c r="A177" s="33">
        <f>IF(Data!A204="",#N/A,Data!A204)</f>
        <v>24047</v>
      </c>
      <c r="B177" s="34">
        <f>VLOOKUP(A177,Data!A:AX,MATCH($B$2,Data!$B$1:$AX$1,0),FALSE)</f>
        <v>4.9532999999999996</v>
      </c>
      <c r="C177" s="35">
        <f t="shared" si="10"/>
        <v>3.3851309071910585E-3</v>
      </c>
      <c r="D177" s="35">
        <f t="shared" si="7"/>
        <v>4.1386471512048439E-2</v>
      </c>
      <c r="E177" s="35">
        <f>(Table143454[[#This Row],[JPN]]-B165)/B165</f>
        <v>3.2752513858853589E-2</v>
      </c>
      <c r="F177" s="34">
        <f>VLOOKUP(Table143454[[#This Row],[Date]],'Data Core CPI'!$A:$AX,MATCH($B$2,'Data Core CPI'!$B$1:$AX$1,0),FALSE)</f>
        <v>4.7792310000000002</v>
      </c>
      <c r="G177" s="35">
        <f t="shared" si="8"/>
        <v>3.8659257868278729E-3</v>
      </c>
      <c r="H177" s="35">
        <f t="shared" si="9"/>
        <v>4.7390327021269885E-2</v>
      </c>
      <c r="I177" s="35">
        <f>(Table143454[[#This Row],[Core CPI]]-F165)/F165</f>
        <v>3.1450489424312653E-2</v>
      </c>
    </row>
    <row r="178" spans="1:9" x14ac:dyDescent="0.35">
      <c r="A178" s="33">
        <f>IF(Data!A205="",#N/A,Data!A205)</f>
        <v>24077</v>
      </c>
      <c r="B178" s="34">
        <f>VLOOKUP(A178,Data!A:AX,MATCH($B$2,Data!$B$1:$AX$1,0),FALSE)</f>
        <v>4.9766959999999996</v>
      </c>
      <c r="C178" s="35">
        <f t="shared" si="10"/>
        <v>4.7233157692851968E-3</v>
      </c>
      <c r="D178" s="35">
        <f t="shared" si="7"/>
        <v>5.8175661138206491E-2</v>
      </c>
      <c r="E178" s="35">
        <f>(Table143454[[#This Row],[JPN]]-B166)/B166</f>
        <v>3.3310037277841355E-2</v>
      </c>
      <c r="F178" s="34">
        <f>VLOOKUP(Table143454[[#This Row],[Date]],'Data Core CPI'!$A:$AX,MATCH($B$2,'Data Core CPI'!$B$1:$AX$1,0),FALSE)</f>
        <v>4.7968770000000003</v>
      </c>
      <c r="G178" s="35">
        <f t="shared" si="8"/>
        <v>3.6922257995062324E-3</v>
      </c>
      <c r="H178" s="35">
        <f t="shared" si="9"/>
        <v>4.5217622767482535E-2</v>
      </c>
      <c r="I178" s="35">
        <f>(Table143454[[#This Row],[Core CPI]]-F166)/F166</f>
        <v>3.2029447478960867E-2</v>
      </c>
    </row>
    <row r="179" spans="1:9" x14ac:dyDescent="0.35">
      <c r="A179" s="33">
        <f>IF(Data!A206="",#N/A,Data!A206)</f>
        <v>24108</v>
      </c>
      <c r="B179" s="34">
        <f>VLOOKUP(A179,Data!A:AX,MATCH($B$2,Data!$B$1:$AX$1,0),FALSE)</f>
        <v>4.9900659999999997</v>
      </c>
      <c r="C179" s="35">
        <f t="shared" si="10"/>
        <v>2.6865213386553233E-3</v>
      </c>
      <c r="D179" s="35">
        <f t="shared" si="7"/>
        <v>3.2718895887577037E-2</v>
      </c>
      <c r="E179" s="35">
        <f>(Table143454[[#This Row],[JPN]]-B167)/B167</f>
        <v>3.1077376891196121E-2</v>
      </c>
      <c r="F179" s="34">
        <f>VLOOKUP(Table143454[[#This Row],[Date]],'Data Core CPI'!$A:$AX,MATCH($B$2,'Data Core CPI'!$B$1:$AX$1,0),FALSE)</f>
        <v>4.809609</v>
      </c>
      <c r="G179" s="35">
        <f t="shared" si="8"/>
        <v>2.654226906380952E-3</v>
      </c>
      <c r="H179" s="35">
        <f t="shared" si="9"/>
        <v>3.2319826039423294E-2</v>
      </c>
      <c r="I179" s="35">
        <f>(Table143454[[#This Row],[Core CPI]]-F167)/F167</f>
        <v>2.9005333077166441E-2</v>
      </c>
    </row>
    <row r="180" spans="1:9" x14ac:dyDescent="0.35">
      <c r="A180" s="33">
        <f>IF(Data!A207="",#N/A,Data!A207)</f>
        <v>24139</v>
      </c>
      <c r="B180" s="34">
        <f>VLOOKUP(A180,Data!A:AX,MATCH($B$2,Data!$B$1:$AX$1,0),FALSE)</f>
        <v>4.9900659999999997</v>
      </c>
      <c r="C180" s="35">
        <f t="shared" si="10"/>
        <v>0</v>
      </c>
      <c r="D180" s="35">
        <f t="shared" si="7"/>
        <v>0</v>
      </c>
      <c r="E180" s="35">
        <f>(Table143454[[#This Row],[JPN]]-B168)/B168</f>
        <v>2.8945567437417118E-2</v>
      </c>
      <c r="F180" s="34">
        <f>VLOOKUP(Table143454[[#This Row],[Date]],'Data Core CPI'!$A:$AX,MATCH($B$2,'Data Core CPI'!$B$1:$AX$1,0),FALSE)</f>
        <v>4.8129470000000003</v>
      </c>
      <c r="G180" s="35">
        <f t="shared" si="8"/>
        <v>6.9402731074408308E-4</v>
      </c>
      <c r="H180" s="35">
        <f t="shared" si="9"/>
        <v>8.3601918667000064E-3</v>
      </c>
      <c r="I180" s="35">
        <f>(Table143454[[#This Row],[Core CPI]]-F168)/F168</f>
        <v>2.7058915163743445E-2</v>
      </c>
    </row>
    <row r="181" spans="1:9" x14ac:dyDescent="0.35">
      <c r="A181" s="33">
        <f>IF(Data!A208="",#N/A,Data!A208)</f>
        <v>24167</v>
      </c>
      <c r="B181" s="34">
        <f>VLOOKUP(A181,Data!A:AX,MATCH($B$2,Data!$B$1:$AX$1,0),FALSE)</f>
        <v>4.9867229999999996</v>
      </c>
      <c r="C181" s="35">
        <f t="shared" si="10"/>
        <v>-6.6993101894841089E-4</v>
      </c>
      <c r="D181" s="35">
        <f t="shared" si="7"/>
        <v>-8.0096169755761171E-3</v>
      </c>
      <c r="E181" s="35">
        <f>(Table143454[[#This Row],[JPN]]-B169)/B169</f>
        <v>2.6134654782295895E-2</v>
      </c>
      <c r="F181" s="34">
        <f>VLOOKUP(Table143454[[#This Row],[Date]],'Data Core CPI'!$A:$AX,MATCH($B$2,'Data Core CPI'!$B$1:$AX$1,0),FALSE)</f>
        <v>4.8116659999999998</v>
      </c>
      <c r="G181" s="35">
        <f t="shared" si="8"/>
        <v>-2.6615709668120768E-4</v>
      </c>
      <c r="H181" s="35">
        <f t="shared" si="9"/>
        <v>-3.1892138920659452E-3</v>
      </c>
      <c r="I181" s="35">
        <f>(Table143454[[#This Row],[Core CPI]]-F169)/F169</f>
        <v>2.454675244895798E-2</v>
      </c>
    </row>
    <row r="182" spans="1:9" x14ac:dyDescent="0.35">
      <c r="A182" s="33">
        <f>IF(Data!A209="",#N/A,Data!A209)</f>
        <v>24198</v>
      </c>
      <c r="B182" s="34">
        <f>VLOOKUP(A182,Data!A:AX,MATCH($B$2,Data!$B$1:$AX$1,0),FALSE)</f>
        <v>5.0000929999999997</v>
      </c>
      <c r="C182" s="35">
        <f t="shared" si="10"/>
        <v>2.6811194445730546E-3</v>
      </c>
      <c r="D182" s="35">
        <f t="shared" si="7"/>
        <v>3.2652133572413033E-2</v>
      </c>
      <c r="E182" s="35">
        <f>(Table143454[[#This Row],[JPN]]-B170)/B170</f>
        <v>2.7472669735327977E-2</v>
      </c>
      <c r="F182" s="34">
        <f>VLOOKUP(Table143454[[#This Row],[Date]],'Data Core CPI'!$A:$AX,MATCH($B$2,'Data Core CPI'!$B$1:$AX$1,0),FALSE)</f>
        <v>4.8257289999999999</v>
      </c>
      <c r="G182" s="35">
        <f t="shared" si="8"/>
        <v>2.9226883162714046E-3</v>
      </c>
      <c r="H182" s="35">
        <f t="shared" si="9"/>
        <v>3.5641567646891081E-2</v>
      </c>
      <c r="I182" s="35">
        <f>(Table143454[[#This Row],[Core CPI]]-F170)/F170</f>
        <v>2.6165281854056831E-2</v>
      </c>
    </row>
    <row r="183" spans="1:9" x14ac:dyDescent="0.35">
      <c r="A183" s="33">
        <f>IF(Data!A210="",#N/A,Data!A210)</f>
        <v>24228</v>
      </c>
      <c r="B183" s="34">
        <f>VLOOKUP(A183,Data!A:AX,MATCH($B$2,Data!$B$1:$AX$1,0),FALSE)</f>
        <v>5.0067769999999996</v>
      </c>
      <c r="C183" s="35">
        <f t="shared" si="10"/>
        <v>1.3367751359825153E-3</v>
      </c>
      <c r="D183" s="35">
        <f t="shared" si="7"/>
        <v>1.6159768618569936E-2</v>
      </c>
      <c r="E183" s="35">
        <f>(Table143454[[#This Row],[JPN]]-B171)/B171</f>
        <v>2.6730637001230611E-2</v>
      </c>
      <c r="F183" s="34">
        <f>VLOOKUP(Table143454[[#This Row],[Date]],'Data Core CPI'!$A:$AX,MATCH($B$2,'Data Core CPI'!$B$1:$AX$1,0),FALSE)</f>
        <v>4.8320259999999999</v>
      </c>
      <c r="G183" s="35">
        <f t="shared" si="8"/>
        <v>1.3048805683038012E-3</v>
      </c>
      <c r="H183" s="35">
        <f t="shared" si="9"/>
        <v>1.5771436139652373E-2</v>
      </c>
      <c r="I183" s="35">
        <f>(Table143454[[#This Row],[Core CPI]]-F171)/F171</f>
        <v>2.5617808297101606E-2</v>
      </c>
    </row>
    <row r="184" spans="1:9" x14ac:dyDescent="0.35">
      <c r="A184" s="33">
        <f>IF(Data!A211="",#N/A,Data!A211)</f>
        <v>24259</v>
      </c>
      <c r="B184" s="34">
        <f>VLOOKUP(A184,Data!A:AX,MATCH($B$2,Data!$B$1:$AX$1,0),FALSE)</f>
        <v>5.0067769999999996</v>
      </c>
      <c r="C184" s="35">
        <f t="shared" si="10"/>
        <v>0</v>
      </c>
      <c r="D184" s="35">
        <f t="shared" si="7"/>
        <v>0</v>
      </c>
      <c r="E184" s="35">
        <f>(Table143454[[#This Row],[JPN]]-B172)/B172</f>
        <v>2.3923492922813143E-2</v>
      </c>
      <c r="F184" s="34">
        <f>VLOOKUP(Table143454[[#This Row],[Date]],'Data Core CPI'!$A:$AX,MATCH($B$2,'Data Core CPI'!$B$1:$AX$1,0),FALSE)</f>
        <v>4.8341529999999997</v>
      </c>
      <c r="G184" s="35">
        <f t="shared" si="8"/>
        <v>4.4018802878942331E-4</v>
      </c>
      <c r="H184" s="35">
        <f t="shared" si="9"/>
        <v>5.295063651632903E-3</v>
      </c>
      <c r="I184" s="35">
        <f>(Table143454[[#This Row],[Core CPI]]-F172)/F172</f>
        <v>2.4372686943687789E-2</v>
      </c>
    </row>
    <row r="185" spans="1:9" x14ac:dyDescent="0.35">
      <c r="A185" s="33">
        <f>IF(Data!A212="",#N/A,Data!A212)</f>
        <v>24289</v>
      </c>
      <c r="B185" s="34">
        <f>VLOOKUP(A185,Data!A:AX,MATCH($B$2,Data!$B$1:$AX$1,0),FALSE)</f>
        <v>5.0101190000000004</v>
      </c>
      <c r="C185" s="35">
        <f t="shared" si="10"/>
        <v>6.6749527690190824E-4</v>
      </c>
      <c r="D185" s="35">
        <f t="shared" si="7"/>
        <v>8.0394151460885244E-3</v>
      </c>
      <c r="E185" s="35">
        <f>(Table143454[[#This Row],[JPN]]-B173)/B173</f>
        <v>1.9034543636931453E-2</v>
      </c>
      <c r="F185" s="34">
        <f>VLOOKUP(Table143454[[#This Row],[Date]],'Data Core CPI'!$A:$AX,MATCH($B$2,'Data Core CPI'!$B$1:$AX$1,0),FALSE)</f>
        <v>4.8376989999999997</v>
      </c>
      <c r="G185" s="35">
        <f t="shared" si="8"/>
        <v>7.3353077571192138E-4</v>
      </c>
      <c r="H185" s="35">
        <f t="shared" si="9"/>
        <v>8.8379687319295464E-3</v>
      </c>
      <c r="I185" s="35">
        <f>(Table143454[[#This Row],[Core CPI]]-F173)/F173</f>
        <v>2.1431550010081797E-2</v>
      </c>
    </row>
    <row r="186" spans="1:9" x14ac:dyDescent="0.35">
      <c r="A186" s="33">
        <f>IF(Data!A213="",#N/A,Data!A213)</f>
        <v>24320</v>
      </c>
      <c r="B186" s="34">
        <f>VLOOKUP(A186,Data!A:AX,MATCH($B$2,Data!$B$1:$AX$1,0),FALSE)</f>
        <v>5.0168039999999996</v>
      </c>
      <c r="C186" s="35">
        <f t="shared" si="10"/>
        <v>1.3342996443794775E-3</v>
      </c>
      <c r="D186" s="35">
        <f t="shared" si="7"/>
        <v>1.6129623386707204E-2</v>
      </c>
      <c r="E186" s="35">
        <f>(Table143454[[#This Row],[JPN]]-B174)/B174</f>
        <v>1.9008697559727148E-2</v>
      </c>
      <c r="F186" s="34">
        <f>VLOOKUP(Table143454[[#This Row],[Date]],'Data Core CPI'!$A:$AX,MATCH($B$2,'Data Core CPI'!$B$1:$AX$1,0),FALSE)</f>
        <v>4.851985</v>
      </c>
      <c r="G186" s="35">
        <f t="shared" si="8"/>
        <v>2.9530568148203873E-3</v>
      </c>
      <c r="H186" s="35">
        <f t="shared" si="9"/>
        <v>3.6017941038407164E-2</v>
      </c>
      <c r="I186" s="35">
        <f>(Table143454[[#This Row],[Core CPI]]-F174)/F174</f>
        <v>2.2685045545667977E-2</v>
      </c>
    </row>
    <row r="187" spans="1:9" x14ac:dyDescent="0.35">
      <c r="A187" s="33">
        <f>IF(Data!A214="",#N/A,Data!A214)</f>
        <v>24351</v>
      </c>
      <c r="B187" s="34">
        <f>VLOOKUP(A187,Data!A:AX,MATCH($B$2,Data!$B$1:$AX$1,0),FALSE)</f>
        <v>5.0201460000000004</v>
      </c>
      <c r="C187" s="35">
        <f t="shared" si="10"/>
        <v>6.6616116555495708E-4</v>
      </c>
      <c r="D187" s="35">
        <f t="shared" ref="D187:D250" si="11">((1+C187)^12)-1</f>
        <v>8.023287987362071E-3</v>
      </c>
      <c r="E187" s="35">
        <f>(Table143454[[#This Row],[JPN]]-B175)/B175</f>
        <v>1.6926059673997729E-2</v>
      </c>
      <c r="F187" s="34">
        <f>VLOOKUP(Table143454[[#This Row],[Date]],'Data Core CPI'!$A:$AX,MATCH($B$2,'Data Core CPI'!$B$1:$AX$1,0),FALSE)</f>
        <v>4.8593869999999999</v>
      </c>
      <c r="G187" s="35">
        <f t="shared" si="8"/>
        <v>1.5255611878437492E-3</v>
      </c>
      <c r="H187" s="35">
        <f t="shared" si="9"/>
        <v>1.8461122288624177E-2</v>
      </c>
      <c r="I187" s="35">
        <f>(Table143454[[#This Row],[Core CPI]]-F175)/F175</f>
        <v>2.1217953931376064E-2</v>
      </c>
    </row>
    <row r="188" spans="1:9" x14ac:dyDescent="0.35">
      <c r="A188" s="33">
        <f>IF(Data!A215="",#N/A,Data!A215)</f>
        <v>24381</v>
      </c>
      <c r="B188" s="34">
        <f>VLOOKUP(A188,Data!A:AX,MATCH($B$2,Data!$B$1:$AX$1,0),FALSE)</f>
        <v>5.0268309999999996</v>
      </c>
      <c r="C188" s="35">
        <f t="shared" si="10"/>
        <v>1.3316345779583738E-3</v>
      </c>
      <c r="D188" s="35">
        <f t="shared" si="11"/>
        <v>1.6097170528970528E-2</v>
      </c>
      <c r="E188" s="35">
        <f>(Table143454[[#This Row],[JPN]]-B176)/B176</f>
        <v>1.8280233578286533E-2</v>
      </c>
      <c r="F188" s="34">
        <f>VLOOKUP(Table143454[[#This Row],[Date]],'Data Core CPI'!$A:$AX,MATCH($B$2,'Data Core CPI'!$B$1:$AX$1,0),FALSE)</f>
        <v>4.8727390000000002</v>
      </c>
      <c r="G188" s="35">
        <f t="shared" si="8"/>
        <v>2.7476716713445981E-3</v>
      </c>
      <c r="H188" s="35">
        <f t="shared" si="9"/>
        <v>3.3474932270119773E-2</v>
      </c>
      <c r="I188" s="35">
        <f>(Table143454[[#This Row],[Core CPI]]-F176)/F176</f>
        <v>2.3507055288305091E-2</v>
      </c>
    </row>
    <row r="189" spans="1:9" x14ac:dyDescent="0.35">
      <c r="A189" s="33">
        <f>IF(Data!A216="",#N/A,Data!A216)</f>
        <v>24412</v>
      </c>
      <c r="B189" s="34">
        <f>VLOOKUP(A189,Data!A:AX,MATCH($B$2,Data!$B$1:$AX$1,0),FALSE)</f>
        <v>5.0569119999999996</v>
      </c>
      <c r="C189" s="35">
        <f t="shared" si="10"/>
        <v>5.9840881859765105E-3</v>
      </c>
      <c r="D189" s="35">
        <f t="shared" si="11"/>
        <v>7.4220256584170974E-2</v>
      </c>
      <c r="E189" s="35">
        <f>(Table143454[[#This Row],[JPN]]-B177)/B177</f>
        <v>2.0917771990390254E-2</v>
      </c>
      <c r="F189" s="34">
        <f>VLOOKUP(Table143454[[#This Row],[Date]],'Data Core CPI'!$A:$AX,MATCH($B$2,'Data Core CPI'!$B$1:$AX$1,0),FALSE)</f>
        <v>4.8980139999999999</v>
      </c>
      <c r="G189" s="35">
        <f t="shared" si="8"/>
        <v>5.1870210984006349E-3</v>
      </c>
      <c r="H189" s="35">
        <f t="shared" si="9"/>
        <v>6.405105960857238E-2</v>
      </c>
      <c r="I189" s="35">
        <f>(Table143454[[#This Row],[Core CPI]]-F177)/F177</f>
        <v>2.4853998477997744E-2</v>
      </c>
    </row>
    <row r="190" spans="1:9" x14ac:dyDescent="0.35">
      <c r="A190" s="33">
        <f>IF(Data!A217="",#N/A,Data!A217)</f>
        <v>24442</v>
      </c>
      <c r="B190" s="34">
        <f>VLOOKUP(A190,Data!A:AX,MATCH($B$2,Data!$B$1:$AX$1,0),FALSE)</f>
        <v>5.0936769999999996</v>
      </c>
      <c r="C190" s="35">
        <f t="shared" si="10"/>
        <v>7.2702471389654022E-3</v>
      </c>
      <c r="D190" s="35">
        <f t="shared" si="11"/>
        <v>9.0817434945092756E-2</v>
      </c>
      <c r="E190" s="35">
        <f>(Table143454[[#This Row],[JPN]]-B178)/B178</f>
        <v>2.3505755625820829E-2</v>
      </c>
      <c r="F190" s="34">
        <f>VLOOKUP(Table143454[[#This Row],[Date]],'Data Core CPI'!$A:$AX,MATCH($B$2,'Data Core CPI'!$B$1:$AX$1,0),FALSE)</f>
        <v>4.9402379999999999</v>
      </c>
      <c r="G190" s="35">
        <f t="shared" si="8"/>
        <v>8.620636854039132E-3</v>
      </c>
      <c r="H190" s="35">
        <f t="shared" si="9"/>
        <v>0.10849617127460909</v>
      </c>
      <c r="I190" s="35">
        <f>(Table143454[[#This Row],[Core CPI]]-F178)/F178</f>
        <v>2.9886319786811215E-2</v>
      </c>
    </row>
    <row r="191" spans="1:9" x14ac:dyDescent="0.35">
      <c r="A191" s="33">
        <f>IF(Data!A218="",#N/A,Data!A218)</f>
        <v>24473</v>
      </c>
      <c r="B191" s="34">
        <f>VLOOKUP(A191,Data!A:AX,MATCH($B$2,Data!$B$1:$AX$1,0),FALSE)</f>
        <v>5.1425099999999997</v>
      </c>
      <c r="C191" s="35">
        <f t="shared" si="10"/>
        <v>9.5869840195992317E-3</v>
      </c>
      <c r="D191" s="35">
        <f t="shared" si="11"/>
        <v>0.12130798322934155</v>
      </c>
      <c r="E191" s="35">
        <f>(Table143454[[#This Row],[JPN]]-B179)/B179</f>
        <v>3.054949573813253E-2</v>
      </c>
      <c r="F191" s="34">
        <f>VLOOKUP(Table143454[[#This Row],[Date]],'Data Core CPI'!$A:$AX,MATCH($B$2,'Data Core CPI'!$B$1:$AX$1,0),FALSE)</f>
        <v>5.003762</v>
      </c>
      <c r="G191" s="35">
        <f t="shared" si="8"/>
        <v>1.2858489813648788E-2</v>
      </c>
      <c r="H191" s="35">
        <f t="shared" si="9"/>
        <v>0.16569590981107218</v>
      </c>
      <c r="I191" s="35">
        <f>(Table143454[[#This Row],[Core CPI]]-F179)/F179</f>
        <v>4.036773051613967E-2</v>
      </c>
    </row>
    <row r="192" spans="1:9" x14ac:dyDescent="0.35">
      <c r="A192" s="33">
        <f>IF(Data!A219="",#N/A,Data!A219)</f>
        <v>24504</v>
      </c>
      <c r="B192" s="34">
        <f>VLOOKUP(A192,Data!A:AX,MATCH($B$2,Data!$B$1:$AX$1,0),FALSE)</f>
        <v>5.1575610000000003</v>
      </c>
      <c r="C192" s="35">
        <f t="shared" si="10"/>
        <v>2.92678089104359E-3</v>
      </c>
      <c r="D192" s="35">
        <f t="shared" si="11"/>
        <v>3.5692281853230812E-2</v>
      </c>
      <c r="E192" s="35">
        <f>(Table143454[[#This Row],[JPN]]-B180)/B180</f>
        <v>3.3565688309533506E-2</v>
      </c>
      <c r="F192" s="34">
        <f>VLOOKUP(Table143454[[#This Row],[Date]],'Data Core CPI'!$A:$AX,MATCH($B$2,'Data Core CPI'!$B$1:$AX$1,0),FALSE)</f>
        <v>5.026599</v>
      </c>
      <c r="G192" s="35">
        <f t="shared" si="8"/>
        <v>4.5639660719274389E-3</v>
      </c>
      <c r="H192" s="35">
        <f t="shared" si="9"/>
        <v>5.616348972297458E-2</v>
      </c>
      <c r="I192" s="35">
        <f>(Table143454[[#This Row],[Core CPI]]-F180)/F180</f>
        <v>4.439109759571417E-2</v>
      </c>
    </row>
    <row r="193" spans="1:9" x14ac:dyDescent="0.35">
      <c r="A193" s="33">
        <f>IF(Data!A220="",#N/A,Data!A220)</f>
        <v>24532</v>
      </c>
      <c r="B193" s="34">
        <f>VLOOKUP(A193,Data!A:AX,MATCH($B$2,Data!$B$1:$AX$1,0),FALSE)</f>
        <v>5.1675950000000004</v>
      </c>
      <c r="C193" s="35">
        <f t="shared" si="10"/>
        <v>1.9454932282914061E-3</v>
      </c>
      <c r="D193" s="35">
        <f t="shared" si="11"/>
        <v>2.3597352138580607E-2</v>
      </c>
      <c r="E193" s="35">
        <f>(Table143454[[#This Row],[JPN]]-B181)/B181</f>
        <v>3.6270713251969441E-2</v>
      </c>
      <c r="F193" s="34">
        <f>VLOOKUP(Table143454[[#This Row],[Date]],'Data Core CPI'!$A:$AX,MATCH($B$2,'Data Core CPI'!$B$1:$AX$1,0),FALSE)</f>
        <v>5.0382689999999997</v>
      </c>
      <c r="G193" s="35">
        <f t="shared" si="8"/>
        <v>2.3216492901063646E-3</v>
      </c>
      <c r="H193" s="35">
        <f t="shared" si="9"/>
        <v>2.8218302614097412E-2</v>
      </c>
      <c r="I193" s="35">
        <f>(Table143454[[#This Row],[Core CPI]]-F181)/F181</f>
        <v>4.7094499077866149E-2</v>
      </c>
    </row>
    <row r="194" spans="1:9" x14ac:dyDescent="0.35">
      <c r="A194" s="33">
        <f>IF(Data!A221="",#N/A,Data!A221)</f>
        <v>24563</v>
      </c>
      <c r="B194" s="34">
        <f>VLOOKUP(A194,Data!A:AX,MATCH($B$2,Data!$B$1:$AX$1,0),FALSE)</f>
        <v>5.172612</v>
      </c>
      <c r="C194" s="35">
        <f t="shared" si="10"/>
        <v>9.7085781683725614E-4</v>
      </c>
      <c r="D194" s="35">
        <f t="shared" si="11"/>
        <v>1.171270484716791E-2</v>
      </c>
      <c r="E194" s="35">
        <f>(Table143454[[#This Row],[JPN]]-B182)/B182</f>
        <v>3.4503158241256777E-2</v>
      </c>
      <c r="F194" s="34">
        <f>VLOOKUP(Table143454[[#This Row],[Date]],'Data Core CPI'!$A:$AX,MATCH($B$2,'Data Core CPI'!$B$1:$AX$1,0),FALSE)</f>
        <v>5.0445460000000004</v>
      </c>
      <c r="G194" s="35">
        <f t="shared" si="8"/>
        <v>1.2458644030322041E-3</v>
      </c>
      <c r="H194" s="35">
        <f t="shared" si="9"/>
        <v>1.5053243223418278E-2</v>
      </c>
      <c r="I194" s="35">
        <f>(Table143454[[#This Row],[Core CPI]]-F182)/F182</f>
        <v>4.534382266389192E-2</v>
      </c>
    </row>
    <row r="195" spans="1:9" x14ac:dyDescent="0.35">
      <c r="A195" s="33">
        <f>IF(Data!A222="",#N/A,Data!A222)</f>
        <v>24593</v>
      </c>
      <c r="B195" s="34">
        <f>VLOOKUP(A195,Data!A:AX,MATCH($B$2,Data!$B$1:$AX$1,0),FALSE)</f>
        <v>5.1876639999999998</v>
      </c>
      <c r="C195" s="35">
        <f t="shared" si="10"/>
        <v>2.9099418243625497E-3</v>
      </c>
      <c r="D195" s="35">
        <f t="shared" si="11"/>
        <v>3.5483630757425111E-2</v>
      </c>
      <c r="E195" s="35">
        <f>(Table143454[[#This Row],[JPN]]-B183)/B183</f>
        <v>3.6128431523912541E-2</v>
      </c>
      <c r="F195" s="34">
        <f>VLOOKUP(Table143454[[#This Row],[Date]],'Data Core CPI'!$A:$AX,MATCH($B$2,'Data Core CPI'!$B$1:$AX$1,0),FALSE)</f>
        <v>5.0585040000000001</v>
      </c>
      <c r="G195" s="35">
        <f t="shared" ref="G195:G258" si="12">(F195/F194)-1</f>
        <v>2.766948700636318E-3</v>
      </c>
      <c r="H195" s="35">
        <f t="shared" ref="H195:H258" si="13">((1+G195)^12)-1</f>
        <v>3.3713370318171121E-2</v>
      </c>
      <c r="I195" s="35">
        <f>(Table143454[[#This Row],[Core CPI]]-F183)/F183</f>
        <v>4.6870194820971614E-2</v>
      </c>
    </row>
    <row r="196" spans="1:9" x14ac:dyDescent="0.35">
      <c r="A196" s="33">
        <f>IF(Data!A223="",#N/A,Data!A223)</f>
        <v>24624</v>
      </c>
      <c r="B196" s="34">
        <f>VLOOKUP(A196,Data!A:AX,MATCH($B$2,Data!$B$1:$AX$1,0),FALSE)</f>
        <v>5.2027150000000004</v>
      </c>
      <c r="C196" s="35">
        <f t="shared" ref="C196:C259" si="14">(B196/B195)-1</f>
        <v>2.9013058671496506E-3</v>
      </c>
      <c r="D196" s="35">
        <f t="shared" si="11"/>
        <v>3.5376638472779165E-2</v>
      </c>
      <c r="E196" s="35">
        <f>(Table143454[[#This Row],[JPN]]-B184)/B184</f>
        <v>3.9134557021413344E-2</v>
      </c>
      <c r="F196" s="34">
        <f>VLOOKUP(Table143454[[#This Row],[Date]],'Data Core CPI'!$A:$AX,MATCH($B$2,'Data Core CPI'!$B$1:$AX$1,0),FALSE)</f>
        <v>5.0706889999999998</v>
      </c>
      <c r="G196" s="35">
        <f t="shared" si="12"/>
        <v>2.4088149381713553E-3</v>
      </c>
      <c r="H196" s="35">
        <f t="shared" si="13"/>
        <v>2.9291828602911352E-2</v>
      </c>
      <c r="I196" s="35">
        <f>(Table143454[[#This Row],[Core CPI]]-F184)/F184</f>
        <v>4.8930184874165152E-2</v>
      </c>
    </row>
    <row r="197" spans="1:9" x14ac:dyDescent="0.35">
      <c r="A197" s="33">
        <f>IF(Data!A224="",#N/A,Data!A224)</f>
        <v>24654</v>
      </c>
      <c r="B197" s="34">
        <f>VLOOKUP(A197,Data!A:AX,MATCH($B$2,Data!$B$1:$AX$1,0),FALSE)</f>
        <v>5.2127489999999996</v>
      </c>
      <c r="C197" s="35">
        <f t="shared" si="14"/>
        <v>1.9286084284837468E-3</v>
      </c>
      <c r="D197" s="35">
        <f t="shared" si="11"/>
        <v>2.3390375196231661E-2</v>
      </c>
      <c r="E197" s="35">
        <f>(Table143454[[#This Row],[JPN]]-B185)/B185</f>
        <v>4.0444149130988545E-2</v>
      </c>
      <c r="F197" s="34">
        <f>VLOOKUP(Table143454[[#This Row],[Date]],'Data Core CPI'!$A:$AX,MATCH($B$2,'Data Core CPI'!$B$1:$AX$1,0),FALSE)</f>
        <v>5.0765909999999996</v>
      </c>
      <c r="G197" s="35">
        <f t="shared" si="12"/>
        <v>1.163944387044813E-3</v>
      </c>
      <c r="H197" s="35">
        <f t="shared" si="13"/>
        <v>1.4057095058174651E-2</v>
      </c>
      <c r="I197" s="35">
        <f>(Table143454[[#This Row],[Core CPI]]-F185)/F185</f>
        <v>4.938132777587028E-2</v>
      </c>
    </row>
    <row r="198" spans="1:9" x14ac:dyDescent="0.35">
      <c r="A198" s="33">
        <f>IF(Data!A225="",#N/A,Data!A225)</f>
        <v>24685</v>
      </c>
      <c r="B198" s="34">
        <f>VLOOKUP(A198,Data!A:AX,MATCH($B$2,Data!$B$1:$AX$1,0),FALSE)</f>
        <v>5.2227829999999997</v>
      </c>
      <c r="C198" s="35">
        <f t="shared" si="14"/>
        <v>1.9248960577231689E-3</v>
      </c>
      <c r="D198" s="35">
        <f t="shared" si="11"/>
        <v>2.3344873426325297E-2</v>
      </c>
      <c r="E198" s="35">
        <f>(Table143454[[#This Row],[JPN]]-B186)/B186</f>
        <v>4.1057812902397649E-2</v>
      </c>
      <c r="F198" s="34">
        <f>VLOOKUP(Table143454[[#This Row],[Date]],'Data Core CPI'!$A:$AX,MATCH($B$2,'Data Core CPI'!$B$1:$AX$1,0),FALSE)</f>
        <v>5.0825060000000004</v>
      </c>
      <c r="G198" s="35">
        <f t="shared" si="12"/>
        <v>1.1651519691069367E-3</v>
      </c>
      <c r="H198" s="35">
        <f t="shared" si="13"/>
        <v>1.4071772757529688E-2</v>
      </c>
      <c r="I198" s="35">
        <f>(Table143454[[#This Row],[Core CPI]]-F186)/F186</f>
        <v>4.7510658009041744E-2</v>
      </c>
    </row>
    <row r="199" spans="1:9" x14ac:dyDescent="0.35">
      <c r="A199" s="33">
        <f>IF(Data!A226="",#N/A,Data!A226)</f>
        <v>24716</v>
      </c>
      <c r="B199" s="34">
        <f>VLOOKUP(A199,Data!A:AX,MATCH($B$2,Data!$B$1:$AX$1,0),FALSE)</f>
        <v>5.2478689999999997</v>
      </c>
      <c r="C199" s="35">
        <f t="shared" si="14"/>
        <v>4.8031863472022263E-3</v>
      </c>
      <c r="D199" s="35">
        <f t="shared" si="11"/>
        <v>5.9185539932296694E-2</v>
      </c>
      <c r="E199" s="35">
        <f>(Table143454[[#This Row],[JPN]]-B187)/B187</f>
        <v>4.5361828122130153E-2</v>
      </c>
      <c r="F199" s="34">
        <f>VLOOKUP(Table143454[[#This Row],[Date]],'Data Core CPI'!$A:$AX,MATCH($B$2,'Data Core CPI'!$B$1:$AX$1,0),FALSE)</f>
        <v>5.1112580000000003</v>
      </c>
      <c r="G199" s="35">
        <f t="shared" si="12"/>
        <v>5.6570518559151406E-3</v>
      </c>
      <c r="H199" s="35">
        <f t="shared" si="13"/>
        <v>7.003710982454181E-2</v>
      </c>
      <c r="I199" s="35">
        <f>(Table143454[[#This Row],[Core CPI]]-F187)/F187</f>
        <v>5.1831846280199621E-2</v>
      </c>
    </row>
    <row r="200" spans="1:9" x14ac:dyDescent="0.35">
      <c r="A200" s="33">
        <f>IF(Data!A227="",#N/A,Data!A227)</f>
        <v>24746</v>
      </c>
      <c r="B200" s="34">
        <f>VLOOKUP(A200,Data!A:AX,MATCH($B$2,Data!$B$1:$AX$1,0),FALSE)</f>
        <v>5.2428509999999999</v>
      </c>
      <c r="C200" s="35">
        <f t="shared" si="14"/>
        <v>-9.5619764898857706E-4</v>
      </c>
      <c r="D200" s="35">
        <f t="shared" si="11"/>
        <v>-1.1414218992656378E-2</v>
      </c>
      <c r="E200" s="35">
        <f>(Table143454[[#This Row],[JPN]]-B188)/B188</f>
        <v>4.2973396161518129E-2</v>
      </c>
      <c r="F200" s="34">
        <f>VLOOKUP(Table143454[[#This Row],[Date]],'Data Core CPI'!$A:$AX,MATCH($B$2,'Data Core CPI'!$B$1:$AX$1,0),FALSE)</f>
        <v>5.1111899999999997</v>
      </c>
      <c r="G200" s="35">
        <f t="shared" si="12"/>
        <v>-1.3303965481825664E-5</v>
      </c>
      <c r="H200" s="35">
        <f t="shared" si="13"/>
        <v>-1.5963590459699972E-4</v>
      </c>
      <c r="I200" s="35">
        <f>(Table143454[[#This Row],[Core CPI]]-F188)/F188</f>
        <v>4.8935721777833681E-2</v>
      </c>
    </row>
    <row r="201" spans="1:9" x14ac:dyDescent="0.35">
      <c r="A201" s="33">
        <f>IF(Data!A228="",#N/A,Data!A228)</f>
        <v>24777</v>
      </c>
      <c r="B201" s="34">
        <f>VLOOKUP(A201,Data!A:AX,MATCH($B$2,Data!$B$1:$AX$1,0),FALSE)</f>
        <v>5.2478689999999997</v>
      </c>
      <c r="C201" s="35">
        <f t="shared" si="14"/>
        <v>9.5711283803412428E-4</v>
      </c>
      <c r="D201" s="35">
        <f t="shared" si="11"/>
        <v>1.1546007652492918E-2</v>
      </c>
      <c r="E201" s="35">
        <f>(Table143454[[#This Row],[JPN]]-B189)/B189</f>
        <v>3.7761582562639028E-2</v>
      </c>
      <c r="F201" s="34">
        <f>VLOOKUP(Table143454[[#This Row],[Date]],'Data Core CPI'!$A:$AX,MATCH($B$2,'Data Core CPI'!$B$1:$AX$1,0),FALSE)</f>
        <v>5.1210269999999998</v>
      </c>
      <c r="G201" s="35">
        <f t="shared" si="12"/>
        <v>1.9246007289888123E-3</v>
      </c>
      <c r="H201" s="35">
        <f t="shared" si="13"/>
        <v>2.3341253722004796E-2</v>
      </c>
      <c r="I201" s="35">
        <f>(Table143454[[#This Row],[Core CPI]]-F189)/F189</f>
        <v>4.5531311262074776E-2</v>
      </c>
    </row>
    <row r="202" spans="1:9" x14ac:dyDescent="0.35">
      <c r="A202" s="33">
        <f>IF(Data!A229="",#N/A,Data!A229)</f>
        <v>24807</v>
      </c>
      <c r="B202" s="34">
        <f>VLOOKUP(A202,Data!A:AX,MATCH($B$2,Data!$B$1:$AX$1,0),FALSE)</f>
        <v>5.2478689999999997</v>
      </c>
      <c r="C202" s="35">
        <f t="shared" si="14"/>
        <v>0</v>
      </c>
      <c r="D202" s="35">
        <f t="shared" si="11"/>
        <v>0</v>
      </c>
      <c r="E202" s="35">
        <f>(Table143454[[#This Row],[JPN]]-B190)/B190</f>
        <v>3.0271255911986591E-2</v>
      </c>
      <c r="F202" s="34">
        <f>VLOOKUP(Table143454[[#This Row],[Date]],'Data Core CPI'!$A:$AX,MATCH($B$2,'Data Core CPI'!$B$1:$AX$1,0),FALSE)</f>
        <v>5.1232410000000002</v>
      </c>
      <c r="G202" s="35">
        <f t="shared" si="12"/>
        <v>4.3233515464780048E-4</v>
      </c>
      <c r="H202" s="35">
        <f t="shared" si="13"/>
        <v>5.2003759544099193E-3</v>
      </c>
      <c r="I202" s="35">
        <f>(Table143454[[#This Row],[Core CPI]]-F190)/F190</f>
        <v>3.7043357020451292E-2</v>
      </c>
    </row>
    <row r="203" spans="1:9" x14ac:dyDescent="0.35">
      <c r="A203" s="33">
        <f>IF(Data!A230="",#N/A,Data!A230)</f>
        <v>24838</v>
      </c>
      <c r="B203" s="34">
        <f>VLOOKUP(A203,Data!A:AX,MATCH($B$2,Data!$B$1:$AX$1,0),FALSE)</f>
        <v>5.2579029999999998</v>
      </c>
      <c r="C203" s="35">
        <f t="shared" si="14"/>
        <v>1.912014190903033E-3</v>
      </c>
      <c r="D203" s="35">
        <f t="shared" si="11"/>
        <v>2.3186997398691789E-2</v>
      </c>
      <c r="E203" s="35">
        <f>(Table143454[[#This Row],[JPN]]-B191)/B191</f>
        <v>2.2439042413140681E-2</v>
      </c>
      <c r="F203" s="34">
        <f>VLOOKUP(Table143454[[#This Row],[Date]],'Data Core CPI'!$A:$AX,MATCH($B$2,'Data Core CPI'!$B$1:$AX$1,0),FALSE)</f>
        <v>5.1349169999999997</v>
      </c>
      <c r="G203" s="35">
        <f t="shared" si="12"/>
        <v>2.2790261086682584E-3</v>
      </c>
      <c r="H203" s="35">
        <f t="shared" si="13"/>
        <v>2.7693732244331359E-2</v>
      </c>
      <c r="I203" s="35">
        <f>(Table143454[[#This Row],[Core CPI]]-F191)/F191</f>
        <v>2.621127863395575E-2</v>
      </c>
    </row>
    <row r="204" spans="1:9" x14ac:dyDescent="0.35">
      <c r="A204" s="33">
        <f>IF(Data!A231="",#N/A,Data!A231)</f>
        <v>24869</v>
      </c>
      <c r="B204" s="34">
        <f>VLOOKUP(A204,Data!A:AX,MATCH($B$2,Data!$B$1:$AX$1,0),FALSE)</f>
        <v>5.2579029999999998</v>
      </c>
      <c r="C204" s="35">
        <f t="shared" si="14"/>
        <v>0</v>
      </c>
      <c r="D204" s="35">
        <f t="shared" si="11"/>
        <v>0</v>
      </c>
      <c r="E204" s="35">
        <f>(Table143454[[#This Row],[JPN]]-B192)/B192</f>
        <v>1.9455320063107247E-2</v>
      </c>
      <c r="F204" s="34">
        <f>VLOOKUP(Table143454[[#This Row],[Date]],'Data Core CPI'!$A:$AX,MATCH($B$2,'Data Core CPI'!$B$1:$AX$1,0),FALSE)</f>
        <v>5.1371390000000003</v>
      </c>
      <c r="G204" s="35">
        <f t="shared" si="12"/>
        <v>4.32723644802957E-4</v>
      </c>
      <c r="H204" s="35">
        <f t="shared" si="13"/>
        <v>5.2050600647137735E-3</v>
      </c>
      <c r="I204" s="35">
        <f>(Table143454[[#This Row],[Core CPI]]-F192)/F192</f>
        <v>2.199101221322813E-2</v>
      </c>
    </row>
    <row r="205" spans="1:9" x14ac:dyDescent="0.35">
      <c r="A205" s="33">
        <f>IF(Data!A232="",#N/A,Data!A232)</f>
        <v>24898</v>
      </c>
      <c r="B205" s="34">
        <f>VLOOKUP(A205,Data!A:AX,MATCH($B$2,Data!$B$1:$AX$1,0),FALSE)</f>
        <v>5.2629200000000003</v>
      </c>
      <c r="C205" s="35">
        <f t="shared" si="14"/>
        <v>9.5418268461799904E-4</v>
      </c>
      <c r="D205" s="35">
        <f t="shared" si="11"/>
        <v>1.1510474414584415E-2</v>
      </c>
      <c r="E205" s="35">
        <f>(Table143454[[#This Row],[JPN]]-B193)/B193</f>
        <v>1.8446685547145215E-2</v>
      </c>
      <c r="F205" s="34">
        <f>VLOOKUP(Table143454[[#This Row],[Date]],'Data Core CPI'!$A:$AX,MATCH($B$2,'Data Core CPI'!$B$1:$AX$1,0),FALSE)</f>
        <v>5.1434220000000002</v>
      </c>
      <c r="G205" s="35">
        <f t="shared" si="12"/>
        <v>1.2230543109694736E-3</v>
      </c>
      <c r="H205" s="35">
        <f t="shared" si="13"/>
        <v>1.4775782217819389E-2</v>
      </c>
      <c r="I205" s="35">
        <f>(Table143454[[#This Row],[Core CPI]]-F193)/F193</f>
        <v>2.0870858622276917E-2</v>
      </c>
    </row>
    <row r="206" spans="1:9" x14ac:dyDescent="0.35">
      <c r="A206" s="33">
        <f>IF(Data!A233="",#N/A,Data!A233)</f>
        <v>24929</v>
      </c>
      <c r="B206" s="34">
        <f>VLOOKUP(A206,Data!A:AX,MATCH($B$2,Data!$B$1:$AX$1,0),FALSE)</f>
        <v>5.2729540000000004</v>
      </c>
      <c r="C206" s="35">
        <f t="shared" si="14"/>
        <v>1.9065461758871471E-3</v>
      </c>
      <c r="D206" s="35">
        <f t="shared" si="11"/>
        <v>2.3119989910782568E-2</v>
      </c>
      <c r="E206" s="35">
        <f>(Table143454[[#This Row],[JPN]]-B194)/B194</f>
        <v>1.9398709974767173E-2</v>
      </c>
      <c r="F206" s="34">
        <f>VLOOKUP(Table143454[[#This Row],[Date]],'Data Core CPI'!$A:$AX,MATCH($B$2,'Data Core CPI'!$B$1:$AX$1,0),FALSE)</f>
        <v>5.1559749999999998</v>
      </c>
      <c r="G206" s="35">
        <f t="shared" si="12"/>
        <v>2.4405930526407715E-3</v>
      </c>
      <c r="H206" s="35">
        <f t="shared" si="13"/>
        <v>2.9683461119960342E-2</v>
      </c>
      <c r="I206" s="35">
        <f>(Table143454[[#This Row],[Core CPI]]-F194)/F194</f>
        <v>2.2089004639862402E-2</v>
      </c>
    </row>
    <row r="207" spans="1:9" x14ac:dyDescent="0.35">
      <c r="A207" s="33">
        <f>IF(Data!A234="",#N/A,Data!A234)</f>
        <v>24959</v>
      </c>
      <c r="B207" s="34">
        <f>VLOOKUP(A207,Data!A:AX,MATCH($B$2,Data!$B$1:$AX$1,0),FALSE)</f>
        <v>5.277971</v>
      </c>
      <c r="C207" s="35">
        <f t="shared" si="14"/>
        <v>9.5145908725924322E-4</v>
      </c>
      <c r="D207" s="35">
        <f t="shared" si="11"/>
        <v>1.147744705638587E-2</v>
      </c>
      <c r="E207" s="35">
        <f>(Table143454[[#This Row],[JPN]]-B195)/B195</f>
        <v>1.7408027967886923E-2</v>
      </c>
      <c r="F207" s="34">
        <f>VLOOKUP(Table143454[[#This Row],[Date]],'Data Core CPI'!$A:$AX,MATCH($B$2,'Data Core CPI'!$B$1:$AX$1,0),FALSE)</f>
        <v>5.162687</v>
      </c>
      <c r="G207" s="35">
        <f t="shared" si="12"/>
        <v>1.3017906409553692E-3</v>
      </c>
      <c r="H207" s="35">
        <f t="shared" si="13"/>
        <v>1.573382194164763E-2</v>
      </c>
      <c r="I207" s="35">
        <f>(Table143454[[#This Row],[Core CPI]]-F195)/F195</f>
        <v>2.0595614829997153E-2</v>
      </c>
    </row>
    <row r="208" spans="1:9" x14ac:dyDescent="0.35">
      <c r="A208" s="33">
        <f>IF(Data!A235="",#N/A,Data!A235)</f>
        <v>24990</v>
      </c>
      <c r="B208" s="34">
        <f>VLOOKUP(A208,Data!A:AX,MATCH($B$2,Data!$B$1:$AX$1,0),FALSE)</f>
        <v>5.2729540000000004</v>
      </c>
      <c r="C208" s="35">
        <f t="shared" si="14"/>
        <v>-9.505546733772352E-4</v>
      </c>
      <c r="D208" s="35">
        <f t="shared" si="11"/>
        <v>-1.134721005375483E-2</v>
      </c>
      <c r="E208" s="35">
        <f>(Table143454[[#This Row],[JPN]]-B196)/B196</f>
        <v>1.3500451206725706E-2</v>
      </c>
      <c r="F208" s="34">
        <f>VLOOKUP(Table143454[[#This Row],[Date]],'Data Core CPI'!$A:$AX,MATCH($B$2,'Data Core CPI'!$B$1:$AX$1,0),FALSE)</f>
        <v>5.1577349999999997</v>
      </c>
      <c r="G208" s="35">
        <f t="shared" si="12"/>
        <v>-9.5919043707282103E-4</v>
      </c>
      <c r="H208" s="35">
        <f t="shared" si="13"/>
        <v>-1.1449755920977966E-2</v>
      </c>
      <c r="I208" s="35">
        <f>(Table143454[[#This Row],[Core CPI]]-F196)/F196</f>
        <v>1.7166503408116721E-2</v>
      </c>
    </row>
    <row r="209" spans="1:9" x14ac:dyDescent="0.35">
      <c r="A209" s="33">
        <f>IF(Data!A236="",#N/A,Data!A236)</f>
        <v>25020</v>
      </c>
      <c r="B209" s="34">
        <f>VLOOKUP(A209,Data!A:AX,MATCH($B$2,Data!$B$1:$AX$1,0),FALSE)</f>
        <v>5.2629200000000003</v>
      </c>
      <c r="C209" s="35">
        <f t="shared" si="14"/>
        <v>-1.9029181745184864E-3</v>
      </c>
      <c r="D209" s="35">
        <f t="shared" si="11"/>
        <v>-2.2597535126646195E-2</v>
      </c>
      <c r="E209" s="35">
        <f>(Table143454[[#This Row],[JPN]]-B197)/B197</f>
        <v>9.6246721259743446E-3</v>
      </c>
      <c r="F209" s="34">
        <f>VLOOKUP(Table143454[[#This Row],[Date]],'Data Core CPI'!$A:$AX,MATCH($B$2,'Data Core CPI'!$B$1:$AX$1,0),FALSE)</f>
        <v>5.1518269999999999</v>
      </c>
      <c r="G209" s="35">
        <f t="shared" si="12"/>
        <v>-1.1454640457487786E-3</v>
      </c>
      <c r="H209" s="35">
        <f t="shared" si="13"/>
        <v>-1.3659300547166686E-2</v>
      </c>
      <c r="I209" s="35">
        <f>(Table143454[[#This Row],[Core CPI]]-F197)/F197</f>
        <v>1.482018149581093E-2</v>
      </c>
    </row>
    <row r="210" spans="1:9" x14ac:dyDescent="0.35">
      <c r="A210" s="33">
        <f>IF(Data!A237="",#N/A,Data!A237)</f>
        <v>25051</v>
      </c>
      <c r="B210" s="34">
        <f>VLOOKUP(A210,Data!A:AX,MATCH($B$2,Data!$B$1:$AX$1,0),FALSE)</f>
        <v>5.2629200000000003</v>
      </c>
      <c r="C210" s="35">
        <f t="shared" si="14"/>
        <v>0</v>
      </c>
      <c r="D210" s="35">
        <f t="shared" si="11"/>
        <v>0</v>
      </c>
      <c r="E210" s="35">
        <f>(Table143454[[#This Row],[JPN]]-B198)/B198</f>
        <v>7.6849832742429723E-3</v>
      </c>
      <c r="F210" s="34">
        <f>VLOOKUP(Table143454[[#This Row],[Date]],'Data Core CPI'!$A:$AX,MATCH($B$2,'Data Core CPI'!$B$1:$AX$1,0),FALSE)</f>
        <v>5.1531580000000003</v>
      </c>
      <c r="G210" s="35">
        <f t="shared" si="12"/>
        <v>2.5835494864256958E-4</v>
      </c>
      <c r="H210" s="35">
        <f t="shared" si="13"/>
        <v>3.1046685001510088E-3</v>
      </c>
      <c r="I210" s="35">
        <f>(Table143454[[#This Row],[Core CPI]]-F198)/F198</f>
        <v>1.3901016545774846E-2</v>
      </c>
    </row>
    <row r="211" spans="1:9" x14ac:dyDescent="0.35">
      <c r="A211" s="33">
        <f>IF(Data!A238="",#N/A,Data!A238)</f>
        <v>25082</v>
      </c>
      <c r="B211" s="34">
        <f>VLOOKUP(A211,Data!A:AX,MATCH($B$2,Data!$B$1:$AX$1,0),FALSE)</f>
        <v>5.2679369999999999</v>
      </c>
      <c r="C211" s="35">
        <f t="shared" si="14"/>
        <v>9.5327308794357357E-4</v>
      </c>
      <c r="D211" s="35">
        <f t="shared" si="11"/>
        <v>1.1499444195845809E-2</v>
      </c>
      <c r="E211" s="35">
        <f>(Table143454[[#This Row],[JPN]]-B199)/B199</f>
        <v>3.8240283818060622E-3</v>
      </c>
      <c r="F211" s="34">
        <f>VLOOKUP(Table143454[[#This Row],[Date]],'Data Core CPI'!$A:$AX,MATCH($B$2,'Data Core CPI'!$B$1:$AX$1,0),FALSE)</f>
        <v>5.1607789999999998</v>
      </c>
      <c r="G211" s="35">
        <f t="shared" si="12"/>
        <v>1.4788989586578261E-3</v>
      </c>
      <c r="H211" s="35">
        <f t="shared" si="13"/>
        <v>1.7891852861646074E-2</v>
      </c>
      <c r="I211" s="35">
        <f>(Table143454[[#This Row],[Core CPI]]-F199)/F199</f>
        <v>9.6886128620389499E-3</v>
      </c>
    </row>
    <row r="212" spans="1:9" x14ac:dyDescent="0.35">
      <c r="A212" s="33">
        <f>IF(Data!A239="",#N/A,Data!A239)</f>
        <v>25112</v>
      </c>
      <c r="B212" s="34">
        <f>VLOOKUP(A212,Data!A:AX,MATCH($B$2,Data!$B$1:$AX$1,0),FALSE)</f>
        <v>5.2729540000000004</v>
      </c>
      <c r="C212" s="35">
        <f t="shared" si="14"/>
        <v>9.5236522380592881E-4</v>
      </c>
      <c r="D212" s="35">
        <f t="shared" si="11"/>
        <v>1.1488435096646876E-2</v>
      </c>
      <c r="E212" s="35">
        <f>(Table143454[[#This Row],[JPN]]-B200)/B200</f>
        <v>5.7417233486132709E-3</v>
      </c>
      <c r="F212" s="34">
        <f>VLOOKUP(Table143454[[#This Row],[Date]],'Data Core CPI'!$A:$AX,MATCH($B$2,'Data Core CPI'!$B$1:$AX$1,0),FALSE)</f>
        <v>5.1643990000000004</v>
      </c>
      <c r="G212" s="35">
        <f t="shared" si="12"/>
        <v>7.0144449122899744E-4</v>
      </c>
      <c r="H212" s="35">
        <f t="shared" si="13"/>
        <v>8.4498835515316451E-3</v>
      </c>
      <c r="I212" s="35">
        <f>(Table143454[[#This Row],[Core CPI]]-F200)/F200</f>
        <v>1.0410295841086074E-2</v>
      </c>
    </row>
    <row r="213" spans="1:9" x14ac:dyDescent="0.35">
      <c r="A213" s="33">
        <f>IF(Data!A240="",#N/A,Data!A240)</f>
        <v>25143</v>
      </c>
      <c r="B213" s="34">
        <f>VLOOKUP(A213,Data!A:AX,MATCH($B$2,Data!$B$1:$AX$1,0),FALSE)</f>
        <v>5.2829879999999996</v>
      </c>
      <c r="C213" s="35">
        <f t="shared" si="14"/>
        <v>1.9029181745182644E-3</v>
      </c>
      <c r="D213" s="35">
        <f t="shared" si="11"/>
        <v>2.3075532988371616E-2</v>
      </c>
      <c r="E213" s="35">
        <f>(Table143454[[#This Row],[JPN]]-B201)/B201</f>
        <v>6.6920496681605246E-3</v>
      </c>
      <c r="F213" s="34">
        <f>VLOOKUP(Table143454[[#This Row],[Date]],'Data Core CPI'!$A:$AX,MATCH($B$2,'Data Core CPI'!$B$1:$AX$1,0),FALSE)</f>
        <v>5.1707489999999998</v>
      </c>
      <c r="G213" s="35">
        <f t="shared" si="12"/>
        <v>1.2295719211470324E-3</v>
      </c>
      <c r="H213" s="35">
        <f t="shared" si="13"/>
        <v>1.4855055060064126E-2</v>
      </c>
      <c r="I213" s="35">
        <f>(Table143454[[#This Row],[Core CPI]]-F201)/F201</f>
        <v>9.7093805597978783E-3</v>
      </c>
    </row>
    <row r="214" spans="1:9" x14ac:dyDescent="0.35">
      <c r="A214" s="33">
        <f>IF(Data!A241="",#N/A,Data!A241)</f>
        <v>25173</v>
      </c>
      <c r="B214" s="34">
        <f>VLOOKUP(A214,Data!A:AX,MATCH($B$2,Data!$B$1:$AX$1,0),FALSE)</f>
        <v>5.2980390000000002</v>
      </c>
      <c r="C214" s="35">
        <f t="shared" si="14"/>
        <v>2.8489559317568247E-3</v>
      </c>
      <c r="D214" s="35">
        <f t="shared" si="11"/>
        <v>3.4728283445951691E-2</v>
      </c>
      <c r="E214" s="35">
        <f>(Table143454[[#This Row],[JPN]]-B202)/B202</f>
        <v>9.5600709545151548E-3</v>
      </c>
      <c r="F214" s="34">
        <f>VLOOKUP(Table143454[[#This Row],[Date]],'Data Core CPI'!$A:$AX,MATCH($B$2,'Data Core CPI'!$B$1:$AX$1,0),FALSE)</f>
        <v>5.1811610000000003</v>
      </c>
      <c r="G214" s="35">
        <f t="shared" si="12"/>
        <v>2.0136347751555927E-3</v>
      </c>
      <c r="H214" s="35">
        <f t="shared" si="13"/>
        <v>2.4433033558612705E-2</v>
      </c>
      <c r="I214" s="35">
        <f>(Table143454[[#This Row],[Core CPI]]-F202)/F202</f>
        <v>1.1305343629159782E-2</v>
      </c>
    </row>
    <row r="215" spans="1:9" x14ac:dyDescent="0.35">
      <c r="A215" s="33">
        <f>IF(Data!A242="",#N/A,Data!A242)</f>
        <v>25204</v>
      </c>
      <c r="B215" s="34">
        <f>VLOOKUP(A215,Data!A:AX,MATCH($B$2,Data!$B$1:$AX$1,0),FALSE)</f>
        <v>5.313091</v>
      </c>
      <c r="C215" s="35">
        <f t="shared" si="14"/>
        <v>2.8410511889398471E-3</v>
      </c>
      <c r="D215" s="35">
        <f t="shared" si="11"/>
        <v>3.463041539112699E-2</v>
      </c>
      <c r="E215" s="35">
        <f>(Table143454[[#This Row],[JPN]]-B203)/B203</f>
        <v>1.0496199720687171E-2</v>
      </c>
      <c r="F215" s="34">
        <f>VLOOKUP(Table143454[[#This Row],[Date]],'Data Core CPI'!$A:$AX,MATCH($B$2,'Data Core CPI'!$B$1:$AX$1,0),FALSE)</f>
        <v>5.1946839999999996</v>
      </c>
      <c r="G215" s="35">
        <f t="shared" si="12"/>
        <v>2.6100327706473081E-3</v>
      </c>
      <c r="H215" s="35">
        <f t="shared" si="13"/>
        <v>3.1773937860847035E-2</v>
      </c>
      <c r="I215" s="35">
        <f>(Table143454[[#This Row],[Core CPI]]-F203)/F203</f>
        <v>1.163933126864561E-2</v>
      </c>
    </row>
    <row r="216" spans="1:9" x14ac:dyDescent="0.35">
      <c r="A216" s="33">
        <f>IF(Data!A243="",#N/A,Data!A243)</f>
        <v>25235</v>
      </c>
      <c r="B216" s="34">
        <f>VLOOKUP(A216,Data!A:AX,MATCH($B$2,Data!$B$1:$AX$1,0),FALSE)</f>
        <v>5.3231250000000001</v>
      </c>
      <c r="C216" s="35">
        <f t="shared" si="14"/>
        <v>1.888542846339325E-3</v>
      </c>
      <c r="D216" s="35">
        <f t="shared" si="11"/>
        <v>2.2899397527739396E-2</v>
      </c>
      <c r="E216" s="35">
        <f>(Table143454[[#This Row],[JPN]]-B204)/B204</f>
        <v>1.2404565089922796E-2</v>
      </c>
      <c r="F216" s="34">
        <f>VLOOKUP(Table143454[[#This Row],[Date]],'Data Core CPI'!$A:$AX,MATCH($B$2,'Data Core CPI'!$B$1:$AX$1,0),FALSE)</f>
        <v>5.2063670000000002</v>
      </c>
      <c r="G216" s="35">
        <f t="shared" si="12"/>
        <v>2.2490299698691985E-3</v>
      </c>
      <c r="H216" s="35">
        <f t="shared" si="13"/>
        <v>2.7324712009505925E-2</v>
      </c>
      <c r="I216" s="35">
        <f>(Table143454[[#This Row],[Core CPI]]-F204)/F204</f>
        <v>1.3475983421900758E-2</v>
      </c>
    </row>
    <row r="217" spans="1:9" x14ac:dyDescent="0.35">
      <c r="A217" s="33">
        <f>IF(Data!A244="",#N/A,Data!A244)</f>
        <v>25263</v>
      </c>
      <c r="B217" s="34">
        <f>VLOOKUP(A217,Data!A:AX,MATCH($B$2,Data!$B$1:$AX$1,0),FALSE)</f>
        <v>5.3431930000000003</v>
      </c>
      <c r="C217" s="35">
        <f t="shared" si="14"/>
        <v>3.7699659504519811E-3</v>
      </c>
      <c r="D217" s="35">
        <f t="shared" si="11"/>
        <v>4.618951431635554E-2</v>
      </c>
      <c r="E217" s="35">
        <f>(Table143454[[#This Row],[JPN]]-B205)/B205</f>
        <v>1.5252559415685596E-2</v>
      </c>
      <c r="F217" s="34">
        <f>VLOOKUP(Table143454[[#This Row],[Date]],'Data Core CPI'!$A:$AX,MATCH($B$2,'Data Core CPI'!$B$1:$AX$1,0),FALSE)</f>
        <v>5.2314920000000003</v>
      </c>
      <c r="G217" s="35">
        <f t="shared" si="12"/>
        <v>4.8258219215049358E-3</v>
      </c>
      <c r="H217" s="35">
        <f t="shared" si="13"/>
        <v>5.9471903400338588E-2</v>
      </c>
      <c r="I217" s="35">
        <f>(Table143454[[#This Row],[Core CPI]]-F205)/F205</f>
        <v>1.7122841563457187E-2</v>
      </c>
    </row>
    <row r="218" spans="1:9" x14ac:dyDescent="0.35">
      <c r="A218" s="33">
        <f>IF(Data!A245="",#N/A,Data!A245)</f>
        <v>25294</v>
      </c>
      <c r="B218" s="34">
        <f>VLOOKUP(A218,Data!A:AX,MATCH($B$2,Data!$B$1:$AX$1,0),FALSE)</f>
        <v>5.3632609999999996</v>
      </c>
      <c r="C218" s="35">
        <f t="shared" si="14"/>
        <v>3.7558066871250517E-3</v>
      </c>
      <c r="D218" s="35">
        <f t="shared" si="11"/>
        <v>4.6012436410683977E-2</v>
      </c>
      <c r="E218" s="35">
        <f>(Table143454[[#This Row],[JPN]]-B206)/B206</f>
        <v>1.7126453217683909E-2</v>
      </c>
      <c r="F218" s="34">
        <f>VLOOKUP(Table143454[[#This Row],[Date]],'Data Core CPI'!$A:$AX,MATCH($B$2,'Data Core CPI'!$B$1:$AX$1,0),FALSE)</f>
        <v>5.2477450000000001</v>
      </c>
      <c r="G218" s="35">
        <f t="shared" si="12"/>
        <v>3.1067618950768594E-3</v>
      </c>
      <c r="H218" s="35">
        <f t="shared" si="13"/>
        <v>3.7924816072249179E-2</v>
      </c>
      <c r="I218" s="35">
        <f>(Table143454[[#This Row],[Core CPI]]-F206)/F206</f>
        <v>1.7798767449415553E-2</v>
      </c>
    </row>
    <row r="219" spans="1:9" x14ac:dyDescent="0.35">
      <c r="A219" s="33">
        <f>IF(Data!A246="",#N/A,Data!A246)</f>
        <v>25324</v>
      </c>
      <c r="B219" s="34">
        <f>VLOOKUP(A219,Data!A:AX,MATCH($B$2,Data!$B$1:$AX$1,0),FALSE)</f>
        <v>5.3783130000000003</v>
      </c>
      <c r="C219" s="35">
        <f t="shared" si="14"/>
        <v>2.8065014922824538E-3</v>
      </c>
      <c r="D219" s="35">
        <f t="shared" si="11"/>
        <v>3.4202757655606986E-2</v>
      </c>
      <c r="E219" s="35">
        <f>(Table143454[[#This Row],[JPN]]-B207)/B207</f>
        <v>1.9011472401042062E-2</v>
      </c>
      <c r="F219" s="34">
        <f>VLOOKUP(Table143454[[#This Row],[Date]],'Data Core CPI'!$A:$AX,MATCH($B$2,'Data Core CPI'!$B$1:$AX$1,0),FALSE)</f>
        <v>5.2555069999999997</v>
      </c>
      <c r="G219" s="35">
        <f t="shared" si="12"/>
        <v>1.4791115040839742E-3</v>
      </c>
      <c r="H219" s="35">
        <f t="shared" si="13"/>
        <v>1.7894445209948318E-2</v>
      </c>
      <c r="I219" s="35">
        <f>(Table143454[[#This Row],[Core CPI]]-F207)/F207</f>
        <v>1.7979009767588018E-2</v>
      </c>
    </row>
    <row r="220" spans="1:9" x14ac:dyDescent="0.35">
      <c r="A220" s="33">
        <f>IF(Data!A247="",#N/A,Data!A247)</f>
        <v>25355</v>
      </c>
      <c r="B220" s="34">
        <f>VLOOKUP(A220,Data!A:AX,MATCH($B$2,Data!$B$1:$AX$1,0),FALSE)</f>
        <v>5.3983809999999997</v>
      </c>
      <c r="C220" s="35">
        <f t="shared" si="14"/>
        <v>3.7312815375376562E-3</v>
      </c>
      <c r="D220" s="35">
        <f t="shared" si="11"/>
        <v>4.5705786157804518E-2</v>
      </c>
      <c r="E220" s="35">
        <f>(Table143454[[#This Row],[JPN]]-B208)/B208</f>
        <v>2.3786856475516243E-2</v>
      </c>
      <c r="F220" s="34">
        <f>VLOOKUP(Table143454[[#This Row],[Date]],'Data Core CPI'!$A:$AX,MATCH($B$2,'Data Core CPI'!$B$1:$AX$1,0),FALSE)</f>
        <v>5.2633419999999997</v>
      </c>
      <c r="G220" s="35">
        <f t="shared" si="12"/>
        <v>1.4908171561753836E-3</v>
      </c>
      <c r="H220" s="35">
        <f t="shared" si="13"/>
        <v>1.8037224634217086E-2</v>
      </c>
      <c r="I220" s="35">
        <f>(Table143454[[#This Row],[Core CPI]]-F208)/F208</f>
        <v>2.0475460643092368E-2</v>
      </c>
    </row>
    <row r="221" spans="1:9" x14ac:dyDescent="0.35">
      <c r="A221" s="33">
        <f>IF(Data!A248="",#N/A,Data!A248)</f>
        <v>25385</v>
      </c>
      <c r="B221" s="34">
        <f>VLOOKUP(A221,Data!A:AX,MATCH($B$2,Data!$B$1:$AX$1,0),FALSE)</f>
        <v>5.4284829999999999</v>
      </c>
      <c r="C221" s="35">
        <f t="shared" si="14"/>
        <v>5.576116246704288E-3</v>
      </c>
      <c r="D221" s="35">
        <f t="shared" si="11"/>
        <v>6.9004163880751479E-2</v>
      </c>
      <c r="E221" s="35">
        <f>(Table143454[[#This Row],[JPN]]-B209)/B209</f>
        <v>3.1458391919314689E-2</v>
      </c>
      <c r="F221" s="34">
        <f>VLOOKUP(Table143454[[#This Row],[Date]],'Data Core CPI'!$A:$AX,MATCH($B$2,'Data Core CPI'!$B$1:$AX$1,0),FALSE)</f>
        <v>5.2921680000000002</v>
      </c>
      <c r="G221" s="35">
        <f t="shared" si="12"/>
        <v>5.4767484233402275E-3</v>
      </c>
      <c r="H221" s="35">
        <f t="shared" si="13"/>
        <v>6.7737225631704812E-2</v>
      </c>
      <c r="I221" s="35">
        <f>(Table143454[[#This Row],[Core CPI]]-F209)/F209</f>
        <v>2.7241015662987183E-2</v>
      </c>
    </row>
    <row r="222" spans="1:9" x14ac:dyDescent="0.35">
      <c r="A222" s="33">
        <f>IF(Data!A249="",#N/A,Data!A249)</f>
        <v>25416</v>
      </c>
      <c r="B222" s="34">
        <f>VLOOKUP(A222,Data!A:AX,MATCH($B$2,Data!$B$1:$AX$1,0),FALSE)</f>
        <v>5.4435349999999998</v>
      </c>
      <c r="C222" s="35">
        <f t="shared" si="14"/>
        <v>2.7727820092648958E-3</v>
      </c>
      <c r="D222" s="35">
        <f t="shared" si="11"/>
        <v>3.3785532593495038E-2</v>
      </c>
      <c r="E222" s="35">
        <f>(Table143454[[#This Row],[JPN]]-B210)/B210</f>
        <v>3.4318401191733773E-2</v>
      </c>
      <c r="F222" s="34">
        <f>VLOOKUP(Table143454[[#This Row],[Date]],'Data Core CPI'!$A:$AX,MATCH($B$2,'Data Core CPI'!$B$1:$AX$1,0),FALSE)</f>
        <v>5.3074770000000004</v>
      </c>
      <c r="G222" s="35">
        <f t="shared" si="12"/>
        <v>2.8927653090378147E-3</v>
      </c>
      <c r="H222" s="35">
        <f t="shared" si="13"/>
        <v>3.5270838069789034E-2</v>
      </c>
      <c r="I222" s="35">
        <f>(Table143454[[#This Row],[Core CPI]]-F210)/F210</f>
        <v>2.9946491064314365E-2</v>
      </c>
    </row>
    <row r="223" spans="1:9" x14ac:dyDescent="0.35">
      <c r="A223" s="33">
        <f>IF(Data!A250="",#N/A,Data!A250)</f>
        <v>25447</v>
      </c>
      <c r="B223" s="34">
        <f>VLOOKUP(A223,Data!A:AX,MATCH($B$2,Data!$B$1:$AX$1,0),FALSE)</f>
        <v>5.4535689999999999</v>
      </c>
      <c r="C223" s="35">
        <f t="shared" si="14"/>
        <v>1.8432874960847556E-3</v>
      </c>
      <c r="D223" s="35">
        <f t="shared" si="11"/>
        <v>2.2345082314659148E-2</v>
      </c>
      <c r="E223" s="35">
        <f>(Table143454[[#This Row],[JPN]]-B211)/B211</f>
        <v>3.5238082763708073E-2</v>
      </c>
      <c r="F223" s="34">
        <f>VLOOKUP(Table143454[[#This Row],[Date]],'Data Core CPI'!$A:$AX,MATCH($B$2,'Data Core CPI'!$B$1:$AX$1,0),FALSE)</f>
        <v>5.3209390000000001</v>
      </c>
      <c r="G223" s="35">
        <f t="shared" si="12"/>
        <v>2.5364217310785975E-3</v>
      </c>
      <c r="H223" s="35">
        <f t="shared" si="13"/>
        <v>3.0865278006058317E-2</v>
      </c>
      <c r="I223" s="35">
        <f>(Table143454[[#This Row],[Core CPI]]-F211)/F211</f>
        <v>3.1034074506968871E-2</v>
      </c>
    </row>
    <row r="224" spans="1:9" x14ac:dyDescent="0.35">
      <c r="A224" s="33">
        <f>IF(Data!A251="",#N/A,Data!A251)</f>
        <v>25477</v>
      </c>
      <c r="B224" s="34">
        <f>VLOOKUP(A224,Data!A:AX,MATCH($B$2,Data!$B$1:$AX$1,0),FALSE)</f>
        <v>5.4686199999999996</v>
      </c>
      <c r="C224" s="35">
        <f t="shared" si="14"/>
        <v>2.7598440580838268E-3</v>
      </c>
      <c r="D224" s="35">
        <f t="shared" si="11"/>
        <v>3.3625486953102302E-2</v>
      </c>
      <c r="E224" s="35">
        <f>(Table143454[[#This Row],[JPN]]-B212)/B212</f>
        <v>3.7107473344163297E-2</v>
      </c>
      <c r="F224" s="34">
        <f>VLOOKUP(Table143454[[#This Row],[Date]],'Data Core CPI'!$A:$AX,MATCH($B$2,'Data Core CPI'!$B$1:$AX$1,0),FALSE)</f>
        <v>5.3384689999999999</v>
      </c>
      <c r="G224" s="35">
        <f t="shared" si="12"/>
        <v>3.2945312847976194E-3</v>
      </c>
      <c r="H224" s="35">
        <f t="shared" si="13"/>
        <v>4.0258660741844254E-2</v>
      </c>
      <c r="I224" s="35">
        <f>(Table143454[[#This Row],[Core CPI]]-F212)/F212</f>
        <v>3.37057613093023E-2</v>
      </c>
    </row>
    <row r="225" spans="1:9" x14ac:dyDescent="0.35">
      <c r="A225" s="33">
        <f>IF(Data!A252="",#N/A,Data!A252)</f>
        <v>25508</v>
      </c>
      <c r="B225" s="34">
        <f>VLOOKUP(A225,Data!A:AX,MATCH($B$2,Data!$B$1:$AX$1,0),FALSE)</f>
        <v>5.498723</v>
      </c>
      <c r="C225" s="35">
        <f t="shared" si="14"/>
        <v>5.5046794255224629E-3</v>
      </c>
      <c r="D225" s="35">
        <f t="shared" si="11"/>
        <v>6.8093206346883095E-2</v>
      </c>
      <c r="E225" s="35">
        <f>(Table143454[[#This Row],[JPN]]-B213)/B213</f>
        <v>4.0835792169128624E-2</v>
      </c>
      <c r="F225" s="34">
        <f>VLOOKUP(Table143454[[#This Row],[Date]],'Data Core CPI'!$A:$AX,MATCH($B$2,'Data Core CPI'!$B$1:$AX$1,0),FALSE)</f>
        <v>5.3717309999999996</v>
      </c>
      <c r="G225" s="35">
        <f t="shared" si="12"/>
        <v>6.2306252972528231E-3</v>
      </c>
      <c r="H225" s="35">
        <f t="shared" si="13"/>
        <v>7.738363567148987E-2</v>
      </c>
      <c r="I225" s="35">
        <f>(Table143454[[#This Row],[Core CPI]]-F213)/F213</f>
        <v>3.8869030386120031E-2</v>
      </c>
    </row>
    <row r="226" spans="1:9" x14ac:dyDescent="0.35">
      <c r="A226" s="33">
        <f>IF(Data!A253="",#N/A,Data!A253)</f>
        <v>25538</v>
      </c>
      <c r="B226" s="34">
        <f>VLOOKUP(A226,Data!A:AX,MATCH($B$2,Data!$B$1:$AX$1,0),FALSE)</f>
        <v>5.5187910000000002</v>
      </c>
      <c r="C226" s="35">
        <f t="shared" si="14"/>
        <v>3.649574637602182E-3</v>
      </c>
      <c r="D226" s="35">
        <f t="shared" si="11"/>
        <v>4.468475828243923E-2</v>
      </c>
      <c r="E226" s="35">
        <f>(Table143454[[#This Row],[JPN]]-B214)/B214</f>
        <v>4.1666737447572592E-2</v>
      </c>
      <c r="F226" s="34">
        <f>VLOOKUP(Table143454[[#This Row],[Date]],'Data Core CPI'!$A:$AX,MATCH($B$2,'Data Core CPI'!$B$1:$AX$1,0),FALSE)</f>
        <v>5.3844440000000002</v>
      </c>
      <c r="G226" s="35">
        <f t="shared" si="12"/>
        <v>2.3666486650206764E-3</v>
      </c>
      <c r="H226" s="35">
        <f t="shared" si="13"/>
        <v>2.877238352304734E-2</v>
      </c>
      <c r="I226" s="35">
        <f>(Table143454[[#This Row],[Core CPI]]-F214)/F214</f>
        <v>3.9235028596872376E-2</v>
      </c>
    </row>
    <row r="227" spans="1:9" x14ac:dyDescent="0.35">
      <c r="A227" s="33">
        <f>IF(Data!A254="",#N/A,Data!A254)</f>
        <v>25569</v>
      </c>
      <c r="B227" s="34">
        <f>VLOOKUP(A227,Data!A:AX,MATCH($B$2,Data!$B$1:$AX$1,0),FALSE)</f>
        <v>5.543876</v>
      </c>
      <c r="C227" s="35">
        <f t="shared" si="14"/>
        <v>4.5453795949148557E-3</v>
      </c>
      <c r="D227" s="35">
        <f t="shared" si="11"/>
        <v>5.5929019505835509E-2</v>
      </c>
      <c r="E227" s="35">
        <f>(Table143454[[#This Row],[JPN]]-B215)/B215</f>
        <v>4.3437050108872596E-2</v>
      </c>
      <c r="F227" s="34">
        <f>VLOOKUP(Table143454[[#This Row],[Date]],'Data Core CPI'!$A:$AX,MATCH($B$2,'Data Core CPI'!$B$1:$AX$1,0),FALSE)</f>
        <v>5.4034529999999998</v>
      </c>
      <c r="G227" s="35">
        <f t="shared" si="12"/>
        <v>3.5303552233061364E-3</v>
      </c>
      <c r="H227" s="35">
        <f t="shared" si="13"/>
        <v>4.3196604992221888E-2</v>
      </c>
      <c r="I227" s="35">
        <f>(Table143454[[#This Row],[Core CPI]]-F215)/F215</f>
        <v>4.0188970108672679E-2</v>
      </c>
    </row>
    <row r="228" spans="1:9" x14ac:dyDescent="0.35">
      <c r="A228" s="33">
        <f>IF(Data!A255="",#N/A,Data!A255)</f>
        <v>25600</v>
      </c>
      <c r="B228" s="34">
        <f>VLOOKUP(A228,Data!A:AX,MATCH($B$2,Data!$B$1:$AX$1,0),FALSE)</f>
        <v>5.5890300000000002</v>
      </c>
      <c r="C228" s="35">
        <f t="shared" si="14"/>
        <v>8.144843066475449E-3</v>
      </c>
      <c r="D228" s="35">
        <f t="shared" si="11"/>
        <v>0.10223753238745692</v>
      </c>
      <c r="E228" s="35">
        <f>(Table143454[[#This Row],[JPN]]-B216)/B216</f>
        <v>4.9952800281789375E-2</v>
      </c>
      <c r="F228" s="34">
        <f>VLOOKUP(Table143454[[#This Row],[Date]],'Data Core CPI'!$A:$AX,MATCH($B$2,'Data Core CPI'!$B$1:$AX$1,0),FALSE)</f>
        <v>5.4559990000000003</v>
      </c>
      <c r="G228" s="35">
        <f t="shared" si="12"/>
        <v>9.7245224488859972E-3</v>
      </c>
      <c r="H228" s="35">
        <f t="shared" si="13"/>
        <v>0.12314245870760199</v>
      </c>
      <c r="I228" s="35">
        <f>(Table143454[[#This Row],[Core CPI]]-F216)/F216</f>
        <v>4.7947445886930382E-2</v>
      </c>
    </row>
    <row r="229" spans="1:9" x14ac:dyDescent="0.35">
      <c r="A229" s="33">
        <f>IF(Data!A256="",#N/A,Data!A256)</f>
        <v>25628</v>
      </c>
      <c r="B229" s="34">
        <f>VLOOKUP(A229,Data!A:AX,MATCH($B$2,Data!$B$1:$AX$1,0),FALSE)</f>
        <v>5.6090980000000004</v>
      </c>
      <c r="C229" s="35">
        <f t="shared" si="14"/>
        <v>3.5906051676231066E-3</v>
      </c>
      <c r="D229" s="35">
        <f t="shared" si="11"/>
        <v>4.3948430333535793E-2</v>
      </c>
      <c r="E229" s="35">
        <f>(Table143454[[#This Row],[JPN]]-B217)/B217</f>
        <v>4.9765187220450403E-2</v>
      </c>
      <c r="F229" s="34">
        <f>VLOOKUP(Table143454[[#This Row],[Date]],'Data Core CPI'!$A:$AX,MATCH($B$2,'Data Core CPI'!$B$1:$AX$1,0),FALSE)</f>
        <v>5.4700439999999997</v>
      </c>
      <c r="G229" s="35">
        <f t="shared" si="12"/>
        <v>2.5742306770950574E-3</v>
      </c>
      <c r="H229" s="35">
        <f t="shared" si="13"/>
        <v>3.1331902631266395E-2</v>
      </c>
      <c r="I229" s="35">
        <f>(Table143454[[#This Row],[Core CPI]]-F217)/F217</f>
        <v>4.5599228671285248E-2</v>
      </c>
    </row>
    <row r="230" spans="1:9" x14ac:dyDescent="0.35">
      <c r="A230" s="33">
        <f>IF(Data!A257="",#N/A,Data!A257)</f>
        <v>25659</v>
      </c>
      <c r="B230" s="34">
        <f>VLOOKUP(A230,Data!A:AX,MATCH($B$2,Data!$B$1:$AX$1,0),FALSE)</f>
        <v>5.6341840000000003</v>
      </c>
      <c r="C230" s="35">
        <f t="shared" si="14"/>
        <v>4.4723768420520393E-3</v>
      </c>
      <c r="D230" s="35">
        <f t="shared" si="11"/>
        <v>5.5008544354691047E-2</v>
      </c>
      <c r="E230" s="35">
        <f>(Table143454[[#This Row],[JPN]]-B218)/B218</f>
        <v>5.0514602962637975E-2</v>
      </c>
      <c r="F230" s="34">
        <f>VLOOKUP(Table143454[[#This Row],[Date]],'Data Core CPI'!$A:$AX,MATCH($B$2,'Data Core CPI'!$B$1:$AX$1,0),FALSE)</f>
        <v>5.4899170000000002</v>
      </c>
      <c r="G230" s="35">
        <f t="shared" si="12"/>
        <v>3.6330603556389285E-3</v>
      </c>
      <c r="H230" s="35">
        <f t="shared" si="13"/>
        <v>4.4478503136581748E-2</v>
      </c>
      <c r="I230" s="35">
        <f>(Table143454[[#This Row],[Core CPI]]-F218)/F218</f>
        <v>4.6147821588129766E-2</v>
      </c>
    </row>
    <row r="231" spans="1:9" x14ac:dyDescent="0.35">
      <c r="A231" s="33">
        <f>IF(Data!A258="",#N/A,Data!A258)</f>
        <v>25689</v>
      </c>
      <c r="B231" s="34">
        <f>VLOOKUP(A231,Data!A:AX,MATCH($B$2,Data!$B$1:$AX$1,0),FALSE)</f>
        <v>5.6592690000000001</v>
      </c>
      <c r="C231" s="35">
        <f t="shared" si="14"/>
        <v>4.4522862583116218E-3</v>
      </c>
      <c r="D231" s="35">
        <f t="shared" si="11"/>
        <v>5.4755355837157849E-2</v>
      </c>
      <c r="E231" s="35">
        <f>(Table143454[[#This Row],[JPN]]-B219)/B219</f>
        <v>5.2238685253163906E-2</v>
      </c>
      <c r="F231" s="34">
        <f>VLOOKUP(Table143454[[#This Row],[Date]],'Data Core CPI'!$A:$AX,MATCH($B$2,'Data Core CPI'!$B$1:$AX$1,0),FALSE)</f>
        <v>5.5128950000000003</v>
      </c>
      <c r="G231" s="35">
        <f t="shared" si="12"/>
        <v>4.1854913289216533E-3</v>
      </c>
      <c r="H231" s="35">
        <f t="shared" si="13"/>
        <v>5.1398390193923449E-2</v>
      </c>
      <c r="I231" s="35">
        <f>(Table143454[[#This Row],[Core CPI]]-F219)/F219</f>
        <v>4.8974913362307505E-2</v>
      </c>
    </row>
    <row r="232" spans="1:9" x14ac:dyDescent="0.35">
      <c r="A232" s="33">
        <f>IF(Data!A259="",#N/A,Data!A259)</f>
        <v>25720</v>
      </c>
      <c r="B232" s="34">
        <f>VLOOKUP(A232,Data!A:AX,MATCH($B$2,Data!$B$1:$AX$1,0),FALSE)</f>
        <v>5.6693030000000002</v>
      </c>
      <c r="C232" s="35">
        <f t="shared" si="14"/>
        <v>1.7730205084791617E-3</v>
      </c>
      <c r="D232" s="35">
        <f t="shared" si="11"/>
        <v>2.1484954928583155E-2</v>
      </c>
      <c r="E232" s="35">
        <f>(Table143454[[#This Row],[JPN]]-B220)/B220</f>
        <v>5.0185787183231523E-2</v>
      </c>
      <c r="F232" s="34">
        <f>VLOOKUP(Table143454[[#This Row],[Date]],'Data Core CPI'!$A:$AX,MATCH($B$2,'Data Core CPI'!$B$1:$AX$1,0),FALSE)</f>
        <v>5.5245709999999999</v>
      </c>
      <c r="G232" s="35">
        <f t="shared" si="12"/>
        <v>2.1179434761589011E-3</v>
      </c>
      <c r="H232" s="35">
        <f t="shared" si="13"/>
        <v>2.5713476983121097E-2</v>
      </c>
      <c r="I232" s="35">
        <f>(Table143454[[#This Row],[Core CPI]]-F220)/F220</f>
        <v>4.9631773880549693E-2</v>
      </c>
    </row>
    <row r="233" spans="1:9" x14ac:dyDescent="0.35">
      <c r="A233" s="33">
        <f>IF(Data!A260="",#N/A,Data!A260)</f>
        <v>25750</v>
      </c>
      <c r="B233" s="34">
        <f>VLOOKUP(A233,Data!A:AX,MATCH($B$2,Data!$B$1:$AX$1,0),FALSE)</f>
        <v>5.6793380000000004</v>
      </c>
      <c r="C233" s="35">
        <f t="shared" si="14"/>
        <v>1.7700588590872091E-3</v>
      </c>
      <c r="D233" s="35">
        <f t="shared" si="11"/>
        <v>2.1448716406971657E-2</v>
      </c>
      <c r="E233" s="35">
        <f>(Table143454[[#This Row],[JPN]]-B221)/B221</f>
        <v>4.621088432993168E-2</v>
      </c>
      <c r="F233" s="34">
        <f>VLOOKUP(Table143454[[#This Row],[Date]],'Data Core CPI'!$A:$AX,MATCH($B$2,'Data Core CPI'!$B$1:$AX$1,0),FALSE)</f>
        <v>5.5291480000000002</v>
      </c>
      <c r="G233" s="35">
        <f t="shared" si="12"/>
        <v>8.2848061867624168E-4</v>
      </c>
      <c r="H233" s="35">
        <f t="shared" si="13"/>
        <v>9.9871938501530089E-3</v>
      </c>
      <c r="I233" s="35">
        <f>(Table143454[[#This Row],[Core CPI]]-F221)/F221</f>
        <v>4.4779379641764955E-2</v>
      </c>
    </row>
    <row r="234" spans="1:9" x14ac:dyDescent="0.35">
      <c r="A234" s="33">
        <f>IF(Data!A261="",#N/A,Data!A261)</f>
        <v>25781</v>
      </c>
      <c r="B234" s="34">
        <f>VLOOKUP(A234,Data!A:AX,MATCH($B$2,Data!$B$1:$AX$1,0),FALSE)</f>
        <v>5.6893719999999997</v>
      </c>
      <c r="C234" s="35">
        <f t="shared" si="14"/>
        <v>1.766755209849924E-3</v>
      </c>
      <c r="D234" s="35">
        <f t="shared" si="11"/>
        <v>2.1408294591163113E-2</v>
      </c>
      <c r="E234" s="35">
        <f>(Table143454[[#This Row],[JPN]]-B222)/B222</f>
        <v>4.5161278470699624E-2</v>
      </c>
      <c r="F234" s="34">
        <f>VLOOKUP(Table143454[[#This Row],[Date]],'Data Core CPI'!$A:$AX,MATCH($B$2,'Data Core CPI'!$B$1:$AX$1,0),FALSE)</f>
        <v>5.5403950000000002</v>
      </c>
      <c r="G234" s="35">
        <f t="shared" si="12"/>
        <v>2.0341289471723645E-3</v>
      </c>
      <c r="H234" s="35">
        <f t="shared" si="13"/>
        <v>2.4684494432862136E-2</v>
      </c>
      <c r="I234" s="35">
        <f>(Table143454[[#This Row],[Core CPI]]-F222)/F222</f>
        <v>4.3884881649039593E-2</v>
      </c>
    </row>
    <row r="235" spans="1:9" x14ac:dyDescent="0.35">
      <c r="A235" s="33">
        <f>IF(Data!A262="",#N/A,Data!A262)</f>
        <v>25812</v>
      </c>
      <c r="B235" s="34">
        <f>VLOOKUP(A235,Data!A:AX,MATCH($B$2,Data!$B$1:$AX$1,0),FALSE)</f>
        <v>5.7244919999999997</v>
      </c>
      <c r="C235" s="35">
        <f t="shared" si="14"/>
        <v>6.1729132846297663E-3</v>
      </c>
      <c r="D235" s="35">
        <f t="shared" si="11"/>
        <v>7.6642353908597416E-2</v>
      </c>
      <c r="E235" s="35">
        <f>(Table143454[[#This Row],[JPN]]-B223)/B223</f>
        <v>4.9678109876302987E-2</v>
      </c>
      <c r="F235" s="34">
        <f>VLOOKUP(Table143454[[#This Row],[Date]],'Data Core CPI'!$A:$AX,MATCH($B$2,'Data Core CPI'!$B$1:$AX$1,0),FALSE)</f>
        <v>5.5834859999999997</v>
      </c>
      <c r="G235" s="35">
        <f t="shared" si="12"/>
        <v>7.777604304386232E-3</v>
      </c>
      <c r="H235" s="35">
        <f t="shared" si="13"/>
        <v>9.7429004920105644E-2</v>
      </c>
      <c r="I235" s="35">
        <f>(Table143454[[#This Row],[Core CPI]]-F223)/F223</f>
        <v>4.9342230760397676E-2</v>
      </c>
    </row>
    <row r="236" spans="1:9" x14ac:dyDescent="0.35">
      <c r="A236" s="33">
        <f>IF(Data!A263="",#N/A,Data!A263)</f>
        <v>25842</v>
      </c>
      <c r="B236" s="34">
        <f>VLOOKUP(A236,Data!A:AX,MATCH($B$2,Data!$B$1:$AX$1,0),FALSE)</f>
        <v>5.7495770000000004</v>
      </c>
      <c r="C236" s="35">
        <f t="shared" si="14"/>
        <v>4.3820482236678338E-3</v>
      </c>
      <c r="D236" s="35">
        <f t="shared" si="11"/>
        <v>5.3870629403547809E-2</v>
      </c>
      <c r="E236" s="35">
        <f>(Table143454[[#This Row],[JPN]]-B224)/B224</f>
        <v>5.1376215571753168E-2</v>
      </c>
      <c r="F236" s="34">
        <f>VLOOKUP(Table143454[[#This Row],[Date]],'Data Core CPI'!$A:$AX,MATCH($B$2,'Data Core CPI'!$B$1:$AX$1,0),FALSE)</f>
        <v>5.6131279999999997</v>
      </c>
      <c r="G236" s="35">
        <f t="shared" si="12"/>
        <v>5.3088697634415816E-3</v>
      </c>
      <c r="H236" s="35">
        <f t="shared" si="13"/>
        <v>6.5599901856318033E-2</v>
      </c>
      <c r="I236" s="35">
        <f>(Table143454[[#This Row],[Core CPI]]-F224)/F224</f>
        <v>5.1449020309006152E-2</v>
      </c>
    </row>
    <row r="237" spans="1:9" x14ac:dyDescent="0.35">
      <c r="A237" s="33">
        <f>IF(Data!A264="",#N/A,Data!A264)</f>
        <v>25873</v>
      </c>
      <c r="B237" s="34">
        <f>VLOOKUP(A237,Data!A:AX,MATCH($B$2,Data!$B$1:$AX$1,0),FALSE)</f>
        <v>5.7947309999999996</v>
      </c>
      <c r="C237" s="35">
        <f t="shared" si="14"/>
        <v>7.8534473057756404E-3</v>
      </c>
      <c r="D237" s="35">
        <f t="shared" si="11"/>
        <v>9.8420494738330921E-2</v>
      </c>
      <c r="E237" s="35">
        <f>(Table143454[[#This Row],[JPN]]-B225)/B225</f>
        <v>5.3832135206665181E-2</v>
      </c>
      <c r="F237" s="34">
        <f>VLOOKUP(Table143454[[#This Row],[Date]],'Data Core CPI'!$A:$AX,MATCH($B$2,'Data Core CPI'!$B$1:$AX$1,0),FALSE)</f>
        <v>5.6616790000000004</v>
      </c>
      <c r="G237" s="35">
        <f t="shared" si="12"/>
        <v>8.6495444251406539E-3</v>
      </c>
      <c r="H237" s="35">
        <f t="shared" si="13"/>
        <v>0.10887747202184461</v>
      </c>
      <c r="I237" s="35">
        <f>(Table143454[[#This Row],[Core CPI]]-F225)/F225</f>
        <v>5.3976641793865104E-2</v>
      </c>
    </row>
    <row r="238" spans="1:9" x14ac:dyDescent="0.35">
      <c r="A238" s="33">
        <f>IF(Data!A265="",#N/A,Data!A265)</f>
        <v>25903</v>
      </c>
      <c r="B238" s="34">
        <f>VLOOKUP(A238,Data!A:AX,MATCH($B$2,Data!$B$1:$AX$1,0),FALSE)</f>
        <v>5.8147989999999998</v>
      </c>
      <c r="C238" s="35">
        <f t="shared" si="14"/>
        <v>3.4631460890937049E-3</v>
      </c>
      <c r="D238" s="35">
        <f t="shared" si="11"/>
        <v>4.2358525464294194E-2</v>
      </c>
      <c r="E238" s="35">
        <f>(Table143454[[#This Row],[JPN]]-B226)/B226</f>
        <v>5.3636385215529922E-2</v>
      </c>
      <c r="F238" s="34">
        <f>VLOOKUP(Table143454[[#This Row],[Date]],'Data Core CPI'!$A:$AX,MATCH($B$2,'Data Core CPI'!$B$1:$AX$1,0),FALSE)</f>
        <v>5.6774849999999999</v>
      </c>
      <c r="G238" s="35">
        <f t="shared" si="12"/>
        <v>2.7917513514983394E-3</v>
      </c>
      <c r="H238" s="35">
        <f t="shared" si="13"/>
        <v>3.4020229095230281E-2</v>
      </c>
      <c r="I238" s="35">
        <f>(Table143454[[#This Row],[Core CPI]]-F226)/F226</f>
        <v>5.4423632226465658E-2</v>
      </c>
    </row>
    <row r="239" spans="1:9" x14ac:dyDescent="0.35">
      <c r="A239" s="33">
        <f>IF(Data!A266="",#N/A,Data!A266)</f>
        <v>25934</v>
      </c>
      <c r="B239" s="34">
        <f>VLOOKUP(A239,Data!A:AX,MATCH($B$2,Data!$B$1:$AX$1,0),FALSE)</f>
        <v>5.8331090000000003</v>
      </c>
      <c r="C239" s="35">
        <f t="shared" si="14"/>
        <v>3.1488620672872614E-3</v>
      </c>
      <c r="D239" s="35">
        <f t="shared" si="11"/>
        <v>3.8447674494954898E-2</v>
      </c>
      <c r="E239" s="35">
        <f>(Table143454[[#This Row],[JPN]]-B227)/B227</f>
        <v>5.2171621443192505E-2</v>
      </c>
      <c r="F239" s="34">
        <f>VLOOKUP(Table143454[[#This Row],[Date]],'Data Core CPI'!$A:$AX,MATCH($B$2,'Data Core CPI'!$B$1:$AX$1,0),FALSE)</f>
        <v>5.7362900000000003</v>
      </c>
      <c r="G239" s="35">
        <f t="shared" si="12"/>
        <v>1.0357579104128156E-2</v>
      </c>
      <c r="H239" s="35">
        <f t="shared" si="13"/>
        <v>0.13162163924286241</v>
      </c>
      <c r="I239" s="35">
        <f>(Table143454[[#This Row],[Core CPI]]-F227)/F227</f>
        <v>6.1597093562209299E-2</v>
      </c>
    </row>
    <row r="240" spans="1:9" x14ac:dyDescent="0.35">
      <c r="A240" s="33">
        <f>IF(Data!A267="",#N/A,Data!A267)</f>
        <v>25965</v>
      </c>
      <c r="B240" s="34">
        <f>VLOOKUP(A240,Data!A:AX,MATCH($B$2,Data!$B$1:$AX$1,0),FALSE)</f>
        <v>5.8558279999999998</v>
      </c>
      <c r="C240" s="35">
        <f t="shared" si="14"/>
        <v>3.8948354985308686E-3</v>
      </c>
      <c r="D240" s="35">
        <f t="shared" si="11"/>
        <v>4.7752342084678157E-2</v>
      </c>
      <c r="E240" s="35">
        <f>(Table143454[[#This Row],[JPN]]-B228)/B228</f>
        <v>4.7736011436689305E-2</v>
      </c>
      <c r="F240" s="34">
        <f>VLOOKUP(Table143454[[#This Row],[Date]],'Data Core CPI'!$A:$AX,MATCH($B$2,'Data Core CPI'!$B$1:$AX$1,0),FALSE)</f>
        <v>5.7633070000000002</v>
      </c>
      <c r="G240" s="35">
        <f t="shared" si="12"/>
        <v>4.7098385890531613E-3</v>
      </c>
      <c r="H240" s="35">
        <f t="shared" si="13"/>
        <v>5.8005343537859133E-2</v>
      </c>
      <c r="I240" s="35">
        <f>(Table143454[[#This Row],[Core CPI]]-F228)/F228</f>
        <v>5.6324790382109656E-2</v>
      </c>
    </row>
    <row r="241" spans="1:9" x14ac:dyDescent="0.35">
      <c r="A241" s="33">
        <f>IF(Data!A268="",#N/A,Data!A268)</f>
        <v>25993</v>
      </c>
      <c r="B241" s="34">
        <f>VLOOKUP(A241,Data!A:AX,MATCH($B$2,Data!$B$1:$AX$1,0),FALSE)</f>
        <v>5.8785470000000002</v>
      </c>
      <c r="C241" s="35">
        <f t="shared" si="14"/>
        <v>3.8797246093977833E-3</v>
      </c>
      <c r="D241" s="35">
        <f t="shared" si="11"/>
        <v>4.7563105225320035E-2</v>
      </c>
      <c r="E241" s="35">
        <f>(Table143454[[#This Row],[JPN]]-B229)/B229</f>
        <v>4.8037848509689049E-2</v>
      </c>
      <c r="F241" s="34">
        <f>VLOOKUP(Table143454[[#This Row],[Date]],'Data Core CPI'!$A:$AX,MATCH($B$2,'Data Core CPI'!$B$1:$AX$1,0),FALSE)</f>
        <v>5.788176</v>
      </c>
      <c r="G241" s="35">
        <f t="shared" si="12"/>
        <v>4.3150573099783873E-3</v>
      </c>
      <c r="H241" s="35">
        <f t="shared" si="13"/>
        <v>5.3027437951472578E-2</v>
      </c>
      <c r="I241" s="35">
        <f>(Table143454[[#This Row],[Core CPI]]-F229)/F229</f>
        <v>5.8158947167518273E-2</v>
      </c>
    </row>
    <row r="242" spans="1:9" x14ac:dyDescent="0.35">
      <c r="A242" s="33">
        <f>IF(Data!A269="",#N/A,Data!A269)</f>
        <v>26024</v>
      </c>
      <c r="B242" s="34">
        <f>VLOOKUP(A242,Data!A:AX,MATCH($B$2,Data!$B$1:$AX$1,0),FALSE)</f>
        <v>5.8955859999999998</v>
      </c>
      <c r="C242" s="35">
        <f t="shared" si="14"/>
        <v>2.898505361954129E-3</v>
      </c>
      <c r="D242" s="35">
        <f t="shared" si="11"/>
        <v>3.5341944732451003E-2</v>
      </c>
      <c r="E242" s="35">
        <f>(Table143454[[#This Row],[JPN]]-B230)/B230</f>
        <v>4.6395715865864419E-2</v>
      </c>
      <c r="F242" s="34">
        <f>VLOOKUP(Table143454[[#This Row],[Date]],'Data Core CPI'!$A:$AX,MATCH($B$2,'Data Core CPI'!$B$1:$AX$1,0),FALSE)</f>
        <v>5.8022539999999996</v>
      </c>
      <c r="G242" s="35">
        <f t="shared" si="12"/>
        <v>2.4321997119645111E-3</v>
      </c>
      <c r="H242" s="35">
        <f t="shared" si="13"/>
        <v>2.9580008572399619E-2</v>
      </c>
      <c r="I242" s="35">
        <f>(Table143454[[#This Row],[Core CPI]]-F230)/F230</f>
        <v>5.6892845556681351E-2</v>
      </c>
    </row>
    <row r="243" spans="1:9" x14ac:dyDescent="0.35">
      <c r="A243" s="33">
        <f>IF(Data!A270="",#N/A,Data!A270)</f>
        <v>26054</v>
      </c>
      <c r="B243" s="34">
        <f>VLOOKUP(A243,Data!A:AX,MATCH($B$2,Data!$B$1:$AX$1,0),FALSE)</f>
        <v>5.929665</v>
      </c>
      <c r="C243" s="35">
        <f t="shared" si="14"/>
        <v>5.7804262375276139E-3</v>
      </c>
      <c r="D243" s="35">
        <f t="shared" si="11"/>
        <v>7.1613443773817176E-2</v>
      </c>
      <c r="E243" s="35">
        <f>(Table143454[[#This Row],[JPN]]-B231)/B231</f>
        <v>4.7779315667800887E-2</v>
      </c>
      <c r="F243" s="34">
        <f>VLOOKUP(Table143454[[#This Row],[Date]],'Data Core CPI'!$A:$AX,MATCH($B$2,'Data Core CPI'!$B$1:$AX$1,0),FALSE)</f>
        <v>5.8417880000000002</v>
      </c>
      <c r="G243" s="35">
        <f t="shared" si="12"/>
        <v>6.8135590065516727E-3</v>
      </c>
      <c r="H243" s="35">
        <f t="shared" si="13"/>
        <v>8.4897399009926877E-2</v>
      </c>
      <c r="I243" s="35">
        <f>(Table143454[[#This Row],[Core CPI]]-F231)/F231</f>
        <v>5.9658854376874557E-2</v>
      </c>
    </row>
    <row r="244" spans="1:9" x14ac:dyDescent="0.35">
      <c r="A244" s="33">
        <f>IF(Data!A271="",#N/A,Data!A271)</f>
        <v>26085</v>
      </c>
      <c r="B244" s="34">
        <f>VLOOKUP(A244,Data!A:AX,MATCH($B$2,Data!$B$1:$AX$1,0),FALSE)</f>
        <v>5.9353449999999999</v>
      </c>
      <c r="C244" s="35">
        <f t="shared" si="14"/>
        <v>9.578955978120085E-4</v>
      </c>
      <c r="D244" s="35">
        <f t="shared" si="11"/>
        <v>1.1555500178280997E-2</v>
      </c>
      <c r="E244" s="35">
        <f>(Table143454[[#This Row],[JPN]]-B232)/B232</f>
        <v>4.6926756252047147E-2</v>
      </c>
      <c r="F244" s="34">
        <f>VLOOKUP(Table143454[[#This Row],[Date]],'Data Core CPI'!$A:$AX,MATCH($B$2,'Data Core CPI'!$B$1:$AX$1,0),FALSE)</f>
        <v>5.8443779999999999</v>
      </c>
      <c r="G244" s="35">
        <f t="shared" si="12"/>
        <v>4.4335741043655119E-4</v>
      </c>
      <c r="H244" s="35">
        <f t="shared" si="13"/>
        <v>5.3332814594997391E-3</v>
      </c>
      <c r="I244" s="35">
        <f>(Table143454[[#This Row],[Core CPI]]-F232)/F232</f>
        <v>5.7888114751353539E-2</v>
      </c>
    </row>
    <row r="245" spans="1:9" x14ac:dyDescent="0.35">
      <c r="A245" s="33">
        <f>IF(Data!A272="",#N/A,Data!A272)</f>
        <v>26115</v>
      </c>
      <c r="B245" s="34">
        <f>VLOOKUP(A245,Data!A:AX,MATCH($B$2,Data!$B$1:$AX$1,0),FALSE)</f>
        <v>5.9523840000000003</v>
      </c>
      <c r="C245" s="35">
        <f t="shared" si="14"/>
        <v>2.8707682535724643E-3</v>
      </c>
      <c r="D245" s="35">
        <f t="shared" si="11"/>
        <v>3.4998384258228654E-2</v>
      </c>
      <c r="E245" s="35">
        <f>(Table143454[[#This Row],[JPN]]-B233)/B233</f>
        <v>4.8077082223315443E-2</v>
      </c>
      <c r="F245" s="34">
        <f>VLOOKUP(Table143454[[#This Row],[Date]],'Data Core CPI'!$A:$AX,MATCH($B$2,'Data Core CPI'!$B$1:$AX$1,0),FALSE)</f>
        <v>5.8661880000000002</v>
      </c>
      <c r="G245" s="35">
        <f t="shared" si="12"/>
        <v>3.7317914755001791E-3</v>
      </c>
      <c r="H245" s="35">
        <f t="shared" si="13"/>
        <v>4.5712161329061418E-2</v>
      </c>
      <c r="I245" s="35">
        <f>(Table143454[[#This Row],[Core CPI]]-F233)/F233</f>
        <v>6.0956950329417843E-2</v>
      </c>
    </row>
    <row r="246" spans="1:9" x14ac:dyDescent="0.35">
      <c r="A246" s="33">
        <f>IF(Data!A273="",#N/A,Data!A273)</f>
        <v>26146</v>
      </c>
      <c r="B246" s="34">
        <f>VLOOKUP(A246,Data!A:AX,MATCH($B$2,Data!$B$1:$AX$1,0),FALSE)</f>
        <v>5.9637440000000002</v>
      </c>
      <c r="C246" s="35">
        <f t="shared" si="14"/>
        <v>1.9084790228587334E-3</v>
      </c>
      <c r="D246" s="35">
        <f t="shared" si="11"/>
        <v>2.3143675417551135E-2</v>
      </c>
      <c r="E246" s="35">
        <f>(Table143454[[#This Row],[JPN]]-B234)/B234</f>
        <v>4.82253577371985E-2</v>
      </c>
      <c r="F246" s="34">
        <f>VLOOKUP(Table143454[[#This Row],[Date]],'Data Core CPI'!$A:$AX,MATCH($B$2,'Data Core CPI'!$B$1:$AX$1,0),FALSE)</f>
        <v>5.8734710000000003</v>
      </c>
      <c r="G246" s="35">
        <f t="shared" si="12"/>
        <v>1.2415217514338828E-3</v>
      </c>
      <c r="H246" s="35">
        <f t="shared" si="13"/>
        <v>1.5000414032173559E-2</v>
      </c>
      <c r="I246" s="35">
        <f>(Table143454[[#This Row],[Core CPI]]-F234)/F234</f>
        <v>6.0117735287826976E-2</v>
      </c>
    </row>
    <row r="247" spans="1:9" x14ac:dyDescent="0.35">
      <c r="A247" s="33">
        <f>IF(Data!A274="",#N/A,Data!A274)</f>
        <v>26177</v>
      </c>
      <c r="B247" s="34">
        <f>VLOOKUP(A247,Data!A:AX,MATCH($B$2,Data!$B$1:$AX$1,0),FALSE)</f>
        <v>6.0035020000000001</v>
      </c>
      <c r="C247" s="35">
        <f t="shared" si="14"/>
        <v>6.66661748056252E-3</v>
      </c>
      <c r="D247" s="35">
        <f t="shared" si="11"/>
        <v>8.2998871818623643E-2</v>
      </c>
      <c r="E247" s="35">
        <f>(Table143454[[#This Row],[JPN]]-B235)/B235</f>
        <v>4.8739696028922815E-2</v>
      </c>
      <c r="F247" s="34">
        <f>VLOOKUP(Table143454[[#This Row],[Date]],'Data Core CPI'!$A:$AX,MATCH($B$2,'Data Core CPI'!$B$1:$AX$1,0),FALSE)</f>
        <v>5.9083769999999998</v>
      </c>
      <c r="G247" s="35">
        <f t="shared" si="12"/>
        <v>5.9429935041817039E-3</v>
      </c>
      <c r="H247" s="35">
        <f t="shared" si="13"/>
        <v>7.3693789139424704E-2</v>
      </c>
      <c r="I247" s="35">
        <f>(Table143454[[#This Row],[Core CPI]]-F235)/F235</f>
        <v>5.8187841789161837E-2</v>
      </c>
    </row>
    <row r="248" spans="1:9" x14ac:dyDescent="0.35">
      <c r="A248" s="33">
        <f>IF(Data!A275="",#N/A,Data!A275)</f>
        <v>26207</v>
      </c>
      <c r="B248" s="34">
        <f>VLOOKUP(A248,Data!A:AX,MATCH($B$2,Data!$B$1:$AX$1,0),FALSE)</f>
        <v>6.0319000000000003</v>
      </c>
      <c r="C248" s="35">
        <f t="shared" si="14"/>
        <v>4.7302391171020197E-3</v>
      </c>
      <c r="D248" s="35">
        <f t="shared" si="11"/>
        <v>5.8263164581595417E-2</v>
      </c>
      <c r="E248" s="35">
        <f>(Table143454[[#This Row],[JPN]]-B236)/B236</f>
        <v>4.9103264466238097E-2</v>
      </c>
      <c r="F248" s="34">
        <f>VLOOKUP(Table143454[[#This Row],[Date]],'Data Core CPI'!$A:$AX,MATCH($B$2,'Data Core CPI'!$B$1:$AX$1,0),FALSE)</f>
        <v>5.935276</v>
      </c>
      <c r="G248" s="35">
        <f t="shared" si="12"/>
        <v>4.5526884963502656E-3</v>
      </c>
      <c r="H248" s="35">
        <f t="shared" si="13"/>
        <v>5.6021216316008982E-2</v>
      </c>
      <c r="I248" s="35">
        <f>(Table143454[[#This Row],[Core CPI]]-F236)/F236</f>
        <v>5.73918855939149E-2</v>
      </c>
    </row>
    <row r="249" spans="1:9" x14ac:dyDescent="0.35">
      <c r="A249" s="33">
        <f>IF(Data!A276="",#N/A,Data!A276)</f>
        <v>26238</v>
      </c>
      <c r="B249" s="34">
        <f>VLOOKUP(A249,Data!A:AX,MATCH($B$2,Data!$B$1:$AX$1,0),FALSE)</f>
        <v>6.0602989999999997</v>
      </c>
      <c r="C249" s="35">
        <f t="shared" si="14"/>
        <v>4.7081350818150014E-3</v>
      </c>
      <c r="D249" s="35">
        <f t="shared" si="11"/>
        <v>5.7983817287580397E-2</v>
      </c>
      <c r="E249" s="35">
        <f>(Table143454[[#This Row],[JPN]]-B237)/B237</f>
        <v>4.5829219682501234E-2</v>
      </c>
      <c r="F249" s="34">
        <f>VLOOKUP(Table143454[[#This Row],[Date]],'Data Core CPI'!$A:$AX,MATCH($B$2,'Data Core CPI'!$B$1:$AX$1,0),FALSE)</f>
        <v>5.9656079999999996</v>
      </c>
      <c r="G249" s="35">
        <f t="shared" si="12"/>
        <v>5.1104615859480784E-3</v>
      </c>
      <c r="H249" s="35">
        <f t="shared" si="13"/>
        <v>6.3078952583811576E-2</v>
      </c>
      <c r="I249" s="35">
        <f>(Table143454[[#This Row],[Core CPI]]-F237)/F237</f>
        <v>5.3681778850408014E-2</v>
      </c>
    </row>
    <row r="250" spans="1:9" x14ac:dyDescent="0.35">
      <c r="A250" s="33">
        <f>IF(Data!A277="",#N/A,Data!A277)</f>
        <v>26268</v>
      </c>
      <c r="B250" s="34">
        <f>VLOOKUP(A250,Data!A:AX,MATCH($B$2,Data!$B$1:$AX$1,0),FALSE)</f>
        <v>6.083018</v>
      </c>
      <c r="C250" s="35">
        <f t="shared" si="14"/>
        <v>3.7488249342152447E-3</v>
      </c>
      <c r="D250" s="35">
        <f t="shared" si="11"/>
        <v>4.5925131658519636E-2</v>
      </c>
      <c r="E250" s="35">
        <f>(Table143454[[#This Row],[JPN]]-B238)/B238</f>
        <v>4.6126959848483189E-2</v>
      </c>
      <c r="F250" s="34">
        <f>VLOOKUP(Table143454[[#This Row],[Date]],'Data Core CPI'!$A:$AX,MATCH($B$2,'Data Core CPI'!$B$1:$AX$1,0),FALSE)</f>
        <v>5.9918079999999998</v>
      </c>
      <c r="G250" s="35">
        <f t="shared" si="12"/>
        <v>4.3918406975449464E-3</v>
      </c>
      <c r="H250" s="35">
        <f t="shared" si="13"/>
        <v>5.3993935717598918E-2</v>
      </c>
      <c r="I250" s="35">
        <f>(Table143454[[#This Row],[Core CPI]]-F238)/F238</f>
        <v>5.5363070091774776E-2</v>
      </c>
    </row>
    <row r="251" spans="1:9" x14ac:dyDescent="0.35">
      <c r="A251" s="33">
        <f>IF(Data!A278="",#N/A,Data!A278)</f>
        <v>26299</v>
      </c>
      <c r="B251" s="34">
        <f>VLOOKUP(A251,Data!A:AX,MATCH($B$2,Data!$B$1:$AX$1,0),FALSE)</f>
        <v>6.1057370000000004</v>
      </c>
      <c r="C251" s="35">
        <f t="shared" si="14"/>
        <v>3.7348237338767909E-3</v>
      </c>
      <c r="D251" s="35">
        <f t="shared" ref="D251:D314" si="15">((1+C251)^12)-1</f>
        <v>4.5750070924115871E-2</v>
      </c>
      <c r="E251" s="35">
        <f>(Table143454[[#This Row],[JPN]]-B239)/B239</f>
        <v>4.6738025982370653E-2</v>
      </c>
      <c r="F251" s="34">
        <f>VLOOKUP(Table143454[[#This Row],[Date]],'Data Core CPI'!$A:$AX,MATCH($B$2,'Data Core CPI'!$B$1:$AX$1,0),FALSE)</f>
        <v>6.0167229999999998</v>
      </c>
      <c r="G251" s="35">
        <f t="shared" si="12"/>
        <v>4.1581772980709975E-3</v>
      </c>
      <c r="H251" s="35">
        <f t="shared" si="13"/>
        <v>5.1055262764112097E-2</v>
      </c>
      <c r="I251" s="35">
        <f>(Table143454[[#This Row],[Core CPI]]-F239)/F239</f>
        <v>4.8887521377057201E-2</v>
      </c>
    </row>
    <row r="252" spans="1:9" x14ac:dyDescent="0.35">
      <c r="A252" s="33">
        <f>IF(Data!A279="",#N/A,Data!A279)</f>
        <v>26330</v>
      </c>
      <c r="B252" s="34">
        <f>VLOOKUP(A252,Data!A:AX,MATCH($B$2,Data!$B$1:$AX$1,0),FALSE)</f>
        <v>6.1398159999999997</v>
      </c>
      <c r="C252" s="35">
        <f t="shared" si="14"/>
        <v>5.5814719828253256E-3</v>
      </c>
      <c r="D252" s="35">
        <f t="shared" si="15"/>
        <v>6.9072488557565759E-2</v>
      </c>
      <c r="E252" s="35">
        <f>(Table143454[[#This Row],[JPN]]-B240)/B240</f>
        <v>4.8496643002492547E-2</v>
      </c>
      <c r="F252" s="34">
        <f>VLOOKUP(Table143454[[#This Row],[Date]],'Data Core CPI'!$A:$AX,MATCH($B$2,'Data Core CPI'!$B$1:$AX$1,0),FALSE)</f>
        <v>6.0552279999999996</v>
      </c>
      <c r="G252" s="35">
        <f t="shared" si="12"/>
        <v>6.3996630724065806E-3</v>
      </c>
      <c r="H252" s="35">
        <f t="shared" si="13"/>
        <v>7.9557533675002512E-2</v>
      </c>
      <c r="I252" s="35">
        <f>(Table143454[[#This Row],[Core CPI]]-F240)/F240</f>
        <v>5.0651648437259965E-2</v>
      </c>
    </row>
    <row r="253" spans="1:9" x14ac:dyDescent="0.35">
      <c r="A253" s="33">
        <f>IF(Data!A280="",#N/A,Data!A280)</f>
        <v>26359</v>
      </c>
      <c r="B253" s="34">
        <f>VLOOKUP(A253,Data!A:AX,MATCH($B$2,Data!$B$1:$AX$1,0),FALSE)</f>
        <v>6.1568550000000002</v>
      </c>
      <c r="C253" s="35">
        <f t="shared" si="14"/>
        <v>2.7751645977664996E-3</v>
      </c>
      <c r="D253" s="35">
        <f t="shared" si="15"/>
        <v>3.3815008276383507E-2</v>
      </c>
      <c r="E253" s="35">
        <f>(Table143454[[#This Row],[JPN]]-B241)/B241</f>
        <v>4.7342991388858502E-2</v>
      </c>
      <c r="F253" s="34">
        <f>VLOOKUP(Table143454[[#This Row],[Date]],'Data Core CPI'!$A:$AX,MATCH($B$2,'Data Core CPI'!$B$1:$AX$1,0),FALSE)</f>
        <v>6.0693060000000001</v>
      </c>
      <c r="G253" s="35">
        <f t="shared" si="12"/>
        <v>2.3249330991335082E-3</v>
      </c>
      <c r="H253" s="35">
        <f t="shared" si="13"/>
        <v>2.825872716309985E-2</v>
      </c>
      <c r="I253" s="35">
        <f>(Table143454[[#This Row],[Core CPI]]-F241)/F241</f>
        <v>4.856970486039127E-2</v>
      </c>
    </row>
    <row r="254" spans="1:9" x14ac:dyDescent="0.35">
      <c r="A254" s="33">
        <f>IF(Data!A281="",#N/A,Data!A281)</f>
        <v>26390</v>
      </c>
      <c r="B254" s="34">
        <f>VLOOKUP(A254,Data!A:AX,MATCH($B$2,Data!$B$1:$AX$1,0),FALSE)</f>
        <v>6.168215</v>
      </c>
      <c r="C254" s="35">
        <f t="shared" si="14"/>
        <v>1.8450978624637848E-3</v>
      </c>
      <c r="D254" s="35">
        <f t="shared" si="15"/>
        <v>2.2367251501190566E-2</v>
      </c>
      <c r="E254" s="35">
        <f>(Table143454[[#This Row],[JPN]]-B242)/B242</f>
        <v>4.6242901044951296E-2</v>
      </c>
      <c r="F254" s="34">
        <f>VLOOKUP(Table143454[[#This Row],[Date]],'Data Core CPI'!$A:$AX,MATCH($B$2,'Data Core CPI'!$B$1:$AX$1,0),FALSE)</f>
        <v>6.0797660000000002</v>
      </c>
      <c r="G254" s="35">
        <f t="shared" si="12"/>
        <v>1.7234260391549849E-3</v>
      </c>
      <c r="H254" s="35">
        <f t="shared" si="13"/>
        <v>2.0878276032858967E-2</v>
      </c>
      <c r="I254" s="35">
        <f>(Table143454[[#This Row],[Core CPI]]-F242)/F242</f>
        <v>4.7828309481108666E-2</v>
      </c>
    </row>
    <row r="255" spans="1:9" x14ac:dyDescent="0.35">
      <c r="A255" s="33">
        <f>IF(Data!A282="",#N/A,Data!A282)</f>
        <v>26420</v>
      </c>
      <c r="B255" s="34">
        <f>VLOOKUP(A255,Data!A:AX,MATCH($B$2,Data!$B$1:$AX$1,0),FALSE)</f>
        <v>6.2250120000000004</v>
      </c>
      <c r="C255" s="35">
        <f t="shared" si="14"/>
        <v>9.2080123666247182E-3</v>
      </c>
      <c r="D255" s="35">
        <f t="shared" si="15"/>
        <v>0.1162674937039665</v>
      </c>
      <c r="E255" s="35">
        <f>(Table143454[[#This Row],[JPN]]-B243)/B243</f>
        <v>4.9808378719539886E-2</v>
      </c>
      <c r="F255" s="34">
        <f>VLOOKUP(Table143454[[#This Row],[Date]],'Data Core CPI'!$A:$AX,MATCH($B$2,'Data Core CPI'!$B$1:$AX$1,0),FALSE)</f>
        <v>6.1319280000000003</v>
      </c>
      <c r="G255" s="35">
        <f t="shared" si="12"/>
        <v>8.5796065177508041E-3</v>
      </c>
      <c r="H255" s="35">
        <f t="shared" si="13"/>
        <v>0.10795517346808747</v>
      </c>
      <c r="I255" s="35">
        <f>(Table143454[[#This Row],[Core CPI]]-F243)/F243</f>
        <v>4.9666300796947796E-2</v>
      </c>
    </row>
    <row r="256" spans="1:9" x14ac:dyDescent="0.35">
      <c r="A256" s="33">
        <f>IF(Data!A283="",#N/A,Data!A283)</f>
        <v>26451</v>
      </c>
      <c r="B256" s="34">
        <f>VLOOKUP(A256,Data!A:AX,MATCH($B$2,Data!$B$1:$AX$1,0),FALSE)</f>
        <v>6.2590909999999997</v>
      </c>
      <c r="C256" s="35">
        <f t="shared" si="14"/>
        <v>5.4745275993042242E-3</v>
      </c>
      <c r="D256" s="35">
        <f t="shared" si="15"/>
        <v>6.7708925890002769E-2</v>
      </c>
      <c r="E256" s="35">
        <f>(Table143454[[#This Row],[JPN]]-B244)/B244</f>
        <v>5.454543922889063E-2</v>
      </c>
      <c r="F256" s="34">
        <f>VLOOKUP(Table143454[[#This Row],[Date]],'Data Core CPI'!$A:$AX,MATCH($B$2,'Data Core CPI'!$B$1:$AX$1,0),FALSE)</f>
        <v>6.1587079999999998</v>
      </c>
      <c r="G256" s="35">
        <f t="shared" si="12"/>
        <v>4.3673050303263405E-3</v>
      </c>
      <c r="H256" s="35">
        <f t="shared" si="13"/>
        <v>5.3685008832485615E-2</v>
      </c>
      <c r="I256" s="35">
        <f>(Table143454[[#This Row],[Core CPI]]-F244)/F244</f>
        <v>5.3783311072623984E-2</v>
      </c>
    </row>
    <row r="257" spans="1:9" x14ac:dyDescent="0.35">
      <c r="A257" s="33">
        <f>IF(Data!A284="",#N/A,Data!A284)</f>
        <v>26481</v>
      </c>
      <c r="B257" s="34">
        <f>VLOOKUP(A257,Data!A:AX,MATCH($B$2,Data!$B$1:$AX$1,0),FALSE)</f>
        <v>6.2818100000000001</v>
      </c>
      <c r="C257" s="35">
        <f t="shared" si="14"/>
        <v>3.6297602958641484E-3</v>
      </c>
      <c r="D257" s="35">
        <f t="shared" si="15"/>
        <v>4.4437291510987631E-2</v>
      </c>
      <c r="E257" s="35">
        <f>(Table143454[[#This Row],[JPN]]-B245)/B245</f>
        <v>5.5343539664107648E-2</v>
      </c>
      <c r="F257" s="34">
        <f>VLOOKUP(Table143454[[#This Row],[Date]],'Data Core CPI'!$A:$AX,MATCH($B$2,'Data Core CPI'!$B$1:$AX$1,0),FALSE)</f>
        <v>6.1777360000000003</v>
      </c>
      <c r="G257" s="35">
        <f t="shared" si="12"/>
        <v>3.0896090543666155E-3</v>
      </c>
      <c r="H257" s="35">
        <f t="shared" si="13"/>
        <v>3.7711857466848464E-2</v>
      </c>
      <c r="I257" s="35">
        <f>(Table143454[[#This Row],[Core CPI]]-F245)/F245</f>
        <v>5.3109105947508013E-2</v>
      </c>
    </row>
    <row r="258" spans="1:9" x14ac:dyDescent="0.35">
      <c r="A258" s="33">
        <f>IF(Data!A285="",#N/A,Data!A285)</f>
        <v>26512</v>
      </c>
      <c r="B258" s="34">
        <f>VLOOKUP(A258,Data!A:AX,MATCH($B$2,Data!$B$1:$AX$1,0),FALSE)</f>
        <v>6.3215680000000001</v>
      </c>
      <c r="C258" s="35">
        <f t="shared" si="14"/>
        <v>6.3290675776568328E-3</v>
      </c>
      <c r="D258" s="35">
        <f t="shared" si="15"/>
        <v>7.8649156955322486E-2</v>
      </c>
      <c r="E258" s="35">
        <f>(Table143454[[#This Row],[JPN]]-B246)/B246</f>
        <v>5.999989268486372E-2</v>
      </c>
      <c r="F258" s="34">
        <f>VLOOKUP(Table143454[[#This Row],[Date]],'Data Core CPI'!$A:$AX,MATCH($B$2,'Data Core CPI'!$B$1:$AX$1,0),FALSE)</f>
        <v>6.209511</v>
      </c>
      <c r="G258" s="35">
        <f t="shared" si="12"/>
        <v>5.1434700349770601E-3</v>
      </c>
      <c r="H258" s="35">
        <f t="shared" si="13"/>
        <v>6.3497974304946636E-2</v>
      </c>
      <c r="I258" s="35">
        <f>(Table143454[[#This Row],[Core CPI]]-F246)/F246</f>
        <v>5.7213187908819102E-2</v>
      </c>
    </row>
    <row r="259" spans="1:9" x14ac:dyDescent="0.35">
      <c r="A259" s="33">
        <f>IF(Data!A286="",#N/A,Data!A286)</f>
        <v>26543</v>
      </c>
      <c r="B259" s="34">
        <f>VLOOKUP(A259,Data!A:AX,MATCH($B$2,Data!$B$1:$AX$1,0),FALSE)</f>
        <v>6.3840459999999997</v>
      </c>
      <c r="C259" s="35">
        <f t="shared" si="14"/>
        <v>9.8833074325863635E-3</v>
      </c>
      <c r="D259" s="35">
        <f t="shared" si="15"/>
        <v>0.12526374006420649</v>
      </c>
      <c r="E259" s="35">
        <f>(Table143454[[#This Row],[JPN]]-B247)/B247</f>
        <v>6.3387003119179358E-2</v>
      </c>
      <c r="F259" s="34">
        <f>VLOOKUP(Table143454[[#This Row],[Date]],'Data Core CPI'!$A:$AX,MATCH($B$2,'Data Core CPI'!$B$1:$AX$1,0),FALSE)</f>
        <v>6.2579079999999996</v>
      </c>
      <c r="G259" s="35">
        <f t="shared" ref="G259:G322" si="16">(F259/F258)-1</f>
        <v>7.7940114769101676E-3</v>
      </c>
      <c r="H259" s="35">
        <f t="shared" ref="H259:H322" si="17">((1+G259)^12)-1</f>
        <v>9.7643425077638568E-2</v>
      </c>
      <c r="I259" s="35">
        <f>(Table143454[[#This Row],[Core CPI]]-F247)/F247</f>
        <v>5.9158547262640797E-2</v>
      </c>
    </row>
    <row r="260" spans="1:9" x14ac:dyDescent="0.35">
      <c r="A260" s="33">
        <f>IF(Data!A287="",#N/A,Data!A287)</f>
        <v>26573</v>
      </c>
      <c r="B260" s="34">
        <f>VLOOKUP(A260,Data!A:AX,MATCH($B$2,Data!$B$1:$AX$1,0),FALSE)</f>
        <v>6.4522019999999998</v>
      </c>
      <c r="C260" s="35">
        <f t="shared" ref="C260:C323" si="18">(B260/B259)-1</f>
        <v>1.0675988236926948E-2</v>
      </c>
      <c r="D260" s="35">
        <f t="shared" si="15"/>
        <v>0.13590856341586277</v>
      </c>
      <c r="E260" s="35">
        <f>(Table143454[[#This Row],[JPN]]-B248)/B248</f>
        <v>6.9679868698088412E-2</v>
      </c>
      <c r="F260" s="34">
        <f>VLOOKUP(Table143454[[#This Row],[Date]],'Data Core CPI'!$A:$AX,MATCH($B$2,'Data Core CPI'!$B$1:$AX$1,0),FALSE)</f>
        <v>6.3317420000000002</v>
      </c>
      <c r="G260" s="35">
        <f t="shared" si="16"/>
        <v>1.1798511579269144E-2</v>
      </c>
      <c r="H260" s="35">
        <f t="shared" si="17"/>
        <v>0.15114076670984078</v>
      </c>
      <c r="I260" s="35">
        <f>(Table143454[[#This Row],[Core CPI]]-F248)/F248</f>
        <v>6.6798241564503522E-2</v>
      </c>
    </row>
    <row r="261" spans="1:9" x14ac:dyDescent="0.35">
      <c r="A261" s="33">
        <f>IF(Data!A288="",#N/A,Data!A288)</f>
        <v>26604</v>
      </c>
      <c r="B261" s="34">
        <f>VLOOKUP(A261,Data!A:AX,MATCH($B$2,Data!$B$1:$AX$1,0),FALSE)</f>
        <v>6.5033200000000004</v>
      </c>
      <c r="C261" s="35">
        <f t="shared" si="18"/>
        <v>7.9225665904447684E-3</v>
      </c>
      <c r="D261" s="35">
        <f t="shared" si="15"/>
        <v>9.932480100946206E-2</v>
      </c>
      <c r="E261" s="35">
        <f>(Table143454[[#This Row],[JPN]]-B249)/B249</f>
        <v>7.3102168721378397E-2</v>
      </c>
      <c r="F261" s="34">
        <f>VLOOKUP(Table143454[[#This Row],[Date]],'Data Core CPI'!$A:$AX,MATCH($B$2,'Data Core CPI'!$B$1:$AX$1,0),FALSE)</f>
        <v>6.389138</v>
      </c>
      <c r="G261" s="35">
        <f t="shared" si="16"/>
        <v>9.0648039670599978E-3</v>
      </c>
      <c r="H261" s="35">
        <f t="shared" si="17"/>
        <v>0.11436817255454712</v>
      </c>
      <c r="I261" s="35">
        <f>(Table143454[[#This Row],[Core CPI]]-F249)/F249</f>
        <v>7.0995278268367684E-2</v>
      </c>
    </row>
    <row r="262" spans="1:9" x14ac:dyDescent="0.35">
      <c r="A262" s="33">
        <f>IF(Data!A289="",#N/A,Data!A289)</f>
        <v>26634</v>
      </c>
      <c r="B262" s="34">
        <f>VLOOKUP(A262,Data!A:AX,MATCH($B$2,Data!$B$1:$AX$1,0),FALSE)</f>
        <v>6.5317189999999998</v>
      </c>
      <c r="C262" s="35">
        <f t="shared" si="18"/>
        <v>4.3668464722632638E-3</v>
      </c>
      <c r="D262" s="35">
        <f t="shared" si="15"/>
        <v>5.3679235949904092E-2</v>
      </c>
      <c r="E262" s="35">
        <f>(Table143454[[#This Row],[JPN]]-B250)/B250</f>
        <v>7.3762892038129718E-2</v>
      </c>
      <c r="F262" s="34">
        <f>VLOOKUP(Table143454[[#This Row],[Date]],'Data Core CPI'!$A:$AX,MATCH($B$2,'Data Core CPI'!$B$1:$AX$1,0),FALSE)</f>
        <v>6.4137219999999999</v>
      </c>
      <c r="G262" s="35">
        <f t="shared" si="16"/>
        <v>3.8477804048058228E-3</v>
      </c>
      <c r="H262" s="35">
        <f t="shared" si="17"/>
        <v>4.7163164315747519E-2</v>
      </c>
      <c r="I262" s="35">
        <f>(Table143454[[#This Row],[Core CPI]]-F250)/F250</f>
        <v>7.0415140138001778E-2</v>
      </c>
    </row>
    <row r="263" spans="1:9" x14ac:dyDescent="0.35">
      <c r="A263" s="33">
        <f>IF(Data!A290="",#N/A,Data!A290)</f>
        <v>26665</v>
      </c>
      <c r="B263" s="34">
        <f>VLOOKUP(A263,Data!A:AX,MATCH($B$2,Data!$B$1:$AX$1,0),FALSE)</f>
        <v>6.5998760000000001</v>
      </c>
      <c r="C263" s="35">
        <f t="shared" si="18"/>
        <v>1.0434772224585886E-2</v>
      </c>
      <c r="D263" s="35">
        <f t="shared" si="15"/>
        <v>0.13265957024977082</v>
      </c>
      <c r="E263" s="35">
        <f>(Table143454[[#This Row],[JPN]]-B251)/B251</f>
        <v>8.0930279178418538E-2</v>
      </c>
      <c r="F263" s="34">
        <f>VLOOKUP(Table143454[[#This Row],[Date]],'Data Core CPI'!$A:$AX,MATCH($B$2,'Data Core CPI'!$B$1:$AX$1,0),FALSE)</f>
        <v>6.4870419999999998</v>
      </c>
      <c r="G263" s="35">
        <f t="shared" si="16"/>
        <v>1.1431739635737292E-2</v>
      </c>
      <c r="H263" s="35">
        <f t="shared" si="17"/>
        <v>0.14614334417032948</v>
      </c>
      <c r="I263" s="35">
        <f>(Table143454[[#This Row],[Core CPI]]-F251)/F251</f>
        <v>7.8168630997305338E-2</v>
      </c>
    </row>
    <row r="264" spans="1:9" x14ac:dyDescent="0.35">
      <c r="A264" s="33">
        <f>IF(Data!A291="",#N/A,Data!A291)</f>
        <v>26696</v>
      </c>
      <c r="B264" s="34">
        <f>VLOOKUP(A264,Data!A:AX,MATCH($B$2,Data!$B$1:$AX$1,0),FALSE)</f>
        <v>6.6737130000000002</v>
      </c>
      <c r="C264" s="35">
        <f t="shared" si="18"/>
        <v>1.1187634434344007E-2</v>
      </c>
      <c r="D264" s="35">
        <f t="shared" si="15"/>
        <v>0.14282833880914292</v>
      </c>
      <c r="E264" s="35">
        <f>(Table143454[[#This Row],[JPN]]-B252)/B252</f>
        <v>8.6956514657768338E-2</v>
      </c>
      <c r="F264" s="34">
        <f>VLOOKUP(Table143454[[#This Row],[Date]],'Data Core CPI'!$A:$AX,MATCH($B$2,'Data Core CPI'!$B$1:$AX$1,0),FALSE)</f>
        <v>6.5678089999999996</v>
      </c>
      <c r="G264" s="35">
        <f t="shared" si="16"/>
        <v>1.2450512883992459E-2</v>
      </c>
      <c r="H264" s="35">
        <f t="shared" si="17"/>
        <v>0.16007390196727544</v>
      </c>
      <c r="I264" s="35">
        <f>(Table143454[[#This Row],[Core CPI]]-F252)/F252</f>
        <v>8.4650982588929766E-2</v>
      </c>
    </row>
    <row r="265" spans="1:9" x14ac:dyDescent="0.35">
      <c r="A265" s="33">
        <f>IF(Data!A292="",#N/A,Data!A292)</f>
        <v>26724</v>
      </c>
      <c r="B265" s="34">
        <f>VLOOKUP(A265,Data!A:AX,MATCH($B$2,Data!$B$1:$AX$1,0),FALSE)</f>
        <v>6.7475500000000004</v>
      </c>
      <c r="C265" s="35">
        <f t="shared" si="18"/>
        <v>1.1063856057340171E-2</v>
      </c>
      <c r="D265" s="35">
        <f t="shared" si="15"/>
        <v>0.141150760069922</v>
      </c>
      <c r="E265" s="35">
        <f>(Table143454[[#This Row],[JPN]]-B253)/B253</f>
        <v>9.5941028333459244E-2</v>
      </c>
      <c r="F265" s="34">
        <f>VLOOKUP(Table143454[[#This Row],[Date]],'Data Core CPI'!$A:$AX,MATCH($B$2,'Data Core CPI'!$B$1:$AX$1,0),FALSE)</f>
        <v>6.6386960000000004</v>
      </c>
      <c r="G265" s="35">
        <f t="shared" si="16"/>
        <v>1.0793097058699574E-2</v>
      </c>
      <c r="H265" s="35">
        <f t="shared" si="17"/>
        <v>0.13748900728376179</v>
      </c>
      <c r="I265" s="35">
        <f>(Table143454[[#This Row],[Core CPI]]-F253)/F253</f>
        <v>9.3814679965057005E-2</v>
      </c>
    </row>
    <row r="266" spans="1:9" x14ac:dyDescent="0.35">
      <c r="A266" s="33">
        <f>IF(Data!A293="",#N/A,Data!A293)</f>
        <v>26755</v>
      </c>
      <c r="B266" s="34">
        <f>VLOOKUP(A266,Data!A:AX,MATCH($B$2,Data!$B$1:$AX$1,0),FALSE)</f>
        <v>6.8157069999999997</v>
      </c>
      <c r="C266" s="35">
        <f t="shared" si="18"/>
        <v>1.0100999622084883E-2</v>
      </c>
      <c r="D266" s="35">
        <f t="shared" si="15"/>
        <v>0.12817795905550255</v>
      </c>
      <c r="E266" s="35">
        <f>(Table143454[[#This Row],[JPN]]-B254)/B254</f>
        <v>0.10497234613255207</v>
      </c>
      <c r="F266" s="34">
        <f>VLOOKUP(Table143454[[#This Row],[Date]],'Data Core CPI'!$A:$AX,MATCH($B$2,'Data Core CPI'!$B$1:$AX$1,0),FALSE)</f>
        <v>6.6942380000000004</v>
      </c>
      <c r="G266" s="35">
        <f t="shared" si="16"/>
        <v>8.3664020765523706E-3</v>
      </c>
      <c r="H266" s="35">
        <f t="shared" si="17"/>
        <v>0.10514790058585555</v>
      </c>
      <c r="I266" s="35">
        <f>(Table143454[[#This Row],[Core CPI]]-F254)/F254</f>
        <v>0.10106836348635788</v>
      </c>
    </row>
    <row r="267" spans="1:9" x14ac:dyDescent="0.35">
      <c r="A267" s="33">
        <f>IF(Data!A294="",#N/A,Data!A294)</f>
        <v>26785</v>
      </c>
      <c r="B267" s="34">
        <f>VLOOKUP(A267,Data!A:AX,MATCH($B$2,Data!$B$1:$AX$1,0),FALSE)</f>
        <v>6.9179430000000002</v>
      </c>
      <c r="C267" s="35">
        <f t="shared" si="18"/>
        <v>1.5000057954369206E-2</v>
      </c>
      <c r="D267" s="35">
        <f t="shared" si="15"/>
        <v>0.19561899066924449</v>
      </c>
      <c r="E267" s="35">
        <f>(Table143454[[#This Row],[JPN]]-B255)/B255</f>
        <v>0.11131400228626061</v>
      </c>
      <c r="F267" s="34">
        <f>VLOOKUP(Table143454[[#This Row],[Date]],'Data Core CPI'!$A:$AX,MATCH($B$2,'Data Core CPI'!$B$1:$AX$1,0),FALSE)</f>
        <v>6.7942169999999997</v>
      </c>
      <c r="G267" s="35">
        <f t="shared" si="16"/>
        <v>1.4935082977330483E-2</v>
      </c>
      <c r="H267" s="35">
        <f t="shared" si="17"/>
        <v>0.19470086692934996</v>
      </c>
      <c r="I267" s="35">
        <f>(Table143454[[#This Row],[Core CPI]]-F255)/F255</f>
        <v>0.1080066497845375</v>
      </c>
    </row>
    <row r="268" spans="1:9" x14ac:dyDescent="0.35">
      <c r="A268" s="33">
        <f>IF(Data!A295="",#N/A,Data!A295)</f>
        <v>26816</v>
      </c>
      <c r="B268" s="34">
        <f>VLOOKUP(A268,Data!A:AX,MATCH($B$2,Data!$B$1:$AX$1,0),FALSE)</f>
        <v>6.9804199999999996</v>
      </c>
      <c r="C268" s="35">
        <f t="shared" si="18"/>
        <v>9.0311527574018502E-3</v>
      </c>
      <c r="D268" s="35">
        <f t="shared" si="15"/>
        <v>0.11392229879763094</v>
      </c>
      <c r="E268" s="35">
        <f>(Table143454[[#This Row],[JPN]]-B256)/B256</f>
        <v>0.11524500921938984</v>
      </c>
      <c r="F268" s="34">
        <f>VLOOKUP(Table143454[[#This Row],[Date]],'Data Core CPI'!$A:$AX,MATCH($B$2,'Data Core CPI'!$B$1:$AX$1,0),FALSE)</f>
        <v>6.8534959999999998</v>
      </c>
      <c r="G268" s="35">
        <f t="shared" si="16"/>
        <v>8.7249200312560227E-3</v>
      </c>
      <c r="H268" s="35">
        <f t="shared" si="17"/>
        <v>0.10987226757373425</v>
      </c>
      <c r="I268" s="35">
        <f>(Table143454[[#This Row],[Core CPI]]-F256)/F256</f>
        <v>0.1128139213614284</v>
      </c>
    </row>
    <row r="269" spans="1:9" x14ac:dyDescent="0.35">
      <c r="A269" s="33">
        <f>IF(Data!A296="",#N/A,Data!A296)</f>
        <v>26846</v>
      </c>
      <c r="B269" s="34">
        <f>VLOOKUP(A269,Data!A:AX,MATCH($B$2,Data!$B$1:$AX$1,0),FALSE)</f>
        <v>7.0201779999999996</v>
      </c>
      <c r="C269" s="35">
        <f t="shared" si="18"/>
        <v>5.6956458207386707E-3</v>
      </c>
      <c r="D269" s="35">
        <f t="shared" si="15"/>
        <v>7.0529989884776212E-2</v>
      </c>
      <c r="E269" s="35">
        <f>(Table143454[[#This Row],[JPN]]-B257)/B257</f>
        <v>0.11754064513253337</v>
      </c>
      <c r="F269" s="34">
        <f>VLOOKUP(Table143454[[#This Row],[Date]],'Data Core CPI'!$A:$AX,MATCH($B$2,'Data Core CPI'!$B$1:$AX$1,0),FALSE)</f>
        <v>6.8887239999999998</v>
      </c>
      <c r="G269" s="35">
        <f t="shared" si="16"/>
        <v>5.1401503699717299E-3</v>
      </c>
      <c r="H269" s="35">
        <f t="shared" si="17"/>
        <v>6.3455826376996649E-2</v>
      </c>
      <c r="I269" s="35">
        <f>(Table143454[[#This Row],[Core CPI]]-F257)/F257</f>
        <v>0.11508876390962636</v>
      </c>
    </row>
    <row r="270" spans="1:9" x14ac:dyDescent="0.35">
      <c r="A270" s="33">
        <f>IF(Data!A297="",#N/A,Data!A297)</f>
        <v>26877</v>
      </c>
      <c r="B270" s="34">
        <f>VLOOKUP(A270,Data!A:AX,MATCH($B$2,Data!$B$1:$AX$1,0),FALSE)</f>
        <v>7.0656160000000003</v>
      </c>
      <c r="C270" s="35">
        <f t="shared" si="18"/>
        <v>6.4724854554971678E-3</v>
      </c>
      <c r="D270" s="35">
        <f t="shared" si="15"/>
        <v>8.0495299256567288E-2</v>
      </c>
      <c r="E270" s="35">
        <f>(Table143454[[#This Row],[JPN]]-B258)/B258</f>
        <v>0.11769991242679036</v>
      </c>
      <c r="F270" s="34">
        <f>VLOOKUP(Table143454[[#This Row],[Date]],'Data Core CPI'!$A:$AX,MATCH($B$2,'Data Core CPI'!$B$1:$AX$1,0),FALSE)</f>
        <v>6.9306089999999996</v>
      </c>
      <c r="G270" s="35">
        <f t="shared" si="16"/>
        <v>6.0802261783168277E-3</v>
      </c>
      <c r="H270" s="35">
        <f t="shared" si="17"/>
        <v>7.5452812993816121E-2</v>
      </c>
      <c r="I270" s="35">
        <f>(Table143454[[#This Row],[Core CPI]]-F258)/F258</f>
        <v>0.11612798495726952</v>
      </c>
    </row>
    <row r="271" spans="1:9" x14ac:dyDescent="0.35">
      <c r="A271" s="33">
        <f>IF(Data!A298="",#N/A,Data!A298)</f>
        <v>26908</v>
      </c>
      <c r="B271" s="34">
        <f>VLOOKUP(A271,Data!A:AX,MATCH($B$2,Data!$B$1:$AX$1,0),FALSE)</f>
        <v>7.1053740000000003</v>
      </c>
      <c r="C271" s="35">
        <f t="shared" si="18"/>
        <v>5.6269686889296455E-3</v>
      </c>
      <c r="D271" s="35">
        <f t="shared" si="15"/>
        <v>6.9653064674441323E-2</v>
      </c>
      <c r="E271" s="35">
        <f>(Table143454[[#This Row],[JPN]]-B259)/B259</f>
        <v>0.11298916079238788</v>
      </c>
      <c r="F271" s="34">
        <f>VLOOKUP(Table143454[[#This Row],[Date]],'Data Core CPI'!$A:$AX,MATCH($B$2,'Data Core CPI'!$B$1:$AX$1,0),FALSE)</f>
        <v>6.9709329999999996</v>
      </c>
      <c r="G271" s="35">
        <f t="shared" si="16"/>
        <v>5.818247718202052E-3</v>
      </c>
      <c r="H271" s="35">
        <f t="shared" si="17"/>
        <v>7.2097108673268906E-2</v>
      </c>
      <c r="I271" s="35">
        <f>(Table143454[[#This Row],[Core CPI]]-F259)/F259</f>
        <v>0.11393983420657512</v>
      </c>
    </row>
    <row r="272" spans="1:9" x14ac:dyDescent="0.35">
      <c r="A272" s="33">
        <f>IF(Data!A299="",#N/A,Data!A299)</f>
        <v>26938</v>
      </c>
      <c r="B272" s="34">
        <f>VLOOKUP(A272,Data!A:AX,MATCH($B$2,Data!$B$1:$AX$1,0),FALSE)</f>
        <v>7.162172</v>
      </c>
      <c r="C272" s="35">
        <f t="shared" si="18"/>
        <v>7.9936678913734571E-3</v>
      </c>
      <c r="D272" s="35">
        <f t="shared" si="15"/>
        <v>0.10025575058028369</v>
      </c>
      <c r="E272" s="35">
        <f>(Table143454[[#This Row],[JPN]]-B260)/B260</f>
        <v>0.11003530267651264</v>
      </c>
      <c r="F272" s="34">
        <f>VLOOKUP(Table143454[[#This Row],[Date]],'Data Core CPI'!$A:$AX,MATCH($B$2,'Data Core CPI'!$B$1:$AX$1,0),FALSE)</f>
        <v>7.0022060000000002</v>
      </c>
      <c r="G272" s="35">
        <f t="shared" si="16"/>
        <v>4.4862000538523628E-3</v>
      </c>
      <c r="H272" s="35">
        <f t="shared" si="17"/>
        <v>5.5182781625132904E-2</v>
      </c>
      <c r="I272" s="35">
        <f>(Table143454[[#This Row],[Core CPI]]-F260)/F260</f>
        <v>0.10588934293279795</v>
      </c>
    </row>
    <row r="273" spans="1:9" x14ac:dyDescent="0.35">
      <c r="A273" s="33">
        <f>IF(Data!A300="",#N/A,Data!A300)</f>
        <v>26969</v>
      </c>
      <c r="B273" s="34">
        <f>VLOOKUP(A273,Data!A:AX,MATCH($B$2,Data!$B$1:$AX$1,0),FALSE)</f>
        <v>7.2473679999999998</v>
      </c>
      <c r="C273" s="35">
        <f t="shared" si="18"/>
        <v>1.1895274226868535E-2</v>
      </c>
      <c r="D273" s="35">
        <f t="shared" si="15"/>
        <v>0.15246252436350205</v>
      </c>
      <c r="E273" s="35">
        <f>(Table143454[[#This Row],[JPN]]-B261)/B261</f>
        <v>0.11441048572113925</v>
      </c>
      <c r="F273" s="34">
        <f>VLOOKUP(Table143454[[#This Row],[Date]],'Data Core CPI'!$A:$AX,MATCH($B$2,'Data Core CPI'!$B$1:$AX$1,0),FALSE)</f>
        <v>7.0921019999999997</v>
      </c>
      <c r="G273" s="35">
        <f t="shared" si="16"/>
        <v>1.2838239834703558E-2</v>
      </c>
      <c r="H273" s="35">
        <f t="shared" si="17"/>
        <v>0.16541627285435245</v>
      </c>
      <c r="I273" s="35">
        <f>(Table143454[[#This Row],[Core CPI]]-F261)/F261</f>
        <v>0.11002485781337008</v>
      </c>
    </row>
    <row r="274" spans="1:9" x14ac:dyDescent="0.35">
      <c r="A274" s="33">
        <f>IF(Data!A301="",#N/A,Data!A301)</f>
        <v>26999</v>
      </c>
      <c r="B274" s="34">
        <f>VLOOKUP(A274,Data!A:AX,MATCH($B$2,Data!$B$1:$AX$1,0),FALSE)</f>
        <v>7.3496040000000002</v>
      </c>
      <c r="C274" s="35">
        <f t="shared" si="18"/>
        <v>1.4106638437568098E-2</v>
      </c>
      <c r="D274" s="35">
        <f t="shared" si="15"/>
        <v>0.18305111146074893</v>
      </c>
      <c r="E274" s="35">
        <f>(Table143454[[#This Row],[JPN]]-B262)/B262</f>
        <v>0.12521741979408491</v>
      </c>
      <c r="F274" s="34">
        <f>VLOOKUP(Table143454[[#This Row],[Date]],'Data Core CPI'!$A:$AX,MATCH($B$2,'Data Core CPI'!$B$1:$AX$1,0),FALSE)</f>
        <v>7.1596880000000001</v>
      </c>
      <c r="G274" s="35">
        <f t="shared" si="16"/>
        <v>9.5297557762141771E-3</v>
      </c>
      <c r="H274" s="35">
        <f t="shared" si="17"/>
        <v>0.1205454874591112</v>
      </c>
      <c r="I274" s="35">
        <f>(Table143454[[#This Row],[Core CPI]]-F262)/F262</f>
        <v>0.11630781627267289</v>
      </c>
    </row>
    <row r="275" spans="1:9" x14ac:dyDescent="0.35">
      <c r="A275" s="33">
        <f>IF(Data!A302="",#N/A,Data!A302)</f>
        <v>27030</v>
      </c>
      <c r="B275" s="34">
        <f>VLOOKUP(A275,Data!A:AX,MATCH($B$2,Data!$B$1:$AX$1,0),FALSE)</f>
        <v>7.4688790000000003</v>
      </c>
      <c r="C275" s="35">
        <f t="shared" si="18"/>
        <v>1.6228765522604993E-2</v>
      </c>
      <c r="D275" s="35">
        <f t="shared" si="15"/>
        <v>0.21310336505643823</v>
      </c>
      <c r="E275" s="35">
        <f>(Table143454[[#This Row],[JPN]]-B263)/B263</f>
        <v>0.13166959500451222</v>
      </c>
      <c r="F275" s="34">
        <f>VLOOKUP(Table143454[[#This Row],[Date]],'Data Core CPI'!$A:$AX,MATCH($B$2,'Data Core CPI'!$B$1:$AX$1,0),FALSE)</f>
        <v>7.254416</v>
      </c>
      <c r="G275" s="35">
        <f t="shared" si="16"/>
        <v>1.323074413298464E-2</v>
      </c>
      <c r="H275" s="35">
        <f t="shared" si="17"/>
        <v>0.17084743188898788</v>
      </c>
      <c r="I275" s="35">
        <f>(Table143454[[#This Row],[Core CPI]]-F263)/F263</f>
        <v>0.11829336082608996</v>
      </c>
    </row>
    <row r="276" spans="1:9" x14ac:dyDescent="0.35">
      <c r="A276" s="33">
        <f>IF(Data!A303="",#N/A,Data!A303)</f>
        <v>27061</v>
      </c>
      <c r="B276" s="34">
        <f>VLOOKUP(A276,Data!A:AX,MATCH($B$2,Data!$B$1:$AX$1,0),FALSE)</f>
        <v>7.6279120000000002</v>
      </c>
      <c r="C276" s="35">
        <f t="shared" si="18"/>
        <v>2.1292753571185097E-2</v>
      </c>
      <c r="D276" s="35">
        <f t="shared" si="15"/>
        <v>0.28766533820422624</v>
      </c>
      <c r="E276" s="35">
        <f>(Table143454[[#This Row],[JPN]]-B264)/B264</f>
        <v>0.14297872863277158</v>
      </c>
      <c r="F276" s="34">
        <f>VLOOKUP(Table143454[[#This Row],[Date]],'Data Core CPI'!$A:$AX,MATCH($B$2,'Data Core CPI'!$B$1:$AX$1,0),FALSE)</f>
        <v>7.4033889999999998</v>
      </c>
      <c r="G276" s="35">
        <f t="shared" si="16"/>
        <v>2.053549176115621E-2</v>
      </c>
      <c r="H276" s="35">
        <f t="shared" si="17"/>
        <v>0.27625470555428011</v>
      </c>
      <c r="I276" s="35">
        <f>(Table143454[[#This Row],[Core CPI]]-F264)/F264</f>
        <v>0.12722355354730935</v>
      </c>
    </row>
    <row r="277" spans="1:9" x14ac:dyDescent="0.35">
      <c r="A277" s="33">
        <f>IF(Data!A304="",#N/A,Data!A304)</f>
        <v>27089</v>
      </c>
      <c r="B277" s="34">
        <f>VLOOKUP(A277,Data!A:AX,MATCH($B$2,Data!$B$1:$AX$1,0),FALSE)</f>
        <v>7.8267040000000003</v>
      </c>
      <c r="C277" s="35">
        <f t="shared" si="18"/>
        <v>2.6061129179256515E-2</v>
      </c>
      <c r="D277" s="35">
        <f t="shared" si="15"/>
        <v>0.36169180490221997</v>
      </c>
      <c r="E277" s="35">
        <f>(Table143454[[#This Row],[JPN]]-B265)/B265</f>
        <v>0.1599327163192566</v>
      </c>
      <c r="F277" s="34">
        <f>VLOOKUP(Table143454[[#This Row],[Date]],'Data Core CPI'!$A:$AX,MATCH($B$2,'Data Core CPI'!$B$1:$AX$1,0),FALSE)</f>
        <v>7.5192490000000003</v>
      </c>
      <c r="G277" s="35">
        <f t="shared" si="16"/>
        <v>1.5649589667650954E-2</v>
      </c>
      <c r="H277" s="35">
        <f t="shared" si="17"/>
        <v>0.20483276285121543</v>
      </c>
      <c r="I277" s="35">
        <f>(Table143454[[#This Row],[Core CPI]]-F265)/F265</f>
        <v>0.1326394520851685</v>
      </c>
    </row>
    <row r="278" spans="1:9" x14ac:dyDescent="0.35">
      <c r="A278" s="33">
        <f>IF(Data!A305="",#N/A,Data!A305)</f>
        <v>27120</v>
      </c>
      <c r="B278" s="34">
        <f>VLOOKUP(A278,Data!A:AX,MATCH($B$2,Data!$B$1:$AX$1,0),FALSE)</f>
        <v>7.9232589999999998</v>
      </c>
      <c r="C278" s="35">
        <f t="shared" si="18"/>
        <v>1.2336610660119485E-2</v>
      </c>
      <c r="D278" s="35">
        <f t="shared" si="15"/>
        <v>0.15850874969609929</v>
      </c>
      <c r="E278" s="35">
        <f>(Table143454[[#This Row],[JPN]]-B266)/B266</f>
        <v>0.16249994314603022</v>
      </c>
      <c r="F278" s="34">
        <f>VLOOKUP(Table143454[[#This Row],[Date]],'Data Core CPI'!$A:$AX,MATCH($B$2,'Data Core CPI'!$B$1:$AX$1,0),FALSE)</f>
        <v>7.599558</v>
      </c>
      <c r="G278" s="35">
        <f t="shared" si="16"/>
        <v>1.0680454923091443E-2</v>
      </c>
      <c r="H278" s="35">
        <f t="shared" si="17"/>
        <v>0.13596880670396905</v>
      </c>
      <c r="I278" s="35">
        <f>(Table143454[[#This Row],[Core CPI]]-F266)/F266</f>
        <v>0.13523869333597038</v>
      </c>
    </row>
    <row r="279" spans="1:9" x14ac:dyDescent="0.35">
      <c r="A279" s="33">
        <f>IF(Data!A306="",#N/A,Data!A306)</f>
        <v>27150</v>
      </c>
      <c r="B279" s="34">
        <f>VLOOKUP(A279,Data!A:AX,MATCH($B$2,Data!$B$1:$AX$1,0),FALSE)</f>
        <v>8.0368549999999992</v>
      </c>
      <c r="C279" s="35">
        <f t="shared" si="18"/>
        <v>1.4337029750005614E-2</v>
      </c>
      <c r="D279" s="35">
        <f t="shared" si="15"/>
        <v>0.18628042312314341</v>
      </c>
      <c r="E279" s="35">
        <f>(Table143454[[#This Row],[JPN]]-B267)/B267</f>
        <v>0.16174056363286007</v>
      </c>
      <c r="F279" s="34">
        <f>VLOOKUP(Table143454[[#This Row],[Date]],'Data Core CPI'!$A:$AX,MATCH($B$2,'Data Core CPI'!$B$1:$AX$1,0),FALSE)</f>
        <v>7.7263529999999996</v>
      </c>
      <c r="G279" s="35">
        <f t="shared" si="16"/>
        <v>1.6684522968309468E-2</v>
      </c>
      <c r="H279" s="35">
        <f t="shared" si="17"/>
        <v>0.21964811213997448</v>
      </c>
      <c r="I279" s="35">
        <f>(Table143454[[#This Row],[Core CPI]]-F267)/F267</f>
        <v>0.13719550023203556</v>
      </c>
    </row>
    <row r="280" spans="1:9" x14ac:dyDescent="0.35">
      <c r="A280" s="33">
        <f>IF(Data!A307="",#N/A,Data!A307)</f>
        <v>27181</v>
      </c>
      <c r="B280" s="34">
        <f>VLOOKUP(A280,Data!A:AX,MATCH($B$2,Data!$B$1:$AX$1,0),FALSE)</f>
        <v>8.1504499999999993</v>
      </c>
      <c r="C280" s="35">
        <f t="shared" si="18"/>
        <v>1.4134260229903273E-2</v>
      </c>
      <c r="D280" s="35">
        <f t="shared" si="15"/>
        <v>0.18343785052790773</v>
      </c>
      <c r="E280" s="35">
        <f>(Table143454[[#This Row],[JPN]]-B268)/B268</f>
        <v>0.16761598872274158</v>
      </c>
      <c r="F280" s="34">
        <f>VLOOKUP(Table143454[[#This Row],[Date]],'Data Core CPI'!$A:$AX,MATCH($B$2,'Data Core CPI'!$B$1:$AX$1,0),FALSE)</f>
        <v>7.8438439999999998</v>
      </c>
      <c r="G280" s="35">
        <f t="shared" si="16"/>
        <v>1.520652758164176E-2</v>
      </c>
      <c r="H280" s="35">
        <f t="shared" si="17"/>
        <v>0.19854078810784892</v>
      </c>
      <c r="I280" s="35">
        <f>(Table143454[[#This Row],[Core CPI]]-F268)/F268</f>
        <v>0.14450260130012479</v>
      </c>
    </row>
    <row r="281" spans="1:9" x14ac:dyDescent="0.35">
      <c r="A281" s="33">
        <f>IF(Data!A308="",#N/A,Data!A308)</f>
        <v>27211</v>
      </c>
      <c r="B281" s="34">
        <f>VLOOKUP(A281,Data!A:AX,MATCH($B$2,Data!$B$1:$AX$1,0),FALSE)</f>
        <v>8.3151630000000001</v>
      </c>
      <c r="C281" s="35">
        <f t="shared" si="18"/>
        <v>2.0209068210957692E-2</v>
      </c>
      <c r="D281" s="35">
        <f t="shared" si="15"/>
        <v>0.27136471406214202</v>
      </c>
      <c r="E281" s="35">
        <f>(Table143454[[#This Row],[JPN]]-B269)/B269</f>
        <v>0.18446612037472562</v>
      </c>
      <c r="F281" s="34">
        <f>VLOOKUP(Table143454[[#This Row],[Date]],'Data Core CPI'!$A:$AX,MATCH($B$2,'Data Core CPI'!$B$1:$AX$1,0),FALSE)</f>
        <v>7.9442870000000001</v>
      </c>
      <c r="G281" s="35">
        <f t="shared" si="16"/>
        <v>1.2805328611838807E-2</v>
      </c>
      <c r="H281" s="35">
        <f t="shared" si="17"/>
        <v>0.16496192483506777</v>
      </c>
      <c r="I281" s="35">
        <f>(Table143454[[#This Row],[Core CPI]]-F269)/F269</f>
        <v>0.15323055474424585</v>
      </c>
    </row>
    <row r="282" spans="1:9" x14ac:dyDescent="0.35">
      <c r="A282" s="33">
        <f>IF(Data!A309="",#N/A,Data!A309)</f>
        <v>27242</v>
      </c>
      <c r="B282" s="34">
        <f>VLOOKUP(A282,Data!A:AX,MATCH($B$2,Data!$B$1:$AX$1,0),FALSE)</f>
        <v>8.4969149999999996</v>
      </c>
      <c r="C282" s="35">
        <f t="shared" si="18"/>
        <v>2.1857899839125228E-2</v>
      </c>
      <c r="D282" s="35">
        <f t="shared" si="15"/>
        <v>0.2962419759409527</v>
      </c>
      <c r="E282" s="35">
        <f>(Table143454[[#This Row],[JPN]]-B270)/B270</f>
        <v>0.20257242963670813</v>
      </c>
      <c r="F282" s="34">
        <f>VLOOKUP(Table143454[[#This Row],[Date]],'Data Core CPI'!$A:$AX,MATCH($B$2,'Data Core CPI'!$B$1:$AX$1,0),FALSE)</f>
        <v>8.1134000000000004</v>
      </c>
      <c r="G282" s="35">
        <f t="shared" si="16"/>
        <v>2.1287372925978154E-2</v>
      </c>
      <c r="H282" s="35">
        <f t="shared" si="17"/>
        <v>0.28758393232471313</v>
      </c>
      <c r="I282" s="35">
        <f>(Table143454[[#This Row],[Core CPI]]-F270)/F270</f>
        <v>0.17066191441473627</v>
      </c>
    </row>
    <row r="283" spans="1:9" x14ac:dyDescent="0.35">
      <c r="A283" s="33">
        <f>IF(Data!A310="",#N/A,Data!A310)</f>
        <v>27273</v>
      </c>
      <c r="B283" s="34">
        <f>VLOOKUP(A283,Data!A:AX,MATCH($B$2,Data!$B$1:$AX$1,0),FALSE)</f>
        <v>8.7411440000000002</v>
      </c>
      <c r="C283" s="35">
        <f t="shared" si="18"/>
        <v>2.8743255640429677E-2</v>
      </c>
      <c r="D283" s="35">
        <f t="shared" si="15"/>
        <v>0.40502487227369688</v>
      </c>
      <c r="E283" s="35">
        <f>(Table143454[[#This Row],[JPN]]-B271)/B271</f>
        <v>0.23021589011359569</v>
      </c>
      <c r="F283" s="34">
        <f>VLOOKUP(Table143454[[#This Row],[Date]],'Data Core CPI'!$A:$AX,MATCH($B$2,'Data Core CPI'!$B$1:$AX$1,0),FALSE)</f>
        <v>8.3397889999999997</v>
      </c>
      <c r="G283" s="35">
        <f t="shared" si="16"/>
        <v>2.79030985776616E-2</v>
      </c>
      <c r="H283" s="35">
        <f t="shared" si="17"/>
        <v>0.3913170354691462</v>
      </c>
      <c r="I283" s="35">
        <f>(Table143454[[#This Row],[Core CPI]]-F271)/F271</f>
        <v>0.19636625398637458</v>
      </c>
    </row>
    <row r="284" spans="1:9" x14ac:dyDescent="0.35">
      <c r="A284" s="33">
        <f>IF(Data!A311="",#N/A,Data!A311)</f>
        <v>27303</v>
      </c>
      <c r="B284" s="34">
        <f>VLOOKUP(A284,Data!A:AX,MATCH($B$2,Data!$B$1:$AX$1,0),FALSE)</f>
        <v>8.9058569999999992</v>
      </c>
      <c r="C284" s="35">
        <f t="shared" si="18"/>
        <v>1.8843414546196646E-2</v>
      </c>
      <c r="D284" s="35">
        <f t="shared" si="15"/>
        <v>0.25109218716738857</v>
      </c>
      <c r="E284" s="35">
        <f>(Table143454[[#This Row],[JPN]]-B272)/B272</f>
        <v>0.24345757125073222</v>
      </c>
      <c r="F284" s="34">
        <f>VLOOKUP(Table143454[[#This Row],[Date]],'Data Core CPI'!$A:$AX,MATCH($B$2,'Data Core CPI'!$B$1:$AX$1,0),FALSE)</f>
        <v>8.4936109999999996</v>
      </c>
      <c r="G284" s="35">
        <f t="shared" si="16"/>
        <v>1.8444351529756986E-2</v>
      </c>
      <c r="H284" s="35">
        <f t="shared" si="17"/>
        <v>0.24522446921686436</v>
      </c>
      <c r="I284" s="35">
        <f>(Table143454[[#This Row],[Core CPI]]-F272)/F272</f>
        <v>0.21299073463419949</v>
      </c>
    </row>
    <row r="285" spans="1:9" x14ac:dyDescent="0.35">
      <c r="A285" s="33">
        <f>IF(Data!A312="",#N/A,Data!A312)</f>
        <v>27334</v>
      </c>
      <c r="B285" s="34">
        <f>VLOOKUP(A285,Data!A:AX,MATCH($B$2,Data!$B$1:$AX$1,0),FALSE)</f>
        <v>9.0762499999999999</v>
      </c>
      <c r="C285" s="35">
        <f t="shared" si="18"/>
        <v>1.9132689869150177E-2</v>
      </c>
      <c r="D285" s="35">
        <f t="shared" si="15"/>
        <v>0.2553614491310543</v>
      </c>
      <c r="E285" s="35">
        <f>(Table143454[[#This Row],[JPN]]-B273)/B273</f>
        <v>0.25235119839367892</v>
      </c>
      <c r="F285" s="34">
        <f>VLOOKUP(Table143454[[#This Row],[Date]],'Data Core CPI'!$A:$AX,MATCH($B$2,'Data Core CPI'!$B$1:$AX$1,0),FALSE)</f>
        <v>8.6764709999999994</v>
      </c>
      <c r="G285" s="35">
        <f t="shared" si="16"/>
        <v>2.1529123478812418E-2</v>
      </c>
      <c r="H285" s="35">
        <f t="shared" si="17"/>
        <v>0.29124613014729195</v>
      </c>
      <c r="I285" s="35">
        <f>(Table143454[[#This Row],[Core CPI]]-F273)/F273</f>
        <v>0.22339907124855224</v>
      </c>
    </row>
    <row r="286" spans="1:9" x14ac:dyDescent="0.35">
      <c r="A286" s="33">
        <f>IF(Data!A313="",#N/A,Data!A313)</f>
        <v>27364</v>
      </c>
      <c r="B286" s="34">
        <f>VLOOKUP(A286,Data!A:AX,MATCH($B$2,Data!$B$1:$AX$1,0),FALSE)</f>
        <v>9.1500859999999999</v>
      </c>
      <c r="C286" s="35">
        <f t="shared" si="18"/>
        <v>8.1350778129734014E-3</v>
      </c>
      <c r="D286" s="35">
        <f t="shared" si="15"/>
        <v>0.10210941918328342</v>
      </c>
      <c r="E286" s="35">
        <f>(Table143454[[#This Row],[JPN]]-B274)/B274</f>
        <v>0.24497673616156729</v>
      </c>
      <c r="F286" s="34">
        <f>VLOOKUP(Table143454[[#This Row],[Date]],'Data Core CPI'!$A:$AX,MATCH($B$2,'Data Core CPI'!$B$1:$AX$1,0),FALSE)</f>
        <v>8.7432250000000007</v>
      </c>
      <c r="G286" s="35">
        <f t="shared" si="16"/>
        <v>7.6936809908085824E-3</v>
      </c>
      <c r="H286" s="35">
        <f t="shared" si="17"/>
        <v>9.6332837988721165E-2</v>
      </c>
      <c r="I286" s="35">
        <f>(Table143454[[#This Row],[Core CPI]]-F274)/F274</f>
        <v>0.22117402322559315</v>
      </c>
    </row>
    <row r="287" spans="1:9" x14ac:dyDescent="0.35">
      <c r="A287" s="33">
        <f>IF(Data!A314="",#N/A,Data!A314)</f>
        <v>27395</v>
      </c>
      <c r="B287" s="34">
        <f>VLOOKUP(A287,Data!A:AX,MATCH($B$2,Data!$B$1:$AX$1,0),FALSE)</f>
        <v>9.269361</v>
      </c>
      <c r="C287" s="35">
        <f t="shared" si="18"/>
        <v>1.3035396607201211E-2</v>
      </c>
      <c r="D287" s="35">
        <f t="shared" si="15"/>
        <v>0.16814147643056687</v>
      </c>
      <c r="E287" s="35">
        <f>(Table143454[[#This Row],[JPN]]-B275)/B275</f>
        <v>0.24106455600632967</v>
      </c>
      <c r="F287" s="34">
        <f>VLOOKUP(Table143454[[#This Row],[Date]],'Data Core CPI'!$A:$AX,MATCH($B$2,'Data Core CPI'!$B$1:$AX$1,0),FALSE)</f>
        <v>8.8644820000000006</v>
      </c>
      <c r="G287" s="35">
        <f t="shared" si="16"/>
        <v>1.3868681178855535E-2</v>
      </c>
      <c r="H287" s="35">
        <f t="shared" si="17"/>
        <v>0.17972421197930277</v>
      </c>
      <c r="I287" s="35">
        <f>(Table143454[[#This Row],[Core CPI]]-F275)/F275</f>
        <v>0.22194288279028948</v>
      </c>
    </row>
    <row r="288" spans="1:9" x14ac:dyDescent="0.35">
      <c r="A288" s="33">
        <f>IF(Data!A315="",#N/A,Data!A315)</f>
        <v>27426</v>
      </c>
      <c r="B288" s="34">
        <f>VLOOKUP(A288,Data!A:AX,MATCH($B$2,Data!$B$1:$AX$1,0),FALSE)</f>
        <v>9.4056759999999997</v>
      </c>
      <c r="C288" s="35">
        <f t="shared" si="18"/>
        <v>1.4705975956702977E-2</v>
      </c>
      <c r="D288" s="35">
        <f t="shared" si="15"/>
        <v>0.19146864306769995</v>
      </c>
      <c r="E288" s="35">
        <f>(Table143454[[#This Row],[JPN]]-B276)/B276</f>
        <v>0.23306037091146298</v>
      </c>
      <c r="F288" s="34">
        <f>VLOOKUP(Table143454[[#This Row],[Date]],'Data Core CPI'!$A:$AX,MATCH($B$2,'Data Core CPI'!$B$1:$AX$1,0),FALSE)</f>
        <v>9.0211220000000001</v>
      </c>
      <c r="G288" s="35">
        <f t="shared" si="16"/>
        <v>1.767051927004859E-2</v>
      </c>
      <c r="H288" s="35">
        <f t="shared" si="17"/>
        <v>0.23391807019641542</v>
      </c>
      <c r="I288" s="35">
        <f>(Table143454[[#This Row],[Core CPI]]-F276)/F276</f>
        <v>0.21851249475071488</v>
      </c>
    </row>
    <row r="289" spans="1:9" x14ac:dyDescent="0.35">
      <c r="A289" s="33">
        <f>IF(Data!A316="",#N/A,Data!A316)</f>
        <v>27454</v>
      </c>
      <c r="B289" s="34">
        <f>VLOOKUP(A289,Data!A:AX,MATCH($B$2,Data!$B$1:$AX$1,0),FALSE)</f>
        <v>9.4170350000000003</v>
      </c>
      <c r="C289" s="35">
        <f t="shared" si="18"/>
        <v>1.207675025165722E-3</v>
      </c>
      <c r="D289" s="35">
        <f t="shared" si="15"/>
        <v>1.4588748469851254E-2</v>
      </c>
      <c r="E289" s="35">
        <f>(Table143454[[#This Row],[JPN]]-B277)/B277</f>
        <v>0.20319294047660419</v>
      </c>
      <c r="F289" s="34">
        <f>VLOOKUP(Table143454[[#This Row],[Date]],'Data Core CPI'!$A:$AX,MATCH($B$2,'Data Core CPI'!$B$1:$AX$1,0),FALSE)</f>
        <v>9.0134100000000004</v>
      </c>
      <c r="G289" s="35">
        <f t="shared" si="16"/>
        <v>-8.5488257447352556E-4</v>
      </c>
      <c r="H289" s="35">
        <f t="shared" si="17"/>
        <v>-1.0210493680552157E-2</v>
      </c>
      <c r="I289" s="35">
        <f>(Table143454[[#This Row],[Core CPI]]-F277)/F277</f>
        <v>0.1987114670627346</v>
      </c>
    </row>
    <row r="290" spans="1:9" x14ac:dyDescent="0.35">
      <c r="A290" s="33">
        <f>IF(Data!A317="",#N/A,Data!A317)</f>
        <v>27485</v>
      </c>
      <c r="B290" s="34">
        <f>VLOOKUP(A290,Data!A:AX,MATCH($B$2,Data!$B$1:$AX$1,0),FALSE)</f>
        <v>9.5419889999999992</v>
      </c>
      <c r="C290" s="35">
        <f t="shared" si="18"/>
        <v>1.326893231255899E-2</v>
      </c>
      <c r="D290" s="35">
        <f t="shared" si="15"/>
        <v>0.17137708579425248</v>
      </c>
      <c r="E290" s="35">
        <f>(Table143454[[#This Row],[JPN]]-B278)/B278</f>
        <v>0.2043010331985865</v>
      </c>
      <c r="F290" s="34">
        <f>VLOOKUP(Table143454[[#This Row],[Date]],'Data Core CPI'!$A:$AX,MATCH($B$2,'Data Core CPI'!$B$1:$AX$1,0),FALSE)</f>
        <v>9.1412510000000005</v>
      </c>
      <c r="G290" s="35">
        <f t="shared" si="16"/>
        <v>1.4183422256393463E-2</v>
      </c>
      <c r="H290" s="35">
        <f t="shared" si="17"/>
        <v>0.18412646606813743</v>
      </c>
      <c r="I290" s="35">
        <f>(Table143454[[#This Row],[Core CPI]]-F278)/F278</f>
        <v>0.20286614037290068</v>
      </c>
    </row>
    <row r="291" spans="1:9" x14ac:dyDescent="0.35">
      <c r="A291" s="33">
        <f>IF(Data!A318="",#N/A,Data!A318)</f>
        <v>27515</v>
      </c>
      <c r="B291" s="34">
        <f>VLOOKUP(A291,Data!A:AX,MATCH($B$2,Data!$B$1:$AX$1,0),FALSE)</f>
        <v>9.6215060000000001</v>
      </c>
      <c r="C291" s="35">
        <f t="shared" si="18"/>
        <v>8.3333778733134523E-3</v>
      </c>
      <c r="D291" s="35">
        <f t="shared" si="15"/>
        <v>0.10471365300849134</v>
      </c>
      <c r="E291" s="35">
        <f>(Table143454[[#This Row],[JPN]]-B279)/B279</f>
        <v>0.19717302352723809</v>
      </c>
      <c r="F291" s="34">
        <f>VLOOKUP(Table143454[[#This Row],[Date]],'Data Core CPI'!$A:$AX,MATCH($B$2,'Data Core CPI'!$B$1:$AX$1,0),FALSE)</f>
        <v>9.2274650000000005</v>
      </c>
      <c r="G291" s="35">
        <f t="shared" si="16"/>
        <v>9.4313130664500644E-3</v>
      </c>
      <c r="H291" s="35">
        <f t="shared" si="17"/>
        <v>0.1192349716532104</v>
      </c>
      <c r="I291" s="35">
        <f>(Table143454[[#This Row],[Core CPI]]-F279)/F279</f>
        <v>0.19428467738919009</v>
      </c>
    </row>
    <row r="292" spans="1:9" x14ac:dyDescent="0.35">
      <c r="A292" s="33">
        <f>IF(Data!A319="",#N/A,Data!A319)</f>
        <v>27546</v>
      </c>
      <c r="B292" s="34">
        <f>VLOOKUP(A292,Data!A:AX,MATCH($B$2,Data!$B$1:$AX$1,0),FALSE)</f>
        <v>9.6953429999999994</v>
      </c>
      <c r="C292" s="35">
        <f t="shared" si="18"/>
        <v>7.6741624440082035E-3</v>
      </c>
      <c r="D292" s="35">
        <f t="shared" si="15"/>
        <v>9.6078039793315861E-2</v>
      </c>
      <c r="E292" s="35">
        <f>(Table143454[[#This Row],[JPN]]-B280)/B280</f>
        <v>0.18954695752995235</v>
      </c>
      <c r="F292" s="34">
        <f>VLOOKUP(Table143454[[#This Row],[Date]],'Data Core CPI'!$A:$AX,MATCH($B$2,'Data Core CPI'!$B$1:$AX$1,0),FALSE)</f>
        <v>9.3008310000000005</v>
      </c>
      <c r="G292" s="35">
        <f t="shared" si="16"/>
        <v>7.9508293989736245E-3</v>
      </c>
      <c r="H292" s="35">
        <f t="shared" si="17"/>
        <v>9.9694767507700899E-2</v>
      </c>
      <c r="I292" s="35">
        <f>(Table143454[[#This Row],[Core CPI]]-F280)/F280</f>
        <v>0.18574910464818026</v>
      </c>
    </row>
    <row r="293" spans="1:9" x14ac:dyDescent="0.35">
      <c r="A293" s="33">
        <f>IF(Data!A320="",#N/A,Data!A320)</f>
        <v>27576</v>
      </c>
      <c r="B293" s="34">
        <f>VLOOKUP(A293,Data!A:AX,MATCH($B$2,Data!$B$1:$AX$1,0),FALSE)</f>
        <v>9.7351019999999995</v>
      </c>
      <c r="C293" s="35">
        <f t="shared" si="18"/>
        <v>4.1008348028532815E-3</v>
      </c>
      <c r="D293" s="35">
        <f t="shared" si="15"/>
        <v>5.0335242271279057E-2</v>
      </c>
      <c r="E293" s="35">
        <f>(Table143454[[#This Row],[JPN]]-B281)/B281</f>
        <v>0.17076502288650258</v>
      </c>
      <c r="F293" s="34">
        <f>VLOOKUP(Table143454[[#This Row],[Date]],'Data Core CPI'!$A:$AX,MATCH($B$2,'Data Core CPI'!$B$1:$AX$1,0),FALSE)</f>
        <v>9.3374179999999996</v>
      </c>
      <c r="G293" s="35">
        <f t="shared" si="16"/>
        <v>3.9337345232914878E-3</v>
      </c>
      <c r="H293" s="35">
        <f t="shared" si="17"/>
        <v>4.8239626965034921E-2</v>
      </c>
      <c r="I293" s="35">
        <f>(Table143454[[#This Row],[Core CPI]]-F281)/F281</f>
        <v>0.17536262222147808</v>
      </c>
    </row>
    <row r="294" spans="1:9" x14ac:dyDescent="0.35">
      <c r="A294" s="33">
        <f>IF(Data!A321="",#N/A,Data!A321)</f>
        <v>27607</v>
      </c>
      <c r="B294" s="34">
        <f>VLOOKUP(A294,Data!A:AX,MATCH($B$2,Data!$B$1:$AX$1,0),FALSE)</f>
        <v>9.7975790000000007</v>
      </c>
      <c r="C294" s="35">
        <f t="shared" si="18"/>
        <v>6.4177036871315707E-3</v>
      </c>
      <c r="D294" s="35">
        <f t="shared" si="15"/>
        <v>7.9789780992353343E-2</v>
      </c>
      <c r="E294" s="35">
        <f>(Table143454[[#This Row],[JPN]]-B282)/B282</f>
        <v>0.15307485128426038</v>
      </c>
      <c r="F294" s="34">
        <f>VLOOKUP(Table143454[[#This Row],[Date]],'Data Core CPI'!$A:$AX,MATCH($B$2,'Data Core CPI'!$B$1:$AX$1,0),FALSE)</f>
        <v>9.3999469999999992</v>
      </c>
      <c r="G294" s="35">
        <f t="shared" si="16"/>
        <v>6.6966049929433336E-3</v>
      </c>
      <c r="H294" s="35">
        <f t="shared" si="17"/>
        <v>8.3386071667527428E-2</v>
      </c>
      <c r="I294" s="35">
        <f>(Table143454[[#This Row],[Core CPI]]-F282)/F282</f>
        <v>0.15857063623141948</v>
      </c>
    </row>
    <row r="295" spans="1:9" x14ac:dyDescent="0.35">
      <c r="A295" s="33">
        <f>IF(Data!A322="",#N/A,Data!A322)</f>
        <v>27638</v>
      </c>
      <c r="B295" s="34">
        <f>VLOOKUP(A295,Data!A:AX,MATCH($B$2,Data!$B$1:$AX$1,0),FALSE)</f>
        <v>9.8770950000000006</v>
      </c>
      <c r="C295" s="35">
        <f t="shared" si="18"/>
        <v>8.1158825052596306E-3</v>
      </c>
      <c r="D295" s="35">
        <f t="shared" si="15"/>
        <v>0.10185763013706417</v>
      </c>
      <c r="E295" s="35">
        <f>(Table143454[[#This Row],[JPN]]-B283)/B283</f>
        <v>0.12995450023475191</v>
      </c>
      <c r="F295" s="34">
        <f>VLOOKUP(Table143454[[#This Row],[Date]],'Data Core CPI'!$A:$AX,MATCH($B$2,'Data Core CPI'!$B$1:$AX$1,0),FALSE)</f>
        <v>9.4678400000000007</v>
      </c>
      <c r="G295" s="35">
        <f t="shared" si="16"/>
        <v>7.2227002982039323E-3</v>
      </c>
      <c r="H295" s="35">
        <f t="shared" si="17"/>
        <v>9.019970845152514E-2</v>
      </c>
      <c r="I295" s="35">
        <f>(Table143454[[#This Row],[Core CPI]]-F283)/F283</f>
        <v>0.13526133574842253</v>
      </c>
    </row>
    <row r="296" spans="1:9" x14ac:dyDescent="0.35">
      <c r="A296" s="33">
        <f>IF(Data!A323="",#N/A,Data!A323)</f>
        <v>27668</v>
      </c>
      <c r="B296" s="34">
        <f>VLOOKUP(A296,Data!A:AX,MATCH($B$2,Data!$B$1:$AX$1,0),FALSE)</f>
        <v>9.9850100000000008</v>
      </c>
      <c r="C296" s="35">
        <f t="shared" si="18"/>
        <v>1.0925783340141937E-2</v>
      </c>
      <c r="D296" s="35">
        <f t="shared" si="15"/>
        <v>0.13928211255367939</v>
      </c>
      <c r="E296" s="35">
        <f>(Table143454[[#This Row],[JPN]]-B284)/B284</f>
        <v>0.12117340307620049</v>
      </c>
      <c r="F296" s="34">
        <f>VLOOKUP(Table143454[[#This Row],[Date]],'Data Core CPI'!$A:$AX,MATCH($B$2,'Data Core CPI'!$B$1:$AX$1,0),FALSE)</f>
        <v>9.5777009999999994</v>
      </c>
      <c r="G296" s="35">
        <f t="shared" si="16"/>
        <v>1.1603597018960965E-2</v>
      </c>
      <c r="H296" s="35">
        <f t="shared" si="17"/>
        <v>0.14848249217579634</v>
      </c>
      <c r="I296" s="35">
        <f>(Table143454[[#This Row],[Core CPI]]-F284)/F284</f>
        <v>0.1276359371767791</v>
      </c>
    </row>
    <row r="297" spans="1:9" x14ac:dyDescent="0.35">
      <c r="A297" s="33">
        <f>IF(Data!A324="",#N/A,Data!A324)</f>
        <v>27699</v>
      </c>
      <c r="B297" s="34">
        <f>VLOOKUP(A297,Data!A:AX,MATCH($B$2,Data!$B$1:$AX$1,0),FALSE)</f>
        <v>10.098610000000001</v>
      </c>
      <c r="C297" s="35">
        <f t="shared" si="18"/>
        <v>1.1377054204252168E-2</v>
      </c>
      <c r="D297" s="35">
        <f t="shared" si="15"/>
        <v>0.14539993809552798</v>
      </c>
      <c r="E297" s="35">
        <f>(Table143454[[#This Row],[JPN]]-B285)/B285</f>
        <v>0.11264123398980866</v>
      </c>
      <c r="F297" s="34">
        <f>VLOOKUP(Table143454[[#This Row],[Date]],'Data Core CPI'!$A:$AX,MATCH($B$2,'Data Core CPI'!$B$1:$AX$1,0),FALSE)</f>
        <v>9.6970209999999994</v>
      </c>
      <c r="G297" s="35">
        <f t="shared" si="16"/>
        <v>1.2458104507543144E-2</v>
      </c>
      <c r="H297" s="35">
        <f t="shared" si="17"/>
        <v>0.16017828878855789</v>
      </c>
      <c r="I297" s="35">
        <f>(Table143454[[#This Row],[Core CPI]]-F285)/F285</f>
        <v>0.11762270628231226</v>
      </c>
    </row>
    <row r="298" spans="1:9" x14ac:dyDescent="0.35">
      <c r="A298" s="33">
        <f>IF(Data!A325="",#N/A,Data!A325)</f>
        <v>27729</v>
      </c>
      <c r="B298" s="34">
        <f>VLOOKUP(A298,Data!A:AX,MATCH($B$2,Data!$B$1:$AX$1,0),FALSE)</f>
        <v>10.17812</v>
      </c>
      <c r="C298" s="35">
        <f t="shared" si="18"/>
        <v>7.8733607892569335E-3</v>
      </c>
      <c r="D298" s="35">
        <f t="shared" si="15"/>
        <v>9.8680958268082319E-2</v>
      </c>
      <c r="E298" s="35">
        <f>(Table143454[[#This Row],[JPN]]-B286)/B286</f>
        <v>0.11235238663330595</v>
      </c>
      <c r="F298" s="34">
        <f>VLOOKUP(Table143454[[#This Row],[Date]],'Data Core CPI'!$A:$AX,MATCH($B$2,'Data Core CPI'!$B$1:$AX$1,0),FALSE)</f>
        <v>9.7480340000000005</v>
      </c>
      <c r="G298" s="35">
        <f t="shared" si="16"/>
        <v>5.2606877926737461E-3</v>
      </c>
      <c r="H298" s="35">
        <f t="shared" si="17"/>
        <v>6.4987204528943465E-2</v>
      </c>
      <c r="I298" s="35">
        <f>(Table143454[[#This Row],[Core CPI]]-F286)/F286</f>
        <v>0.11492429852828902</v>
      </c>
    </row>
    <row r="299" spans="1:9" x14ac:dyDescent="0.35">
      <c r="A299" s="33">
        <f>IF(Data!A326="",#N/A,Data!A326)</f>
        <v>27760</v>
      </c>
      <c r="B299" s="34">
        <f>VLOOKUP(A299,Data!A:AX,MATCH($B$2,Data!$B$1:$AX$1,0),FALSE)</f>
        <v>10.28604</v>
      </c>
      <c r="C299" s="35">
        <f t="shared" si="18"/>
        <v>1.0603136925090295E-2</v>
      </c>
      <c r="D299" s="35">
        <f t="shared" si="15"/>
        <v>0.13492641328302435</v>
      </c>
      <c r="E299" s="35">
        <f>(Table143454[[#This Row],[JPN]]-B287)/B287</f>
        <v>0.10968167061354066</v>
      </c>
      <c r="F299" s="34">
        <f>VLOOKUP(Table143454[[#This Row],[Date]],'Data Core CPI'!$A:$AX,MATCH($B$2,'Data Core CPI'!$B$1:$AX$1,0),FALSE)</f>
        <v>9.9501830000000009</v>
      </c>
      <c r="G299" s="35">
        <f t="shared" si="16"/>
        <v>2.0737412282312517E-2</v>
      </c>
      <c r="H299" s="35">
        <f t="shared" si="17"/>
        <v>0.27928820282471256</v>
      </c>
      <c r="I299" s="35">
        <f>(Table143454[[#This Row],[Core CPI]]-F287)/F287</f>
        <v>0.12247765859302327</v>
      </c>
    </row>
    <row r="300" spans="1:9" x14ac:dyDescent="0.35">
      <c r="A300" s="33">
        <f>IF(Data!A327="",#N/A,Data!A327)</f>
        <v>27791</v>
      </c>
      <c r="B300" s="34">
        <f>VLOOKUP(A300,Data!A:AX,MATCH($B$2,Data!$B$1:$AX$1,0),FALSE)</f>
        <v>10.51323</v>
      </c>
      <c r="C300" s="35">
        <f t="shared" si="18"/>
        <v>2.2087217238120793E-2</v>
      </c>
      <c r="D300" s="35">
        <f t="shared" si="15"/>
        <v>0.29973699809600962</v>
      </c>
      <c r="E300" s="35">
        <f>(Table143454[[#This Row],[JPN]]-B288)/B288</f>
        <v>0.11775379037083569</v>
      </c>
      <c r="F300" s="34">
        <f>VLOOKUP(Table143454[[#This Row],[Date]],'Data Core CPI'!$A:$AX,MATCH($B$2,'Data Core CPI'!$B$1:$AX$1,0),FALSE)</f>
        <v>10.174340000000001</v>
      </c>
      <c r="G300" s="35">
        <f t="shared" si="16"/>
        <v>2.252792737580811E-2</v>
      </c>
      <c r="H300" s="35">
        <f t="shared" si="17"/>
        <v>0.30647811736280817</v>
      </c>
      <c r="I300" s="35">
        <f>(Table143454[[#This Row],[Core CPI]]-F288)/F288</f>
        <v>0.12783531804580414</v>
      </c>
    </row>
    <row r="301" spans="1:9" x14ac:dyDescent="0.35">
      <c r="A301" s="33">
        <f>IF(Data!A328="",#N/A,Data!A328)</f>
        <v>27820</v>
      </c>
      <c r="B301" s="34">
        <f>VLOOKUP(A301,Data!A:AX,MATCH($B$2,Data!$B$1:$AX$1,0),FALSE)</f>
        <v>10.723380000000001</v>
      </c>
      <c r="C301" s="35">
        <f t="shared" si="18"/>
        <v>1.9989099448979974E-2</v>
      </c>
      <c r="D301" s="35">
        <f t="shared" si="15"/>
        <v>0.26807916254083874</v>
      </c>
      <c r="E301" s="35">
        <f>(Table143454[[#This Row],[JPN]]-B289)/B289</f>
        <v>0.1387214765581736</v>
      </c>
      <c r="F301" s="34">
        <f>VLOOKUP(Table143454[[#This Row],[Date]],'Data Core CPI'!$A:$AX,MATCH($B$2,'Data Core CPI'!$B$1:$AX$1,0),FALSE)</f>
        <v>10.3269</v>
      </c>
      <c r="G301" s="35">
        <f t="shared" si="16"/>
        <v>1.4994584415303436E-2</v>
      </c>
      <c r="H301" s="35">
        <f t="shared" si="17"/>
        <v>0.19554162232107197</v>
      </c>
      <c r="I301" s="35">
        <f>(Table143454[[#This Row],[Core CPI]]-F289)/F289</f>
        <v>0.14572620129340613</v>
      </c>
    </row>
    <row r="302" spans="1:9" x14ac:dyDescent="0.35">
      <c r="A302" s="33">
        <f>IF(Data!A329="",#N/A,Data!A329)</f>
        <v>27851</v>
      </c>
      <c r="B302" s="34">
        <f>VLOOKUP(A302,Data!A:AX,MATCH($B$2,Data!$B$1:$AX$1,0),FALSE)</f>
        <v>11.00737</v>
      </c>
      <c r="C302" s="35">
        <f t="shared" si="18"/>
        <v>2.6483254347043461E-2</v>
      </c>
      <c r="D302" s="35">
        <f t="shared" si="15"/>
        <v>0.36842949455652607</v>
      </c>
      <c r="E302" s="35">
        <f>(Table143454[[#This Row],[JPN]]-B290)/B290</f>
        <v>0.15357186012266424</v>
      </c>
      <c r="F302" s="34">
        <f>VLOOKUP(Table143454[[#This Row],[Date]],'Data Core CPI'!$A:$AX,MATCH($B$2,'Data Core CPI'!$B$1:$AX$1,0),FALSE)</f>
        <v>10.52971</v>
      </c>
      <c r="G302" s="35">
        <f t="shared" si="16"/>
        <v>1.9639001055495875E-2</v>
      </c>
      <c r="H302" s="35">
        <f t="shared" si="17"/>
        <v>0.26286598518415771</v>
      </c>
      <c r="I302" s="35">
        <f>(Table143454[[#This Row],[Core CPI]]-F290)/F290</f>
        <v>0.15188938581819919</v>
      </c>
    </row>
    <row r="303" spans="1:9" x14ac:dyDescent="0.35">
      <c r="A303" s="33">
        <f>IF(Data!A330="",#N/A,Data!A330)</f>
        <v>27881</v>
      </c>
      <c r="B303" s="34">
        <f>VLOOKUP(A303,Data!A:AX,MATCH($B$2,Data!$B$1:$AX$1,0),FALSE)</f>
        <v>11.22888</v>
      </c>
      <c r="C303" s="35">
        <f t="shared" si="18"/>
        <v>2.0123789788114799E-2</v>
      </c>
      <c r="D303" s="35">
        <f t="shared" si="15"/>
        <v>0.27009003243197327</v>
      </c>
      <c r="E303" s="35">
        <f>(Table143454[[#This Row],[JPN]]-B291)/B291</f>
        <v>0.16706054124998729</v>
      </c>
      <c r="F303" s="34">
        <f>VLOOKUP(Table143454[[#This Row],[Date]],'Data Core CPI'!$A:$AX,MATCH($B$2,'Data Core CPI'!$B$1:$AX$1,0),FALSE)</f>
        <v>10.758179999999999</v>
      </c>
      <c r="G303" s="35">
        <f t="shared" si="16"/>
        <v>2.1697653591599364E-2</v>
      </c>
      <c r="H303" s="35">
        <f t="shared" si="17"/>
        <v>0.29380478169987567</v>
      </c>
      <c r="I303" s="35">
        <f>(Table143454[[#This Row],[Core CPI]]-F291)/F291</f>
        <v>0.16588683890971126</v>
      </c>
    </row>
    <row r="304" spans="1:9" x14ac:dyDescent="0.35">
      <c r="A304" s="33">
        <f>IF(Data!A331="",#N/A,Data!A331)</f>
        <v>27912</v>
      </c>
      <c r="B304" s="34">
        <f>VLOOKUP(A304,Data!A:AX,MATCH($B$2,Data!$B$1:$AX$1,0),FALSE)</f>
        <v>11.27999</v>
      </c>
      <c r="C304" s="35">
        <f t="shared" si="18"/>
        <v>4.5516560868046341E-3</v>
      </c>
      <c r="D304" s="35">
        <f t="shared" si="15"/>
        <v>5.6008192725702122E-2</v>
      </c>
      <c r="E304" s="35">
        <f>(Table143454[[#This Row],[JPN]]-B292)/B292</f>
        <v>0.1634441401402715</v>
      </c>
      <c r="F304" s="34">
        <f>VLOOKUP(Table143454[[#This Row],[Date]],'Data Core CPI'!$A:$AX,MATCH($B$2,'Data Core CPI'!$B$1:$AX$1,0),FALSE)</f>
        <v>10.81775</v>
      </c>
      <c r="G304" s="35">
        <f t="shared" si="16"/>
        <v>5.5371819396961008E-3</v>
      </c>
      <c r="H304" s="35">
        <f t="shared" si="17"/>
        <v>6.8507587955160876E-2</v>
      </c>
      <c r="I304" s="35">
        <f>(Table143454[[#This Row],[Core CPI]]-F292)/F292</f>
        <v>0.16309499656536061</v>
      </c>
    </row>
    <row r="305" spans="1:9" x14ac:dyDescent="0.35">
      <c r="A305" s="33">
        <f>IF(Data!A332="",#N/A,Data!A332)</f>
        <v>27942</v>
      </c>
      <c r="B305" s="34">
        <f>VLOOKUP(A305,Data!A:AX,MATCH($B$2,Data!$B$1:$AX$1,0),FALSE)</f>
        <v>11.336790000000001</v>
      </c>
      <c r="C305" s="35">
        <f t="shared" si="18"/>
        <v>5.0354654569730872E-3</v>
      </c>
      <c r="D305" s="35">
        <f t="shared" si="15"/>
        <v>6.2127485866272814E-2</v>
      </c>
      <c r="E305" s="35">
        <f>(Table143454[[#This Row],[JPN]]-B293)/B293</f>
        <v>0.16452708970075519</v>
      </c>
      <c r="F305" s="34">
        <f>VLOOKUP(Table143454[[#This Row],[Date]],'Data Core CPI'!$A:$AX,MATCH($B$2,'Data Core CPI'!$B$1:$AX$1,0),FALSE)</f>
        <v>10.882400000000001</v>
      </c>
      <c r="G305" s="35">
        <f t="shared" si="16"/>
        <v>5.9762889695176291E-3</v>
      </c>
      <c r="H305" s="35">
        <f t="shared" si="17"/>
        <v>7.4120321972867886E-2</v>
      </c>
      <c r="I305" s="35">
        <f>(Table143454[[#This Row],[Core CPI]]-F293)/F293</f>
        <v>0.16546137272637906</v>
      </c>
    </row>
    <row r="306" spans="1:9" x14ac:dyDescent="0.35">
      <c r="A306" s="33">
        <f>IF(Data!A333="",#N/A,Data!A333)</f>
        <v>27973</v>
      </c>
      <c r="B306" s="34">
        <f>VLOOKUP(A306,Data!A:AX,MATCH($B$2,Data!$B$1:$AX$1,0),FALSE)</f>
        <v>11.46175</v>
      </c>
      <c r="C306" s="35">
        <f t="shared" si="18"/>
        <v>1.1022520484193388E-2</v>
      </c>
      <c r="D306" s="35">
        <f t="shared" si="15"/>
        <v>0.14059103856107869</v>
      </c>
      <c r="E306" s="35">
        <f>(Table143454[[#This Row],[JPN]]-B294)/B294</f>
        <v>0.16985532854596014</v>
      </c>
      <c r="F306" s="34">
        <f>VLOOKUP(Table143454[[#This Row],[Date]],'Data Core CPI'!$A:$AX,MATCH($B$2,'Data Core CPI'!$B$1:$AX$1,0),FALSE)</f>
        <v>11.00733</v>
      </c>
      <c r="G306" s="35">
        <f t="shared" si="16"/>
        <v>1.1480004410791667E-2</v>
      </c>
      <c r="H306" s="35">
        <f t="shared" si="17"/>
        <v>0.14679983381118822</v>
      </c>
      <c r="I306" s="35">
        <f>(Table143454[[#This Row],[Core CPI]]-F294)/F294</f>
        <v>0.17099915563353715</v>
      </c>
    </row>
    <row r="307" spans="1:9" x14ac:dyDescent="0.35">
      <c r="A307" s="33">
        <f>IF(Data!A334="",#N/A,Data!A334)</f>
        <v>28004</v>
      </c>
      <c r="B307" s="34">
        <f>VLOOKUP(A307,Data!A:AX,MATCH($B$2,Data!$B$1:$AX$1,0),FALSE)</f>
        <v>11.654859999999999</v>
      </c>
      <c r="C307" s="35">
        <f t="shared" si="18"/>
        <v>1.684821253299007E-2</v>
      </c>
      <c r="D307" s="35">
        <f t="shared" si="15"/>
        <v>0.22200660837393826</v>
      </c>
      <c r="E307" s="35">
        <f>(Table143454[[#This Row],[JPN]]-B295)/B295</f>
        <v>0.17998865050908172</v>
      </c>
      <c r="F307" s="34">
        <f>VLOOKUP(Table143454[[#This Row],[Date]],'Data Core CPI'!$A:$AX,MATCH($B$2,'Data Core CPI'!$B$1:$AX$1,0),FALSE)</f>
        <v>11.170389999999999</v>
      </c>
      <c r="G307" s="35">
        <f t="shared" si="16"/>
        <v>1.4813765009316526E-2</v>
      </c>
      <c r="H307" s="35">
        <f t="shared" si="17"/>
        <v>0.19298832272941802</v>
      </c>
      <c r="I307" s="35">
        <f>(Table143454[[#This Row],[Core CPI]]-F295)/F295</f>
        <v>0.17982454287355917</v>
      </c>
    </row>
    <row r="308" spans="1:9" x14ac:dyDescent="0.35">
      <c r="A308" s="33">
        <f>IF(Data!A335="",#N/A,Data!A335)</f>
        <v>28034</v>
      </c>
      <c r="B308" s="34">
        <f>VLOOKUP(A308,Data!A:AX,MATCH($B$2,Data!$B$1:$AX$1,0),FALSE)</f>
        <v>11.98996</v>
      </c>
      <c r="C308" s="35">
        <f t="shared" si="18"/>
        <v>2.8751954120427081E-2</v>
      </c>
      <c r="D308" s="35">
        <f t="shared" si="15"/>
        <v>0.40516744019695894</v>
      </c>
      <c r="E308" s="35">
        <f>(Table143454[[#This Row],[JPN]]-B296)/B296</f>
        <v>0.2007959931937974</v>
      </c>
      <c r="F308" s="34">
        <f>VLOOKUP(Table143454[[#This Row],[Date]],'Data Core CPI'!$A:$AX,MATCH($B$2,'Data Core CPI'!$B$1:$AX$1,0),FALSE)</f>
        <v>11.370620000000001</v>
      </c>
      <c r="G308" s="35">
        <f t="shared" si="16"/>
        <v>1.7925067969874142E-2</v>
      </c>
      <c r="H308" s="35">
        <f t="shared" si="17"/>
        <v>0.2376268308724736</v>
      </c>
      <c r="I308" s="35">
        <f>(Table143454[[#This Row],[Core CPI]]-F296)/F296</f>
        <v>0.18719721987562582</v>
      </c>
    </row>
    <row r="309" spans="1:9" x14ac:dyDescent="0.35">
      <c r="A309" s="33">
        <f>IF(Data!A336="",#N/A,Data!A336)</f>
        <v>28065</v>
      </c>
      <c r="B309" s="34">
        <f>VLOOKUP(A309,Data!A:AX,MATCH($B$2,Data!$B$1:$AX$1,0),FALSE)</f>
        <v>12.25123</v>
      </c>
      <c r="C309" s="35">
        <f t="shared" si="18"/>
        <v>2.1790731578754219E-2</v>
      </c>
      <c r="D309" s="35">
        <f t="shared" si="15"/>
        <v>0.29521989822602435</v>
      </c>
      <c r="E309" s="35">
        <f>(Table143454[[#This Row],[JPN]]-B297)/B297</f>
        <v>0.21316002895447975</v>
      </c>
      <c r="F309" s="34">
        <f>VLOOKUP(Table143454[[#This Row],[Date]],'Data Core CPI'!$A:$AX,MATCH($B$2,'Data Core CPI'!$B$1:$AX$1,0),FALSE)</f>
        <v>11.60929</v>
      </c>
      <c r="G309" s="35">
        <f t="shared" si="16"/>
        <v>2.099006034851203E-2</v>
      </c>
      <c r="H309" s="35">
        <f t="shared" si="17"/>
        <v>0.28309309971004049</v>
      </c>
      <c r="I309" s="35">
        <f>(Table143454[[#This Row],[Core CPI]]-F297)/F297</f>
        <v>0.19720169730477022</v>
      </c>
    </row>
    <row r="310" spans="1:9" x14ac:dyDescent="0.35">
      <c r="A310" s="33">
        <f>IF(Data!A337="",#N/A,Data!A337)</f>
        <v>28095</v>
      </c>
      <c r="B310" s="34">
        <f>VLOOKUP(A310,Data!A:AX,MATCH($B$2,Data!$B$1:$AX$1,0),FALSE)</f>
        <v>12.26479</v>
      </c>
      <c r="C310" s="35">
        <f t="shared" si="18"/>
        <v>1.1068276409798017E-3</v>
      </c>
      <c r="D310" s="35">
        <f t="shared" si="15"/>
        <v>1.3363085192604984E-2</v>
      </c>
      <c r="E310" s="35">
        <f>(Table143454[[#This Row],[JPN]]-B298)/B298</f>
        <v>0.20501526804557224</v>
      </c>
      <c r="F310" s="34">
        <f>VLOOKUP(Table143454[[#This Row],[Date]],'Data Core CPI'!$A:$AX,MATCH($B$2,'Data Core CPI'!$B$1:$AX$1,0),FALSE)</f>
        <v>11.552960000000001</v>
      </c>
      <c r="G310" s="35">
        <f t="shared" si="16"/>
        <v>-4.8521485810070208E-3</v>
      </c>
      <c r="H310" s="35">
        <f t="shared" si="17"/>
        <v>-5.6696781769467353E-2</v>
      </c>
      <c r="I310" s="35">
        <f>(Table143454[[#This Row],[Core CPI]]-F298)/F298</f>
        <v>0.18515795082372508</v>
      </c>
    </row>
    <row r="311" spans="1:9" x14ac:dyDescent="0.35">
      <c r="A311" s="33">
        <f>IF(Data!A338="",#N/A,Data!A338)</f>
        <v>28126</v>
      </c>
      <c r="B311" s="34">
        <f>VLOOKUP(A311,Data!A:AX,MATCH($B$2,Data!$B$1:$AX$1,0),FALSE)</f>
        <v>12.423629999999999</v>
      </c>
      <c r="C311" s="35">
        <f t="shared" si="18"/>
        <v>1.2950894389549328E-2</v>
      </c>
      <c r="D311" s="35">
        <f t="shared" si="15"/>
        <v>0.16697272827102405</v>
      </c>
      <c r="E311" s="35">
        <f>(Table143454[[#This Row],[JPN]]-B299)/B299</f>
        <v>0.20781466920214189</v>
      </c>
      <c r="F311" s="34">
        <f>VLOOKUP(Table143454[[#This Row],[Date]],'Data Core CPI'!$A:$AX,MATCH($B$2,'Data Core CPI'!$B$1:$AX$1,0),FALSE)</f>
        <v>11.833360000000001</v>
      </c>
      <c r="G311" s="35">
        <f t="shared" si="16"/>
        <v>2.4270836218596825E-2</v>
      </c>
      <c r="H311" s="35">
        <f t="shared" si="17"/>
        <v>0.33345292435187157</v>
      </c>
      <c r="I311" s="35">
        <f>(Table143454[[#This Row],[Core CPI]]-F299)/F299</f>
        <v>0.18926053922827346</v>
      </c>
    </row>
    <row r="312" spans="1:9" x14ac:dyDescent="0.35">
      <c r="A312" s="33">
        <f>IF(Data!A339="",#N/A,Data!A339)</f>
        <v>28157</v>
      </c>
      <c r="B312" s="34">
        <f>VLOOKUP(A312,Data!A:AX,MATCH($B$2,Data!$B$1:$AX$1,0),FALSE)</f>
        <v>12.661899999999999</v>
      </c>
      <c r="C312" s="35">
        <f t="shared" si="18"/>
        <v>1.9178774641549934E-2</v>
      </c>
      <c r="D312" s="35">
        <f t="shared" si="15"/>
        <v>0.25604282188548555</v>
      </c>
      <c r="E312" s="35">
        <f>(Table143454[[#This Row],[JPN]]-B300)/B300</f>
        <v>0.20437772216530972</v>
      </c>
      <c r="F312" s="34">
        <f>VLOOKUP(Table143454[[#This Row],[Date]],'Data Core CPI'!$A:$AX,MATCH($B$2,'Data Core CPI'!$B$1:$AX$1,0),FALSE)</f>
        <v>12.077260000000001</v>
      </c>
      <c r="G312" s="35">
        <f t="shared" si="16"/>
        <v>2.0611221157811555E-2</v>
      </c>
      <c r="H312" s="35">
        <f t="shared" si="17"/>
        <v>0.27739163167023007</v>
      </c>
      <c r="I312" s="35">
        <f>(Table143454[[#This Row],[Core CPI]]-F300)/F300</f>
        <v>0.18703129637892971</v>
      </c>
    </row>
    <row r="313" spans="1:9" x14ac:dyDescent="0.35">
      <c r="A313" s="33">
        <f>IF(Data!A340="",#N/A,Data!A340)</f>
        <v>28185</v>
      </c>
      <c r="B313" s="34">
        <f>VLOOKUP(A313,Data!A:AX,MATCH($B$2,Data!$B$1:$AX$1,0),FALSE)</f>
        <v>12.820740000000001</v>
      </c>
      <c r="C313" s="35">
        <f t="shared" si="18"/>
        <v>1.2544720776502816E-2</v>
      </c>
      <c r="D313" s="35">
        <f t="shared" si="15"/>
        <v>0.16136989497403342</v>
      </c>
      <c r="E313" s="35">
        <f>(Table143454[[#This Row],[JPN]]-B301)/B301</f>
        <v>0.19558758525763331</v>
      </c>
      <c r="F313" s="34">
        <f>VLOOKUP(Table143454[[#This Row],[Date]],'Data Core CPI'!$A:$AX,MATCH($B$2,'Data Core CPI'!$B$1:$AX$1,0),FALSE)</f>
        <v>12.237130000000001</v>
      </c>
      <c r="G313" s="35">
        <f t="shared" si="16"/>
        <v>1.3237274017450895E-2</v>
      </c>
      <c r="H313" s="35">
        <f t="shared" si="17"/>
        <v>0.17093798306310815</v>
      </c>
      <c r="I313" s="35">
        <f>(Table143454[[#This Row],[Core CPI]]-F301)/F301</f>
        <v>0.18497613030047741</v>
      </c>
    </row>
    <row r="314" spans="1:9" x14ac:dyDescent="0.35">
      <c r="A314" s="33">
        <f>IF(Data!A341="",#N/A,Data!A341)</f>
        <v>28216</v>
      </c>
      <c r="B314" s="34">
        <f>VLOOKUP(A314,Data!A:AX,MATCH($B$2,Data!$B$1:$AX$1,0),FALSE)</f>
        <v>12.97958</v>
      </c>
      <c r="C314" s="35">
        <f t="shared" si="18"/>
        <v>1.2389300461595809E-2</v>
      </c>
      <c r="D314" s="35">
        <f t="shared" si="15"/>
        <v>0.15923252958116341</v>
      </c>
      <c r="E314" s="35">
        <f>(Table143454[[#This Row],[JPN]]-B302)/B302</f>
        <v>0.17917177309384535</v>
      </c>
      <c r="F314" s="34">
        <f>VLOOKUP(Table143454[[#This Row],[Date]],'Data Core CPI'!$A:$AX,MATCH($B$2,'Data Core CPI'!$B$1:$AX$1,0),FALSE)</f>
        <v>12.396990000000001</v>
      </c>
      <c r="G314" s="35">
        <f t="shared" si="16"/>
        <v>1.3063520613084911E-2</v>
      </c>
      <c r="H314" s="35">
        <f t="shared" si="17"/>
        <v>0.16853069680348853</v>
      </c>
      <c r="I314" s="35">
        <f>(Table143454[[#This Row],[Core CPI]]-F302)/F302</f>
        <v>0.17733441851674936</v>
      </c>
    </row>
    <row r="315" spans="1:9" x14ac:dyDescent="0.35">
      <c r="A315" s="33">
        <f>IF(Data!A342="",#N/A,Data!A342)</f>
        <v>28246</v>
      </c>
      <c r="B315" s="34">
        <f>VLOOKUP(A315,Data!A:AX,MATCH($B$2,Data!$B$1:$AX$1,0),FALSE)</f>
        <v>13.13842</v>
      </c>
      <c r="C315" s="35">
        <f t="shared" si="18"/>
        <v>1.2237684116126912E-2</v>
      </c>
      <c r="D315" s="35">
        <f t="shared" ref="D315:D378" si="19">((1+C315)^12)-1</f>
        <v>0.15715095204426155</v>
      </c>
      <c r="E315" s="35">
        <f>(Table143454[[#This Row],[JPN]]-B303)/B303</f>
        <v>0.17005614095083391</v>
      </c>
      <c r="F315" s="34">
        <f>VLOOKUP(Table143454[[#This Row],[Date]],'Data Core CPI'!$A:$AX,MATCH($B$2,'Data Core CPI'!$B$1:$AX$1,0),FALSE)</f>
        <v>12.56199</v>
      </c>
      <c r="G315" s="35">
        <f t="shared" si="16"/>
        <v>1.3309682430977077E-2</v>
      </c>
      <c r="H315" s="35">
        <f t="shared" si="17"/>
        <v>0.1719425149289675</v>
      </c>
      <c r="I315" s="35">
        <f>(Table143454[[#This Row],[Core CPI]]-F303)/F303</f>
        <v>0.16766869489077152</v>
      </c>
    </row>
    <row r="316" spans="1:9" x14ac:dyDescent="0.35">
      <c r="A316" s="33">
        <f>IF(Data!A343="",#N/A,Data!A343)</f>
        <v>28277</v>
      </c>
      <c r="B316" s="34">
        <f>VLOOKUP(A316,Data!A:AX,MATCH($B$2,Data!$B$1:$AX$1,0),FALSE)</f>
        <v>13.229189999999999</v>
      </c>
      <c r="C316" s="35">
        <f t="shared" si="18"/>
        <v>6.908745496033708E-3</v>
      </c>
      <c r="D316" s="35">
        <f t="shared" si="19"/>
        <v>8.6128863821499646E-2</v>
      </c>
      <c r="E316" s="35">
        <f>(Table143454[[#This Row],[JPN]]-B304)/B304</f>
        <v>0.1728015716325989</v>
      </c>
      <c r="F316" s="34">
        <f>VLOOKUP(Table143454[[#This Row],[Date]],'Data Core CPI'!$A:$AX,MATCH($B$2,'Data Core CPI'!$B$1:$AX$1,0),FALSE)</f>
        <v>12.62811</v>
      </c>
      <c r="G316" s="35">
        <f t="shared" si="16"/>
        <v>5.26349726436659E-3</v>
      </c>
      <c r="H316" s="35">
        <f t="shared" si="17"/>
        <v>6.502292180028646E-2</v>
      </c>
      <c r="I316" s="35">
        <f>(Table143454[[#This Row],[Core CPI]]-F304)/F304</f>
        <v>0.16735088165283901</v>
      </c>
    </row>
    <row r="317" spans="1:9" x14ac:dyDescent="0.35">
      <c r="A317" s="33">
        <f>IF(Data!A344="",#N/A,Data!A344)</f>
        <v>28307</v>
      </c>
      <c r="B317" s="34">
        <f>VLOOKUP(A317,Data!A:AX,MATCH($B$2,Data!$B$1:$AX$1,0),FALSE)</f>
        <v>13.30861</v>
      </c>
      <c r="C317" s="35">
        <f t="shared" si="18"/>
        <v>6.0033909861449963E-3</v>
      </c>
      <c r="D317" s="35">
        <f t="shared" si="19"/>
        <v>7.4467628060043589E-2</v>
      </c>
      <c r="E317" s="35">
        <f>(Table143454[[#This Row],[JPN]]-B305)/B305</f>
        <v>0.17393106867111405</v>
      </c>
      <c r="F317" s="34">
        <f>VLOOKUP(Table143454[[#This Row],[Date]],'Data Core CPI'!$A:$AX,MATCH($B$2,'Data Core CPI'!$B$1:$AX$1,0),FALSE)</f>
        <v>12.70623</v>
      </c>
      <c r="G317" s="35">
        <f t="shared" si="16"/>
        <v>6.186198884868821E-3</v>
      </c>
      <c r="H317" s="35">
        <f t="shared" si="17"/>
        <v>7.6812959321072016E-2</v>
      </c>
      <c r="I317" s="35">
        <f>(Table143454[[#This Row],[Core CPI]]-F305)/F305</f>
        <v>0.16759446445636983</v>
      </c>
    </row>
    <row r="318" spans="1:9" x14ac:dyDescent="0.35">
      <c r="A318" s="33">
        <f>IF(Data!A345="",#N/A,Data!A345)</f>
        <v>28338</v>
      </c>
      <c r="B318" s="34">
        <f>VLOOKUP(A318,Data!A:AX,MATCH($B$2,Data!$B$1:$AX$1,0),FALSE)</f>
        <v>13.43341</v>
      </c>
      <c r="C318" s="35">
        <f t="shared" si="18"/>
        <v>9.3773880217393746E-3</v>
      </c>
      <c r="D318" s="35">
        <f t="shared" si="19"/>
        <v>0.11851769175488247</v>
      </c>
      <c r="E318" s="35">
        <f>(Table143454[[#This Row],[JPN]]-B306)/B306</f>
        <v>0.1720208519641416</v>
      </c>
      <c r="F318" s="34">
        <f>VLOOKUP(Table143454[[#This Row],[Date]],'Data Core CPI'!$A:$AX,MATCH($B$2,'Data Core CPI'!$B$1:$AX$1,0),FALSE)</f>
        <v>12.812860000000001</v>
      </c>
      <c r="G318" s="35">
        <f t="shared" si="16"/>
        <v>8.3919463129504823E-3</v>
      </c>
      <c r="H318" s="35">
        <f t="shared" si="17"/>
        <v>0.1054838986049409</v>
      </c>
      <c r="I318" s="35">
        <f>(Table143454[[#This Row],[Core CPI]]-F306)/F306</f>
        <v>0.16402978742347155</v>
      </c>
    </row>
    <row r="319" spans="1:9" x14ac:dyDescent="0.35">
      <c r="A319" s="33">
        <f>IF(Data!A346="",#N/A,Data!A346)</f>
        <v>28369</v>
      </c>
      <c r="B319" s="34">
        <f>VLOOKUP(A319,Data!A:AX,MATCH($B$2,Data!$B$1:$AX$1,0),FALSE)</f>
        <v>13.6036</v>
      </c>
      <c r="C319" s="35">
        <f t="shared" si="18"/>
        <v>1.2669158463859853E-2</v>
      </c>
      <c r="D319" s="35">
        <f t="shared" si="19"/>
        <v>0.16308378558848657</v>
      </c>
      <c r="E319" s="35">
        <f>(Table143454[[#This Row],[JPN]]-B307)/B307</f>
        <v>0.16720406765932846</v>
      </c>
      <c r="F319" s="34">
        <f>VLOOKUP(Table143454[[#This Row],[Date]],'Data Core CPI'!$A:$AX,MATCH($B$2,'Data Core CPI'!$B$1:$AX$1,0),FALSE)</f>
        <v>12.96626</v>
      </c>
      <c r="G319" s="35">
        <f t="shared" si="16"/>
        <v>1.1972346533092537E-2</v>
      </c>
      <c r="H319" s="35">
        <f t="shared" si="17"/>
        <v>0.15351631123881826</v>
      </c>
      <c r="I319" s="35">
        <f>(Table143454[[#This Row],[Core CPI]]-F307)/F307</f>
        <v>0.16077057291643362</v>
      </c>
    </row>
    <row r="320" spans="1:9" x14ac:dyDescent="0.35">
      <c r="A320" s="33">
        <f>IF(Data!A347="",#N/A,Data!A347)</f>
        <v>28399</v>
      </c>
      <c r="B320" s="34">
        <f>VLOOKUP(A320,Data!A:AX,MATCH($B$2,Data!$B$1:$AX$1,0),FALSE)</f>
        <v>13.785130000000001</v>
      </c>
      <c r="C320" s="35">
        <f t="shared" si="18"/>
        <v>1.3344261813049485E-2</v>
      </c>
      <c r="D320" s="35">
        <f t="shared" si="19"/>
        <v>0.17242251809852482</v>
      </c>
      <c r="E320" s="35">
        <f>(Table143454[[#This Row],[JPN]]-B308)/B308</f>
        <v>0.14972276804926793</v>
      </c>
      <c r="F320" s="34">
        <f>VLOOKUP(Table143454[[#This Row],[Date]],'Data Core CPI'!$A:$AX,MATCH($B$2,'Data Core CPI'!$B$1:$AX$1,0),FALSE)</f>
        <v>13.161659999999999</v>
      </c>
      <c r="G320" s="35">
        <f t="shared" si="16"/>
        <v>1.506988136902998E-2</v>
      </c>
      <c r="H320" s="35">
        <f t="shared" si="17"/>
        <v>0.19660634580795922</v>
      </c>
      <c r="I320" s="35">
        <f>(Table143454[[#This Row],[Core CPI]]-F308)/F308</f>
        <v>0.15751471775505635</v>
      </c>
    </row>
    <row r="321" spans="1:9" x14ac:dyDescent="0.35">
      <c r="A321" s="33">
        <f>IF(Data!A348="",#N/A,Data!A348)</f>
        <v>28430</v>
      </c>
      <c r="B321" s="34">
        <f>VLOOKUP(A321,Data!A:AX,MATCH($B$2,Data!$B$1:$AX$1,0),FALSE)</f>
        <v>13.921279999999999</v>
      </c>
      <c r="C321" s="35">
        <f t="shared" si="18"/>
        <v>9.8765844065307196E-3</v>
      </c>
      <c r="D321" s="35">
        <f t="shared" si="19"/>
        <v>0.12517384967314227</v>
      </c>
      <c r="E321" s="35">
        <f>(Table143454[[#This Row],[JPN]]-B309)/B309</f>
        <v>0.13631692491284547</v>
      </c>
      <c r="F321" s="34">
        <f>VLOOKUP(Table143454[[#This Row],[Date]],'Data Core CPI'!$A:$AX,MATCH($B$2,'Data Core CPI'!$B$1:$AX$1,0),FALSE)</f>
        <v>13.31049</v>
      </c>
      <c r="G321" s="35">
        <f t="shared" si="16"/>
        <v>1.1307844147318891E-2</v>
      </c>
      <c r="H321" s="35">
        <f t="shared" si="17"/>
        <v>0.1444597146832336</v>
      </c>
      <c r="I321" s="35">
        <f>(Table143454[[#This Row],[Core CPI]]-F309)/F309</f>
        <v>0.14653781583542147</v>
      </c>
    </row>
    <row r="322" spans="1:9" x14ac:dyDescent="0.35">
      <c r="A322" s="33">
        <f>IF(Data!A349="",#N/A,Data!A349)</f>
        <v>28460</v>
      </c>
      <c r="B322" s="34">
        <f>VLOOKUP(A322,Data!A:AX,MATCH($B$2,Data!$B$1:$AX$1,0),FALSE)</f>
        <v>13.98935</v>
      </c>
      <c r="C322" s="35">
        <f t="shared" si="18"/>
        <v>4.8896365851416324E-3</v>
      </c>
      <c r="D322" s="35">
        <f t="shared" si="19"/>
        <v>6.027960713310998E-2</v>
      </c>
      <c r="E322" s="35">
        <f>(Table143454[[#This Row],[JPN]]-B310)/B310</f>
        <v>0.14061064233468329</v>
      </c>
      <c r="F322" s="34">
        <f>VLOOKUP(Table143454[[#This Row],[Date]],'Data Core CPI'!$A:$AX,MATCH($B$2,'Data Core CPI'!$B$1:$AX$1,0),FALSE)</f>
        <v>13.367509999999999</v>
      </c>
      <c r="G322" s="35">
        <f t="shared" si="16"/>
        <v>4.2838392876596298E-3</v>
      </c>
      <c r="H322" s="35">
        <f t="shared" si="17"/>
        <v>5.2634718782549106E-2</v>
      </c>
      <c r="I322" s="35">
        <f>(Table143454[[#This Row],[Core CPI]]-F310)/F310</f>
        <v>0.1570636442954878</v>
      </c>
    </row>
    <row r="323" spans="1:9" x14ac:dyDescent="0.35">
      <c r="A323" s="33">
        <f>IF(Data!A350="",#N/A,Data!A350)</f>
        <v>28491</v>
      </c>
      <c r="B323" s="34">
        <f>VLOOKUP(A323,Data!A:AX,MATCH($B$2,Data!$B$1:$AX$1,0),FALSE)</f>
        <v>14.10281</v>
      </c>
      <c r="C323" s="35">
        <f t="shared" si="18"/>
        <v>8.1104554536128859E-3</v>
      </c>
      <c r="D323" s="35">
        <f t="shared" si="19"/>
        <v>0.10178645187687652</v>
      </c>
      <c r="E323" s="35">
        <f>(Table143454[[#This Row],[JPN]]-B311)/B311</f>
        <v>0.13516017460275304</v>
      </c>
      <c r="F323" s="34">
        <f>VLOOKUP(Table143454[[#This Row],[Date]],'Data Core CPI'!$A:$AX,MATCH($B$2,'Data Core CPI'!$B$1:$AX$1,0),FALSE)</f>
        <v>13.480259999999999</v>
      </c>
      <c r="G323" s="35">
        <f t="shared" ref="G323:G386" si="20">(F323/F322)-1</f>
        <v>8.4346299348196929E-3</v>
      </c>
      <c r="H323" s="35">
        <f t="shared" ref="H323:H386" si="21">((1+G323)^12)-1</f>
        <v>0.10604554978005187</v>
      </c>
      <c r="I323" s="35">
        <f>(Table143454[[#This Row],[Core CPI]]-F311)/F311</f>
        <v>0.13917433425502126</v>
      </c>
    </row>
    <row r="324" spans="1:9" x14ac:dyDescent="0.35">
      <c r="A324" s="33">
        <f>IF(Data!A351="",#N/A,Data!A351)</f>
        <v>28522</v>
      </c>
      <c r="B324" s="34">
        <f>VLOOKUP(A324,Data!A:AX,MATCH($B$2,Data!$B$1:$AX$1,0),FALSE)</f>
        <v>14.250310000000001</v>
      </c>
      <c r="C324" s="35">
        <f t="shared" ref="C324:C387" si="22">(B324/B323)-1</f>
        <v>1.0458908543758305E-2</v>
      </c>
      <c r="D324" s="35">
        <f t="shared" si="19"/>
        <v>0.13298428383569649</v>
      </c>
      <c r="E324" s="35">
        <f>(Table143454[[#This Row],[JPN]]-B312)/B312</f>
        <v>0.12544799753591496</v>
      </c>
      <c r="F324" s="34">
        <f>VLOOKUP(Table143454[[#This Row],[Date]],'Data Core CPI'!$A:$AX,MATCH($B$2,'Data Core CPI'!$B$1:$AX$1,0),FALSE)</f>
        <v>13.63137</v>
      </c>
      <c r="G324" s="35">
        <f t="shared" si="20"/>
        <v>1.12097244415168E-2</v>
      </c>
      <c r="H324" s="35">
        <f t="shared" si="21"/>
        <v>0.1431279641460943</v>
      </c>
      <c r="I324" s="35">
        <f>(Table143454[[#This Row],[Core CPI]]-F312)/F312</f>
        <v>0.12868067757090595</v>
      </c>
    </row>
    <row r="325" spans="1:9" x14ac:dyDescent="0.35">
      <c r="A325" s="33">
        <f>IF(Data!A352="",#N/A,Data!A352)</f>
        <v>28550</v>
      </c>
      <c r="B325" s="34">
        <f>VLOOKUP(A325,Data!A:AX,MATCH($B$2,Data!$B$1:$AX$1,0),FALSE)</f>
        <v>14.431839999999999</v>
      </c>
      <c r="C325" s="35">
        <f t="shared" si="22"/>
        <v>1.2738670246471795E-2</v>
      </c>
      <c r="D325" s="35">
        <f t="shared" si="19"/>
        <v>0.16404218614337318</v>
      </c>
      <c r="E325" s="35">
        <f>(Table143454[[#This Row],[JPN]]-B313)/B313</f>
        <v>0.12566357324148206</v>
      </c>
      <c r="F325" s="34">
        <f>VLOOKUP(Table143454[[#This Row],[Date]],'Data Core CPI'!$A:$AX,MATCH($B$2,'Data Core CPI'!$B$1:$AX$1,0),FALSE)</f>
        <v>13.826779999999999</v>
      </c>
      <c r="G325" s="35">
        <f t="shared" si="20"/>
        <v>1.4335316259480813E-2</v>
      </c>
      <c r="H325" s="35">
        <f t="shared" si="21"/>
        <v>0.18625637595160494</v>
      </c>
      <c r="I325" s="35">
        <f>(Table143454[[#This Row],[Core CPI]]-F313)/F313</f>
        <v>0.12990382548849272</v>
      </c>
    </row>
    <row r="326" spans="1:9" x14ac:dyDescent="0.35">
      <c r="A326" s="33">
        <f>IF(Data!A353="",#N/A,Data!A353)</f>
        <v>28581</v>
      </c>
      <c r="B326" s="34">
        <f>VLOOKUP(A326,Data!A:AX,MATCH($B$2,Data!$B$1:$AX$1,0),FALSE)</f>
        <v>14.56799</v>
      </c>
      <c r="C326" s="35">
        <f t="shared" si="22"/>
        <v>9.4340014856040266E-3</v>
      </c>
      <c r="D326" s="35">
        <f t="shared" si="19"/>
        <v>0.11927074248900205</v>
      </c>
      <c r="E326" s="35">
        <f>(Table143454[[#This Row],[JPN]]-B314)/B314</f>
        <v>0.12237761160222439</v>
      </c>
      <c r="F326" s="34">
        <f>VLOOKUP(Table143454[[#This Row],[Date]],'Data Core CPI'!$A:$AX,MATCH($B$2,'Data Core CPI'!$B$1:$AX$1,0),FALSE)</f>
        <v>13.963279999999999</v>
      </c>
      <c r="G326" s="35">
        <f t="shared" si="20"/>
        <v>9.8721466603215458E-3</v>
      </c>
      <c r="H326" s="35">
        <f t="shared" si="21"/>
        <v>0.12511451828096454</v>
      </c>
      <c r="I326" s="35">
        <f>(Table143454[[#This Row],[Core CPI]]-F314)/F314</f>
        <v>0.1263443787564561</v>
      </c>
    </row>
    <row r="327" spans="1:9" x14ac:dyDescent="0.35">
      <c r="A327" s="33">
        <f>IF(Data!A354="",#N/A,Data!A354)</f>
        <v>28611</v>
      </c>
      <c r="B327" s="34">
        <f>VLOOKUP(A327,Data!A:AX,MATCH($B$2,Data!$B$1:$AX$1,0),FALSE)</f>
        <v>14.704140000000001</v>
      </c>
      <c r="C327" s="35">
        <f t="shared" si="22"/>
        <v>9.3458328842894733E-3</v>
      </c>
      <c r="D327" s="35">
        <f t="shared" si="19"/>
        <v>0.11809815893906039</v>
      </c>
      <c r="E327" s="35">
        <f>(Table143454[[#This Row],[JPN]]-B315)/B315</f>
        <v>0.11917110276578163</v>
      </c>
      <c r="F327" s="34">
        <f>VLOOKUP(Table143454[[#This Row],[Date]],'Data Core CPI'!$A:$AX,MATCH($B$2,'Data Core CPI'!$B$1:$AX$1,0),FALSE)</f>
        <v>14.08684</v>
      </c>
      <c r="G327" s="35">
        <f t="shared" si="20"/>
        <v>8.8489237485749328E-3</v>
      </c>
      <c r="H327" s="35">
        <f t="shared" si="21"/>
        <v>0.11151062953850577</v>
      </c>
      <c r="I327" s="35">
        <f>(Table143454[[#This Row],[Core CPI]]-F315)/F315</f>
        <v>0.12138602243752787</v>
      </c>
    </row>
    <row r="328" spans="1:9" x14ac:dyDescent="0.35">
      <c r="A328" s="33">
        <f>IF(Data!A355="",#N/A,Data!A355)</f>
        <v>28642</v>
      </c>
      <c r="B328" s="34">
        <f>VLOOKUP(A328,Data!A:AX,MATCH($B$2,Data!$B$1:$AX$1,0),FALSE)</f>
        <v>14.828939999999999</v>
      </c>
      <c r="C328" s="35">
        <f t="shared" si="22"/>
        <v>8.4874055878139121E-3</v>
      </c>
      <c r="D328" s="35">
        <f t="shared" si="19"/>
        <v>0.10674035829738782</v>
      </c>
      <c r="E328" s="35">
        <f>(Table143454[[#This Row],[JPN]]-B316)/B316</f>
        <v>0.12092577096556935</v>
      </c>
      <c r="F328" s="34">
        <f>VLOOKUP(Table143454[[#This Row],[Date]],'Data Core CPI'!$A:$AX,MATCH($B$2,'Data Core CPI'!$B$1:$AX$1,0),FALSE)</f>
        <v>14.198790000000001</v>
      </c>
      <c r="G328" s="35">
        <f t="shared" si="20"/>
        <v>7.9471336367844536E-3</v>
      </c>
      <c r="H328" s="35">
        <f t="shared" si="21"/>
        <v>9.9646382666732425E-2</v>
      </c>
      <c r="I328" s="35">
        <f>(Table143454[[#This Row],[Core CPI]]-F316)/F316</f>
        <v>0.12437965776351341</v>
      </c>
    </row>
    <row r="329" spans="1:9" x14ac:dyDescent="0.35">
      <c r="A329" s="33">
        <f>IF(Data!A356="",#N/A,Data!A356)</f>
        <v>28672</v>
      </c>
      <c r="B329" s="34">
        <f>VLOOKUP(A329,Data!A:AX,MATCH($B$2,Data!$B$1:$AX$1,0),FALSE)</f>
        <v>14.91971</v>
      </c>
      <c r="C329" s="35">
        <f t="shared" si="22"/>
        <v>6.1211388002109235E-3</v>
      </c>
      <c r="D329" s="35">
        <f t="shared" si="19"/>
        <v>7.5977734590564117E-2</v>
      </c>
      <c r="E329" s="35">
        <f>(Table143454[[#This Row],[JPN]]-B317)/B317</f>
        <v>0.12105696988641192</v>
      </c>
      <c r="F329" s="34">
        <f>VLOOKUP(Table143454[[#This Row],[Date]],'Data Core CPI'!$A:$AX,MATCH($B$2,'Data Core CPI'!$B$1:$AX$1,0),FALSE)</f>
        <v>14.26322</v>
      </c>
      <c r="G329" s="35">
        <f t="shared" si="20"/>
        <v>4.5377106077348905E-3</v>
      </c>
      <c r="H329" s="35">
        <f t="shared" si="21"/>
        <v>5.5832288392233309E-2</v>
      </c>
      <c r="I329" s="35">
        <f>(Table143454[[#This Row],[Core CPI]]-F317)/F317</f>
        <v>0.12253752686674181</v>
      </c>
    </row>
    <row r="330" spans="1:9" x14ac:dyDescent="0.35">
      <c r="A330" s="33">
        <f>IF(Data!A357="",#N/A,Data!A357)</f>
        <v>28703</v>
      </c>
      <c r="B330" s="34">
        <f>VLOOKUP(A330,Data!A:AX,MATCH($B$2,Data!$B$1:$AX$1,0),FALSE)</f>
        <v>14.999129999999999</v>
      </c>
      <c r="C330" s="35">
        <f t="shared" si="22"/>
        <v>5.3231597665102104E-3</v>
      </c>
      <c r="D330" s="35">
        <f t="shared" si="19"/>
        <v>6.5781680215526661E-2</v>
      </c>
      <c r="E330" s="35">
        <f>(Table143454[[#This Row],[JPN]]-B318)/B318</f>
        <v>0.11655417351216101</v>
      </c>
      <c r="F330" s="34">
        <f>VLOOKUP(Table143454[[#This Row],[Date]],'Data Core CPI'!$A:$AX,MATCH($B$2,'Data Core CPI'!$B$1:$AX$1,0),FALSE)</f>
        <v>14.34895</v>
      </c>
      <c r="G330" s="35">
        <f t="shared" si="20"/>
        <v>6.0105642344434607E-3</v>
      </c>
      <c r="H330" s="35">
        <f t="shared" si="21"/>
        <v>7.4559568808071131E-2</v>
      </c>
      <c r="I330" s="35">
        <f>(Table143454[[#This Row],[Core CPI]]-F318)/F318</f>
        <v>0.11988658269894463</v>
      </c>
    </row>
    <row r="331" spans="1:9" x14ac:dyDescent="0.35">
      <c r="A331" s="33">
        <f>IF(Data!A358="",#N/A,Data!A358)</f>
        <v>28734</v>
      </c>
      <c r="B331" s="34">
        <f>VLOOKUP(A331,Data!A:AX,MATCH($B$2,Data!$B$1:$AX$1,0),FALSE)</f>
        <v>15.23739</v>
      </c>
      <c r="C331" s="35">
        <f t="shared" si="22"/>
        <v>1.588492132543684E-2</v>
      </c>
      <c r="D331" s="35">
        <f t="shared" si="19"/>
        <v>0.20818703273424566</v>
      </c>
      <c r="E331" s="35">
        <f>(Table143454[[#This Row],[JPN]]-B319)/B319</f>
        <v>0.12009982651651029</v>
      </c>
      <c r="F331" s="34">
        <f>VLOOKUP(Table143454[[#This Row],[Date]],'Data Core CPI'!$A:$AX,MATCH($B$2,'Data Core CPI'!$B$1:$AX$1,0),FALSE)</f>
        <v>14.606339999999999</v>
      </c>
      <c r="G331" s="35">
        <f t="shared" si="20"/>
        <v>1.7937897894967803E-2</v>
      </c>
      <c r="H331" s="35">
        <f t="shared" si="21"/>
        <v>0.23781403239628074</v>
      </c>
      <c r="I331" s="35">
        <f>(Table143454[[#This Row],[Core CPI]]-F319)/F319</f>
        <v>0.1264882857508641</v>
      </c>
    </row>
    <row r="332" spans="1:9" x14ac:dyDescent="0.35">
      <c r="A332" s="33">
        <f>IF(Data!A359="",#N/A,Data!A359)</f>
        <v>28764</v>
      </c>
      <c r="B332" s="34">
        <f>VLOOKUP(A332,Data!A:AX,MATCH($B$2,Data!$B$1:$AX$1,0),FALSE)</f>
        <v>15.37354</v>
      </c>
      <c r="C332" s="35">
        <f t="shared" si="22"/>
        <v>8.935257284876208E-3</v>
      </c>
      <c r="D332" s="35">
        <f t="shared" si="19"/>
        <v>0.11265259424297214</v>
      </c>
      <c r="E332" s="35">
        <f>(Table143454[[#This Row],[JPN]]-B320)/B320</f>
        <v>0.11522633446329483</v>
      </c>
      <c r="F332" s="34">
        <f>VLOOKUP(Table143454[[#This Row],[Date]],'Data Core CPI'!$A:$AX,MATCH($B$2,'Data Core CPI'!$B$1:$AX$1,0),FALSE)</f>
        <v>14.74169</v>
      </c>
      <c r="G332" s="35">
        <f t="shared" si="20"/>
        <v>9.2665239888980455E-3</v>
      </c>
      <c r="H332" s="35">
        <f t="shared" si="21"/>
        <v>0.1170443656972342</v>
      </c>
      <c r="I332" s="35">
        <f>(Table143454[[#This Row],[Core CPI]]-F320)/F320</f>
        <v>0.12004792708518536</v>
      </c>
    </row>
    <row r="333" spans="1:9" x14ac:dyDescent="0.35">
      <c r="A333" s="33">
        <f>IF(Data!A360="",#N/A,Data!A360)</f>
        <v>28795</v>
      </c>
      <c r="B333" s="34">
        <f>VLOOKUP(A333,Data!A:AX,MATCH($B$2,Data!$B$1:$AX$1,0),FALSE)</f>
        <v>15.53238</v>
      </c>
      <c r="C333" s="35">
        <f t="shared" si="22"/>
        <v>1.0332038034180702E-2</v>
      </c>
      <c r="D333" s="35">
        <f t="shared" si="19"/>
        <v>0.13127840857067086</v>
      </c>
      <c r="E333" s="35">
        <f>(Table143454[[#This Row],[JPN]]-B321)/B321</f>
        <v>0.1157293007539537</v>
      </c>
      <c r="F333" s="34">
        <f>VLOOKUP(Table143454[[#This Row],[Date]],'Data Core CPI'!$A:$AX,MATCH($B$2,'Data Core CPI'!$B$1:$AX$1,0),FALSE)</f>
        <v>14.92019</v>
      </c>
      <c r="G333" s="35">
        <f t="shared" si="20"/>
        <v>1.2108516730442664E-2</v>
      </c>
      <c r="H333" s="35">
        <f t="shared" si="21"/>
        <v>0.15538028521186287</v>
      </c>
      <c r="I333" s="35">
        <f>(Table143454[[#This Row],[Core CPI]]-F321)/F321</f>
        <v>0.12093469135997248</v>
      </c>
    </row>
    <row r="334" spans="1:9" x14ac:dyDescent="0.35">
      <c r="A334" s="33">
        <f>IF(Data!A361="",#N/A,Data!A361)</f>
        <v>28825</v>
      </c>
      <c r="B334" s="34">
        <f>VLOOKUP(A334,Data!A:AX,MATCH($B$2,Data!$B$1:$AX$1,0),FALSE)</f>
        <v>15.611800000000001</v>
      </c>
      <c r="C334" s="35">
        <f t="shared" si="22"/>
        <v>5.1131893502476267E-3</v>
      </c>
      <c r="D334" s="35">
        <f t="shared" si="19"/>
        <v>6.311357411698415E-2</v>
      </c>
      <c r="E334" s="35">
        <f>(Table143454[[#This Row],[JPN]]-B322)/B322</f>
        <v>0.11597751146407807</v>
      </c>
      <c r="F334" s="34">
        <f>VLOOKUP(Table143454[[#This Row],[Date]],'Data Core CPI'!$A:$AX,MATCH($B$2,'Data Core CPI'!$B$1:$AX$1,0),FALSE)</f>
        <v>14.98465</v>
      </c>
      <c r="G334" s="35">
        <f t="shared" si="20"/>
        <v>4.3203203176367388E-3</v>
      </c>
      <c r="H334" s="35">
        <f t="shared" si="21"/>
        <v>5.3093659217414713E-2</v>
      </c>
      <c r="I334" s="35">
        <f>(Table143454[[#This Row],[Core CPI]]-F322)/F322</f>
        <v>0.12097540978087924</v>
      </c>
    </row>
    <row r="335" spans="1:9" x14ac:dyDescent="0.35">
      <c r="A335" s="33">
        <f>IF(Data!A362="",#N/A,Data!A362)</f>
        <v>28856</v>
      </c>
      <c r="B335" s="34">
        <f>VLOOKUP(A335,Data!A:AX,MATCH($B$2,Data!$B$1:$AX$1,0),FALSE)</f>
        <v>15.87275</v>
      </c>
      <c r="C335" s="35">
        <f t="shared" si="22"/>
        <v>1.6714920765062313E-2</v>
      </c>
      <c r="D335" s="35">
        <f t="shared" si="19"/>
        <v>0.22008577843938459</v>
      </c>
      <c r="E335" s="35">
        <f>(Table143454[[#This Row],[JPN]]-B323)/B323</f>
        <v>0.12550264805382758</v>
      </c>
      <c r="F335" s="34">
        <f>VLOOKUP(Table143454[[#This Row],[Date]],'Data Core CPI'!$A:$AX,MATCH($B$2,'Data Core CPI'!$B$1:$AX$1,0),FALSE)</f>
        <v>15.260120000000001</v>
      </c>
      <c r="G335" s="35">
        <f t="shared" si="20"/>
        <v>1.8383479093605715E-2</v>
      </c>
      <c r="H335" s="35">
        <f t="shared" si="21"/>
        <v>0.24433163770837885</v>
      </c>
      <c r="I335" s="35">
        <f>(Table143454[[#This Row],[Core CPI]]-F323)/F323</f>
        <v>0.13203454532776082</v>
      </c>
    </row>
    <row r="336" spans="1:9" x14ac:dyDescent="0.35">
      <c r="A336" s="33">
        <f>IF(Data!A363="",#N/A,Data!A363)</f>
        <v>28887</v>
      </c>
      <c r="B336" s="34">
        <f>VLOOKUP(A336,Data!A:AX,MATCH($B$2,Data!$B$1:$AX$1,0),FALSE)</f>
        <v>16.11102</v>
      </c>
      <c r="C336" s="35">
        <f t="shared" si="22"/>
        <v>1.5011261438629075E-2</v>
      </c>
      <c r="D336" s="35">
        <f t="shared" si="19"/>
        <v>0.19577736597176076</v>
      </c>
      <c r="E336" s="35">
        <f>(Table143454[[#This Row],[JPN]]-B324)/B324</f>
        <v>0.13057329980891638</v>
      </c>
      <c r="F336" s="34">
        <f>VLOOKUP(Table143454[[#This Row],[Date]],'Data Core CPI'!$A:$AX,MATCH($B$2,'Data Core CPI'!$B$1:$AX$1,0),FALSE)</f>
        <v>15.48654</v>
      </c>
      <c r="G336" s="35">
        <f t="shared" si="20"/>
        <v>1.483736694075799E-2</v>
      </c>
      <c r="H336" s="35">
        <f t="shared" si="21"/>
        <v>0.19332131502677785</v>
      </c>
      <c r="I336" s="35">
        <f>(Table143454[[#This Row],[Core CPI]]-F324)/F324</f>
        <v>0.13609563822271711</v>
      </c>
    </row>
    <row r="337" spans="1:9" x14ac:dyDescent="0.35">
      <c r="A337" s="33">
        <f>IF(Data!A364="",#N/A,Data!A364)</f>
        <v>28915</v>
      </c>
      <c r="B337" s="34">
        <f>VLOOKUP(A337,Data!A:AX,MATCH($B$2,Data!$B$1:$AX$1,0),FALSE)</f>
        <v>16.326589999999999</v>
      </c>
      <c r="C337" s="35">
        <f t="shared" si="22"/>
        <v>1.3380282564356527E-2</v>
      </c>
      <c r="D337" s="35">
        <f t="shared" si="19"/>
        <v>0.17292272083131088</v>
      </c>
      <c r="E337" s="35">
        <f>(Table143454[[#This Row],[JPN]]-B325)/B325</f>
        <v>0.13128956529451546</v>
      </c>
      <c r="F337" s="34">
        <f>VLOOKUP(Table143454[[#This Row],[Date]],'Data Core CPI'!$A:$AX,MATCH($B$2,'Data Core CPI'!$B$1:$AX$1,0),FALSE)</f>
        <v>15.686909999999999</v>
      </c>
      <c r="G337" s="35">
        <f t="shared" si="20"/>
        <v>1.2938332254977425E-2</v>
      </c>
      <c r="H337" s="35">
        <f t="shared" si="21"/>
        <v>0.16679907323604226</v>
      </c>
      <c r="I337" s="35">
        <f>(Table143454[[#This Row],[Core CPI]]-F325)/F325</f>
        <v>0.13453096093233566</v>
      </c>
    </row>
    <row r="338" spans="1:9" x14ac:dyDescent="0.35">
      <c r="A338" s="33">
        <f>IF(Data!A365="",#N/A,Data!A365)</f>
        <v>28946</v>
      </c>
      <c r="B338" s="34">
        <f>VLOOKUP(A338,Data!A:AX,MATCH($B$2,Data!$B$1:$AX$1,0),FALSE)</f>
        <v>16.530809999999999</v>
      </c>
      <c r="C338" s="35">
        <f t="shared" si="22"/>
        <v>1.2508429500587726E-2</v>
      </c>
      <c r="D338" s="35">
        <f t="shared" si="19"/>
        <v>0.16087048843632057</v>
      </c>
      <c r="E338" s="35">
        <f>(Table143454[[#This Row],[JPN]]-B326)/B326</f>
        <v>0.13473512818171887</v>
      </c>
      <c r="F338" s="34">
        <f>VLOOKUP(Table143454[[#This Row],[Date]],'Data Core CPI'!$A:$AX,MATCH($B$2,'Data Core CPI'!$B$1:$AX$1,0),FALSE)</f>
        <v>15.889010000000001</v>
      </c>
      <c r="G338" s="35">
        <f t="shared" si="20"/>
        <v>1.2883353063159131E-2</v>
      </c>
      <c r="H338" s="35">
        <f t="shared" si="21"/>
        <v>0.16603933667968174</v>
      </c>
      <c r="I338" s="35">
        <f>(Table143454[[#This Row],[Core CPI]]-F326)/F326</f>
        <v>0.13791387123942236</v>
      </c>
    </row>
    <row r="339" spans="1:9" x14ac:dyDescent="0.35">
      <c r="A339" s="33">
        <f>IF(Data!A366="",#N/A,Data!A366)</f>
        <v>28976</v>
      </c>
      <c r="B339" s="34">
        <f>VLOOKUP(A339,Data!A:AX,MATCH($B$2,Data!$B$1:$AX$1,0),FALSE)</f>
        <v>16.712340000000001</v>
      </c>
      <c r="C339" s="35">
        <f t="shared" si="22"/>
        <v>1.0981313075403065E-2</v>
      </c>
      <c r="D339" s="35">
        <f t="shared" si="19"/>
        <v>0.14003330301506201</v>
      </c>
      <c r="E339" s="35">
        <f>(Table143454[[#This Row],[JPN]]-B327)/B327</f>
        <v>0.13657378126160391</v>
      </c>
      <c r="F339" s="34">
        <f>VLOOKUP(Table143454[[#This Row],[Date]],'Data Core CPI'!$A:$AX,MATCH($B$2,'Data Core CPI'!$B$1:$AX$1,0),FALSE)</f>
        <v>16.060130000000001</v>
      </c>
      <c r="G339" s="35">
        <f t="shared" si="20"/>
        <v>1.0769708119008126E-2</v>
      </c>
      <c r="H339" s="35">
        <f t="shared" si="21"/>
        <v>0.13717320050266713</v>
      </c>
      <c r="I339" s="35">
        <f>(Table143454[[#This Row],[Core CPI]]-F327)/F327</f>
        <v>0.14008038708468332</v>
      </c>
    </row>
    <row r="340" spans="1:9" x14ac:dyDescent="0.35">
      <c r="A340" s="33">
        <f>IF(Data!A367="",#N/A,Data!A367)</f>
        <v>29007</v>
      </c>
      <c r="B340" s="34">
        <f>VLOOKUP(A340,Data!A:AX,MATCH($B$2,Data!$B$1:$AX$1,0),FALSE)</f>
        <v>16.848490000000002</v>
      </c>
      <c r="C340" s="35">
        <f t="shared" si="22"/>
        <v>8.1466748522349697E-3</v>
      </c>
      <c r="D340" s="35">
        <f t="shared" si="19"/>
        <v>0.10226156563871336</v>
      </c>
      <c r="E340" s="35">
        <f>(Table143454[[#This Row],[JPN]]-B328)/B328</f>
        <v>0.1361897748591607</v>
      </c>
      <c r="F340" s="34">
        <f>VLOOKUP(Table143454[[#This Row],[Date]],'Data Core CPI'!$A:$AX,MATCH($B$2,'Data Core CPI'!$B$1:$AX$1,0),FALSE)</f>
        <v>16.183509999999998</v>
      </c>
      <c r="G340" s="35">
        <f t="shared" si="20"/>
        <v>7.6823786606956546E-3</v>
      </c>
      <c r="H340" s="35">
        <f t="shared" si="21"/>
        <v>9.6185288968318128E-2</v>
      </c>
      <c r="I340" s="35">
        <f>(Table143454[[#This Row],[Core CPI]]-F328)/F328</f>
        <v>0.13978092499431272</v>
      </c>
    </row>
    <row r="341" spans="1:9" x14ac:dyDescent="0.35">
      <c r="A341" s="33">
        <f>IF(Data!A368="",#N/A,Data!A368)</f>
        <v>29037</v>
      </c>
      <c r="B341" s="34">
        <f>VLOOKUP(A341,Data!A:AX,MATCH($B$2,Data!$B$1:$AX$1,0),FALSE)</f>
        <v>16.995989999999999</v>
      </c>
      <c r="C341" s="35">
        <f t="shared" si="22"/>
        <v>8.7544937261438971E-3</v>
      </c>
      <c r="D341" s="35">
        <f t="shared" si="19"/>
        <v>0.11026280001324418</v>
      </c>
      <c r="E341" s="35">
        <f>(Table143454[[#This Row],[JPN]]-B329)/B329</f>
        <v>0.13916356283064474</v>
      </c>
      <c r="F341" s="34">
        <f>VLOOKUP(Table143454[[#This Row],[Date]],'Data Core CPI'!$A:$AX,MATCH($B$2,'Data Core CPI'!$B$1:$AX$1,0),FALSE)</f>
        <v>16.337510000000002</v>
      </c>
      <c r="G341" s="35">
        <f t="shared" si="20"/>
        <v>9.515859044175512E-3</v>
      </c>
      <c r="H341" s="35">
        <f t="shared" si="21"/>
        <v>0.12036040237707502</v>
      </c>
      <c r="I341" s="35">
        <f>(Table143454[[#This Row],[Core CPI]]-F329)/F329</f>
        <v>0.14542929296470231</v>
      </c>
    </row>
    <row r="342" spans="1:9" x14ac:dyDescent="0.35">
      <c r="A342" s="33">
        <f>IF(Data!A369="",#N/A,Data!A369)</f>
        <v>29068</v>
      </c>
      <c r="B342" s="34">
        <f>VLOOKUP(A342,Data!A:AX,MATCH($B$2,Data!$B$1:$AX$1,0),FALSE)</f>
        <v>17.200209999999998</v>
      </c>
      <c r="C342" s="35">
        <f t="shared" si="22"/>
        <v>1.2015775485864522E-2</v>
      </c>
      <c r="D342" s="35">
        <f t="shared" si="19"/>
        <v>0.15411049148409428</v>
      </c>
      <c r="E342" s="35">
        <f>(Table143454[[#This Row],[JPN]]-B330)/B330</f>
        <v>0.14674717800299081</v>
      </c>
      <c r="F342" s="34">
        <f>VLOOKUP(Table143454[[#This Row],[Date]],'Data Core CPI'!$A:$AX,MATCH($B$2,'Data Core CPI'!$B$1:$AX$1,0),FALSE)</f>
        <v>16.51754</v>
      </c>
      <c r="G342" s="35">
        <f t="shared" si="20"/>
        <v>1.1019427073036159E-2</v>
      </c>
      <c r="H342" s="35">
        <f t="shared" si="21"/>
        <v>0.14054916106460591</v>
      </c>
      <c r="I342" s="35">
        <f>(Table143454[[#This Row],[Core CPI]]-F330)/F330</f>
        <v>0.15113231281731415</v>
      </c>
    </row>
    <row r="343" spans="1:9" x14ac:dyDescent="0.35">
      <c r="A343" s="33">
        <f>IF(Data!A370="",#N/A,Data!A370)</f>
        <v>29099</v>
      </c>
      <c r="B343" s="34">
        <f>VLOOKUP(A343,Data!A:AX,MATCH($B$2,Data!$B$1:$AX$1,0),FALSE)</f>
        <v>17.642700000000001</v>
      </c>
      <c r="C343" s="35">
        <f t="shared" si="22"/>
        <v>2.5725848696033449E-2</v>
      </c>
      <c r="D343" s="35">
        <f t="shared" si="19"/>
        <v>0.35636195792149072</v>
      </c>
      <c r="E343" s="35">
        <f>(Table143454[[#This Row],[JPN]]-B331)/B331</f>
        <v>0.15785577451256427</v>
      </c>
      <c r="F343" s="34">
        <f>VLOOKUP(Table143454[[#This Row],[Date]],'Data Core CPI'!$A:$AX,MATCH($B$2,'Data Core CPI'!$B$1:$AX$1,0),FALSE)</f>
        <v>16.956610000000001</v>
      </c>
      <c r="G343" s="35">
        <f t="shared" si="20"/>
        <v>2.6582045510409102E-2</v>
      </c>
      <c r="H343" s="35">
        <f t="shared" si="21"/>
        <v>0.37001074187637384</v>
      </c>
      <c r="I343" s="35">
        <f>(Table143454[[#This Row],[Core CPI]]-F331)/F331</f>
        <v>0.16090752371915223</v>
      </c>
    </row>
    <row r="344" spans="1:9" x14ac:dyDescent="0.35">
      <c r="A344" s="33">
        <f>IF(Data!A371="",#N/A,Data!A371)</f>
        <v>29129</v>
      </c>
      <c r="B344" s="34">
        <f>VLOOKUP(A344,Data!A:AX,MATCH($B$2,Data!$B$1:$AX$1,0),FALSE)</f>
        <v>17.971720000000001</v>
      </c>
      <c r="C344" s="35">
        <f t="shared" si="22"/>
        <v>1.8649072987694693E-2</v>
      </c>
      <c r="D344" s="35">
        <f t="shared" si="19"/>
        <v>0.24823148118154159</v>
      </c>
      <c r="E344" s="35">
        <f>(Table143454[[#This Row],[JPN]]-B332)/B332</f>
        <v>0.16900336552283995</v>
      </c>
      <c r="F344" s="34">
        <f>VLOOKUP(Table143454[[#This Row],[Date]],'Data Core CPI'!$A:$AX,MATCH($B$2,'Data Core CPI'!$B$1:$AX$1,0),FALSE)</f>
        <v>17.322990000000001</v>
      </c>
      <c r="G344" s="35">
        <f t="shared" si="20"/>
        <v>2.1606913174272435E-2</v>
      </c>
      <c r="H344" s="35">
        <f t="shared" si="21"/>
        <v>0.29242656901152508</v>
      </c>
      <c r="I344" s="35">
        <f>(Table143454[[#This Row],[Core CPI]]-F332)/F332</f>
        <v>0.17510204053944972</v>
      </c>
    </row>
    <row r="345" spans="1:9" x14ac:dyDescent="0.35">
      <c r="A345" s="33">
        <f>IF(Data!A372="",#N/A,Data!A372)</f>
        <v>29160</v>
      </c>
      <c r="B345" s="34">
        <f>VLOOKUP(A345,Data!A:AX,MATCH($B$2,Data!$B$1:$AX$1,0),FALSE)</f>
        <v>18.221329999999998</v>
      </c>
      <c r="C345" s="35">
        <f t="shared" si="22"/>
        <v>1.3889043452713246E-2</v>
      </c>
      <c r="D345" s="35">
        <f t="shared" si="19"/>
        <v>0.18000856266384768</v>
      </c>
      <c r="E345" s="35">
        <f>(Table143454[[#This Row],[JPN]]-B333)/B333</f>
        <v>0.17311899399834399</v>
      </c>
      <c r="F345" s="34">
        <f>VLOOKUP(Table143454[[#This Row],[Date]],'Data Core CPI'!$A:$AX,MATCH($B$2,'Data Core CPI'!$B$1:$AX$1,0),FALSE)</f>
        <v>17.59122</v>
      </c>
      <c r="G345" s="35">
        <f t="shared" si="20"/>
        <v>1.5484047499882969E-2</v>
      </c>
      <c r="H345" s="35">
        <f t="shared" si="21"/>
        <v>0.20247834540150245</v>
      </c>
      <c r="I345" s="35">
        <f>(Table143454[[#This Row],[Core CPI]]-F333)/F333</f>
        <v>0.17902117868472184</v>
      </c>
    </row>
    <row r="346" spans="1:9" x14ac:dyDescent="0.35">
      <c r="A346" s="33">
        <f>IF(Data!A373="",#N/A,Data!A373)</f>
        <v>29190</v>
      </c>
      <c r="B346" s="34">
        <f>VLOOKUP(A346,Data!A:AX,MATCH($B$2,Data!$B$1:$AX$1,0),FALSE)</f>
        <v>18.550360000000001</v>
      </c>
      <c r="C346" s="35">
        <f t="shared" si="22"/>
        <v>1.8057408542625719E-2</v>
      </c>
      <c r="D346" s="35">
        <f t="shared" si="19"/>
        <v>0.2395590604712845</v>
      </c>
      <c r="E346" s="35">
        <f>(Table143454[[#This Row],[JPN]]-B334)/B334</f>
        <v>0.18822685404629835</v>
      </c>
      <c r="F346" s="34">
        <f>VLOOKUP(Table143454[[#This Row],[Date]],'Data Core CPI'!$A:$AX,MATCH($B$2,'Data Core CPI'!$B$1:$AX$1,0),FALSE)</f>
        <v>17.940650000000002</v>
      </c>
      <c r="G346" s="35">
        <f t="shared" si="20"/>
        <v>1.9863886643450623E-2</v>
      </c>
      <c r="H346" s="35">
        <f t="shared" si="21"/>
        <v>0.26621240624500242</v>
      </c>
      <c r="I346" s="35">
        <f>(Table143454[[#This Row],[Core CPI]]-F334)/F334</f>
        <v>0.19726853813736064</v>
      </c>
    </row>
    <row r="347" spans="1:9" x14ac:dyDescent="0.35">
      <c r="A347" s="33">
        <f>IF(Data!A374="",#N/A,Data!A374)</f>
        <v>29221</v>
      </c>
      <c r="B347" s="34">
        <f>VLOOKUP(A347,Data!A:AX,MATCH($B$2,Data!$B$1:$AX$1,0),FALSE)</f>
        <v>19.140339999999998</v>
      </c>
      <c r="C347" s="35">
        <f t="shared" si="22"/>
        <v>3.1804234526984665E-2</v>
      </c>
      <c r="D347" s="35">
        <f t="shared" si="19"/>
        <v>0.45602110675922813</v>
      </c>
      <c r="E347" s="35">
        <f>(Table143454[[#This Row],[JPN]]-B335)/B335</f>
        <v>0.20586161818210447</v>
      </c>
      <c r="F347" s="34">
        <f>VLOOKUP(Table143454[[#This Row],[Date]],'Data Core CPI'!$A:$AX,MATCH($B$2,'Data Core CPI'!$B$1:$AX$1,0),FALSE)</f>
        <v>18.514009999999999</v>
      </c>
      <c r="G347" s="35">
        <f t="shared" si="20"/>
        <v>3.1958708296522031E-2</v>
      </c>
      <c r="H347" s="35">
        <f t="shared" si="21"/>
        <v>0.45863907270052628</v>
      </c>
      <c r="I347" s="35">
        <f>(Table143454[[#This Row],[Core CPI]]-F335)/F335</f>
        <v>0.21322833634335761</v>
      </c>
    </row>
    <row r="348" spans="1:9" x14ac:dyDescent="0.35">
      <c r="A348" s="33">
        <f>IF(Data!A375="",#N/A,Data!A375)</f>
        <v>29252</v>
      </c>
      <c r="B348" s="34">
        <f>VLOOKUP(A348,Data!A:AX,MATCH($B$2,Data!$B$1:$AX$1,0),FALSE)</f>
        <v>19.469370000000001</v>
      </c>
      <c r="C348" s="35">
        <f t="shared" si="22"/>
        <v>1.7190394736979808E-2</v>
      </c>
      <c r="D348" s="35">
        <f t="shared" si="19"/>
        <v>0.22695039875866896</v>
      </c>
      <c r="E348" s="35">
        <f>(Table143454[[#This Row],[JPN]]-B336)/B336</f>
        <v>0.20845048916828365</v>
      </c>
      <c r="F348" s="34">
        <f>VLOOKUP(Table143454[[#This Row],[Date]],'Data Core CPI'!$A:$AX,MATCH($B$2,'Data Core CPI'!$B$1:$AX$1,0),FALSE)</f>
        <v>18.839300000000001</v>
      </c>
      <c r="G348" s="35">
        <f t="shared" si="20"/>
        <v>1.7569937577002648E-2</v>
      </c>
      <c r="H348" s="35">
        <f t="shared" si="21"/>
        <v>0.23245541064281761</v>
      </c>
      <c r="I348" s="35">
        <f>(Table143454[[#This Row],[Core CPI]]-F336)/F336</f>
        <v>0.21649509832409317</v>
      </c>
    </row>
    <row r="349" spans="1:9" x14ac:dyDescent="0.35">
      <c r="A349" s="33">
        <f>IF(Data!A376="",#N/A,Data!A376)</f>
        <v>29281</v>
      </c>
      <c r="B349" s="34">
        <f>VLOOKUP(A349,Data!A:AX,MATCH($B$2,Data!$B$1:$AX$1,0),FALSE)</f>
        <v>19.673590000000001</v>
      </c>
      <c r="C349" s="35">
        <f t="shared" si="22"/>
        <v>1.0489296777450807E-2</v>
      </c>
      <c r="D349" s="35">
        <f t="shared" si="19"/>
        <v>0.13339322776727003</v>
      </c>
      <c r="E349" s="35">
        <f>(Table143454[[#This Row],[JPN]]-B337)/B337</f>
        <v>0.20500300430157195</v>
      </c>
      <c r="F349" s="34">
        <f>VLOOKUP(Table143454[[#This Row],[Date]],'Data Core CPI'!$A:$AX,MATCH($B$2,'Data Core CPI'!$B$1:$AX$1,0),FALSE)</f>
        <v>19.056999999999999</v>
      </c>
      <c r="G349" s="35">
        <f t="shared" si="20"/>
        <v>1.1555631047862613E-2</v>
      </c>
      <c r="H349" s="35">
        <f t="shared" si="21"/>
        <v>0.14782918828225133</v>
      </c>
      <c r="I349" s="35">
        <f>(Table143454[[#This Row],[Core CPI]]-F337)/F337</f>
        <v>0.21483453401594066</v>
      </c>
    </row>
    <row r="350" spans="1:9" x14ac:dyDescent="0.35">
      <c r="A350" s="33">
        <f>IF(Data!A377="",#N/A,Data!A377)</f>
        <v>29312</v>
      </c>
      <c r="B350" s="34">
        <f>VLOOKUP(A350,Data!A:AX,MATCH($B$2,Data!$B$1:$AX$1,0),FALSE)</f>
        <v>19.99127</v>
      </c>
      <c r="C350" s="35">
        <f t="shared" si="22"/>
        <v>1.614753585898665E-2</v>
      </c>
      <c r="D350" s="35">
        <f t="shared" si="19"/>
        <v>0.2119402804576751</v>
      </c>
      <c r="E350" s="35">
        <f>(Table143454[[#This Row],[JPN]]-B338)/B338</f>
        <v>0.20933396488133379</v>
      </c>
      <c r="F350" s="34">
        <f>VLOOKUP(Table143454[[#This Row],[Date]],'Data Core CPI'!$A:$AX,MATCH($B$2,'Data Core CPI'!$B$1:$AX$1,0),FALSE)</f>
        <v>19.404140000000002</v>
      </c>
      <c r="G350" s="35">
        <f t="shared" si="20"/>
        <v>1.8215878679750386E-2</v>
      </c>
      <c r="H350" s="35">
        <f t="shared" si="21"/>
        <v>0.2418764310023036</v>
      </c>
      <c r="I350" s="35">
        <f>(Table143454[[#This Row],[Core CPI]]-F338)/F338</f>
        <v>0.22123027174128537</v>
      </c>
    </row>
    <row r="351" spans="1:9" x14ac:dyDescent="0.35">
      <c r="A351" s="33">
        <f>IF(Data!A378="",#N/A,Data!A378)</f>
        <v>29342</v>
      </c>
      <c r="B351" s="34">
        <f>VLOOKUP(A351,Data!A:AX,MATCH($B$2,Data!$B$1:$AX$1,0),FALSE)</f>
        <v>20.195499999999999</v>
      </c>
      <c r="C351" s="35">
        <f t="shared" si="22"/>
        <v>1.0215959266219654E-2</v>
      </c>
      <c r="D351" s="35">
        <f t="shared" si="19"/>
        <v>0.12971969974215303</v>
      </c>
      <c r="E351" s="35">
        <f>(Table143454[[#This Row],[JPN]]-B339)/B339</f>
        <v>0.20841845007940227</v>
      </c>
      <c r="F351" s="34">
        <f>VLOOKUP(Table143454[[#This Row],[Date]],'Data Core CPI'!$A:$AX,MATCH($B$2,'Data Core CPI'!$B$1:$AX$1,0),FALSE)</f>
        <v>19.638169999999999</v>
      </c>
      <c r="G351" s="35">
        <f t="shared" si="20"/>
        <v>1.2060828256237999E-2</v>
      </c>
      <c r="H351" s="35">
        <f t="shared" si="21"/>
        <v>0.15472718473181502</v>
      </c>
      <c r="I351" s="35">
        <f>(Table143454[[#This Row],[Core CPI]]-F339)/F339</f>
        <v>0.22279022648010929</v>
      </c>
    </row>
    <row r="352" spans="1:9" x14ac:dyDescent="0.35">
      <c r="A352" s="33">
        <f>IF(Data!A379="",#N/A,Data!A379)</f>
        <v>29373</v>
      </c>
      <c r="B352" s="34">
        <f>VLOOKUP(A352,Data!A:AX,MATCH($B$2,Data!$B$1:$AX$1,0),FALSE)</f>
        <v>20.377030000000001</v>
      </c>
      <c r="C352" s="35">
        <f t="shared" si="22"/>
        <v>8.9886360822957201E-3</v>
      </c>
      <c r="D352" s="35">
        <f t="shared" si="19"/>
        <v>0.11335919271473927</v>
      </c>
      <c r="E352" s="35">
        <f>(Table143454[[#This Row],[JPN]]-B340)/B340</f>
        <v>0.20942766977930954</v>
      </c>
      <c r="F352" s="34">
        <f>VLOOKUP(Table143454[[#This Row],[Date]],'Data Core CPI'!$A:$AX,MATCH($B$2,'Data Core CPI'!$B$1:$AX$1,0),FALSE)</f>
        <v>19.796869999999998</v>
      </c>
      <c r="G352" s="35">
        <f t="shared" si="20"/>
        <v>8.0812010487738561E-3</v>
      </c>
      <c r="H352" s="35">
        <f t="shared" si="21"/>
        <v>0.10140283959112062</v>
      </c>
      <c r="I352" s="35">
        <f>(Table143454[[#This Row],[Core CPI]]-F340)/F340</f>
        <v>0.22327418464844775</v>
      </c>
    </row>
    <row r="353" spans="1:9" x14ac:dyDescent="0.35">
      <c r="A353" s="33">
        <f>IF(Data!A380="",#N/A,Data!A380)</f>
        <v>29403</v>
      </c>
      <c r="B353" s="34">
        <f>VLOOKUP(A353,Data!A:AX,MATCH($B$2,Data!$B$1:$AX$1,0),FALSE)</f>
        <v>20.740100000000002</v>
      </c>
      <c r="C353" s="35">
        <f t="shared" si="22"/>
        <v>1.7817611300567471E-2</v>
      </c>
      <c r="D353" s="35">
        <f t="shared" si="19"/>
        <v>0.23605994851769663</v>
      </c>
      <c r="E353" s="35">
        <f>(Table143454[[#This Row],[JPN]]-B341)/B341</f>
        <v>0.22029372810880701</v>
      </c>
      <c r="F353" s="34">
        <f>VLOOKUP(Table143454[[#This Row],[Date]],'Data Core CPI'!$A:$AX,MATCH($B$2,'Data Core CPI'!$B$1:$AX$1,0),FALSE)</f>
        <v>20.148589999999999</v>
      </c>
      <c r="G353" s="35">
        <f t="shared" si="20"/>
        <v>1.7766444897602485E-2</v>
      </c>
      <c r="H353" s="35">
        <f t="shared" si="21"/>
        <v>0.23531450347319582</v>
      </c>
      <c r="I353" s="35">
        <f>(Table143454[[#This Row],[Core CPI]]-F341)/F341</f>
        <v>0.23327177764543044</v>
      </c>
    </row>
    <row r="354" spans="1:9" x14ac:dyDescent="0.35">
      <c r="A354" s="33">
        <f>IF(Data!A381="",#N/A,Data!A381)</f>
        <v>29434</v>
      </c>
      <c r="B354" s="34">
        <f>VLOOKUP(A354,Data!A:AX,MATCH($B$2,Data!$B$1:$AX$1,0),FALSE)</f>
        <v>20.989699999999999</v>
      </c>
      <c r="C354" s="35">
        <f t="shared" si="22"/>
        <v>1.2034657499240486E-2</v>
      </c>
      <c r="D354" s="35">
        <f t="shared" si="19"/>
        <v>0.15436891630295158</v>
      </c>
      <c r="E354" s="35">
        <f>(Table143454[[#This Row],[JPN]]-B342)/B342</f>
        <v>0.22031649613580306</v>
      </c>
      <c r="F354" s="34">
        <f>VLOOKUP(Table143454[[#This Row],[Date]],'Data Core CPI'!$A:$AX,MATCH($B$2,'Data Core CPI'!$B$1:$AX$1,0),FALSE)</f>
        <v>20.413959999999999</v>
      </c>
      <c r="G354" s="35">
        <f t="shared" si="20"/>
        <v>1.3170648665737916E-2</v>
      </c>
      <c r="H354" s="35">
        <f t="shared" si="21"/>
        <v>0.17001437771436612</v>
      </c>
      <c r="I354" s="35">
        <f>(Table143454[[#This Row],[Core CPI]]-F342)/F342</f>
        <v>0.23589590217429465</v>
      </c>
    </row>
    <row r="355" spans="1:9" x14ac:dyDescent="0.35">
      <c r="A355" s="33">
        <f>IF(Data!A382="",#N/A,Data!A382)</f>
        <v>29465</v>
      </c>
      <c r="B355" s="34">
        <f>VLOOKUP(A355,Data!A:AX,MATCH($B$2,Data!$B$1:$AX$1,0),FALSE)</f>
        <v>21.409500000000001</v>
      </c>
      <c r="C355" s="35">
        <f t="shared" si="22"/>
        <v>2.000028585449054E-2</v>
      </c>
      <c r="D355" s="35">
        <f t="shared" si="19"/>
        <v>0.2682460596586731</v>
      </c>
      <c r="E355" s="35">
        <f>(Table143454[[#This Row],[JPN]]-B343)/B343</f>
        <v>0.2135047356697104</v>
      </c>
      <c r="F355" s="34">
        <f>VLOOKUP(Table143454[[#This Row],[Date]],'Data Core CPI'!$A:$AX,MATCH($B$2,'Data Core CPI'!$B$1:$AX$1,0),FALSE)</f>
        <v>20.86543</v>
      </c>
      <c r="G355" s="35">
        <f t="shared" si="20"/>
        <v>2.2115748242869104E-2</v>
      </c>
      <c r="H355" s="35">
        <f t="shared" si="21"/>
        <v>0.30017244230083606</v>
      </c>
      <c r="I355" s="35">
        <f>(Table143454[[#This Row],[Core CPI]]-F343)/F343</f>
        <v>0.23051895396544464</v>
      </c>
    </row>
    <row r="356" spans="1:9" x14ac:dyDescent="0.35">
      <c r="A356" s="33">
        <f>IF(Data!A383="",#N/A,Data!A383)</f>
        <v>29495</v>
      </c>
      <c r="B356" s="34">
        <f>VLOOKUP(A356,Data!A:AX,MATCH($B$2,Data!$B$1:$AX$1,0),FALSE)</f>
        <v>21.772559999999999</v>
      </c>
      <c r="C356" s="35">
        <f t="shared" si="22"/>
        <v>1.6957892524346541E-2</v>
      </c>
      <c r="D356" s="35">
        <f t="shared" si="19"/>
        <v>0.2235892542036515</v>
      </c>
      <c r="E356" s="35">
        <f>(Table143454[[#This Row],[JPN]]-B344)/B344</f>
        <v>0.21149005214859776</v>
      </c>
      <c r="F356" s="34">
        <f>VLOOKUP(Table143454[[#This Row],[Date]],'Data Core CPI'!$A:$AX,MATCH($B$2,'Data Core CPI'!$B$1:$AX$1,0),FALSE)</f>
        <v>21.314520000000002</v>
      </c>
      <c r="G356" s="35">
        <f t="shared" si="20"/>
        <v>2.1523160557918031E-2</v>
      </c>
      <c r="H356" s="35">
        <f t="shared" si="21"/>
        <v>0.29115568513309809</v>
      </c>
      <c r="I356" s="35">
        <f>(Table143454[[#This Row],[Core CPI]]-F344)/F344</f>
        <v>0.23041807447790483</v>
      </c>
    </row>
    <row r="357" spans="1:9" x14ac:dyDescent="0.35">
      <c r="A357" s="33">
        <f>IF(Data!A384="",#N/A,Data!A384)</f>
        <v>29526</v>
      </c>
      <c r="B357" s="34">
        <f>VLOOKUP(A357,Data!A:AX,MATCH($B$2,Data!$B$1:$AX$1,0),FALSE)</f>
        <v>22.226389999999999</v>
      </c>
      <c r="C357" s="35">
        <f t="shared" si="22"/>
        <v>2.0844126735670931E-2</v>
      </c>
      <c r="D357" s="35">
        <f t="shared" si="19"/>
        <v>0.28089406618426604</v>
      </c>
      <c r="E357" s="35">
        <f>(Table143454[[#This Row],[JPN]]-B345)/B345</f>
        <v>0.21980064023866538</v>
      </c>
      <c r="F357" s="34">
        <f>VLOOKUP(Table143454[[#This Row],[Date]],'Data Core CPI'!$A:$AX,MATCH($B$2,'Data Core CPI'!$B$1:$AX$1,0),FALSE)</f>
        <v>21.750419999999998</v>
      </c>
      <c r="G357" s="35">
        <f t="shared" si="20"/>
        <v>2.045084759121929E-2</v>
      </c>
      <c r="H357" s="35">
        <f t="shared" si="21"/>
        <v>0.27498503971469734</v>
      </c>
      <c r="I357" s="35">
        <f>(Table143454[[#This Row],[Core CPI]]-F345)/F345</f>
        <v>0.23643613120636309</v>
      </c>
    </row>
    <row r="358" spans="1:9" x14ac:dyDescent="0.35">
      <c r="A358" s="33">
        <f>IF(Data!A385="",#N/A,Data!A385)</f>
        <v>29556</v>
      </c>
      <c r="B358" s="34">
        <f>VLOOKUP(A358,Data!A:AX,MATCH($B$2,Data!$B$1:$AX$1,0),FALSE)</f>
        <v>22.177199999999999</v>
      </c>
      <c r="C358" s="35">
        <f t="shared" si="22"/>
        <v>-2.2131349265445133E-3</v>
      </c>
      <c r="D358" s="35">
        <f t="shared" si="19"/>
        <v>-2.6236726285201795E-2</v>
      </c>
      <c r="E358" s="35">
        <f>(Table143454[[#This Row],[JPN]]-B346)/B346</f>
        <v>0.19551318680607802</v>
      </c>
      <c r="F358" s="34">
        <f>VLOOKUP(Table143454[[#This Row],[Date]],'Data Core CPI'!$A:$AX,MATCH($B$2,'Data Core CPI'!$B$1:$AX$1,0),FALSE)</f>
        <v>21.51728</v>
      </c>
      <c r="G358" s="35">
        <f t="shared" si="20"/>
        <v>-1.0718873474627078E-2</v>
      </c>
      <c r="H358" s="35">
        <f t="shared" si="21"/>
        <v>-0.12130797574703778</v>
      </c>
      <c r="I358" s="35">
        <f>(Table143454[[#This Row],[Core CPI]]-F346)/F346</f>
        <v>0.19935899758369946</v>
      </c>
    </row>
    <row r="359" spans="1:9" x14ac:dyDescent="0.35">
      <c r="A359" s="33">
        <f>IF(Data!A386="",#N/A,Data!A386)</f>
        <v>29587</v>
      </c>
      <c r="B359" s="34">
        <f>VLOOKUP(A359,Data!A:AX,MATCH($B$2,Data!$B$1:$AX$1,0),FALSE)</f>
        <v>22.591339999999999</v>
      </c>
      <c r="C359" s="35">
        <f t="shared" si="22"/>
        <v>1.8674133795068881E-2</v>
      </c>
      <c r="D359" s="35">
        <f t="shared" si="19"/>
        <v>0.24860003898197247</v>
      </c>
      <c r="E359" s="35">
        <f>(Table143454[[#This Row],[JPN]]-B347)/B347</f>
        <v>0.18029982748477827</v>
      </c>
      <c r="F359" s="34">
        <f>VLOOKUP(Table143454[[#This Row],[Date]],'Data Core CPI'!$A:$AX,MATCH($B$2,'Data Core CPI'!$B$1:$AX$1,0),FALSE)</f>
        <v>22.062609999999999</v>
      </c>
      <c r="G359" s="35">
        <f t="shared" si="20"/>
        <v>2.5343816690585497E-2</v>
      </c>
      <c r="H359" s="35">
        <f t="shared" si="21"/>
        <v>0.35031222996398981</v>
      </c>
      <c r="I359" s="35">
        <f>(Table143454[[#This Row],[Core CPI]]-F347)/F347</f>
        <v>0.19167106423729924</v>
      </c>
    </row>
    <row r="360" spans="1:9" x14ac:dyDescent="0.35">
      <c r="A360" s="33">
        <f>IF(Data!A387="",#N/A,Data!A387)</f>
        <v>29618</v>
      </c>
      <c r="B360" s="34">
        <f>VLOOKUP(A360,Data!A:AX,MATCH($B$2,Data!$B$1:$AX$1,0),FALSE)</f>
        <v>23.02619</v>
      </c>
      <c r="C360" s="35">
        <f t="shared" si="22"/>
        <v>1.9248526205174254E-2</v>
      </c>
      <c r="D360" s="35">
        <f t="shared" si="19"/>
        <v>0.25707475785436951</v>
      </c>
      <c r="E360" s="35">
        <f>(Table143454[[#This Row],[JPN]]-B348)/B348</f>
        <v>0.18268798630875052</v>
      </c>
      <c r="F360" s="34">
        <f>VLOOKUP(Table143454[[#This Row],[Date]],'Data Core CPI'!$A:$AX,MATCH($B$2,'Data Core CPI'!$B$1:$AX$1,0),FALSE)</f>
        <v>22.501259999999998</v>
      </c>
      <c r="G360" s="35">
        <f t="shared" si="20"/>
        <v>1.98820538458504E-2</v>
      </c>
      <c r="H360" s="35">
        <f t="shared" si="21"/>
        <v>0.26648309873136578</v>
      </c>
      <c r="I360" s="35">
        <f>(Table143454[[#This Row],[Core CPI]]-F348)/F348</f>
        <v>0.19437877203505421</v>
      </c>
    </row>
    <row r="361" spans="1:9" x14ac:dyDescent="0.35">
      <c r="A361" s="33">
        <f>IF(Data!A388="",#N/A,Data!A388)</f>
        <v>29646</v>
      </c>
      <c r="B361" s="34">
        <f>VLOOKUP(A361,Data!A:AX,MATCH($B$2,Data!$B$1:$AX$1,0),FALSE)</f>
        <v>23.357500000000002</v>
      </c>
      <c r="C361" s="35">
        <f t="shared" si="22"/>
        <v>1.4388398601766106E-2</v>
      </c>
      <c r="D361" s="35">
        <f t="shared" si="19"/>
        <v>0.1870015424863507</v>
      </c>
      <c r="E361" s="35">
        <f>(Table143454[[#This Row],[JPN]]-B349)/B349</f>
        <v>0.18725153873797312</v>
      </c>
      <c r="F361" s="34">
        <f>VLOOKUP(Table143454[[#This Row],[Date]],'Data Core CPI'!$A:$AX,MATCH($B$2,'Data Core CPI'!$B$1:$AX$1,0),FALSE)</f>
        <v>22.794709999999998</v>
      </c>
      <c r="G361" s="35">
        <f t="shared" si="20"/>
        <v>1.3041491898675872E-2</v>
      </c>
      <c r="H361" s="35">
        <f t="shared" si="21"/>
        <v>0.16822582173699896</v>
      </c>
      <c r="I361" s="35">
        <f>(Table143454[[#This Row],[Core CPI]]-F349)/F349</f>
        <v>0.19613317940914102</v>
      </c>
    </row>
    <row r="362" spans="1:9" x14ac:dyDescent="0.35">
      <c r="A362" s="33">
        <f>IF(Data!A389="",#N/A,Data!A389)</f>
        <v>29677</v>
      </c>
      <c r="B362" s="34">
        <f>VLOOKUP(A362,Data!A:AX,MATCH($B$2,Data!$B$1:$AX$1,0),FALSE)</f>
        <v>23.668109999999999</v>
      </c>
      <c r="C362" s="35">
        <f t="shared" si="22"/>
        <v>1.3298084127153942E-2</v>
      </c>
      <c r="D362" s="35">
        <f t="shared" si="19"/>
        <v>0.171781556952179</v>
      </c>
      <c r="E362" s="35">
        <f>(Table143454[[#This Row],[JPN]]-B350)/B350</f>
        <v>0.18392228207612615</v>
      </c>
      <c r="F362" s="34">
        <f>VLOOKUP(Table143454[[#This Row],[Date]],'Data Core CPI'!$A:$AX,MATCH($B$2,'Data Core CPI'!$B$1:$AX$1,0),FALSE)</f>
        <v>23.079059999999998</v>
      </c>
      <c r="G362" s="35">
        <f t="shared" si="20"/>
        <v>1.2474385504356089E-2</v>
      </c>
      <c r="H362" s="35">
        <f t="shared" si="21"/>
        <v>0.16040218581256793</v>
      </c>
      <c r="I362" s="35">
        <f>(Table143454[[#This Row],[Core CPI]]-F350)/F350</f>
        <v>0.18938845009363961</v>
      </c>
    </row>
    <row r="363" spans="1:9" x14ac:dyDescent="0.35">
      <c r="A363" s="33">
        <f>IF(Data!A390="",#N/A,Data!A390)</f>
        <v>29707</v>
      </c>
      <c r="B363" s="34">
        <f>VLOOKUP(A363,Data!A:AX,MATCH($B$2,Data!$B$1:$AX$1,0),FALSE)</f>
        <v>24.04083</v>
      </c>
      <c r="C363" s="35">
        <f t="shared" si="22"/>
        <v>1.5747772002073779E-2</v>
      </c>
      <c r="D363" s="35">
        <f t="shared" si="19"/>
        <v>0.20623115311292906</v>
      </c>
      <c r="E363" s="35">
        <f>(Table143454[[#This Row],[JPN]]-B351)/B351</f>
        <v>0.19040528830680106</v>
      </c>
      <c r="F363" s="34">
        <f>VLOOKUP(Table143454[[#This Row],[Date]],'Data Core CPI'!$A:$AX,MATCH($B$2,'Data Core CPI'!$B$1:$AX$1,0),FALSE)</f>
        <v>23.42258</v>
      </c>
      <c r="G363" s="35">
        <f t="shared" si="20"/>
        <v>1.4884488363044346E-2</v>
      </c>
      <c r="H363" s="35">
        <f t="shared" si="21"/>
        <v>0.19398639136544737</v>
      </c>
      <c r="I363" s="35">
        <f>(Table143454[[#This Row],[Core CPI]]-F351)/F351</f>
        <v>0.19270685608689614</v>
      </c>
    </row>
    <row r="364" spans="1:9" x14ac:dyDescent="0.35">
      <c r="A364" s="33">
        <f>IF(Data!A391="",#N/A,Data!A391)</f>
        <v>29738</v>
      </c>
      <c r="B364" s="34">
        <f>VLOOKUP(A364,Data!A:AX,MATCH($B$2,Data!$B$1:$AX$1,0),FALSE)</f>
        <v>24.310020000000002</v>
      </c>
      <c r="C364" s="35">
        <f t="shared" si="22"/>
        <v>1.119720076220343E-2</v>
      </c>
      <c r="D364" s="35">
        <f t="shared" si="19"/>
        <v>0.14295808611709471</v>
      </c>
      <c r="E364" s="35">
        <f>(Table143454[[#This Row],[JPN]]-B352)/B352</f>
        <v>0.19301095400065663</v>
      </c>
      <c r="F364" s="34">
        <f>VLOOKUP(Table143454[[#This Row],[Date]],'Data Core CPI'!$A:$AX,MATCH($B$2,'Data Core CPI'!$B$1:$AX$1,0),FALSE)</f>
        <v>23.646409999999999</v>
      </c>
      <c r="G364" s="35">
        <f t="shared" si="20"/>
        <v>9.5561633261578294E-3</v>
      </c>
      <c r="H364" s="35">
        <f t="shared" si="21"/>
        <v>0.12089727641879944</v>
      </c>
      <c r="I364" s="35">
        <f>(Table143454[[#This Row],[Core CPI]]-F352)/F352</f>
        <v>0.19445195124279754</v>
      </c>
    </row>
    <row r="365" spans="1:9" x14ac:dyDescent="0.35">
      <c r="A365" s="33">
        <f>IF(Data!A392="",#N/A,Data!A392)</f>
        <v>29768</v>
      </c>
      <c r="B365" s="34">
        <f>VLOOKUP(A365,Data!A:AX,MATCH($B$2,Data!$B$1:$AX$1,0),FALSE)</f>
        <v>24.454969999999999</v>
      </c>
      <c r="C365" s="35">
        <f t="shared" si="22"/>
        <v>5.9625619394800822E-3</v>
      </c>
      <c r="D365" s="35">
        <f t="shared" si="19"/>
        <v>7.3944452514787207E-2</v>
      </c>
      <c r="E365" s="35">
        <f>(Table143454[[#This Row],[JPN]]-B353)/B353</f>
        <v>0.17911533695594511</v>
      </c>
      <c r="F365" s="34">
        <f>VLOOKUP(Table143454[[#This Row],[Date]],'Data Core CPI'!$A:$AX,MATCH($B$2,'Data Core CPI'!$B$1:$AX$1,0),FALSE)</f>
        <v>23.77882</v>
      </c>
      <c r="G365" s="35">
        <f t="shared" si="20"/>
        <v>5.5995815009550753E-3</v>
      </c>
      <c r="H365" s="35">
        <f t="shared" si="21"/>
        <v>6.9303546578083353E-2</v>
      </c>
      <c r="I365" s="35">
        <f>(Table143454[[#This Row],[Core CPI]]-F353)/F353</f>
        <v>0.1801729053993357</v>
      </c>
    </row>
    <row r="366" spans="1:9" x14ac:dyDescent="0.35">
      <c r="A366" s="33">
        <f>IF(Data!A393="",#N/A,Data!A393)</f>
        <v>29799</v>
      </c>
      <c r="B366" s="34">
        <f>VLOOKUP(A366,Data!A:AX,MATCH($B$2,Data!$B$1:$AX$1,0),FALSE)</f>
        <v>24.682749999999999</v>
      </c>
      <c r="C366" s="35">
        <f t="shared" si="22"/>
        <v>9.3142620906916385E-3</v>
      </c>
      <c r="D366" s="35">
        <f t="shared" si="19"/>
        <v>0.11767856232791862</v>
      </c>
      <c r="E366" s="35">
        <f>(Table143454[[#This Row],[JPN]]-B354)/B354</f>
        <v>0.17594582104556042</v>
      </c>
      <c r="F366" s="34">
        <f>VLOOKUP(Table143454[[#This Row],[Date]],'Data Core CPI'!$A:$AX,MATCH($B$2,'Data Core CPI'!$B$1:$AX$1,0),FALSE)</f>
        <v>24.000820000000001</v>
      </c>
      <c r="G366" s="35">
        <f t="shared" si="20"/>
        <v>9.3360393829466926E-3</v>
      </c>
      <c r="H366" s="35">
        <f t="shared" si="21"/>
        <v>0.11796798141862408</v>
      </c>
      <c r="I366" s="35">
        <f>(Table143454[[#This Row],[Core CPI]]-F354)/F354</f>
        <v>0.17570623240174868</v>
      </c>
    </row>
    <row r="367" spans="1:9" x14ac:dyDescent="0.35">
      <c r="A367" s="33">
        <f>IF(Data!A394="",#N/A,Data!A394)</f>
        <v>29830</v>
      </c>
      <c r="B367" s="34">
        <f>VLOOKUP(A367,Data!A:AX,MATCH($B$2,Data!$B$1:$AX$1,0),FALSE)</f>
        <v>25.034770000000002</v>
      </c>
      <c r="C367" s="35">
        <f t="shared" si="22"/>
        <v>1.426178201375472E-2</v>
      </c>
      <c r="D367" s="35">
        <f t="shared" si="19"/>
        <v>0.18522481535310575</v>
      </c>
      <c r="E367" s="35">
        <f>(Table143454[[#This Row],[JPN]]-B355)/B355</f>
        <v>0.1693299703402695</v>
      </c>
      <c r="F367" s="34">
        <f>VLOOKUP(Table143454[[#This Row],[Date]],'Data Core CPI'!$A:$AX,MATCH($B$2,'Data Core CPI'!$B$1:$AX$1,0),FALSE)</f>
        <v>24.32846</v>
      </c>
      <c r="G367" s="35">
        <f t="shared" si="20"/>
        <v>1.3651200250658135E-2</v>
      </c>
      <c r="H367" s="35">
        <f t="shared" si="21"/>
        <v>0.17669109681899542</v>
      </c>
      <c r="I367" s="35">
        <f>(Table143454[[#This Row],[Core CPI]]-F355)/F355</f>
        <v>0.16596974037918222</v>
      </c>
    </row>
    <row r="368" spans="1:9" x14ac:dyDescent="0.35">
      <c r="A368" s="33">
        <f>IF(Data!A395="",#N/A,Data!A395)</f>
        <v>29860</v>
      </c>
      <c r="B368" s="34">
        <f>VLOOKUP(A368,Data!A:AX,MATCH($B$2,Data!$B$1:$AX$1,0),FALSE)</f>
        <v>25.469609999999999</v>
      </c>
      <c r="C368" s="35">
        <f t="shared" si="22"/>
        <v>1.7369442579260763E-2</v>
      </c>
      <c r="D368" s="35">
        <f t="shared" si="19"/>
        <v>0.22954455175449606</v>
      </c>
      <c r="E368" s="35">
        <f>(Table143454[[#This Row],[JPN]]-B356)/B356</f>
        <v>0.1698031834566078</v>
      </c>
      <c r="F368" s="34">
        <f>VLOOKUP(Table143454[[#This Row],[Date]],'Data Core CPI'!$A:$AX,MATCH($B$2,'Data Core CPI'!$B$1:$AX$1,0),FALSE)</f>
        <v>24.812930000000001</v>
      </c>
      <c r="G368" s="35">
        <f t="shared" si="20"/>
        <v>1.9913714226054591E-2</v>
      </c>
      <c r="H368" s="35">
        <f t="shared" si="21"/>
        <v>0.26695496721580558</v>
      </c>
      <c r="I368" s="35">
        <f>(Table143454[[#This Row],[Core CPI]]-F356)/F356</f>
        <v>0.16413271328652954</v>
      </c>
    </row>
    <row r="369" spans="1:9" x14ac:dyDescent="0.35">
      <c r="A369" s="33">
        <f>IF(Data!A396="",#N/A,Data!A396)</f>
        <v>29891</v>
      </c>
      <c r="B369" s="34">
        <f>VLOOKUP(A369,Data!A:AX,MATCH($B$2,Data!$B$1:$AX$1,0),FALSE)</f>
        <v>25.925170000000001</v>
      </c>
      <c r="C369" s="35">
        <f t="shared" si="22"/>
        <v>1.7886414436656173E-2</v>
      </c>
      <c r="D369" s="35">
        <f t="shared" si="19"/>
        <v>0.23706299377150009</v>
      </c>
      <c r="E369" s="35">
        <f>(Table143454[[#This Row],[JPN]]-B357)/B357</f>
        <v>0.1664138890751041</v>
      </c>
      <c r="F369" s="34">
        <f>VLOOKUP(Table143454[[#This Row],[Date]],'Data Core CPI'!$A:$AX,MATCH($B$2,'Data Core CPI'!$B$1:$AX$1,0),FALSE)</f>
        <v>25.256730000000001</v>
      </c>
      <c r="G369" s="35">
        <f t="shared" si="20"/>
        <v>1.788583613462813E-2</v>
      </c>
      <c r="H369" s="35">
        <f t="shared" si="21"/>
        <v>0.23705455989763125</v>
      </c>
      <c r="I369" s="35">
        <f>(Table143454[[#This Row],[Core CPI]]-F357)/F357</f>
        <v>0.16120654221849523</v>
      </c>
    </row>
    <row r="370" spans="1:9" x14ac:dyDescent="0.35">
      <c r="A370" s="33">
        <f>IF(Data!A397="",#N/A,Data!A397)</f>
        <v>29921</v>
      </c>
      <c r="B370" s="34">
        <f>VLOOKUP(A370,Data!A:AX,MATCH($B$2,Data!$B$1:$AX$1,0),FALSE)</f>
        <v>26.19436</v>
      </c>
      <c r="C370" s="35">
        <f t="shared" si="22"/>
        <v>1.0383345605833982E-2</v>
      </c>
      <c r="D370" s="35">
        <f t="shared" si="19"/>
        <v>0.1319679960768414</v>
      </c>
      <c r="E370" s="35">
        <f>(Table143454[[#This Row],[JPN]]-B358)/B358</f>
        <v>0.18113918799487766</v>
      </c>
      <c r="F370" s="34">
        <f>VLOOKUP(Table143454[[#This Row],[Date]],'Data Core CPI'!$A:$AX,MATCH($B$2,'Data Core CPI'!$B$1:$AX$1,0),FALSE)</f>
        <v>25.512270000000001</v>
      </c>
      <c r="G370" s="35">
        <f t="shared" si="20"/>
        <v>1.0117699322121254E-2</v>
      </c>
      <c r="H370" s="35">
        <f t="shared" si="21"/>
        <v>0.12840180138507384</v>
      </c>
      <c r="I370" s="35">
        <f>(Table143454[[#This Row],[Core CPI]]-F358)/F358</f>
        <v>0.18566426611541986</v>
      </c>
    </row>
    <row r="371" spans="1:9" x14ac:dyDescent="0.35">
      <c r="A371" s="33">
        <f>IF(Data!A398="",#N/A,Data!A398)</f>
        <v>29952</v>
      </c>
      <c r="B371" s="34">
        <f>VLOOKUP(A371,Data!A:AX,MATCH($B$2,Data!$B$1:$AX$1,0),FALSE)</f>
        <v>26.56709</v>
      </c>
      <c r="C371" s="35">
        <f t="shared" si="22"/>
        <v>1.4229399000395437E-2</v>
      </c>
      <c r="D371" s="35">
        <f t="shared" si="19"/>
        <v>0.184770797513371</v>
      </c>
      <c r="E371" s="35">
        <f>(Table143454[[#This Row],[JPN]]-B359)/B359</f>
        <v>0.17598557677410909</v>
      </c>
      <c r="F371" s="34">
        <f>VLOOKUP(Table143454[[#This Row],[Date]],'Data Core CPI'!$A:$AX,MATCH($B$2,'Data Core CPI'!$B$1:$AX$1,0),FALSE)</f>
        <v>25.901340000000001</v>
      </c>
      <c r="G371" s="35">
        <f t="shared" si="20"/>
        <v>1.5250308968978388E-2</v>
      </c>
      <c r="H371" s="35">
        <f t="shared" si="21"/>
        <v>0.19916118868813948</v>
      </c>
      <c r="I371" s="35">
        <f>(Table143454[[#This Row],[Core CPI]]-F359)/F359</f>
        <v>0.17399256026372228</v>
      </c>
    </row>
    <row r="372" spans="1:9" x14ac:dyDescent="0.35">
      <c r="A372" s="33">
        <f>IF(Data!A399="",#N/A,Data!A399)</f>
        <v>29983</v>
      </c>
      <c r="B372" s="34">
        <f>VLOOKUP(A372,Data!A:AX,MATCH($B$2,Data!$B$1:$AX$1,0),FALSE)</f>
        <v>26.960519999999999</v>
      </c>
      <c r="C372" s="35">
        <f t="shared" si="22"/>
        <v>1.4808923370982718E-2</v>
      </c>
      <c r="D372" s="35">
        <f t="shared" si="19"/>
        <v>0.1929200240921829</v>
      </c>
      <c r="E372" s="35">
        <f>(Table143454[[#This Row],[JPN]]-B360)/B360</f>
        <v>0.17086326483017814</v>
      </c>
      <c r="F372" s="34">
        <f>VLOOKUP(Table143454[[#This Row],[Date]],'Data Core CPI'!$A:$AX,MATCH($B$2,'Data Core CPI'!$B$1:$AX$1,0),FALSE)</f>
        <v>26.3687</v>
      </c>
      <c r="G372" s="35">
        <f t="shared" si="20"/>
        <v>1.8043854101756907E-2</v>
      </c>
      <c r="H372" s="35">
        <f t="shared" si="21"/>
        <v>0.23936103274230658</v>
      </c>
      <c r="I372" s="35">
        <f>(Table143454[[#This Row],[Core CPI]]-F360)/F360</f>
        <v>0.17187659713278289</v>
      </c>
    </row>
    <row r="373" spans="1:9" x14ac:dyDescent="0.35">
      <c r="A373" s="33">
        <f>IF(Data!A400="",#N/A,Data!A400)</f>
        <v>30011</v>
      </c>
      <c r="B373" s="34">
        <f>VLOOKUP(A373,Data!A:AX,MATCH($B$2,Data!$B$1:$AX$1,0),FALSE)</f>
        <v>27.188300000000002</v>
      </c>
      <c r="C373" s="35">
        <f t="shared" si="22"/>
        <v>8.4486501002207781E-3</v>
      </c>
      <c r="D373" s="35">
        <f t="shared" si="19"/>
        <v>0.10623009077334866</v>
      </c>
      <c r="E373" s="35">
        <f>(Table143454[[#This Row],[JPN]]-B361)/B361</f>
        <v>0.16400727817617466</v>
      </c>
      <c r="F373" s="34">
        <f>VLOOKUP(Table143454[[#This Row],[Date]],'Data Core CPI'!$A:$AX,MATCH($B$2,'Data Core CPI'!$B$1:$AX$1,0),FALSE)</f>
        <v>26.62255</v>
      </c>
      <c r="G373" s="35">
        <f t="shared" si="20"/>
        <v>9.6269440662604122E-3</v>
      </c>
      <c r="H373" s="35">
        <f t="shared" si="21"/>
        <v>0.12184068353893429</v>
      </c>
      <c r="I373" s="35">
        <f>(Table143454[[#This Row],[Core CPI]]-F361)/F361</f>
        <v>0.16792668123437421</v>
      </c>
    </row>
    <row r="374" spans="1:9" x14ac:dyDescent="0.35">
      <c r="A374" s="33">
        <f>IF(Data!A401="",#N/A,Data!A401)</f>
        <v>30042</v>
      </c>
      <c r="B374" s="34">
        <f>VLOOKUP(A374,Data!A:AX,MATCH($B$2,Data!$B$1:$AX$1,0),FALSE)</f>
        <v>27.416070000000001</v>
      </c>
      <c r="C374" s="35">
        <f t="shared" si="22"/>
        <v>8.3775006160737853E-3</v>
      </c>
      <c r="D374" s="35">
        <f t="shared" si="19"/>
        <v>0.10529387455111516</v>
      </c>
      <c r="E374" s="35">
        <f>(Table143454[[#This Row],[JPN]]-B362)/B362</f>
        <v>0.1583548496267764</v>
      </c>
      <c r="F374" s="34">
        <f>VLOOKUP(Table143454[[#This Row],[Date]],'Data Core CPI'!$A:$AX,MATCH($B$2,'Data Core CPI'!$B$1:$AX$1,0),FALSE)</f>
        <v>26.86159</v>
      </c>
      <c r="G374" s="35">
        <f t="shared" si="20"/>
        <v>8.9788543922351138E-3</v>
      </c>
      <c r="H374" s="35">
        <f t="shared" si="21"/>
        <v>0.11322967743385193</v>
      </c>
      <c r="I374" s="35">
        <f>(Table143454[[#This Row],[Core CPI]]-F362)/F362</f>
        <v>0.16389445670664238</v>
      </c>
    </row>
    <row r="375" spans="1:9" x14ac:dyDescent="0.35">
      <c r="A375" s="33">
        <f>IF(Data!A402="",#N/A,Data!A402)</f>
        <v>30072</v>
      </c>
      <c r="B375" s="34">
        <f>VLOOKUP(A375,Data!A:AX,MATCH($B$2,Data!$B$1:$AX$1,0),FALSE)</f>
        <v>27.726680000000002</v>
      </c>
      <c r="C375" s="35">
        <f t="shared" si="22"/>
        <v>1.1329486684269474E-2</v>
      </c>
      <c r="D375" s="35">
        <f t="shared" si="19"/>
        <v>0.14475365399045703</v>
      </c>
      <c r="E375" s="35">
        <f>(Table143454[[#This Row],[JPN]]-B363)/B363</f>
        <v>0.15331625405612045</v>
      </c>
      <c r="F375" s="34">
        <f>VLOOKUP(Table143454[[#This Row],[Date]],'Data Core CPI'!$A:$AX,MATCH($B$2,'Data Core CPI'!$B$1:$AX$1,0),FALSE)</f>
        <v>27.202100000000002</v>
      </c>
      <c r="G375" s="35">
        <f t="shared" si="20"/>
        <v>1.2676464796015585E-2</v>
      </c>
      <c r="H375" s="35">
        <f t="shared" si="21"/>
        <v>0.16318448833365995</v>
      </c>
      <c r="I375" s="35">
        <f>(Table143454[[#This Row],[Core CPI]]-F363)/F363</f>
        <v>0.16136224105115668</v>
      </c>
    </row>
    <row r="376" spans="1:9" x14ac:dyDescent="0.35">
      <c r="A376" s="33">
        <f>IF(Data!A403="",#N/A,Data!A403)</f>
        <v>30103</v>
      </c>
      <c r="B376" s="34">
        <f>VLOOKUP(A376,Data!A:AX,MATCH($B$2,Data!$B$1:$AX$1,0),FALSE)</f>
        <v>28.016580000000001</v>
      </c>
      <c r="C376" s="35">
        <f t="shared" si="22"/>
        <v>1.0455633346653892E-2</v>
      </c>
      <c r="D376" s="35">
        <f t="shared" si="19"/>
        <v>0.13294021656293875</v>
      </c>
      <c r="E376" s="35">
        <f>(Table143454[[#This Row],[JPN]]-B364)/B364</f>
        <v>0.15247046279682203</v>
      </c>
      <c r="F376" s="34">
        <f>VLOOKUP(Table143454[[#This Row],[Date]],'Data Core CPI'!$A:$AX,MATCH($B$2,'Data Core CPI'!$B$1:$AX$1,0),FALSE)</f>
        <v>27.436070000000001</v>
      </c>
      <c r="G376" s="35">
        <f t="shared" si="20"/>
        <v>8.6011741740528169E-3</v>
      </c>
      <c r="H376" s="35">
        <f t="shared" si="21"/>
        <v>0.10823951957509914</v>
      </c>
      <c r="I376" s="35">
        <f>(Table143454[[#This Row],[Core CPI]]-F364)/F364</f>
        <v>0.16026365101510129</v>
      </c>
    </row>
    <row r="377" spans="1:9" x14ac:dyDescent="0.35">
      <c r="A377" s="33">
        <f>IF(Data!A404="",#N/A,Data!A404)</f>
        <v>30133</v>
      </c>
      <c r="B377" s="34">
        <f>VLOOKUP(A377,Data!A:AX,MATCH($B$2,Data!$B$1:$AX$1,0),FALSE)</f>
        <v>28.368600000000001</v>
      </c>
      <c r="C377" s="35">
        <f t="shared" si="22"/>
        <v>1.2564702758152579E-2</v>
      </c>
      <c r="D377" s="35">
        <f t="shared" si="19"/>
        <v>0.16164495234701182</v>
      </c>
      <c r="E377" s="35">
        <f>(Table143454[[#This Row],[JPN]]-B365)/B365</f>
        <v>0.16003413621034912</v>
      </c>
      <c r="F377" s="34">
        <f>VLOOKUP(Table143454[[#This Row],[Date]],'Data Core CPI'!$A:$AX,MATCH($B$2,'Data Core CPI'!$B$1:$AX$1,0),FALSE)</f>
        <v>27.765560000000001</v>
      </c>
      <c r="G377" s="35">
        <f t="shared" si="20"/>
        <v>1.2009373062541462E-2</v>
      </c>
      <c r="H377" s="35">
        <f t="shared" si="21"/>
        <v>0.15402287806532877</v>
      </c>
      <c r="I377" s="35">
        <f>(Table143454[[#This Row],[Core CPI]]-F365)/F365</f>
        <v>0.16765928670976948</v>
      </c>
    </row>
    <row r="378" spans="1:9" x14ac:dyDescent="0.35">
      <c r="A378" s="33">
        <f>IF(Data!A405="",#N/A,Data!A405)</f>
        <v>30164</v>
      </c>
      <c r="B378" s="34">
        <f>VLOOKUP(A378,Data!A:AX,MATCH($B$2,Data!$B$1:$AX$1,0),FALSE)</f>
        <v>28.88627</v>
      </c>
      <c r="C378" s="35">
        <f t="shared" si="22"/>
        <v>1.8247992498748644E-2</v>
      </c>
      <c r="D378" s="35">
        <f t="shared" si="19"/>
        <v>0.24234652754538799</v>
      </c>
      <c r="E378" s="35">
        <f>(Table143454[[#This Row],[JPN]]-B366)/B366</f>
        <v>0.17030193151087303</v>
      </c>
      <c r="F378" s="34">
        <f>VLOOKUP(Table143454[[#This Row],[Date]],'Data Core CPI'!$A:$AX,MATCH($B$2,'Data Core CPI'!$B$1:$AX$1,0),FALSE)</f>
        <v>28.222270000000002</v>
      </c>
      <c r="G378" s="35">
        <f t="shared" si="20"/>
        <v>1.6448794837921499E-2</v>
      </c>
      <c r="H378" s="35">
        <f t="shared" si="21"/>
        <v>0.2162589898194216</v>
      </c>
      <c r="I378" s="35">
        <f>(Table143454[[#This Row],[Core CPI]]-F366)/F366</f>
        <v>0.17588774050219955</v>
      </c>
    </row>
    <row r="379" spans="1:9" x14ac:dyDescent="0.35">
      <c r="A379" s="33">
        <f>IF(Data!A406="",#N/A,Data!A406)</f>
        <v>30195</v>
      </c>
      <c r="B379" s="34">
        <f>VLOOKUP(A379,Data!A:AX,MATCH($B$2,Data!$B$1:$AX$1,0),FALSE)</f>
        <v>29.321120000000001</v>
      </c>
      <c r="C379" s="35">
        <f t="shared" si="22"/>
        <v>1.5053864690733665E-2</v>
      </c>
      <c r="D379" s="35">
        <f t="shared" ref="D379:D442" si="23">((1+C379)^12)-1</f>
        <v>0.1963797919985335</v>
      </c>
      <c r="E379" s="35">
        <f>(Table143454[[#This Row],[JPN]]-B367)/B367</f>
        <v>0.17121587296388177</v>
      </c>
      <c r="F379" s="34">
        <f>VLOOKUP(Table143454[[#This Row],[Date]],'Data Core CPI'!$A:$AX,MATCH($B$2,'Data Core CPI'!$B$1:$AX$1,0),FALSE)</f>
        <v>28.64856</v>
      </c>
      <c r="G379" s="35">
        <f t="shared" si="20"/>
        <v>1.5104738208513879E-2</v>
      </c>
      <c r="H379" s="35">
        <f t="shared" si="21"/>
        <v>0.19709952714955503</v>
      </c>
      <c r="I379" s="35">
        <f>(Table143454[[#This Row],[Core CPI]]-F367)/F367</f>
        <v>0.17757391959869223</v>
      </c>
    </row>
    <row r="380" spans="1:9" x14ac:dyDescent="0.35">
      <c r="A380" s="33">
        <f>IF(Data!A407="",#N/A,Data!A407)</f>
        <v>30225</v>
      </c>
      <c r="B380" s="34">
        <f>VLOOKUP(A380,Data!A:AX,MATCH($B$2,Data!$B$1:$AX$1,0),FALSE)</f>
        <v>29.818079999999998</v>
      </c>
      <c r="C380" s="35">
        <f t="shared" si="22"/>
        <v>1.694887507707743E-2</v>
      </c>
      <c r="D380" s="35">
        <f t="shared" si="23"/>
        <v>0.22345906458329723</v>
      </c>
      <c r="E380" s="35">
        <f>(Table143454[[#This Row],[JPN]]-B368)/B368</f>
        <v>0.17073170731707313</v>
      </c>
      <c r="F380" s="34">
        <f>VLOOKUP(Table143454[[#This Row],[Date]],'Data Core CPI'!$A:$AX,MATCH($B$2,'Data Core CPI'!$B$1:$AX$1,0),FALSE)</f>
        <v>29.166270000000001</v>
      </c>
      <c r="G380" s="35">
        <f t="shared" si="20"/>
        <v>1.8071065351975779E-2</v>
      </c>
      <c r="H380" s="35">
        <f t="shared" si="21"/>
        <v>0.2397586131172873</v>
      </c>
      <c r="I380" s="35">
        <f>(Table143454[[#This Row],[Core CPI]]-F368)/F368</f>
        <v>0.17544643055052342</v>
      </c>
    </row>
    <row r="381" spans="1:9" x14ac:dyDescent="0.35">
      <c r="A381" s="33">
        <f>IF(Data!A408="",#N/A,Data!A408)</f>
        <v>30256</v>
      </c>
      <c r="B381" s="34">
        <f>VLOOKUP(A381,Data!A:AX,MATCH($B$2,Data!$B$1:$AX$1,0),FALSE)</f>
        <v>30.232230000000001</v>
      </c>
      <c r="C381" s="35">
        <f t="shared" si="22"/>
        <v>1.38892242558879E-2</v>
      </c>
      <c r="D381" s="35">
        <f t="shared" si="23"/>
        <v>0.180011087786353</v>
      </c>
      <c r="E381" s="35">
        <f>(Table143454[[#This Row],[JPN]]-B369)/B369</f>
        <v>0.16613430114440908</v>
      </c>
      <c r="F381" s="34">
        <f>VLOOKUP(Table143454[[#This Row],[Date]],'Data Core CPI'!$A:$AX,MATCH($B$2,'Data Core CPI'!$B$1:$AX$1,0),FALSE)</f>
        <v>29.615069999999999</v>
      </c>
      <c r="G381" s="35">
        <f t="shared" si="20"/>
        <v>1.5387637843303104E-2</v>
      </c>
      <c r="H381" s="35">
        <f t="shared" si="21"/>
        <v>0.20110910665977721</v>
      </c>
      <c r="I381" s="35">
        <f>(Table143454[[#This Row],[Core CPI]]-F369)/F369</f>
        <v>0.17256153112457542</v>
      </c>
    </row>
    <row r="382" spans="1:9" x14ac:dyDescent="0.35">
      <c r="A382" s="33">
        <f>IF(Data!A409="",#N/A,Data!A409)</f>
        <v>30286</v>
      </c>
      <c r="B382" s="34">
        <f>VLOOKUP(A382,Data!A:AX,MATCH($B$2,Data!$B$1:$AX$1,0),FALSE)</f>
        <v>30.50142</v>
      </c>
      <c r="C382" s="35">
        <f t="shared" si="22"/>
        <v>8.9040735665215642E-3</v>
      </c>
      <c r="D382" s="35">
        <f t="shared" si="23"/>
        <v>0.11223999197918944</v>
      </c>
      <c r="E382" s="35">
        <f>(Table143454[[#This Row],[JPN]]-B370)/B370</f>
        <v>0.16442699878905229</v>
      </c>
      <c r="F382" s="34">
        <f>VLOOKUP(Table143454[[#This Row],[Date]],'Data Core CPI'!$A:$AX,MATCH($B$2,'Data Core CPI'!$B$1:$AX$1,0),FALSE)</f>
        <v>29.902329999999999</v>
      </c>
      <c r="G382" s="35">
        <f t="shared" si="20"/>
        <v>9.6997913562251181E-3</v>
      </c>
      <c r="H382" s="35">
        <f t="shared" si="21"/>
        <v>0.12281239483651896</v>
      </c>
      <c r="I382" s="35">
        <f>(Table143454[[#This Row],[Core CPI]]-F370)/F370</f>
        <v>0.17207641656348094</v>
      </c>
    </row>
    <row r="383" spans="1:9" x14ac:dyDescent="0.35">
      <c r="A383" s="33">
        <f>IF(Data!A410="",#N/A,Data!A410)</f>
        <v>30317</v>
      </c>
      <c r="B383" s="34">
        <f>VLOOKUP(A383,Data!A:AX,MATCH($B$2,Data!$B$1:$AX$1,0),FALSE)</f>
        <v>30.874140000000001</v>
      </c>
      <c r="C383" s="35">
        <f t="shared" si="22"/>
        <v>1.2219758948927684E-2</v>
      </c>
      <c r="D383" s="35">
        <f t="shared" si="23"/>
        <v>0.15690507970193379</v>
      </c>
      <c r="E383" s="35">
        <f>(Table143454[[#This Row],[JPN]]-B371)/B371</f>
        <v>0.16211975041301099</v>
      </c>
      <c r="F383" s="34">
        <f>VLOOKUP(Table143454[[#This Row],[Date]],'Data Core CPI'!$A:$AX,MATCH($B$2,'Data Core CPI'!$B$1:$AX$1,0),FALSE)</f>
        <v>29.995989999999999</v>
      </c>
      <c r="G383" s="35">
        <f t="shared" si="20"/>
        <v>3.1321973906381917E-3</v>
      </c>
      <c r="H383" s="35">
        <f t="shared" si="21"/>
        <v>3.8240680526725468E-2</v>
      </c>
      <c r="I383" s="35">
        <f>(Table143454[[#This Row],[Core CPI]]-F371)/F371</f>
        <v>0.15808641560629674</v>
      </c>
    </row>
    <row r="384" spans="1:9" x14ac:dyDescent="0.35">
      <c r="A384" s="33">
        <f>IF(Data!A411="",#N/A,Data!A411)</f>
        <v>30348</v>
      </c>
      <c r="B384" s="34">
        <f>VLOOKUP(A384,Data!A:AX,MATCH($B$2,Data!$B$1:$AX$1,0),FALSE)</f>
        <v>31.28828</v>
      </c>
      <c r="C384" s="35">
        <f t="shared" si="22"/>
        <v>1.3413814927314638E-2</v>
      </c>
      <c r="D384" s="35">
        <f t="shared" si="23"/>
        <v>0.17338854433075901</v>
      </c>
      <c r="E384" s="35">
        <f>(Table143454[[#This Row],[JPN]]-B372)/B372</f>
        <v>0.16052212642782859</v>
      </c>
      <c r="F384" s="34">
        <f>VLOOKUP(Table143454[[#This Row],[Date]],'Data Core CPI'!$A:$AX,MATCH($B$2,'Data Core CPI'!$B$1:$AX$1,0),FALSE)</f>
        <v>30.48357</v>
      </c>
      <c r="G384" s="35">
        <f t="shared" si="20"/>
        <v>1.6254839396866005E-2</v>
      </c>
      <c r="H384" s="35">
        <f t="shared" si="21"/>
        <v>0.2134769199441775</v>
      </c>
      <c r="I384" s="35">
        <f>(Table143454[[#This Row],[Core CPI]]-F372)/F372</f>
        <v>0.15605130324968616</v>
      </c>
    </row>
    <row r="385" spans="1:9" x14ac:dyDescent="0.35">
      <c r="A385" s="33">
        <f>IF(Data!A412="",#N/A,Data!A412)</f>
        <v>30376</v>
      </c>
      <c r="B385" s="34">
        <f>VLOOKUP(A385,Data!A:AX,MATCH($B$2,Data!$B$1:$AX$1,0),FALSE)</f>
        <v>31.57818</v>
      </c>
      <c r="C385" s="35">
        <f t="shared" si="22"/>
        <v>9.2654501941302758E-3</v>
      </c>
      <c r="D385" s="35">
        <f t="shared" si="23"/>
        <v>0.11703010421904736</v>
      </c>
      <c r="E385" s="35">
        <f>(Table143454[[#This Row],[JPN]]-B373)/B373</f>
        <v>0.16146209950603743</v>
      </c>
      <c r="F385" s="34">
        <f>VLOOKUP(Table143454[[#This Row],[Date]],'Data Core CPI'!$A:$AX,MATCH($B$2,'Data Core CPI'!$B$1:$AX$1,0),FALSE)</f>
        <v>30.812999999999999</v>
      </c>
      <c r="G385" s="35">
        <f t="shared" si="20"/>
        <v>1.0806805108456663E-2</v>
      </c>
      <c r="H385" s="35">
        <f t="shared" si="21"/>
        <v>0.13767413619759616</v>
      </c>
      <c r="I385" s="35">
        <f>(Table143454[[#This Row],[Core CPI]]-F373)/F373</f>
        <v>0.15740227739266141</v>
      </c>
    </row>
    <row r="386" spans="1:9" x14ac:dyDescent="0.35">
      <c r="A386" s="33">
        <f>IF(Data!A413="",#N/A,Data!A413)</f>
        <v>30407</v>
      </c>
      <c r="B386" s="34">
        <f>VLOOKUP(A386,Data!A:AX,MATCH($B$2,Data!$B$1:$AX$1,0),FALSE)</f>
        <v>31.909490000000002</v>
      </c>
      <c r="C386" s="35">
        <f t="shared" si="22"/>
        <v>1.049173828257377E-2</v>
      </c>
      <c r="D386" s="35">
        <f t="shared" si="23"/>
        <v>0.13342608973408709</v>
      </c>
      <c r="E386" s="35">
        <f>(Table143454[[#This Row],[JPN]]-B374)/B374</f>
        <v>0.16389730548543247</v>
      </c>
      <c r="F386" s="34">
        <f>VLOOKUP(Table143454[[#This Row],[Date]],'Data Core CPI'!$A:$AX,MATCH($B$2,'Data Core CPI'!$B$1:$AX$1,0),FALSE)</f>
        <v>31.169280000000001</v>
      </c>
      <c r="G386" s="35">
        <f t="shared" si="20"/>
        <v>1.156265212734886E-2</v>
      </c>
      <c r="H386" s="35">
        <f t="shared" si="21"/>
        <v>0.1479247951757694</v>
      </c>
      <c r="I386" s="35">
        <f>(Table143454[[#This Row],[Core CPI]]-F374)/F374</f>
        <v>0.16036615851853897</v>
      </c>
    </row>
    <row r="387" spans="1:9" x14ac:dyDescent="0.35">
      <c r="A387" s="33">
        <f>IF(Data!A414="",#N/A,Data!A414)</f>
        <v>30437</v>
      </c>
      <c r="B387" s="34">
        <f>VLOOKUP(A387,Data!A:AX,MATCH($B$2,Data!$B$1:$AX$1,0),FALSE)</f>
        <v>32.17868</v>
      </c>
      <c r="C387" s="35">
        <f t="shared" si="22"/>
        <v>8.4360483354637417E-3</v>
      </c>
      <c r="D387" s="35">
        <f t="shared" si="23"/>
        <v>0.10606421825267187</v>
      </c>
      <c r="E387" s="35">
        <f>(Table143454[[#This Row],[JPN]]-B375)/B375</f>
        <v>0.16056736688272805</v>
      </c>
      <c r="F387" s="34">
        <f>VLOOKUP(Table143454[[#This Row],[Date]],'Data Core CPI'!$A:$AX,MATCH($B$2,'Data Core CPI'!$B$1:$AX$1,0),FALSE)</f>
        <v>31.4621</v>
      </c>
      <c r="G387" s="35">
        <f t="shared" ref="G387:G450" si="24">(F387/F386)-1</f>
        <v>9.3945063857747702E-3</v>
      </c>
      <c r="H387" s="35">
        <f t="shared" ref="H387:H450" si="25">((1+G387)^12)-1</f>
        <v>0.1187453447140463</v>
      </c>
      <c r="I387" s="35">
        <f>(Table143454[[#This Row],[Core CPI]]-F375)/F375</f>
        <v>0.15660555618867653</v>
      </c>
    </row>
    <row r="388" spans="1:9" x14ac:dyDescent="0.35">
      <c r="A388" s="33">
        <f>IF(Data!A415="",#N/A,Data!A415)</f>
        <v>30468</v>
      </c>
      <c r="B388" s="34">
        <f>VLOOKUP(A388,Data!A:AX,MATCH($B$2,Data!$B$1:$AX$1,0),FALSE)</f>
        <v>32.365049999999997</v>
      </c>
      <c r="C388" s="35">
        <f t="shared" ref="C388:C451" si="26">(B388/B387)-1</f>
        <v>5.7917229668835724E-3</v>
      </c>
      <c r="D388" s="35">
        <f t="shared" si="23"/>
        <v>7.1757886531990112E-2</v>
      </c>
      <c r="E388" s="35">
        <f>(Table143454[[#This Row],[JPN]]-B376)/B376</f>
        <v>0.15521059315590965</v>
      </c>
      <c r="F388" s="34">
        <f>VLOOKUP(Table143454[[#This Row],[Date]],'Data Core CPI'!$A:$AX,MATCH($B$2,'Data Core CPI'!$B$1:$AX$1,0),FALSE)</f>
        <v>31.62997</v>
      </c>
      <c r="G388" s="35">
        <f t="shared" si="24"/>
        <v>5.3356260389485488E-3</v>
      </c>
      <c r="H388" s="35">
        <f t="shared" si="25"/>
        <v>6.5940282720685195E-2</v>
      </c>
      <c r="I388" s="35">
        <f>(Table143454[[#This Row],[Core CPI]]-F376)/F376</f>
        <v>0.15286081424927109</v>
      </c>
    </row>
    <row r="389" spans="1:9" x14ac:dyDescent="0.35">
      <c r="A389" s="33">
        <f>IF(Data!A416="",#N/A,Data!A416)</f>
        <v>30498</v>
      </c>
      <c r="B389" s="34">
        <f>VLOOKUP(A389,Data!A:AX,MATCH($B$2,Data!$B$1:$AX$1,0),FALSE)</f>
        <v>32.634239999999998</v>
      </c>
      <c r="C389" s="35">
        <f t="shared" si="26"/>
        <v>8.3173052413019199E-3</v>
      </c>
      <c r="D389" s="35">
        <f t="shared" si="23"/>
        <v>0.10450236456112116</v>
      </c>
      <c r="E389" s="35">
        <f>(Table143454[[#This Row],[JPN]]-B377)/B377</f>
        <v>0.1503648399991539</v>
      </c>
      <c r="F389" s="34">
        <f>VLOOKUP(Table143454[[#This Row],[Date]],'Data Core CPI'!$A:$AX,MATCH($B$2,'Data Core CPI'!$B$1:$AX$1,0),FALSE)</f>
        <v>31.941210000000002</v>
      </c>
      <c r="G389" s="35">
        <f t="shared" si="24"/>
        <v>9.8400346253886273E-3</v>
      </c>
      <c r="H389" s="35">
        <f t="shared" si="25"/>
        <v>0.12468527504905635</v>
      </c>
      <c r="I389" s="35">
        <f>(Table143454[[#This Row],[Core CPI]]-F377)/F377</f>
        <v>0.15038954733850141</v>
      </c>
    </row>
    <row r="390" spans="1:9" x14ac:dyDescent="0.35">
      <c r="A390" s="33">
        <f>IF(Data!A417="",#N/A,Data!A417)</f>
        <v>30529</v>
      </c>
      <c r="B390" s="34">
        <f>VLOOKUP(A390,Data!A:AX,MATCH($B$2,Data!$B$1:$AX$1,0),FALSE)</f>
        <v>32.799889999999998</v>
      </c>
      <c r="C390" s="35">
        <f t="shared" si="26"/>
        <v>5.0759570316329938E-3</v>
      </c>
      <c r="D390" s="35">
        <f t="shared" si="23"/>
        <v>6.2641100523993076E-2</v>
      </c>
      <c r="E390" s="35">
        <f>(Table143454[[#This Row],[JPN]]-B378)/B378</f>
        <v>0.13548374366091565</v>
      </c>
      <c r="F390" s="34">
        <f>VLOOKUP(Table143454[[#This Row],[Date]],'Data Core CPI'!$A:$AX,MATCH($B$2,'Data Core CPI'!$B$1:$AX$1,0),FALSE)</f>
        <v>32.16442</v>
      </c>
      <c r="G390" s="35">
        <f t="shared" si="24"/>
        <v>6.9881510437457273E-3</v>
      </c>
      <c r="H390" s="35">
        <f t="shared" si="25"/>
        <v>8.7157144584078639E-2</v>
      </c>
      <c r="I390" s="35">
        <f>(Table143454[[#This Row],[Core CPI]]-F378)/F378</f>
        <v>0.13968224384502018</v>
      </c>
    </row>
    <row r="391" spans="1:9" x14ac:dyDescent="0.35">
      <c r="A391" s="33">
        <f>IF(Data!A418="",#N/A,Data!A418)</f>
        <v>30560</v>
      </c>
      <c r="B391" s="34">
        <f>VLOOKUP(A391,Data!A:AX,MATCH($B$2,Data!$B$1:$AX$1,0),FALSE)</f>
        <v>33.234740000000002</v>
      </c>
      <c r="C391" s="35">
        <f t="shared" si="26"/>
        <v>1.3257666412905822E-2</v>
      </c>
      <c r="D391" s="35">
        <f t="shared" si="23"/>
        <v>0.17122080969427245</v>
      </c>
      <c r="E391" s="35">
        <f>(Table143454[[#This Row],[JPN]]-B379)/B379</f>
        <v>0.13347443753853883</v>
      </c>
      <c r="F391" s="34">
        <f>VLOOKUP(Table143454[[#This Row],[Date]],'Data Core CPI'!$A:$AX,MATCH($B$2,'Data Core CPI'!$B$1:$AX$1,0),FALSE)</f>
        <v>32.572330000000001</v>
      </c>
      <c r="G391" s="35">
        <f t="shared" si="24"/>
        <v>1.2682025666870489E-2</v>
      </c>
      <c r="H391" s="35">
        <f t="shared" si="25"/>
        <v>0.16326113884510196</v>
      </c>
      <c r="I391" s="35">
        <f>(Table143454[[#This Row],[Core CPI]]-F379)/F379</f>
        <v>0.13696220682645135</v>
      </c>
    </row>
    <row r="392" spans="1:9" x14ac:dyDescent="0.35">
      <c r="A392" s="33">
        <f>IF(Data!A419="",#N/A,Data!A419)</f>
        <v>30590</v>
      </c>
      <c r="B392" s="34">
        <f>VLOOKUP(A392,Data!A:AX,MATCH($B$2,Data!$B$1:$AX$1,0),FALSE)</f>
        <v>33.73171</v>
      </c>
      <c r="C392" s="35">
        <f t="shared" si="26"/>
        <v>1.4953328956387235E-2</v>
      </c>
      <c r="D392" s="35">
        <f t="shared" si="23"/>
        <v>0.19495862500088768</v>
      </c>
      <c r="E392" s="35">
        <f>(Table143454[[#This Row],[JPN]]-B380)/B380</f>
        <v>0.13125023475689923</v>
      </c>
      <c r="F392" s="34">
        <f>VLOOKUP(Table143454[[#This Row],[Date]],'Data Core CPI'!$A:$AX,MATCH($B$2,'Data Core CPI'!$B$1:$AX$1,0),FALSE)</f>
        <v>33.11768</v>
      </c>
      <c r="G392" s="35">
        <f t="shared" si="24"/>
        <v>1.674273839175755E-2</v>
      </c>
      <c r="H392" s="35">
        <f t="shared" si="25"/>
        <v>0.22048642170121946</v>
      </c>
      <c r="I392" s="35">
        <f>(Table143454[[#This Row],[Core CPI]]-F380)/F380</f>
        <v>0.13547875679680668</v>
      </c>
    </row>
    <row r="393" spans="1:9" x14ac:dyDescent="0.35">
      <c r="A393" s="33">
        <f>IF(Data!A420="",#N/A,Data!A420)</f>
        <v>30621</v>
      </c>
      <c r="B393" s="34">
        <f>VLOOKUP(A393,Data!A:AX,MATCH($B$2,Data!$B$1:$AX$1,0),FALSE)</f>
        <v>34.104430000000001</v>
      </c>
      <c r="C393" s="35">
        <f t="shared" si="26"/>
        <v>1.1049543589696453E-2</v>
      </c>
      <c r="D393" s="35">
        <f t="shared" si="23"/>
        <v>0.14095692766249379</v>
      </c>
      <c r="E393" s="35">
        <f>(Table143454[[#This Row],[JPN]]-B381)/B381</f>
        <v>0.12808185171917516</v>
      </c>
      <c r="F393" s="34">
        <f>VLOOKUP(Table143454[[#This Row],[Date]],'Data Core CPI'!$A:$AX,MATCH($B$2,'Data Core CPI'!$B$1:$AX$1,0),FALSE)</f>
        <v>33.491320000000002</v>
      </c>
      <c r="G393" s="35">
        <f t="shared" si="24"/>
        <v>1.1282191264605501E-2</v>
      </c>
      <c r="H393" s="35">
        <f t="shared" si="25"/>
        <v>0.14411139824818897</v>
      </c>
      <c r="I393" s="35">
        <f>(Table143454[[#This Row],[Core CPI]]-F381)/F381</f>
        <v>0.13088775410627099</v>
      </c>
    </row>
    <row r="394" spans="1:9" x14ac:dyDescent="0.35">
      <c r="A394" s="33">
        <f>IF(Data!A421="",#N/A,Data!A421)</f>
        <v>30651</v>
      </c>
      <c r="B394" s="34">
        <f>VLOOKUP(A394,Data!A:AX,MATCH($B$2,Data!$B$1:$AX$1,0),FALSE)</f>
        <v>34.249389999999998</v>
      </c>
      <c r="C394" s="35">
        <f t="shared" si="26"/>
        <v>4.2504742052571487E-3</v>
      </c>
      <c r="D394" s="35">
        <f t="shared" si="23"/>
        <v>5.2215138270350847E-2</v>
      </c>
      <c r="E394" s="35">
        <f>(Table143454[[#This Row],[JPN]]-B382)/B382</f>
        <v>0.12287854139249907</v>
      </c>
      <c r="F394" s="34">
        <f>VLOOKUP(Table143454[[#This Row],[Date]],'Data Core CPI'!$A:$AX,MATCH($B$2,'Data Core CPI'!$B$1:$AX$1,0),FALSE)</f>
        <v>33.618870000000001</v>
      </c>
      <c r="G394" s="35">
        <f t="shared" si="24"/>
        <v>3.8084494728782836E-3</v>
      </c>
      <c r="H394" s="35">
        <f t="shared" si="25"/>
        <v>4.6670933960839767E-2</v>
      </c>
      <c r="I394" s="35">
        <f>(Table143454[[#This Row],[Core CPI]]-F382)/F382</f>
        <v>0.12428931123427513</v>
      </c>
    </row>
    <row r="395" spans="1:9" x14ac:dyDescent="0.35">
      <c r="A395" s="33">
        <f>IF(Data!A422="",#N/A,Data!A422)</f>
        <v>30682</v>
      </c>
      <c r="B395" s="34">
        <f>VLOOKUP(A395,Data!A:AX,MATCH($B$2,Data!$B$1:$AX$1,0),FALSE)</f>
        <v>34.663519999999998</v>
      </c>
      <c r="C395" s="35">
        <f t="shared" si="26"/>
        <v>1.2091602215397179E-2</v>
      </c>
      <c r="D395" s="35">
        <f t="shared" si="23"/>
        <v>0.15514859976677875</v>
      </c>
      <c r="E395" s="35">
        <f>(Table143454[[#This Row],[JPN]]-B383)/B383</f>
        <v>0.12273637419536212</v>
      </c>
      <c r="F395" s="34">
        <f>VLOOKUP(Table143454[[#This Row],[Date]],'Data Core CPI'!$A:$AX,MATCH($B$2,'Data Core CPI'!$B$1:$AX$1,0),FALSE)</f>
        <v>33.943420000000003</v>
      </c>
      <c r="G395" s="35">
        <f t="shared" si="24"/>
        <v>9.6538045448881782E-3</v>
      </c>
      <c r="H395" s="35">
        <f t="shared" si="25"/>
        <v>0.12219888618966834</v>
      </c>
      <c r="I395" s="35">
        <f>(Table143454[[#This Row],[Core CPI]]-F383)/F383</f>
        <v>0.13159859034490959</v>
      </c>
    </row>
    <row r="396" spans="1:9" x14ac:dyDescent="0.35">
      <c r="A396" s="33">
        <f>IF(Data!A423="",#N/A,Data!A423)</f>
        <v>30713</v>
      </c>
      <c r="B396" s="34">
        <f>VLOOKUP(A396,Data!A:AX,MATCH($B$2,Data!$B$1:$AX$1,0),FALSE)</f>
        <v>35.077660000000002</v>
      </c>
      <c r="C396" s="35">
        <f t="shared" si="26"/>
        <v>1.1947430612932575E-2</v>
      </c>
      <c r="D396" s="35">
        <f t="shared" si="23"/>
        <v>0.15317554664687072</v>
      </c>
      <c r="E396" s="35">
        <f>(Table143454[[#This Row],[JPN]]-B384)/B384</f>
        <v>0.12111180288593688</v>
      </c>
      <c r="F396" s="34">
        <f>VLOOKUP(Table143454[[#This Row],[Date]],'Data Core CPI'!$A:$AX,MATCH($B$2,'Data Core CPI'!$B$1:$AX$1,0),FALSE)</f>
        <v>34.375390000000003</v>
      </c>
      <c r="G396" s="35">
        <f t="shared" si="24"/>
        <v>1.2726177857151688E-2</v>
      </c>
      <c r="H396" s="35">
        <f t="shared" si="25"/>
        <v>0.16386989275225106</v>
      </c>
      <c r="I396" s="35">
        <f>(Table143454[[#This Row],[Core CPI]]-F384)/F384</f>
        <v>0.12766942979447626</v>
      </c>
    </row>
    <row r="397" spans="1:9" x14ac:dyDescent="0.35">
      <c r="A397" s="33">
        <f>IF(Data!A424="",#N/A,Data!A424)</f>
        <v>30742</v>
      </c>
      <c r="B397" s="34">
        <f>VLOOKUP(A397,Data!A:AX,MATCH($B$2,Data!$B$1:$AX$1,0),FALSE)</f>
        <v>35.326149999999998</v>
      </c>
      <c r="C397" s="35">
        <f t="shared" si="26"/>
        <v>7.0839959107875661E-3</v>
      </c>
      <c r="D397" s="35">
        <f t="shared" si="23"/>
        <v>8.8399498776992713E-2</v>
      </c>
      <c r="E397" s="35">
        <f>(Table143454[[#This Row],[JPN]]-B385)/B385</f>
        <v>0.11868860079966606</v>
      </c>
      <c r="F397" s="34">
        <f>VLOOKUP(Table143454[[#This Row],[Date]],'Data Core CPI'!$A:$AX,MATCH($B$2,'Data Core CPI'!$B$1:$AX$1,0),FALSE)</f>
        <v>34.604680000000002</v>
      </c>
      <c r="G397" s="35">
        <f t="shared" si="24"/>
        <v>6.6701788692433706E-3</v>
      </c>
      <c r="H397" s="35">
        <f t="shared" si="25"/>
        <v>8.3044849959622358E-2</v>
      </c>
      <c r="I397" s="35">
        <f>(Table143454[[#This Row],[Core CPI]]-F385)/F385</f>
        <v>0.12305455489566103</v>
      </c>
    </row>
    <row r="398" spans="1:9" x14ac:dyDescent="0.35">
      <c r="A398" s="33">
        <f>IF(Data!A425="",#N/A,Data!A425)</f>
        <v>30773</v>
      </c>
      <c r="B398" s="34">
        <f>VLOOKUP(A398,Data!A:AX,MATCH($B$2,Data!$B$1:$AX$1,0),FALSE)</f>
        <v>35.59534</v>
      </c>
      <c r="C398" s="35">
        <f t="shared" si="26"/>
        <v>7.6201340932993133E-3</v>
      </c>
      <c r="D398" s="35">
        <f t="shared" si="23"/>
        <v>9.5373028224466028E-2</v>
      </c>
      <c r="E398" s="35">
        <f>(Table143454[[#This Row],[JPN]]-B386)/B386</f>
        <v>0.11550952396920158</v>
      </c>
      <c r="F398" s="34">
        <f>VLOOKUP(Table143454[[#This Row],[Date]],'Data Core CPI'!$A:$AX,MATCH($B$2,'Data Core CPI'!$B$1:$AX$1,0),FALSE)</f>
        <v>34.904310000000002</v>
      </c>
      <c r="G398" s="35">
        <f t="shared" si="24"/>
        <v>8.6586554188623488E-3</v>
      </c>
      <c r="H398" s="35">
        <f t="shared" si="25"/>
        <v>0.10899767406046124</v>
      </c>
      <c r="I398" s="35">
        <f>(Table143454[[#This Row],[Core CPI]]-F386)/F386</f>
        <v>0.11983048694098811</v>
      </c>
    </row>
    <row r="399" spans="1:9" x14ac:dyDescent="0.35">
      <c r="A399" s="33">
        <f>IF(Data!A426="",#N/A,Data!A426)</f>
        <v>30803</v>
      </c>
      <c r="B399" s="34">
        <f>VLOOKUP(A399,Data!A:AX,MATCH($B$2,Data!$B$1:$AX$1,0),FALSE)</f>
        <v>35.823120000000003</v>
      </c>
      <c r="C399" s="35">
        <f t="shared" si="26"/>
        <v>6.3991522485808972E-3</v>
      </c>
      <c r="D399" s="35">
        <f t="shared" si="23"/>
        <v>7.9550958209726241E-2</v>
      </c>
      <c r="E399" s="35">
        <f>(Table143454[[#This Row],[JPN]]-B387)/B387</f>
        <v>0.1132563548287252</v>
      </c>
      <c r="F399" s="34">
        <f>VLOOKUP(Table143454[[#This Row],[Date]],'Data Core CPI'!$A:$AX,MATCH($B$2,'Data Core CPI'!$B$1:$AX$1,0),FALSE)</f>
        <v>35.152749999999997</v>
      </c>
      <c r="G399" s="35">
        <f t="shared" si="24"/>
        <v>7.117745630840222E-3</v>
      </c>
      <c r="H399" s="35">
        <f t="shared" si="25"/>
        <v>8.8837276954840672E-2</v>
      </c>
      <c r="I399" s="35">
        <f>(Table143454[[#This Row],[Core CPI]]-F387)/F387</f>
        <v>0.11730463001516103</v>
      </c>
    </row>
    <row r="400" spans="1:9" x14ac:dyDescent="0.35">
      <c r="A400" s="33">
        <f>IF(Data!A427="",#N/A,Data!A427)</f>
        <v>30834</v>
      </c>
      <c r="B400" s="34">
        <f>VLOOKUP(A400,Data!A:AX,MATCH($B$2,Data!$B$1:$AX$1,0),FALSE)</f>
        <v>36.030189999999997</v>
      </c>
      <c r="C400" s="35">
        <f t="shared" si="26"/>
        <v>5.7803452072291428E-3</v>
      </c>
      <c r="D400" s="35">
        <f t="shared" si="23"/>
        <v>7.161240776496447E-2</v>
      </c>
      <c r="E400" s="35">
        <f>(Table143454[[#This Row],[JPN]]-B388)/B388</f>
        <v>0.11324376140311852</v>
      </c>
      <c r="F400" s="34">
        <f>VLOOKUP(Table143454[[#This Row],[Date]],'Data Core CPI'!$A:$AX,MATCH($B$2,'Data Core CPI'!$B$1:$AX$1,0),FALSE)</f>
        <v>35.365760000000002</v>
      </c>
      <c r="G400" s="35">
        <f t="shared" si="24"/>
        <v>6.0595543734132118E-3</v>
      </c>
      <c r="H400" s="35">
        <f t="shared" si="25"/>
        <v>7.5187676620140254E-2</v>
      </c>
      <c r="I400" s="35">
        <f>(Table143454[[#This Row],[Core CPI]]-F388)/F388</f>
        <v>0.11810918568686601</v>
      </c>
    </row>
    <row r="401" spans="1:9" x14ac:dyDescent="0.35">
      <c r="A401" s="33">
        <f>IF(Data!A428="",#N/A,Data!A428)</f>
        <v>30864</v>
      </c>
      <c r="B401" s="34">
        <f>VLOOKUP(A401,Data!A:AX,MATCH($B$2,Data!$B$1:$AX$1,0),FALSE)</f>
        <v>36.113010000000003</v>
      </c>
      <c r="C401" s="35">
        <f t="shared" si="26"/>
        <v>2.2986279006578236E-3</v>
      </c>
      <c r="D401" s="35">
        <f t="shared" si="23"/>
        <v>2.7934944185163957E-2</v>
      </c>
      <c r="E401" s="35">
        <f>(Table143454[[#This Row],[JPN]]-B389)/B389</f>
        <v>0.10659877478378552</v>
      </c>
      <c r="F401" s="34">
        <f>VLOOKUP(Table143454[[#This Row],[Date]],'Data Core CPI'!$A:$AX,MATCH($B$2,'Data Core CPI'!$B$1:$AX$1,0),FALSE)</f>
        <v>35.467059999999996</v>
      </c>
      <c r="G401" s="35">
        <f t="shared" si="24"/>
        <v>2.8643524131815035E-3</v>
      </c>
      <c r="H401" s="35">
        <f t="shared" si="25"/>
        <v>3.4918930541907534E-2</v>
      </c>
      <c r="I401" s="35">
        <f>(Table143454[[#This Row],[Core CPI]]-F389)/F389</f>
        <v>0.11038561156574828</v>
      </c>
    </row>
    <row r="402" spans="1:9" x14ac:dyDescent="0.35">
      <c r="A402" s="33">
        <f>IF(Data!A429="",#N/A,Data!A429)</f>
        <v>30895</v>
      </c>
      <c r="B402" s="34">
        <f>VLOOKUP(A402,Data!A:AX,MATCH($B$2,Data!$B$1:$AX$1,0),FALSE)</f>
        <v>36.299379999999999</v>
      </c>
      <c r="C402" s="35">
        <f t="shared" si="26"/>
        <v>5.160744008876561E-3</v>
      </c>
      <c r="D402" s="35">
        <f t="shared" si="23"/>
        <v>6.371731699567551E-2</v>
      </c>
      <c r="E402" s="35">
        <f>(Table143454[[#This Row],[JPN]]-B390)/B390</f>
        <v>0.10669212610164247</v>
      </c>
      <c r="F402" s="34">
        <f>VLOOKUP(Table143454[[#This Row],[Date]],'Data Core CPI'!$A:$AX,MATCH($B$2,'Data Core CPI'!$B$1:$AX$1,0),FALSE)</f>
        <v>35.702129999999997</v>
      </c>
      <c r="G402" s="35">
        <f t="shared" si="24"/>
        <v>6.6278400295936013E-3</v>
      </c>
      <c r="H402" s="35">
        <f t="shared" si="25"/>
        <v>8.2498364039910621E-2</v>
      </c>
      <c r="I402" s="35">
        <f>(Table143454[[#This Row],[Core CPI]]-F390)/F390</f>
        <v>0.10998830384629964</v>
      </c>
    </row>
    <row r="403" spans="1:9" x14ac:dyDescent="0.35">
      <c r="A403" s="33">
        <f>IF(Data!A430="",#N/A,Data!A430)</f>
        <v>30926</v>
      </c>
      <c r="B403" s="34">
        <f>VLOOKUP(A403,Data!A:AX,MATCH($B$2,Data!$B$1:$AX$1,0),FALSE)</f>
        <v>36.589280000000002</v>
      </c>
      <c r="C403" s="35">
        <f t="shared" si="26"/>
        <v>7.9863623015048457E-3</v>
      </c>
      <c r="D403" s="35">
        <f t="shared" si="23"/>
        <v>0.10016006311181069</v>
      </c>
      <c r="E403" s="35">
        <f>(Table143454[[#This Row],[JPN]]-B391)/B391</f>
        <v>0.10093474478813434</v>
      </c>
      <c r="F403" s="34">
        <f>VLOOKUP(Table143454[[#This Row],[Date]],'Data Core CPI'!$A:$AX,MATCH($B$2,'Data Core CPI'!$B$1:$AX$1,0),FALSE)</f>
        <v>36.018250000000002</v>
      </c>
      <c r="G403" s="35">
        <f t="shared" si="24"/>
        <v>8.8543736746240498E-3</v>
      </c>
      <c r="H403" s="35">
        <f t="shared" si="25"/>
        <v>0.11158268588602094</v>
      </c>
      <c r="I403" s="35">
        <f>(Table143454[[#This Row],[Core CPI]]-F391)/F391</f>
        <v>0.10579286160983881</v>
      </c>
    </row>
    <row r="404" spans="1:9" x14ac:dyDescent="0.35">
      <c r="A404" s="33">
        <f>IF(Data!A431="",#N/A,Data!A431)</f>
        <v>30956</v>
      </c>
      <c r="B404" s="34">
        <f>VLOOKUP(A404,Data!A:AX,MATCH($B$2,Data!$B$1:$AX$1,0),FALSE)</f>
        <v>36.941299999999998</v>
      </c>
      <c r="C404" s="35">
        <f t="shared" si="26"/>
        <v>9.6208506972532692E-3</v>
      </c>
      <c r="D404" s="35">
        <f t="shared" si="23"/>
        <v>0.12175943892806318</v>
      </c>
      <c r="E404" s="35">
        <f>(Table143454[[#This Row],[JPN]]-B392)/B392</f>
        <v>9.5150527500681065E-2</v>
      </c>
      <c r="F404" s="34">
        <f>VLOOKUP(Table143454[[#This Row],[Date]],'Data Core CPI'!$A:$AX,MATCH($B$2,'Data Core CPI'!$B$1:$AX$1,0),FALSE)</f>
        <v>36.354430000000001</v>
      </c>
      <c r="G404" s="35">
        <f t="shared" si="24"/>
        <v>9.3336017157967799E-3</v>
      </c>
      <c r="H404" s="35">
        <f t="shared" si="25"/>
        <v>0.11793558153374306</v>
      </c>
      <c r="I404" s="35">
        <f>(Table143454[[#This Row],[Core CPI]]-F392)/F392</f>
        <v>9.7734805095042912E-2</v>
      </c>
    </row>
    <row r="405" spans="1:9" x14ac:dyDescent="0.35">
      <c r="A405" s="33">
        <f>IF(Data!A432="",#N/A,Data!A432)</f>
        <v>30987</v>
      </c>
      <c r="B405" s="34">
        <f>VLOOKUP(A405,Data!A:AX,MATCH($B$2,Data!$B$1:$AX$1,0),FALSE)</f>
        <v>37.231189999999998</v>
      </c>
      <c r="C405" s="35">
        <f t="shared" si="26"/>
        <v>7.8473145233113328E-3</v>
      </c>
      <c r="D405" s="35">
        <f t="shared" si="23"/>
        <v>9.8340290833426547E-2</v>
      </c>
      <c r="E405" s="35">
        <f>(Table143454[[#This Row],[JPN]]-B393)/B393</f>
        <v>9.1681931057050275E-2</v>
      </c>
      <c r="F405" s="34">
        <f>VLOOKUP(Table143454[[#This Row],[Date]],'Data Core CPI'!$A:$AX,MATCH($B$2,'Data Core CPI'!$B$1:$AX$1,0),FALSE)</f>
        <v>36.692010000000003</v>
      </c>
      <c r="G405" s="35">
        <f t="shared" si="24"/>
        <v>9.2858009326513002E-3</v>
      </c>
      <c r="H405" s="35">
        <f t="shared" si="25"/>
        <v>0.11730041854072382</v>
      </c>
      <c r="I405" s="35">
        <f>(Table143454[[#This Row],[Core CPI]]-F393)/F393</f>
        <v>9.5567747105817308E-2</v>
      </c>
    </row>
    <row r="406" spans="1:9" x14ac:dyDescent="0.35">
      <c r="A406" s="33">
        <f>IF(Data!A433="",#N/A,Data!A433)</f>
        <v>31017</v>
      </c>
      <c r="B406" s="34">
        <f>VLOOKUP(A406,Data!A:AX,MATCH($B$2,Data!$B$1:$AX$1,0),FALSE)</f>
        <v>37.458970000000001</v>
      </c>
      <c r="C406" s="35">
        <f t="shared" si="26"/>
        <v>6.117988707855071E-3</v>
      </c>
      <c r="D406" s="35">
        <f t="shared" si="23"/>
        <v>7.5937309587168711E-2</v>
      </c>
      <c r="E406" s="35">
        <f>(Table143454[[#This Row],[JPN]]-B394)/B394</f>
        <v>9.3712033995350066E-2</v>
      </c>
      <c r="F406" s="34">
        <f>VLOOKUP(Table143454[[#This Row],[Date]],'Data Core CPI'!$A:$AX,MATCH($B$2,'Data Core CPI'!$B$1:$AX$1,0),FALSE)</f>
        <v>36.951569999999997</v>
      </c>
      <c r="G406" s="35">
        <f t="shared" si="24"/>
        <v>7.0740196571403846E-3</v>
      </c>
      <c r="H406" s="35">
        <f t="shared" si="25"/>
        <v>8.8270124568561981E-2</v>
      </c>
      <c r="I406" s="35">
        <f>(Table143454[[#This Row],[Core CPI]]-F394)/F394</f>
        <v>9.9131826857951966E-2</v>
      </c>
    </row>
    <row r="407" spans="1:9" x14ac:dyDescent="0.35">
      <c r="A407" s="33">
        <f>IF(Data!A434="",#N/A,Data!A434)</f>
        <v>31048</v>
      </c>
      <c r="B407" s="34">
        <f>VLOOKUP(A407,Data!A:AX,MATCH($B$2,Data!$B$1:$AX$1,0),FALSE)</f>
        <v>37.871929999999999</v>
      </c>
      <c r="C407" s="35">
        <f t="shared" si="26"/>
        <v>1.1024328752232027E-2</v>
      </c>
      <c r="D407" s="35">
        <f t="shared" si="23"/>
        <v>0.14061551890133717</v>
      </c>
      <c r="E407" s="35">
        <f>(Table143454[[#This Row],[JPN]]-B395)/B395</f>
        <v>9.2558689942625588E-2</v>
      </c>
      <c r="F407" s="34">
        <f>VLOOKUP(Table143454[[#This Row],[Date]],'Data Core CPI'!$A:$AX,MATCH($B$2,'Data Core CPI'!$B$1:$AX$1,0),FALSE)</f>
        <v>37.340150000000001</v>
      </c>
      <c r="G407" s="35">
        <f t="shared" si="24"/>
        <v>1.051592665751433E-2</v>
      </c>
      <c r="H407" s="35">
        <f t="shared" si="25"/>
        <v>0.13375170559679117</v>
      </c>
      <c r="I407" s="35">
        <f>(Table143454[[#This Row],[Core CPI]]-F395)/F395</f>
        <v>0.1000703523687359</v>
      </c>
    </row>
    <row r="408" spans="1:9" x14ac:dyDescent="0.35">
      <c r="A408" s="33">
        <f>IF(Data!A435="",#N/A,Data!A435)</f>
        <v>31079</v>
      </c>
      <c r="B408" s="34">
        <f>VLOOKUP(A408,Data!A:AX,MATCH($B$2,Data!$B$1:$AX$1,0),FALSE)</f>
        <v>38.344839999999998</v>
      </c>
      <c r="C408" s="35">
        <f t="shared" si="26"/>
        <v>1.2487084761722E-2</v>
      </c>
      <c r="D408" s="35">
        <f t="shared" si="23"/>
        <v>0.16057685408480649</v>
      </c>
      <c r="E408" s="35">
        <f>(Table143454[[#This Row],[JPN]]-B396)/B396</f>
        <v>9.3141332688668407E-2</v>
      </c>
      <c r="F408" s="34">
        <f>VLOOKUP(Table143454[[#This Row],[Date]],'Data Core CPI'!$A:$AX,MATCH($B$2,'Data Core CPI'!$B$1:$AX$1,0),FALSE)</f>
        <v>37.808280000000003</v>
      </c>
      <c r="G408" s="35">
        <f t="shared" si="24"/>
        <v>1.2536907323618118E-2</v>
      </c>
      <c r="H408" s="35">
        <f t="shared" si="25"/>
        <v>0.16126235692280311</v>
      </c>
      <c r="I408" s="35">
        <f>(Table143454[[#This Row],[Core CPI]]-F396)/F396</f>
        <v>9.9864757898019491E-2</v>
      </c>
    </row>
    <row r="409" spans="1:9" x14ac:dyDescent="0.35">
      <c r="A409" s="33">
        <f>IF(Data!A436="",#N/A,Data!A436)</f>
        <v>31107</v>
      </c>
      <c r="B409" s="34">
        <f>VLOOKUP(A409,Data!A:AX,MATCH($B$2,Data!$B$1:$AX$1,0),FALSE)</f>
        <v>38.660110000000003</v>
      </c>
      <c r="C409" s="35">
        <f t="shared" si="26"/>
        <v>8.2219667626728388E-3</v>
      </c>
      <c r="D409" s="35">
        <f t="shared" si="23"/>
        <v>0.10324982037317887</v>
      </c>
      <c r="E409" s="35">
        <f>(Table143454[[#This Row],[JPN]]-B397)/B397</f>
        <v>9.4376545420319077E-2</v>
      </c>
      <c r="F409" s="34">
        <f>VLOOKUP(Table143454[[#This Row],[Date]],'Data Core CPI'!$A:$AX,MATCH($B$2,'Data Core CPI'!$B$1:$AX$1,0),FALSE)</f>
        <v>38.066249999999997</v>
      </c>
      <c r="G409" s="35">
        <f t="shared" si="24"/>
        <v>6.8231085889121079E-3</v>
      </c>
      <c r="H409" s="35">
        <f t="shared" si="25"/>
        <v>8.5020887901686937E-2</v>
      </c>
      <c r="I409" s="35">
        <f>(Table143454[[#This Row],[Core CPI]]-F397)/F397</f>
        <v>0.10003184540356953</v>
      </c>
    </row>
    <row r="410" spans="1:9" x14ac:dyDescent="0.35">
      <c r="A410" s="33">
        <f>IF(Data!A437="",#N/A,Data!A437)</f>
        <v>31138</v>
      </c>
      <c r="B410" s="34">
        <f>VLOOKUP(A410,Data!A:AX,MATCH($B$2,Data!$B$1:$AX$1,0),FALSE)</f>
        <v>38.935969999999998</v>
      </c>
      <c r="C410" s="35">
        <f t="shared" si="26"/>
        <v>7.1355203076244322E-3</v>
      </c>
      <c r="D410" s="35">
        <f t="shared" si="23"/>
        <v>8.9067902732521853E-2</v>
      </c>
      <c r="E410" s="35">
        <f>(Table143454[[#This Row],[JPN]]-B398)/B398</f>
        <v>9.3850206234861011E-2</v>
      </c>
      <c r="F410" s="34">
        <f>VLOOKUP(Table143454[[#This Row],[Date]],'Data Core CPI'!$A:$AX,MATCH($B$2,'Data Core CPI'!$B$1:$AX$1,0),FALSE)</f>
        <v>38.302230000000002</v>
      </c>
      <c r="G410" s="35">
        <f t="shared" si="24"/>
        <v>6.1991921978130637E-3</v>
      </c>
      <c r="H410" s="35">
        <f t="shared" si="25"/>
        <v>7.6979835331201674E-2</v>
      </c>
      <c r="I410" s="35">
        <f>(Table143454[[#This Row],[Core CPI]]-F398)/F398</f>
        <v>9.7349582329517445E-2</v>
      </c>
    </row>
    <row r="411" spans="1:9" x14ac:dyDescent="0.35">
      <c r="A411" s="33">
        <f>IF(Data!A438="",#N/A,Data!A438)</f>
        <v>31168</v>
      </c>
      <c r="B411" s="34">
        <f>VLOOKUP(A411,Data!A:AX,MATCH($B$2,Data!$B$1:$AX$1,0),FALSE)</f>
        <v>39.211829999999999</v>
      </c>
      <c r="C411" s="35">
        <f t="shared" si="26"/>
        <v>7.0849653931828183E-3</v>
      </c>
      <c r="D411" s="35">
        <f t="shared" si="23"/>
        <v>8.8412071985315643E-2</v>
      </c>
      <c r="E411" s="35">
        <f>(Table143454[[#This Row],[JPN]]-B399)/B399</f>
        <v>9.4595613112425606E-2</v>
      </c>
      <c r="F411" s="34">
        <f>VLOOKUP(Table143454[[#This Row],[Date]],'Data Core CPI'!$A:$AX,MATCH($B$2,'Data Core CPI'!$B$1:$AX$1,0),FALSE)</f>
        <v>38.586959999999998</v>
      </c>
      <c r="G411" s="35">
        <f t="shared" si="24"/>
        <v>7.4337708274425651E-3</v>
      </c>
      <c r="H411" s="35">
        <f t="shared" si="25"/>
        <v>9.2944377688275237E-2</v>
      </c>
      <c r="I411" s="35">
        <f>(Table143454[[#This Row],[Core CPI]]-F399)/F399</f>
        <v>9.7693921528187705E-2</v>
      </c>
    </row>
    <row r="412" spans="1:9" x14ac:dyDescent="0.35">
      <c r="A412" s="33">
        <f>IF(Data!A439="",#N/A,Data!A439)</f>
        <v>31199</v>
      </c>
      <c r="B412" s="34">
        <f>VLOOKUP(A412,Data!A:AX,MATCH($B$2,Data!$B$1:$AX$1,0),FALSE)</f>
        <v>39.44829</v>
      </c>
      <c r="C412" s="35">
        <f t="shared" si="26"/>
        <v>6.0303229918114987E-3</v>
      </c>
      <c r="D412" s="35">
        <f t="shared" si="23"/>
        <v>7.4812857466401095E-2</v>
      </c>
      <c r="E412" s="35">
        <f>(Table143454[[#This Row],[JPN]]-B400)/B400</f>
        <v>9.4867665144147253E-2</v>
      </c>
      <c r="F412" s="34">
        <f>VLOOKUP(Table143454[[#This Row],[Date]],'Data Core CPI'!$A:$AX,MATCH($B$2,'Data Core CPI'!$B$1:$AX$1,0),FALSE)</f>
        <v>38.794150000000002</v>
      </c>
      <c r="G412" s="35">
        <f t="shared" si="24"/>
        <v>5.3694305019105215E-3</v>
      </c>
      <c r="H412" s="35">
        <f t="shared" si="25"/>
        <v>6.6370469845264513E-2</v>
      </c>
      <c r="I412" s="35">
        <f>(Table143454[[#This Row],[Core CPI]]-F400)/F400</f>
        <v>9.6940939484970776E-2</v>
      </c>
    </row>
    <row r="413" spans="1:9" x14ac:dyDescent="0.35">
      <c r="A413" s="33">
        <f>IF(Data!A440="",#N/A,Data!A440)</f>
        <v>31229</v>
      </c>
      <c r="B413" s="34">
        <f>VLOOKUP(A413,Data!A:AX,MATCH($B$2,Data!$B$1:$AX$1,0),FALSE)</f>
        <v>39.52711</v>
      </c>
      <c r="C413" s="35">
        <f t="shared" si="26"/>
        <v>1.9980587244718961E-3</v>
      </c>
      <c r="D413" s="35">
        <f t="shared" si="23"/>
        <v>2.4241955240228874E-2</v>
      </c>
      <c r="E413" s="35">
        <f>(Table143454[[#This Row],[JPN]]-B401)/B401</f>
        <v>9.4539336377665484E-2</v>
      </c>
      <c r="F413" s="34">
        <f>VLOOKUP(Table143454[[#This Row],[Date]],'Data Core CPI'!$A:$AX,MATCH($B$2,'Data Core CPI'!$B$1:$AX$1,0),FALSE)</f>
        <v>38.915410000000001</v>
      </c>
      <c r="G413" s="35">
        <f t="shared" si="24"/>
        <v>3.1257290081108113E-3</v>
      </c>
      <c r="H413" s="35">
        <f t="shared" si="25"/>
        <v>3.8160346153338631E-2</v>
      </c>
      <c r="I413" s="35">
        <f>(Table143454[[#This Row],[Core CPI]]-F401)/F401</f>
        <v>9.7226835266300771E-2</v>
      </c>
    </row>
    <row r="414" spans="1:9" x14ac:dyDescent="0.35">
      <c r="A414" s="33">
        <f>IF(Data!A441="",#N/A,Data!A441)</f>
        <v>31260</v>
      </c>
      <c r="B414" s="34">
        <f>VLOOKUP(A414,Data!A:AX,MATCH($B$2,Data!$B$1:$AX$1,0),FALSE)</f>
        <v>39.605919999999998</v>
      </c>
      <c r="C414" s="35">
        <f t="shared" si="26"/>
        <v>1.9938214557047029E-3</v>
      </c>
      <c r="D414" s="35">
        <f t="shared" si="23"/>
        <v>2.4189980438853231E-2</v>
      </c>
      <c r="E414" s="35">
        <f>(Table143454[[#This Row],[JPN]]-B402)/B402</f>
        <v>9.1090812019378797E-2</v>
      </c>
      <c r="F414" s="34">
        <f>VLOOKUP(Table143454[[#This Row],[Date]],'Data Core CPI'!$A:$AX,MATCH($B$2,'Data Core CPI'!$B$1:$AX$1,0),FALSE)</f>
        <v>39.038519999999998</v>
      </c>
      <c r="G414" s="35">
        <f t="shared" si="24"/>
        <v>3.1635282783863961E-3</v>
      </c>
      <c r="H414" s="35">
        <f t="shared" si="25"/>
        <v>3.8629876576160571E-2</v>
      </c>
      <c r="I414" s="35">
        <f>(Table143454[[#This Row],[Core CPI]]-F402)/F402</f>
        <v>9.3450726889404132E-2</v>
      </c>
    </row>
    <row r="415" spans="1:9" x14ac:dyDescent="0.35">
      <c r="A415" s="33">
        <f>IF(Data!A442="",#N/A,Data!A442)</f>
        <v>31291</v>
      </c>
      <c r="B415" s="34">
        <f>VLOOKUP(A415,Data!A:AX,MATCH($B$2,Data!$B$1:$AX$1,0),FALSE)</f>
        <v>39.842379999999999</v>
      </c>
      <c r="C415" s="35">
        <f t="shared" si="26"/>
        <v>5.9703195885867366E-3</v>
      </c>
      <c r="D415" s="35">
        <f t="shared" si="23"/>
        <v>7.4043839564503555E-2</v>
      </c>
      <c r="E415" s="35">
        <f>(Table143454[[#This Row],[JPN]]-B403)/B403</f>
        <v>8.890855463676782E-2</v>
      </c>
      <c r="F415" s="34">
        <f>VLOOKUP(Table143454[[#This Row],[Date]],'Data Core CPI'!$A:$AX,MATCH($B$2,'Data Core CPI'!$B$1:$AX$1,0),FALSE)</f>
        <v>39.311770000000003</v>
      </c>
      <c r="G415" s="35">
        <f t="shared" si="24"/>
        <v>6.9994969071573987E-3</v>
      </c>
      <c r="H415" s="35">
        <f t="shared" si="25"/>
        <v>8.7304143344997254E-2</v>
      </c>
      <c r="I415" s="35">
        <f>(Table143454[[#This Row],[Core CPI]]-F403)/F403</f>
        <v>9.1440311508749053E-2</v>
      </c>
    </row>
    <row r="416" spans="1:9" x14ac:dyDescent="0.35">
      <c r="A416" s="33">
        <f>IF(Data!A443="",#N/A,Data!A443)</f>
        <v>31321</v>
      </c>
      <c r="B416" s="34">
        <f>VLOOKUP(A416,Data!A:AX,MATCH($B$2,Data!$B$1:$AX$1,0),FALSE)</f>
        <v>40.236469999999997</v>
      </c>
      <c r="C416" s="35">
        <f t="shared" si="26"/>
        <v>9.8912263775405851E-3</v>
      </c>
      <c r="D416" s="35">
        <f t="shared" si="23"/>
        <v>0.12536962896289316</v>
      </c>
      <c r="E416" s="35">
        <f>(Table143454[[#This Row],[JPN]]-B404)/B404</f>
        <v>8.9200163502637944E-2</v>
      </c>
      <c r="F416" s="34">
        <f>VLOOKUP(Table143454[[#This Row],[Date]],'Data Core CPI'!$A:$AX,MATCH($B$2,'Data Core CPI'!$B$1:$AX$1,0),FALSE)</f>
        <v>39.746189999999999</v>
      </c>
      <c r="G416" s="35">
        <f t="shared" si="24"/>
        <v>1.105063445375265E-2</v>
      </c>
      <c r="H416" s="35">
        <f t="shared" si="25"/>
        <v>0.14097170006959292</v>
      </c>
      <c r="I416" s="35">
        <f>(Table143454[[#This Row],[Core CPI]]-F404)/F404</f>
        <v>9.3297020473158229E-2</v>
      </c>
    </row>
    <row r="417" spans="1:9" x14ac:dyDescent="0.35">
      <c r="A417" s="33">
        <f>IF(Data!A444="",#N/A,Data!A444)</f>
        <v>31352</v>
      </c>
      <c r="B417" s="34">
        <f>VLOOKUP(A417,Data!A:AX,MATCH($B$2,Data!$B$1:$AX$1,0),FALSE)</f>
        <v>40.551740000000002</v>
      </c>
      <c r="C417" s="35">
        <f t="shared" si="26"/>
        <v>7.8354289031816737E-3</v>
      </c>
      <c r="D417" s="35">
        <f t="shared" si="23"/>
        <v>9.818486718647379E-2</v>
      </c>
      <c r="E417" s="35">
        <f>(Table143454[[#This Row],[JPN]]-B405)/B405</f>
        <v>8.9187318482165212E-2</v>
      </c>
      <c r="F417" s="34">
        <f>VLOOKUP(Table143454[[#This Row],[Date]],'Data Core CPI'!$A:$AX,MATCH($B$2,'Data Core CPI'!$B$1:$AX$1,0),FALSE)</f>
        <v>40.116160000000001</v>
      </c>
      <c r="G417" s="35">
        <f t="shared" si="24"/>
        <v>9.3083135767226821E-3</v>
      </c>
      <c r="H417" s="35">
        <f t="shared" si="25"/>
        <v>0.11759951882739395</v>
      </c>
      <c r="I417" s="35">
        <f>(Table143454[[#This Row],[Core CPI]]-F405)/F405</f>
        <v>9.3321407031121947E-2</v>
      </c>
    </row>
    <row r="418" spans="1:9" x14ac:dyDescent="0.35">
      <c r="A418" s="33">
        <f>IF(Data!A445="",#N/A,Data!A445)</f>
        <v>31382</v>
      </c>
      <c r="B418" s="34">
        <f>VLOOKUP(A418,Data!A:AX,MATCH($B$2,Data!$B$1:$AX$1,0),FALSE)</f>
        <v>40.78819</v>
      </c>
      <c r="C418" s="35">
        <f t="shared" si="26"/>
        <v>5.8308225491678911E-3</v>
      </c>
      <c r="D418" s="35">
        <f t="shared" si="23"/>
        <v>7.2257961196997789E-2</v>
      </c>
      <c r="E418" s="35">
        <f>(Table143454[[#This Row],[JPN]]-B406)/B406</f>
        <v>8.8876442678482603E-2</v>
      </c>
      <c r="F418" s="34">
        <f>VLOOKUP(Table143454[[#This Row],[Date]],'Data Core CPI'!$A:$AX,MATCH($B$2,'Data Core CPI'!$B$1:$AX$1,0),FALSE)</f>
        <v>40.266550000000002</v>
      </c>
      <c r="G418" s="35">
        <f t="shared" si="24"/>
        <v>3.7488633009739036E-3</v>
      </c>
      <c r="H418" s="35">
        <f t="shared" si="25"/>
        <v>4.5925611405218669E-2</v>
      </c>
      <c r="I418" s="35">
        <f>(Table143454[[#This Row],[Core CPI]]-F406)/F406</f>
        <v>8.9711479106300646E-2</v>
      </c>
    </row>
    <row r="419" spans="1:9" x14ac:dyDescent="0.35">
      <c r="A419" s="33">
        <f>IF(Data!A446="",#N/A,Data!A446)</f>
        <v>31413</v>
      </c>
      <c r="B419" s="34">
        <f>VLOOKUP(A419,Data!A:AX,MATCH($B$2,Data!$B$1:$AX$1,0),FALSE)</f>
        <v>40.985230000000001</v>
      </c>
      <c r="C419" s="35">
        <f t="shared" si="26"/>
        <v>4.8308100947849208E-3</v>
      </c>
      <c r="D419" s="35">
        <f t="shared" si="23"/>
        <v>5.9535018502908654E-2</v>
      </c>
      <c r="E419" s="35">
        <f>(Table143454[[#This Row],[JPN]]-B407)/B407</f>
        <v>8.2206003232473304E-2</v>
      </c>
      <c r="F419" s="34">
        <f>VLOOKUP(Table143454[[#This Row],[Date]],'Data Core CPI'!$A:$AX,MATCH($B$2,'Data Core CPI'!$B$1:$AX$1,0),FALSE)</f>
        <v>40.515410000000003</v>
      </c>
      <c r="G419" s="35">
        <f t="shared" si="24"/>
        <v>6.1803159197895141E-3</v>
      </c>
      <c r="H419" s="35">
        <f t="shared" si="25"/>
        <v>7.6737410886771329E-2</v>
      </c>
      <c r="I419" s="35">
        <f>(Table143454[[#This Row],[Core CPI]]-F407)/F407</f>
        <v>8.5036080465665007E-2</v>
      </c>
    </row>
    <row r="420" spans="1:9" x14ac:dyDescent="0.35">
      <c r="A420" s="33">
        <f>IF(Data!A447="",#N/A,Data!A447)</f>
        <v>31444</v>
      </c>
      <c r="B420" s="34">
        <f>VLOOKUP(A420,Data!A:AX,MATCH($B$2,Data!$B$1:$AX$1,0),FALSE)</f>
        <v>41.142870000000002</v>
      </c>
      <c r="C420" s="35">
        <f t="shared" si="26"/>
        <v>3.8462636418046259E-3</v>
      </c>
      <c r="D420" s="35">
        <f t="shared" si="23"/>
        <v>4.714417794937753E-2</v>
      </c>
      <c r="E420" s="35">
        <f>(Table143454[[#This Row],[JPN]]-B408)/B408</f>
        <v>7.2970183211091874E-2</v>
      </c>
      <c r="F420" s="34">
        <f>VLOOKUP(Table143454[[#This Row],[Date]],'Data Core CPI'!$A:$AX,MATCH($B$2,'Data Core CPI'!$B$1:$AX$1,0),FALSE)</f>
        <v>40.837580000000003</v>
      </c>
      <c r="G420" s="35">
        <f t="shared" si="24"/>
        <v>7.9517892081062413E-3</v>
      </c>
      <c r="H420" s="35">
        <f t="shared" si="25"/>
        <v>9.9707333627930383E-2</v>
      </c>
      <c r="I420" s="35">
        <f>(Table143454[[#This Row],[Core CPI]]-F408)/F408</f>
        <v>8.0122660962096109E-2</v>
      </c>
    </row>
    <row r="421" spans="1:9" x14ac:dyDescent="0.35">
      <c r="A421" s="33">
        <f>IF(Data!A448="",#N/A,Data!A448)</f>
        <v>31472</v>
      </c>
      <c r="B421" s="34">
        <f>VLOOKUP(A421,Data!A:AX,MATCH($B$2,Data!$B$1:$AX$1,0),FALSE)</f>
        <v>41.339919999999999</v>
      </c>
      <c r="C421" s="35">
        <f t="shared" si="26"/>
        <v>4.789408225531977E-3</v>
      </c>
      <c r="D421" s="35">
        <f t="shared" si="23"/>
        <v>5.9011267156751313E-2</v>
      </c>
      <c r="E421" s="35">
        <f>(Table143454[[#This Row],[JPN]]-B409)/B409</f>
        <v>6.931718507784887E-2</v>
      </c>
      <c r="F421" s="34">
        <f>VLOOKUP(Table143454[[#This Row],[Date]],'Data Core CPI'!$A:$AX,MATCH($B$2,'Data Core CPI'!$B$1:$AX$1,0),FALSE)</f>
        <v>41.088189999999997</v>
      </c>
      <c r="G421" s="35">
        <f t="shared" si="24"/>
        <v>6.1367495331503541E-3</v>
      </c>
      <c r="H421" s="35">
        <f t="shared" si="25"/>
        <v>7.6178087019785234E-2</v>
      </c>
      <c r="I421" s="35">
        <f>(Table143454[[#This Row],[Core CPI]]-F409)/F409</f>
        <v>7.9386333037795978E-2</v>
      </c>
    </row>
    <row r="422" spans="1:9" x14ac:dyDescent="0.35">
      <c r="A422" s="33">
        <f>IF(Data!A449="",#N/A,Data!A449)</f>
        <v>31503</v>
      </c>
      <c r="B422" s="34">
        <f>VLOOKUP(A422,Data!A:AX,MATCH($B$2,Data!$B$1:$AX$1,0),FALSE)</f>
        <v>41.418729999999996</v>
      </c>
      <c r="C422" s="35">
        <f t="shared" si="26"/>
        <v>1.9063897559550291E-3</v>
      </c>
      <c r="D422" s="35">
        <f t="shared" si="23"/>
        <v>2.3118073130549588E-2</v>
      </c>
      <c r="E422" s="35">
        <f>(Table143454[[#This Row],[JPN]]-B410)/B410</f>
        <v>6.3765202202487811E-2</v>
      </c>
      <c r="F422" s="34">
        <f>VLOOKUP(Table143454[[#This Row],[Date]],'Data Core CPI'!$A:$AX,MATCH($B$2,'Data Core CPI'!$B$1:$AX$1,0),FALSE)</f>
        <v>41.220379999999999</v>
      </c>
      <c r="G422" s="35">
        <f t="shared" si="24"/>
        <v>3.2172261664482615E-3</v>
      </c>
      <c r="H422" s="35">
        <f t="shared" si="25"/>
        <v>3.9297229229368513E-2</v>
      </c>
      <c r="I422" s="35">
        <f>(Table143454[[#This Row],[Core CPI]]-F410)/F410</f>
        <v>7.6187470024591183E-2</v>
      </c>
    </row>
    <row r="423" spans="1:9" x14ac:dyDescent="0.35">
      <c r="A423" s="33">
        <f>IF(Data!A450="",#N/A,Data!A450)</f>
        <v>31533</v>
      </c>
      <c r="B423" s="34">
        <f>VLOOKUP(A423,Data!A:AX,MATCH($B$2,Data!$B$1:$AX$1,0),FALSE)</f>
        <v>41.615780000000001</v>
      </c>
      <c r="C423" s="35">
        <f t="shared" si="26"/>
        <v>4.7575094649210392E-3</v>
      </c>
      <c r="D423" s="35">
        <f t="shared" si="23"/>
        <v>5.8607896076352084E-2</v>
      </c>
      <c r="E423" s="35">
        <f>(Table143454[[#This Row],[JPN]]-B411)/B411</f>
        <v>6.1306753599615266E-2</v>
      </c>
      <c r="F423" s="34">
        <f>VLOOKUP(Table143454[[#This Row],[Date]],'Data Core CPI'!$A:$AX,MATCH($B$2,'Data Core CPI'!$B$1:$AX$1,0),FALSE)</f>
        <v>41.43441</v>
      </c>
      <c r="G423" s="35">
        <f t="shared" si="24"/>
        <v>5.192334471443516E-3</v>
      </c>
      <c r="H423" s="35">
        <f t="shared" si="25"/>
        <v>6.4118555879048245E-2</v>
      </c>
      <c r="I423" s="35">
        <f>(Table143454[[#This Row],[Core CPI]]-F411)/F411</f>
        <v>7.3793063770766137E-2</v>
      </c>
    </row>
    <row r="424" spans="1:9" x14ac:dyDescent="0.35">
      <c r="A424" s="33">
        <f>IF(Data!A451="",#N/A,Data!A451)</f>
        <v>31564</v>
      </c>
      <c r="B424" s="34">
        <f>VLOOKUP(A424,Data!A:AX,MATCH($B$2,Data!$B$1:$AX$1,0),FALSE)</f>
        <v>41.694600000000001</v>
      </c>
      <c r="C424" s="35">
        <f t="shared" si="26"/>
        <v>1.8939930958881135E-3</v>
      </c>
      <c r="D424" s="35">
        <f t="shared" si="23"/>
        <v>2.2966174102769799E-2</v>
      </c>
      <c r="E424" s="35">
        <f>(Table143454[[#This Row],[JPN]]-B412)/B412</f>
        <v>5.6943152668975032E-2</v>
      </c>
      <c r="F424" s="34">
        <f>VLOOKUP(Table143454[[#This Row],[Date]],'Data Core CPI'!$A:$AX,MATCH($B$2,'Data Core CPI'!$B$1:$AX$1,0),FALSE)</f>
        <v>41.512529999999998</v>
      </c>
      <c r="G424" s="35">
        <f t="shared" si="24"/>
        <v>1.8853894625263656E-3</v>
      </c>
      <c r="H424" s="35">
        <f t="shared" si="25"/>
        <v>2.2860764025982139E-2</v>
      </c>
      <c r="I424" s="35">
        <f>(Table143454[[#This Row],[Core CPI]]-F412)/F412</f>
        <v>7.007190517126928E-2</v>
      </c>
    </row>
    <row r="425" spans="1:9" x14ac:dyDescent="0.35">
      <c r="A425" s="33">
        <f>IF(Data!A452="",#N/A,Data!A452)</f>
        <v>31594</v>
      </c>
      <c r="B425" s="34">
        <f>VLOOKUP(A425,Data!A:AX,MATCH($B$2,Data!$B$1:$AX$1,0),FALSE)</f>
        <v>41.694600000000001</v>
      </c>
      <c r="C425" s="35">
        <f t="shared" si="26"/>
        <v>0</v>
      </c>
      <c r="D425" s="35">
        <f t="shared" si="23"/>
        <v>0</v>
      </c>
      <c r="E425" s="35">
        <f>(Table143454[[#This Row],[JPN]]-B413)/B413</f>
        <v>5.4835529336700828E-2</v>
      </c>
      <c r="F425" s="34">
        <f>VLOOKUP(Table143454[[#This Row],[Date]],'Data Core CPI'!$A:$AX,MATCH($B$2,'Data Core CPI'!$B$1:$AX$1,0),FALSE)</f>
        <v>41.594839999999998</v>
      </c>
      <c r="G425" s="35">
        <f t="shared" si="24"/>
        <v>1.9827748393075328E-3</v>
      </c>
      <c r="H425" s="35">
        <f t="shared" si="25"/>
        <v>2.4054492802963567E-2</v>
      </c>
      <c r="I425" s="35">
        <f>(Table143454[[#This Row],[Core CPI]]-F413)/F413</f>
        <v>6.8852673015651025E-2</v>
      </c>
    </row>
    <row r="426" spans="1:9" x14ac:dyDescent="0.35">
      <c r="A426" s="33">
        <f>IF(Data!A453="",#N/A,Data!A453)</f>
        <v>31625</v>
      </c>
      <c r="B426" s="34">
        <f>VLOOKUP(A426,Data!A:AX,MATCH($B$2,Data!$B$1:$AX$1,0),FALSE)</f>
        <v>41.812820000000002</v>
      </c>
      <c r="C426" s="35">
        <f t="shared" si="26"/>
        <v>2.83537916180987E-3</v>
      </c>
      <c r="D426" s="35">
        <f t="shared" si="23"/>
        <v>3.4560195658167592E-2</v>
      </c>
      <c r="E426" s="35">
        <f>(Table143454[[#This Row],[JPN]]-B414)/B414</f>
        <v>5.5721467901768337E-2</v>
      </c>
      <c r="F426" s="34">
        <f>VLOOKUP(Table143454[[#This Row],[Date]],'Data Core CPI'!$A:$AX,MATCH($B$2,'Data Core CPI'!$B$1:$AX$1,0),FALSE)</f>
        <v>41.756889999999999</v>
      </c>
      <c r="G426" s="35">
        <f t="shared" si="24"/>
        <v>3.8959159357265793E-3</v>
      </c>
      <c r="H426" s="35">
        <f t="shared" si="25"/>
        <v>4.7765873828400585E-2</v>
      </c>
      <c r="I426" s="35">
        <f>(Table143454[[#This Row],[Core CPI]]-F414)/F414</f>
        <v>6.963301887469095E-2</v>
      </c>
    </row>
    <row r="427" spans="1:9" x14ac:dyDescent="0.35">
      <c r="A427" s="33">
        <f>IF(Data!A454="",#N/A,Data!A454)</f>
        <v>31656</v>
      </c>
      <c r="B427" s="34">
        <f>VLOOKUP(A427,Data!A:AX,MATCH($B$2,Data!$B$1:$AX$1,0),FALSE)</f>
        <v>41.931049999999999</v>
      </c>
      <c r="C427" s="35">
        <f t="shared" si="26"/>
        <v>2.8276016781454416E-3</v>
      </c>
      <c r="D427" s="35">
        <f t="shared" si="23"/>
        <v>3.4463917461580396E-2</v>
      </c>
      <c r="E427" s="35">
        <f>(Table143454[[#This Row],[JPN]]-B415)/B415</f>
        <v>5.2423324108650152E-2</v>
      </c>
      <c r="F427" s="34">
        <f>VLOOKUP(Table143454[[#This Row],[Date]],'Data Core CPI'!$A:$AX,MATCH($B$2,'Data Core CPI'!$B$1:$AX$1,0),FALSE)</f>
        <v>41.855849999999997</v>
      </c>
      <c r="G427" s="35">
        <f t="shared" si="24"/>
        <v>2.3699082953734241E-3</v>
      </c>
      <c r="H427" s="35">
        <f t="shared" si="25"/>
        <v>2.8812530241860479E-2</v>
      </c>
      <c r="I427" s="35">
        <f>(Table143454[[#This Row],[Core CPI]]-F415)/F415</f>
        <v>6.4715478341473648E-2</v>
      </c>
    </row>
    <row r="428" spans="1:9" x14ac:dyDescent="0.35">
      <c r="A428" s="33">
        <f>IF(Data!A455="",#N/A,Data!A455)</f>
        <v>31686</v>
      </c>
      <c r="B428" s="34">
        <f>VLOOKUP(A428,Data!A:AX,MATCH($B$2,Data!$B$1:$AX$1,0),FALSE)</f>
        <v>42.12809</v>
      </c>
      <c r="C428" s="35">
        <f t="shared" si="26"/>
        <v>4.6991429978500143E-3</v>
      </c>
      <c r="D428" s="35">
        <f t="shared" si="23"/>
        <v>5.7870196099071292E-2</v>
      </c>
      <c r="E428" s="35">
        <f>(Table143454[[#This Row],[JPN]]-B416)/B416</f>
        <v>4.7012573419089779E-2</v>
      </c>
      <c r="F428" s="34">
        <f>VLOOKUP(Table143454[[#This Row],[Date]],'Data Core CPI'!$A:$AX,MATCH($B$2,'Data Core CPI'!$B$1:$AX$1,0),FALSE)</f>
        <v>42.1083</v>
      </c>
      <c r="G428" s="35">
        <f t="shared" si="24"/>
        <v>6.0314149634999037E-3</v>
      </c>
      <c r="H428" s="35">
        <f t="shared" si="25"/>
        <v>7.4826857110631639E-2</v>
      </c>
      <c r="I428" s="35">
        <f>(Table143454[[#This Row],[Core CPI]]-F416)/F416</f>
        <v>5.9429847238188144E-2</v>
      </c>
    </row>
    <row r="429" spans="1:9" x14ac:dyDescent="0.35">
      <c r="A429" s="33">
        <f>IF(Data!A456="",#N/A,Data!A456)</f>
        <v>31717</v>
      </c>
      <c r="B429" s="34">
        <f>VLOOKUP(A429,Data!A:AX,MATCH($B$2,Data!$B$1:$AX$1,0),FALSE)</f>
        <v>42.325139999999998</v>
      </c>
      <c r="C429" s="35">
        <f t="shared" si="26"/>
        <v>4.6774017051329775E-3</v>
      </c>
      <c r="D429" s="35">
        <f t="shared" si="23"/>
        <v>5.7595526071516412E-2</v>
      </c>
      <c r="E429" s="35">
        <f>(Table143454[[#This Row],[JPN]]-B417)/B417</f>
        <v>4.3731785615117751E-2</v>
      </c>
      <c r="F429" s="34">
        <f>VLOOKUP(Table143454[[#This Row],[Date]],'Data Core CPI'!$A:$AX,MATCH($B$2,'Data Core CPI'!$B$1:$AX$1,0),FALSE)</f>
        <v>42.354199999999999</v>
      </c>
      <c r="G429" s="35">
        <f t="shared" si="24"/>
        <v>5.8397038113626731E-3</v>
      </c>
      <c r="H429" s="35">
        <f t="shared" si="25"/>
        <v>7.237158030311841E-2</v>
      </c>
      <c r="I429" s="35">
        <f>(Table143454[[#This Row],[Core CPI]]-F417)/F417</f>
        <v>5.5788988776592725E-2</v>
      </c>
    </row>
    <row r="430" spans="1:9" x14ac:dyDescent="0.35">
      <c r="A430" s="33">
        <f>IF(Data!A457="",#N/A,Data!A457)</f>
        <v>31747</v>
      </c>
      <c r="B430" s="34">
        <f>VLOOKUP(A430,Data!A:AX,MATCH($B$2,Data!$B$1:$AX$1,0),FALSE)</f>
        <v>42.482770000000002</v>
      </c>
      <c r="C430" s="35">
        <f t="shared" si="26"/>
        <v>3.7242641134798138E-3</v>
      </c>
      <c r="D430" s="35">
        <f t="shared" si="23"/>
        <v>4.5618058947385798E-2</v>
      </c>
      <c r="E430" s="35">
        <f>(Table143454[[#This Row],[JPN]]-B418)/B418</f>
        <v>4.1545849423570938E-2</v>
      </c>
      <c r="F430" s="34">
        <f>VLOOKUP(Table143454[[#This Row],[Date]],'Data Core CPI'!$A:$AX,MATCH($B$2,'Data Core CPI'!$B$1:$AX$1,0),FALSE)</f>
        <v>42.529020000000003</v>
      </c>
      <c r="G430" s="35">
        <f t="shared" si="24"/>
        <v>4.1275717638393772E-3</v>
      </c>
      <c r="H430" s="35">
        <f t="shared" si="25"/>
        <v>5.0670908386686309E-2</v>
      </c>
      <c r="I430" s="35">
        <f>(Table143454[[#This Row],[Core CPI]]-F418)/F418</f>
        <v>5.6187331668593417E-2</v>
      </c>
    </row>
    <row r="431" spans="1:9" x14ac:dyDescent="0.35">
      <c r="A431" s="33">
        <f>IF(Data!A458="",#N/A,Data!A458)</f>
        <v>31778</v>
      </c>
      <c r="B431" s="34">
        <f>VLOOKUP(A431,Data!A:AX,MATCH($B$2,Data!$B$1:$AX$1,0),FALSE)</f>
        <v>42.719230000000003</v>
      </c>
      <c r="C431" s="35">
        <f t="shared" si="26"/>
        <v>5.5660212363741746E-3</v>
      </c>
      <c r="D431" s="35">
        <f t="shared" si="23"/>
        <v>6.8875389793127129E-2</v>
      </c>
      <c r="E431" s="35">
        <f>(Table143454[[#This Row],[JPN]]-B419)/B419</f>
        <v>4.2307924098510655E-2</v>
      </c>
      <c r="F431" s="34">
        <f>VLOOKUP(Table143454[[#This Row],[Date]],'Data Core CPI'!$A:$AX,MATCH($B$2,'Data Core CPI'!$B$1:$AX$1,0),FALSE)</f>
        <v>42.745959999999997</v>
      </c>
      <c r="G431" s="35">
        <f t="shared" si="24"/>
        <v>5.1009875139373939E-3</v>
      </c>
      <c r="H431" s="35">
        <f t="shared" si="25"/>
        <v>6.29587130900231E-2</v>
      </c>
      <c r="I431" s="35">
        <f>(Table143454[[#This Row],[Core CPI]]-F419)/F419</f>
        <v>5.5054360797533425E-2</v>
      </c>
    </row>
    <row r="432" spans="1:9" x14ac:dyDescent="0.35">
      <c r="A432" s="33">
        <f>IF(Data!A459="",#N/A,Data!A459)</f>
        <v>31809</v>
      </c>
      <c r="B432" s="34">
        <f>VLOOKUP(A432,Data!A:AX,MATCH($B$2,Data!$B$1:$AX$1,0),FALSE)</f>
        <v>42.955680000000001</v>
      </c>
      <c r="C432" s="35">
        <f t="shared" si="26"/>
        <v>5.5349780415048233E-3</v>
      </c>
      <c r="D432" s="35">
        <f t="shared" si="23"/>
        <v>6.8479485321914391E-2</v>
      </c>
      <c r="E432" s="35">
        <f>(Table143454[[#This Row],[JPN]]-B420)/B420</f>
        <v>4.4061340397497761E-2</v>
      </c>
      <c r="F432" s="34">
        <f>VLOOKUP(Table143454[[#This Row],[Date]],'Data Core CPI'!$A:$AX,MATCH($B$2,'Data Core CPI'!$B$1:$AX$1,0),FALSE)</f>
        <v>43.010629999999999</v>
      </c>
      <c r="G432" s="35">
        <f t="shared" si="24"/>
        <v>6.1916962445105472E-3</v>
      </c>
      <c r="H432" s="35">
        <f t="shared" si="25"/>
        <v>7.688356024161358E-2</v>
      </c>
      <c r="I432" s="35">
        <f>(Table143454[[#This Row],[Core CPI]]-F420)/F420</f>
        <v>5.3212016970643122E-2</v>
      </c>
    </row>
    <row r="433" spans="1:9" x14ac:dyDescent="0.35">
      <c r="A433" s="33">
        <f>IF(Data!A460="",#N/A,Data!A460)</f>
        <v>31837</v>
      </c>
      <c r="B433" s="34">
        <f>VLOOKUP(A433,Data!A:AX,MATCH($B$2,Data!$B$1:$AX$1,0),FALSE)</f>
        <v>43.073909999999998</v>
      </c>
      <c r="C433" s="35">
        <f t="shared" si="26"/>
        <v>2.7523717468795894E-3</v>
      </c>
      <c r="D433" s="35">
        <f t="shared" si="23"/>
        <v>3.3533062971668581E-2</v>
      </c>
      <c r="E433" s="35">
        <f>(Table143454[[#This Row],[JPN]]-B421)/B421</f>
        <v>4.1944686878929584E-2</v>
      </c>
      <c r="F433" s="34">
        <f>VLOOKUP(Table143454[[#This Row],[Date]],'Data Core CPI'!$A:$AX,MATCH($B$2,'Data Core CPI'!$B$1:$AX$1,0),FALSE)</f>
        <v>43.147089999999999</v>
      </c>
      <c r="G433" s="35">
        <f t="shared" si="24"/>
        <v>3.1727040501383641E-3</v>
      </c>
      <c r="H433" s="35">
        <f t="shared" si="25"/>
        <v>3.8743884430766817E-2</v>
      </c>
      <c r="I433" s="35">
        <f>(Table143454[[#This Row],[Core CPI]]-F421)/F421</f>
        <v>5.0109289311600275E-2</v>
      </c>
    </row>
    <row r="434" spans="1:9" x14ac:dyDescent="0.35">
      <c r="A434" s="33">
        <f>IF(Data!A461="",#N/A,Data!A461)</f>
        <v>31868</v>
      </c>
      <c r="B434" s="34">
        <f>VLOOKUP(A434,Data!A:AX,MATCH($B$2,Data!$B$1:$AX$1,0),FALSE)</f>
        <v>43.231540000000003</v>
      </c>
      <c r="C434" s="35">
        <f t="shared" si="26"/>
        <v>3.6595238277650211E-3</v>
      </c>
      <c r="D434" s="35">
        <f t="shared" si="23"/>
        <v>4.4809036727261553E-2</v>
      </c>
      <c r="E434" s="35">
        <f>(Table143454[[#This Row],[JPN]]-B422)/B422</f>
        <v>4.3767879893951506E-2</v>
      </c>
      <c r="F434" s="34">
        <f>VLOOKUP(Table143454[[#This Row],[Date]],'Data Core CPI'!$A:$AX,MATCH($B$2,'Data Core CPI'!$B$1:$AX$1,0),FALSE)</f>
        <v>43.320360000000001</v>
      </c>
      <c r="G434" s="35">
        <f t="shared" si="24"/>
        <v>4.0157980526613901E-3</v>
      </c>
      <c r="H434" s="35">
        <f t="shared" si="25"/>
        <v>4.9268311527971287E-2</v>
      </c>
      <c r="I434" s="35">
        <f>(Table143454[[#This Row],[Core CPI]]-F422)/F422</f>
        <v>5.0945187793028646E-2</v>
      </c>
    </row>
    <row r="435" spans="1:9" x14ac:dyDescent="0.35">
      <c r="A435" s="33">
        <f>IF(Data!A462="",#N/A,Data!A462)</f>
        <v>31898</v>
      </c>
      <c r="B435" s="34">
        <f>VLOOKUP(A435,Data!A:AX,MATCH($B$2,Data!$B$1:$AX$1,0),FALSE)</f>
        <v>43.42859</v>
      </c>
      <c r="C435" s="35">
        <f t="shared" si="26"/>
        <v>4.5580148197357229E-3</v>
      </c>
      <c r="D435" s="35">
        <f t="shared" si="23"/>
        <v>5.608840890345812E-2</v>
      </c>
      <c r="E435" s="35">
        <f>(Table143454[[#This Row],[JPN]]-B423)/B423</f>
        <v>4.3560639738099316E-2</v>
      </c>
      <c r="F435" s="34">
        <f>VLOOKUP(Table143454[[#This Row],[Date]],'Data Core CPI'!$A:$AX,MATCH($B$2,'Data Core CPI'!$B$1:$AX$1,0),FALSE)</f>
        <v>43.531730000000003</v>
      </c>
      <c r="G435" s="35">
        <f t="shared" si="24"/>
        <v>4.8792299971653907E-3</v>
      </c>
      <c r="H435" s="35">
        <f t="shared" si="25"/>
        <v>6.0147852192082851E-2</v>
      </c>
      <c r="I435" s="35">
        <f>(Table143454[[#This Row],[Core CPI]]-F423)/F423</f>
        <v>5.0617831893829388E-2</v>
      </c>
    </row>
    <row r="436" spans="1:9" x14ac:dyDescent="0.35">
      <c r="A436" s="33">
        <f>IF(Data!A463="",#N/A,Data!A463)</f>
        <v>31929</v>
      </c>
      <c r="B436" s="34">
        <f>VLOOKUP(A436,Data!A:AX,MATCH($B$2,Data!$B$1:$AX$1,0),FALSE)</f>
        <v>43.586219999999997</v>
      </c>
      <c r="C436" s="35">
        <f t="shared" si="26"/>
        <v>3.6296366057475549E-3</v>
      </c>
      <c r="D436" s="35">
        <f t="shared" si="23"/>
        <v>4.4435746879835536E-2</v>
      </c>
      <c r="E436" s="35">
        <f>(Table143454[[#This Row],[JPN]]-B424)/B424</f>
        <v>4.5368464981076592E-2</v>
      </c>
      <c r="F436" s="34">
        <f>VLOOKUP(Table143454[[#This Row],[Date]],'Data Core CPI'!$A:$AX,MATCH($B$2,'Data Core CPI'!$B$1:$AX$1,0),FALSE)</f>
        <v>43.688720000000004</v>
      </c>
      <c r="G436" s="35">
        <f t="shared" si="24"/>
        <v>3.6063349653230325E-3</v>
      </c>
      <c r="H436" s="35">
        <f t="shared" si="25"/>
        <v>4.4144795423179284E-2</v>
      </c>
      <c r="I436" s="35">
        <f>(Table143454[[#This Row],[Core CPI]]-F424)/F424</f>
        <v>5.2422485451982942E-2</v>
      </c>
    </row>
    <row r="437" spans="1:9" x14ac:dyDescent="0.35">
      <c r="A437" s="33">
        <f>IF(Data!A464="",#N/A,Data!A464)</f>
        <v>31959</v>
      </c>
      <c r="B437" s="34">
        <f>VLOOKUP(A437,Data!A:AX,MATCH($B$2,Data!$B$1:$AX$1,0),FALSE)</f>
        <v>43.665039999999998</v>
      </c>
      <c r="C437" s="35">
        <f t="shared" si="26"/>
        <v>1.808369709509039E-3</v>
      </c>
      <c r="D437" s="35">
        <f t="shared" si="23"/>
        <v>2.1917576110644266E-2</v>
      </c>
      <c r="E437" s="35">
        <f>(Table143454[[#This Row],[JPN]]-B425)/B425</f>
        <v>4.7258877648424409E-2</v>
      </c>
      <c r="F437" s="34">
        <f>VLOOKUP(Table143454[[#This Row],[Date]],'Data Core CPI'!$A:$AX,MATCH($B$2,'Data Core CPI'!$B$1:$AX$1,0),FALSE)</f>
        <v>43.79936</v>
      </c>
      <c r="G437" s="35">
        <f t="shared" si="24"/>
        <v>2.5324614683148727E-3</v>
      </c>
      <c r="H437" s="35">
        <f t="shared" si="25"/>
        <v>3.0816413044069568E-2</v>
      </c>
      <c r="I437" s="35">
        <f>(Table143454[[#This Row],[Core CPI]]-F425)/F425</f>
        <v>5.2999843249787772E-2</v>
      </c>
    </row>
    <row r="438" spans="1:9" x14ac:dyDescent="0.35">
      <c r="A438" s="33">
        <f>IF(Data!A465="",#N/A,Data!A465)</f>
        <v>31990</v>
      </c>
      <c r="B438" s="34">
        <f>VLOOKUP(A438,Data!A:AX,MATCH($B$2,Data!$B$1:$AX$1,0),FALSE)</f>
        <v>43.822670000000002</v>
      </c>
      <c r="C438" s="35">
        <f t="shared" si="26"/>
        <v>3.6099818069559308E-3</v>
      </c>
      <c r="D438" s="35">
        <f t="shared" si="23"/>
        <v>4.4190326106045452E-2</v>
      </c>
      <c r="E438" s="35">
        <f>(Table143454[[#This Row],[JPN]]-B426)/B426</f>
        <v>4.8067793561878867E-2</v>
      </c>
      <c r="F438" s="34">
        <f>VLOOKUP(Table143454[[#This Row],[Date]],'Data Core CPI'!$A:$AX,MATCH($B$2,'Data Core CPI'!$B$1:$AX$1,0),FALSE)</f>
        <v>43.977119999999999</v>
      </c>
      <c r="G438" s="35">
        <f t="shared" si="24"/>
        <v>4.0585067909668648E-3</v>
      </c>
      <c r="H438" s="35">
        <f t="shared" si="25"/>
        <v>4.9804041085245165E-2</v>
      </c>
      <c r="I438" s="35">
        <f>(Table143454[[#This Row],[Core CPI]]-F426)/F426</f>
        <v>5.3170386970868781E-2</v>
      </c>
    </row>
    <row r="439" spans="1:9" x14ac:dyDescent="0.35">
      <c r="A439" s="33">
        <f>IF(Data!A466="",#N/A,Data!A466)</f>
        <v>32021</v>
      </c>
      <c r="B439" s="34">
        <f>VLOOKUP(A439,Data!A:AX,MATCH($B$2,Data!$B$1:$AX$1,0),FALSE)</f>
        <v>44.09854</v>
      </c>
      <c r="C439" s="35">
        <f t="shared" si="26"/>
        <v>6.2951435866411831E-3</v>
      </c>
      <c r="D439" s="35">
        <f t="shared" si="23"/>
        <v>7.8212894482925011E-2</v>
      </c>
      <c r="E439" s="35">
        <f>(Table143454[[#This Row],[JPN]]-B427)/B427</f>
        <v>5.169176541011973E-2</v>
      </c>
      <c r="F439" s="34">
        <f>VLOOKUP(Table143454[[#This Row],[Date]],'Data Core CPI'!$A:$AX,MATCH($B$2,'Data Core CPI'!$B$1:$AX$1,0),FALSE)</f>
        <v>44.197360000000003</v>
      </c>
      <c r="G439" s="35">
        <f t="shared" si="24"/>
        <v>5.0080587359973006E-3</v>
      </c>
      <c r="H439" s="35">
        <f t="shared" si="25"/>
        <v>6.1779974951565286E-2</v>
      </c>
      <c r="I439" s="35">
        <f>(Table143454[[#This Row],[Core CPI]]-F427)/F427</f>
        <v>5.5942239854166305E-2</v>
      </c>
    </row>
    <row r="440" spans="1:9" x14ac:dyDescent="0.35">
      <c r="A440" s="33">
        <f>IF(Data!A467="",#N/A,Data!A467)</f>
        <v>32051</v>
      </c>
      <c r="B440" s="34">
        <f>VLOOKUP(A440,Data!A:AX,MATCH($B$2,Data!$B$1:$AX$1,0),FALSE)</f>
        <v>44.453220000000002</v>
      </c>
      <c r="C440" s="35">
        <f t="shared" si="26"/>
        <v>8.0428966582568595E-3</v>
      </c>
      <c r="D440" s="35">
        <f t="shared" si="23"/>
        <v>0.10090074017174033</v>
      </c>
      <c r="E440" s="35">
        <f>(Table143454[[#This Row],[JPN]]-B428)/B428</f>
        <v>5.5191915892697757E-2</v>
      </c>
      <c r="F440" s="34">
        <f>VLOOKUP(Table143454[[#This Row],[Date]],'Data Core CPI'!$A:$AX,MATCH($B$2,'Data Core CPI'!$B$1:$AX$1,0),FALSE)</f>
        <v>44.589579999999998</v>
      </c>
      <c r="G440" s="35">
        <f t="shared" si="24"/>
        <v>8.8742857039423306E-3</v>
      </c>
      <c r="H440" s="35">
        <f t="shared" si="25"/>
        <v>0.11184598973452187</v>
      </c>
      <c r="I440" s="35">
        <f>(Table143454[[#This Row],[Core CPI]]-F428)/F428</f>
        <v>5.8926149951434706E-2</v>
      </c>
    </row>
    <row r="441" spans="1:9" x14ac:dyDescent="0.35">
      <c r="A441" s="33">
        <f>IF(Data!A468="",#N/A,Data!A468)</f>
        <v>32082</v>
      </c>
      <c r="B441" s="34">
        <f>VLOOKUP(A441,Data!A:AX,MATCH($B$2,Data!$B$1:$AX$1,0),FALSE)</f>
        <v>44.610849999999999</v>
      </c>
      <c r="C441" s="35">
        <f t="shared" si="26"/>
        <v>3.5459748472663755E-3</v>
      </c>
      <c r="D441" s="35">
        <f t="shared" si="23"/>
        <v>4.339146586788134E-2</v>
      </c>
      <c r="E441" s="35">
        <f>(Table143454[[#This Row],[JPN]]-B429)/B429</f>
        <v>5.4003601641955626E-2</v>
      </c>
      <c r="F441" s="34">
        <f>VLOOKUP(Table143454[[#This Row],[Date]],'Data Core CPI'!$A:$AX,MATCH($B$2,'Data Core CPI'!$B$1:$AX$1,0),FALSE)</f>
        <v>44.778930000000003</v>
      </c>
      <c r="G441" s="35">
        <f t="shared" si="24"/>
        <v>4.2465078164002357E-3</v>
      </c>
      <c r="H441" s="35">
        <f t="shared" si="25"/>
        <v>5.2165269391845515E-2</v>
      </c>
      <c r="I441" s="35">
        <f>(Table143454[[#This Row],[Core CPI]]-F429)/F429</f>
        <v>5.7248867880871412E-2</v>
      </c>
    </row>
    <row r="442" spans="1:9" x14ac:dyDescent="0.35">
      <c r="A442" s="33">
        <f>IF(Data!A469="",#N/A,Data!A469)</f>
        <v>32112</v>
      </c>
      <c r="B442" s="34">
        <f>VLOOKUP(A442,Data!A:AX,MATCH($B$2,Data!$B$1:$AX$1,0),FALSE)</f>
        <v>44.68967</v>
      </c>
      <c r="C442" s="35">
        <f t="shared" si="26"/>
        <v>1.7668347498422943E-3</v>
      </c>
      <c r="D442" s="35">
        <f t="shared" si="23"/>
        <v>2.1409267785888364E-2</v>
      </c>
      <c r="E442" s="35">
        <f>(Table143454[[#This Row],[JPN]]-B430)/B430</f>
        <v>5.1948119202208265E-2</v>
      </c>
      <c r="F442" s="34">
        <f>VLOOKUP(Table143454[[#This Row],[Date]],'Data Core CPI'!$A:$AX,MATCH($B$2,'Data Core CPI'!$B$1:$AX$1,0),FALSE)</f>
        <v>44.877510000000001</v>
      </c>
      <c r="G442" s="35">
        <f t="shared" si="24"/>
        <v>2.2014818129865166E-3</v>
      </c>
      <c r="H442" s="35">
        <f t="shared" si="25"/>
        <v>2.674001118394731E-2</v>
      </c>
      <c r="I442" s="35">
        <f>(Table143454[[#This Row],[Core CPI]]-F430)/F430</f>
        <v>5.5220882117669255E-2</v>
      </c>
    </row>
    <row r="443" spans="1:9" x14ac:dyDescent="0.35">
      <c r="A443" s="33">
        <f>IF(Data!A470="",#N/A,Data!A470)</f>
        <v>32143</v>
      </c>
      <c r="B443" s="34">
        <f>VLOOKUP(A443,Data!A:AX,MATCH($B$2,Data!$B$1:$AX$1,0),FALSE)</f>
        <v>44.926119999999997</v>
      </c>
      <c r="C443" s="35">
        <f t="shared" si="26"/>
        <v>5.2909318864962085E-3</v>
      </c>
      <c r="D443" s="35">
        <f t="shared" ref="D443:D506" si="27">((1+C443)^12)-1</f>
        <v>6.5371760339896223E-2</v>
      </c>
      <c r="E443" s="35">
        <f>(Table143454[[#This Row],[JPN]]-B431)/B431</f>
        <v>5.166034125615078E-2</v>
      </c>
      <c r="F443" s="34">
        <f>VLOOKUP(Table143454[[#This Row],[Date]],'Data Core CPI'!$A:$AX,MATCH($B$2,'Data Core CPI'!$B$1:$AX$1,0),FALSE)</f>
        <v>45.17624</v>
      </c>
      <c r="G443" s="35">
        <f t="shared" si="24"/>
        <v>6.6565636105924142E-3</v>
      </c>
      <c r="H443" s="35">
        <f t="shared" si="25"/>
        <v>8.2869084281391059E-2</v>
      </c>
      <c r="I443" s="35">
        <f>(Table143454[[#This Row],[Core CPI]]-F431)/F431</f>
        <v>5.6854027842631293E-2</v>
      </c>
    </row>
    <row r="444" spans="1:9" x14ac:dyDescent="0.35">
      <c r="A444" s="33">
        <f>IF(Data!A471="",#N/A,Data!A471)</f>
        <v>32174</v>
      </c>
      <c r="B444" s="34">
        <f>VLOOKUP(A444,Data!A:AX,MATCH($B$2,Data!$B$1:$AX$1,0),FALSE)</f>
        <v>45.123170000000002</v>
      </c>
      <c r="C444" s="35">
        <f t="shared" si="26"/>
        <v>4.3860898737750897E-3</v>
      </c>
      <c r="D444" s="35">
        <f t="shared" si="27"/>
        <v>5.392152004565065E-2</v>
      </c>
      <c r="E444" s="35">
        <f>(Table143454[[#This Row],[JPN]]-B432)/B432</f>
        <v>5.0458751904288342E-2</v>
      </c>
      <c r="F444" s="34">
        <f>VLOOKUP(Table143454[[#This Row],[Date]],'Data Core CPI'!$A:$AX,MATCH($B$2,'Data Core CPI'!$B$1:$AX$1,0),FALSE)</f>
        <v>45.392389999999999</v>
      </c>
      <c r="G444" s="35">
        <f t="shared" si="24"/>
        <v>4.784594733868941E-3</v>
      </c>
      <c r="H444" s="35">
        <f t="shared" si="25"/>
        <v>5.895038983194123E-2</v>
      </c>
      <c r="I444" s="35">
        <f>(Table143454[[#This Row],[Core CPI]]-F432)/F432</f>
        <v>5.5376077960262379E-2</v>
      </c>
    </row>
    <row r="445" spans="1:9" x14ac:dyDescent="0.35">
      <c r="A445" s="33">
        <f>IF(Data!A472="",#N/A,Data!A472)</f>
        <v>32203</v>
      </c>
      <c r="B445" s="34">
        <f>VLOOKUP(A445,Data!A:AX,MATCH($B$2,Data!$B$1:$AX$1,0),FALSE)</f>
        <v>45.320210000000003</v>
      </c>
      <c r="C445" s="35">
        <f t="shared" si="26"/>
        <v>4.3667144839336647E-3</v>
      </c>
      <c r="D445" s="35">
        <f t="shared" si="27"/>
        <v>5.3677574326815414E-2</v>
      </c>
      <c r="E445" s="35">
        <f>(Table143454[[#This Row],[JPN]]-B433)/B433</f>
        <v>5.214989769909454E-2</v>
      </c>
      <c r="F445" s="34">
        <f>VLOOKUP(Table143454[[#This Row],[Date]],'Data Core CPI'!$A:$AX,MATCH($B$2,'Data Core CPI'!$B$1:$AX$1,0),FALSE)</f>
        <v>45.644620000000003</v>
      </c>
      <c r="G445" s="35">
        <f t="shared" si="24"/>
        <v>5.5566582856731994E-3</v>
      </c>
      <c r="H445" s="35">
        <f t="shared" si="25"/>
        <v>6.8755966723469619E-2</v>
      </c>
      <c r="I445" s="35">
        <f>(Table143454[[#This Row],[Core CPI]]-F433)/F433</f>
        <v>5.7884089054441555E-2</v>
      </c>
    </row>
    <row r="446" spans="1:9" x14ac:dyDescent="0.35">
      <c r="A446" s="33">
        <f>IF(Data!A473="",#N/A,Data!A473)</f>
        <v>32234</v>
      </c>
      <c r="B446" s="34">
        <f>VLOOKUP(A446,Data!A:AX,MATCH($B$2,Data!$B$1:$AX$1,0),FALSE)</f>
        <v>45.43844</v>
      </c>
      <c r="C446" s="35">
        <f t="shared" si="26"/>
        <v>2.6087699064059056E-3</v>
      </c>
      <c r="D446" s="35">
        <f t="shared" si="27"/>
        <v>3.175834278788181E-2</v>
      </c>
      <c r="E446" s="35">
        <f>(Table143454[[#This Row],[JPN]]-B434)/B434</f>
        <v>5.1048378105429448E-2</v>
      </c>
      <c r="F446" s="34">
        <f>VLOOKUP(Table143454[[#This Row],[Date]],'Data Core CPI'!$A:$AX,MATCH($B$2,'Data Core CPI'!$B$1:$AX$1,0),FALSE)</f>
        <v>45.75853</v>
      </c>
      <c r="G446" s="35">
        <f t="shared" si="24"/>
        <v>2.495584364597514E-3</v>
      </c>
      <c r="H446" s="35">
        <f t="shared" si="25"/>
        <v>3.0361495096578484E-2</v>
      </c>
      <c r="I446" s="35">
        <f>(Table143454[[#This Row],[Core CPI]]-F434)/F434</f>
        <v>5.6282311596671852E-2</v>
      </c>
    </row>
    <row r="447" spans="1:9" x14ac:dyDescent="0.35">
      <c r="A447" s="33">
        <f>IF(Data!A474="",#N/A,Data!A474)</f>
        <v>32264</v>
      </c>
      <c r="B447" s="34">
        <f>VLOOKUP(A447,Data!A:AX,MATCH($B$2,Data!$B$1:$AX$1,0),FALSE)</f>
        <v>45.596069999999997</v>
      </c>
      <c r="C447" s="35">
        <f t="shared" si="26"/>
        <v>3.4690891676738556E-3</v>
      </c>
      <c r="D447" s="35">
        <f t="shared" si="27"/>
        <v>4.2432609146722644E-2</v>
      </c>
      <c r="E447" s="35">
        <f>(Table143454[[#This Row],[JPN]]-B435)/B435</f>
        <v>4.9909057604679258E-2</v>
      </c>
      <c r="F447" s="34">
        <f>VLOOKUP(Table143454[[#This Row],[Date]],'Data Core CPI'!$A:$AX,MATCH($B$2,'Data Core CPI'!$B$1:$AX$1,0),FALSE)</f>
        <v>45.945329999999998</v>
      </c>
      <c r="G447" s="35">
        <f t="shared" si="24"/>
        <v>4.0822989724538239E-3</v>
      </c>
      <c r="H447" s="35">
        <f t="shared" si="25"/>
        <v>5.010259401115702E-2</v>
      </c>
      <c r="I447" s="35">
        <f>(Table143454[[#This Row],[Core CPI]]-F435)/F435</f>
        <v>5.5444614767205323E-2</v>
      </c>
    </row>
    <row r="448" spans="1:9" x14ac:dyDescent="0.35">
      <c r="A448" s="33">
        <f>IF(Data!A475="",#N/A,Data!A475)</f>
        <v>32295</v>
      </c>
      <c r="B448" s="34">
        <f>VLOOKUP(A448,Data!A:AX,MATCH($B$2,Data!$B$1:$AX$1,0),FALSE)</f>
        <v>45.753709999999998</v>
      </c>
      <c r="C448" s="35">
        <f t="shared" si="26"/>
        <v>3.4573155098673869E-3</v>
      </c>
      <c r="D448" s="35">
        <f t="shared" si="27"/>
        <v>4.228584883712827E-2</v>
      </c>
      <c r="E448" s="35">
        <f>(Table143454[[#This Row],[JPN]]-B436)/B436</f>
        <v>4.9728790429635808E-2</v>
      </c>
      <c r="F448" s="34">
        <f>VLOOKUP(Table143454[[#This Row],[Date]],'Data Core CPI'!$A:$AX,MATCH($B$2,'Data Core CPI'!$B$1:$AX$1,0),FALSE)</f>
        <v>46.083080000000002</v>
      </c>
      <c r="G448" s="35">
        <f t="shared" si="24"/>
        <v>2.9981284278512987E-3</v>
      </c>
      <c r="H448" s="35">
        <f t="shared" si="25"/>
        <v>3.6576769300193046E-2</v>
      </c>
      <c r="I448" s="35">
        <f>(Table143454[[#This Row],[Core CPI]]-F436)/F436</f>
        <v>5.480499314239462E-2</v>
      </c>
    </row>
    <row r="449" spans="1:9" x14ac:dyDescent="0.35">
      <c r="A449" s="33">
        <f>IF(Data!A476="",#N/A,Data!A476)</f>
        <v>32325</v>
      </c>
      <c r="B449" s="34">
        <f>VLOOKUP(A449,Data!A:AX,MATCH($B$2,Data!$B$1:$AX$1,0),FALSE)</f>
        <v>45.832529999999998</v>
      </c>
      <c r="C449" s="35">
        <f t="shared" si="26"/>
        <v>1.7227018311738451E-3</v>
      </c>
      <c r="D449" s="35">
        <f t="shared" si="27"/>
        <v>2.0869419393555022E-2</v>
      </c>
      <c r="E449" s="35">
        <f>(Table143454[[#This Row],[JPN]]-B437)/B437</f>
        <v>4.9639024720920924E-2</v>
      </c>
      <c r="F449" s="34">
        <f>VLOOKUP(Table143454[[#This Row],[Date]],'Data Core CPI'!$A:$AX,MATCH($B$2,'Data Core CPI'!$B$1:$AX$1,0),FALSE)</f>
        <v>46.178080000000001</v>
      </c>
      <c r="G449" s="35">
        <f t="shared" si="24"/>
        <v>2.0614941536025722E-3</v>
      </c>
      <c r="H449" s="35">
        <f t="shared" si="25"/>
        <v>2.5020350237647593E-2</v>
      </c>
      <c r="I449" s="35">
        <f>(Table143454[[#This Row],[Core CPI]]-F437)/F437</f>
        <v>5.4309469362109432E-2</v>
      </c>
    </row>
    <row r="450" spans="1:9" x14ac:dyDescent="0.35">
      <c r="A450" s="33">
        <f>IF(Data!A477="",#N/A,Data!A477)</f>
        <v>32356</v>
      </c>
      <c r="B450" s="34">
        <f>VLOOKUP(A450,Data!A:AX,MATCH($B$2,Data!$B$1:$AX$1,0),FALSE)</f>
        <v>46.02957</v>
      </c>
      <c r="C450" s="35">
        <f t="shared" si="26"/>
        <v>4.2991298974768277E-3</v>
      </c>
      <c r="D450" s="35">
        <f t="shared" si="27"/>
        <v>5.2827056136136807E-2</v>
      </c>
      <c r="E450" s="35">
        <f>(Table143454[[#This Row],[JPN]]-B438)/B438</f>
        <v>5.0359779538763777E-2</v>
      </c>
      <c r="F450" s="34">
        <f>VLOOKUP(Table143454[[#This Row],[Date]],'Data Core CPI'!$A:$AX,MATCH($B$2,'Data Core CPI'!$B$1:$AX$1,0),FALSE)</f>
        <v>46.348700000000001</v>
      </c>
      <c r="G450" s="35">
        <f t="shared" si="24"/>
        <v>3.6948266363607818E-3</v>
      </c>
      <c r="H450" s="35">
        <f t="shared" si="25"/>
        <v>4.525012451478605E-2</v>
      </c>
      <c r="I450" s="35">
        <f>(Table143454[[#This Row],[Core CPI]]-F438)/F438</f>
        <v>5.3927587800201598E-2</v>
      </c>
    </row>
    <row r="451" spans="1:9" x14ac:dyDescent="0.35">
      <c r="A451" s="33">
        <f>IF(Data!A478="",#N/A,Data!A478)</f>
        <v>32387</v>
      </c>
      <c r="B451" s="34">
        <f>VLOOKUP(A451,Data!A:AX,MATCH($B$2,Data!$B$1:$AX$1,0),FALSE)</f>
        <v>46.266030000000001</v>
      </c>
      <c r="C451" s="35">
        <f t="shared" si="26"/>
        <v>5.1371324998257251E-3</v>
      </c>
      <c r="D451" s="35">
        <f t="shared" si="27"/>
        <v>6.3417511498120582E-2</v>
      </c>
      <c r="E451" s="35">
        <f>(Table143454[[#This Row],[JPN]]-B439)/B439</f>
        <v>4.9151060329888488E-2</v>
      </c>
      <c r="F451" s="34">
        <f>VLOOKUP(Table143454[[#This Row],[Date]],'Data Core CPI'!$A:$AX,MATCH($B$2,'Data Core CPI'!$B$1:$AX$1,0),FALSE)</f>
        <v>46.538110000000003</v>
      </c>
      <c r="G451" s="35">
        <f t="shared" ref="G451:G514" si="28">(F451/F450)-1</f>
        <v>4.0866302614743777E-3</v>
      </c>
      <c r="H451" s="35">
        <f t="shared" ref="H451:H514" si="29">((1+G451)^12)-1</f>
        <v>5.0156952970595858E-2</v>
      </c>
      <c r="I451" s="35">
        <f>(Table143454[[#This Row],[Core CPI]]-F439)/F439</f>
        <v>5.2961308096230175E-2</v>
      </c>
    </row>
    <row r="452" spans="1:9" x14ac:dyDescent="0.35">
      <c r="A452" s="33">
        <f>IF(Data!A479="",#N/A,Data!A479)</f>
        <v>32417</v>
      </c>
      <c r="B452" s="34">
        <f>VLOOKUP(A452,Data!A:AX,MATCH($B$2,Data!$B$1:$AX$1,0),FALSE)</f>
        <v>46.581299999999999</v>
      </c>
      <c r="C452" s="35">
        <f t="shared" ref="C452:C515" si="30">(B452/B451)-1</f>
        <v>6.8142868536591461E-3</v>
      </c>
      <c r="D452" s="35">
        <f t="shared" si="27"/>
        <v>8.4906810594421289E-2</v>
      </c>
      <c r="E452" s="35">
        <f>(Table143454[[#This Row],[JPN]]-B440)/B440</f>
        <v>4.787234760496533E-2</v>
      </c>
      <c r="F452" s="34">
        <f>VLOOKUP(Table143454[[#This Row],[Date]],'Data Core CPI'!$A:$AX,MATCH($B$2,'Data Core CPI'!$B$1:$AX$1,0),FALSE)</f>
        <v>46.907020000000003</v>
      </c>
      <c r="G452" s="35">
        <f t="shared" si="28"/>
        <v>7.927051614257552E-3</v>
      </c>
      <c r="H452" s="35">
        <f t="shared" si="29"/>
        <v>9.9383503359148362E-2</v>
      </c>
      <c r="I452" s="35">
        <f>(Table143454[[#This Row],[Core CPI]]-F440)/F440</f>
        <v>5.1972680612824902E-2</v>
      </c>
    </row>
    <row r="453" spans="1:9" x14ac:dyDescent="0.35">
      <c r="A453" s="33">
        <f>IF(Data!A480="",#N/A,Data!A480)</f>
        <v>32448</v>
      </c>
      <c r="B453" s="34">
        <f>VLOOKUP(A453,Data!A:AX,MATCH($B$2,Data!$B$1:$AX$1,0),FALSE)</f>
        <v>46.896569999999997</v>
      </c>
      <c r="C453" s="35">
        <f t="shared" si="30"/>
        <v>6.7681666248042838E-3</v>
      </c>
      <c r="D453" s="35">
        <f t="shared" si="27"/>
        <v>8.4310590854925316E-2</v>
      </c>
      <c r="E453" s="35">
        <f>(Table143454[[#This Row],[JPN]]-B441)/B441</f>
        <v>5.1236862781139515E-2</v>
      </c>
      <c r="F453" s="34">
        <f>VLOOKUP(Table143454[[#This Row],[Date]],'Data Core CPI'!$A:$AX,MATCH($B$2,'Data Core CPI'!$B$1:$AX$1,0),FALSE)</f>
        <v>47.309919999999998</v>
      </c>
      <c r="G453" s="35">
        <f t="shared" si="28"/>
        <v>8.5893326841055551E-3</v>
      </c>
      <c r="H453" s="35">
        <f t="shared" si="29"/>
        <v>0.1080833941201953</v>
      </c>
      <c r="I453" s="35">
        <f>(Table143454[[#This Row],[Core CPI]]-F441)/F441</f>
        <v>5.6521895453955591E-2</v>
      </c>
    </row>
    <row r="454" spans="1:9" x14ac:dyDescent="0.35">
      <c r="A454" s="33">
        <f>IF(Data!A481="",#N/A,Data!A481)</f>
        <v>32478</v>
      </c>
      <c r="B454" s="34">
        <f>VLOOKUP(A454,Data!A:AX,MATCH($B$2,Data!$B$1:$AX$1,0),FALSE)</f>
        <v>47.093609999999998</v>
      </c>
      <c r="C454" s="35">
        <f t="shared" si="30"/>
        <v>4.2015865979110334E-3</v>
      </c>
      <c r="D454" s="35">
        <f t="shared" si="27"/>
        <v>5.1600632093702803E-2</v>
      </c>
      <c r="E454" s="35">
        <f>(Table143454[[#This Row],[JPN]]-B442)/B442</f>
        <v>5.3791849436346219E-2</v>
      </c>
      <c r="F454" s="34">
        <f>VLOOKUP(Table143454[[#This Row],[Date]],'Data Core CPI'!$A:$AX,MATCH($B$2,'Data Core CPI'!$B$1:$AX$1,0),FALSE)</f>
        <v>47.480899999999998</v>
      </c>
      <c r="G454" s="35">
        <f t="shared" si="28"/>
        <v>3.6140411989704635E-3</v>
      </c>
      <c r="H454" s="35">
        <f t="shared" si="29"/>
        <v>4.4241009605574311E-2</v>
      </c>
      <c r="I454" s="35">
        <f>(Table143454[[#This Row],[Core CPI]]-F442)/F442</f>
        <v>5.8011017099656316E-2</v>
      </c>
    </row>
    <row r="455" spans="1:9" x14ac:dyDescent="0.35">
      <c r="A455" s="33">
        <f>IF(Data!A482="",#N/A,Data!A482)</f>
        <v>32509</v>
      </c>
      <c r="B455" s="34">
        <f>VLOOKUP(A455,Data!A:AX,MATCH($B$2,Data!$B$1:$AX$1,0),FALSE)</f>
        <v>47.408880000000003</v>
      </c>
      <c r="C455" s="35">
        <f t="shared" si="30"/>
        <v>6.6945388132275685E-3</v>
      </c>
      <c r="D455" s="35">
        <f t="shared" si="27"/>
        <v>8.3359389010059903E-2</v>
      </c>
      <c r="E455" s="35">
        <f>(Table143454[[#This Row],[JPN]]-B443)/B443</f>
        <v>5.5263174295933103E-2</v>
      </c>
      <c r="F455" s="34">
        <f>VLOOKUP(Table143454[[#This Row],[Date]],'Data Core CPI'!$A:$AX,MATCH($B$2,'Data Core CPI'!$B$1:$AX$1,0),FALSE)</f>
        <v>47.792450000000002</v>
      </c>
      <c r="G455" s="35">
        <f t="shared" si="28"/>
        <v>6.5615858166125918E-3</v>
      </c>
      <c r="H455" s="35">
        <f t="shared" si="29"/>
        <v>8.1643699178663764E-2</v>
      </c>
      <c r="I455" s="35">
        <f>(Table143454[[#This Row],[Core CPI]]-F443)/F443</f>
        <v>5.7911194025886223E-2</v>
      </c>
    </row>
    <row r="456" spans="1:9" x14ac:dyDescent="0.35">
      <c r="A456" s="33">
        <f>IF(Data!A483="",#N/A,Data!A483)</f>
        <v>32540</v>
      </c>
      <c r="B456" s="34">
        <f>VLOOKUP(A456,Data!A:AX,MATCH($B$2,Data!$B$1:$AX$1,0),FALSE)</f>
        <v>47.802970000000002</v>
      </c>
      <c r="C456" s="35">
        <f t="shared" si="30"/>
        <v>8.3125777280543822E-3</v>
      </c>
      <c r="D456" s="35">
        <f t="shared" si="27"/>
        <v>0.1044402244206537</v>
      </c>
      <c r="E456" s="35">
        <f>(Table143454[[#This Row],[JPN]]-B444)/B444</f>
        <v>5.9388558029056911E-2</v>
      </c>
      <c r="F456" s="34">
        <f>VLOOKUP(Table143454[[#This Row],[Date]],'Data Core CPI'!$A:$AX,MATCH($B$2,'Data Core CPI'!$B$1:$AX$1,0),FALSE)</f>
        <v>48.226950000000002</v>
      </c>
      <c r="G456" s="35">
        <f t="shared" si="28"/>
        <v>9.0913941427988032E-3</v>
      </c>
      <c r="H456" s="35">
        <f t="shared" si="29"/>
        <v>0.11472060431505815</v>
      </c>
      <c r="I456" s="35">
        <f>(Table143454[[#This Row],[Core CPI]]-F444)/F444</f>
        <v>6.2445709512101114E-2</v>
      </c>
    </row>
    <row r="457" spans="1:9" x14ac:dyDescent="0.35">
      <c r="A457" s="33">
        <f>IF(Data!A484="",#N/A,Data!A484)</f>
        <v>32568</v>
      </c>
      <c r="B457" s="34">
        <f>VLOOKUP(A457,Data!A:AX,MATCH($B$2,Data!$B$1:$AX$1,0),FALSE)</f>
        <v>48.078830000000004</v>
      </c>
      <c r="C457" s="35">
        <f t="shared" si="30"/>
        <v>5.7707711466463696E-3</v>
      </c>
      <c r="D457" s="35">
        <f t="shared" si="27"/>
        <v>7.1490005552157898E-2</v>
      </c>
      <c r="E457" s="35">
        <f>(Table143454[[#This Row],[JPN]]-B445)/B445</f>
        <v>6.0869532599253186E-2</v>
      </c>
      <c r="F457" s="34">
        <f>VLOOKUP(Table143454[[#This Row],[Date]],'Data Core CPI'!$A:$AX,MATCH($B$2,'Data Core CPI'!$B$1:$AX$1,0),FALSE)</f>
        <v>48.506160000000001</v>
      </c>
      <c r="G457" s="35">
        <f t="shared" si="28"/>
        <v>5.7895015131581573E-3</v>
      </c>
      <c r="H457" s="35">
        <f t="shared" si="29"/>
        <v>7.1729481069025214E-2</v>
      </c>
      <c r="I457" s="35">
        <f>(Table143454[[#This Row],[Core CPI]]-F445)/F445</f>
        <v>6.2691725771843385E-2</v>
      </c>
    </row>
    <row r="458" spans="1:9" x14ac:dyDescent="0.35">
      <c r="A458" s="33">
        <f>IF(Data!A485="",#N/A,Data!A485)</f>
        <v>32599</v>
      </c>
      <c r="B458" s="34">
        <f>VLOOKUP(A458,Data!A:AX,MATCH($B$2,Data!$B$1:$AX$1,0),FALSE)</f>
        <v>48.315280000000001</v>
      </c>
      <c r="C458" s="35">
        <f t="shared" si="30"/>
        <v>4.917964933838892E-3</v>
      </c>
      <c r="D458" s="35">
        <f t="shared" si="27"/>
        <v>6.0638340591378848E-2</v>
      </c>
      <c r="E458" s="35">
        <f>(Table143454[[#This Row],[JPN]]-B446)/B446</f>
        <v>6.33129130313453E-2</v>
      </c>
      <c r="F458" s="34">
        <f>VLOOKUP(Table143454[[#This Row],[Date]],'Data Core CPI'!$A:$AX,MATCH($B$2,'Data Core CPI'!$B$1:$AX$1,0),FALSE)</f>
        <v>48.752000000000002</v>
      </c>
      <c r="G458" s="35">
        <f t="shared" si="28"/>
        <v>5.0682222629043761E-3</v>
      </c>
      <c r="H458" s="35">
        <f t="shared" si="29"/>
        <v>6.254297139996412E-2</v>
      </c>
      <c r="I458" s="35">
        <f>(Table143454[[#This Row],[Core CPI]]-F446)/F446</f>
        <v>6.5418841033573455E-2</v>
      </c>
    </row>
    <row r="459" spans="1:9" x14ac:dyDescent="0.35">
      <c r="A459" s="33">
        <f>IF(Data!A486="",#N/A,Data!A486)</f>
        <v>32629</v>
      </c>
      <c r="B459" s="34">
        <f>VLOOKUP(A459,Data!A:AX,MATCH($B$2,Data!$B$1:$AX$1,0),FALSE)</f>
        <v>48.551740000000002</v>
      </c>
      <c r="C459" s="35">
        <f t="shared" si="30"/>
        <v>4.8941038942544868E-3</v>
      </c>
      <c r="D459" s="35">
        <f t="shared" si="27"/>
        <v>6.033617110662326E-2</v>
      </c>
      <c r="E459" s="35">
        <f>(Table143454[[#This Row],[JPN]]-B447)/B447</f>
        <v>6.4822911272835682E-2</v>
      </c>
      <c r="F459" s="34">
        <f>VLOOKUP(Table143454[[#This Row],[Date]],'Data Core CPI'!$A:$AX,MATCH($B$2,'Data Core CPI'!$B$1:$AX$1,0),FALSE)</f>
        <v>49.010759999999998</v>
      </c>
      <c r="G459" s="35">
        <f t="shared" si="28"/>
        <v>5.3076796849358399E-3</v>
      </c>
      <c r="H459" s="35">
        <f t="shared" si="29"/>
        <v>6.558476454693607E-2</v>
      </c>
      <c r="I459" s="35">
        <f>(Table143454[[#This Row],[Core CPI]]-F447)/F447</f>
        <v>6.6719076781035183E-2</v>
      </c>
    </row>
    <row r="460" spans="1:9" x14ac:dyDescent="0.35">
      <c r="A460" s="33">
        <f>IF(Data!A487="",#N/A,Data!A487)</f>
        <v>32660</v>
      </c>
      <c r="B460" s="34">
        <f>VLOOKUP(A460,Data!A:AX,MATCH($B$2,Data!$B$1:$AX$1,0),FALSE)</f>
        <v>48.748779999999996</v>
      </c>
      <c r="C460" s="35">
        <f t="shared" si="30"/>
        <v>4.0583509468454793E-3</v>
      </c>
      <c r="D460" s="35">
        <f t="shared" si="27"/>
        <v>4.9802085753188452E-2</v>
      </c>
      <c r="E460" s="35">
        <f>(Table143454[[#This Row],[JPN]]-B448)/B448</f>
        <v>6.5460702531007831E-2</v>
      </c>
      <c r="F460" s="34">
        <f>VLOOKUP(Table143454[[#This Row],[Date]],'Data Core CPI'!$A:$AX,MATCH($B$2,'Data Core CPI'!$B$1:$AX$1,0),FALSE)</f>
        <v>49.169049999999999</v>
      </c>
      <c r="G460" s="35">
        <f t="shared" si="28"/>
        <v>3.2296989477413884E-3</v>
      </c>
      <c r="H460" s="35">
        <f t="shared" si="29"/>
        <v>3.94522961059669E-2</v>
      </c>
      <c r="I460" s="35">
        <f>(Table143454[[#This Row],[Core CPI]]-F448)/F448</f>
        <v>6.6965359086241544E-2</v>
      </c>
    </row>
    <row r="461" spans="1:9" x14ac:dyDescent="0.35">
      <c r="A461" s="33">
        <f>IF(Data!A488="",#N/A,Data!A488)</f>
        <v>32690</v>
      </c>
      <c r="B461" s="34">
        <f>VLOOKUP(A461,Data!A:AX,MATCH($B$2,Data!$B$1:$AX$1,0),FALSE)</f>
        <v>48.827599999999997</v>
      </c>
      <c r="C461" s="35">
        <f t="shared" si="30"/>
        <v>1.6168609758029362E-3</v>
      </c>
      <c r="D461" s="35">
        <f t="shared" si="27"/>
        <v>1.9575804812323794E-2</v>
      </c>
      <c r="E461" s="35">
        <f>(Table143454[[#This Row],[JPN]]-B449)/B449</f>
        <v>6.5348127192629307E-2</v>
      </c>
      <c r="F461" s="34">
        <f>VLOOKUP(Table143454[[#This Row],[Date]],'Data Core CPI'!$A:$AX,MATCH($B$2,'Data Core CPI'!$B$1:$AX$1,0),FALSE)</f>
        <v>49.262900000000002</v>
      </c>
      <c r="G461" s="35">
        <f t="shared" si="28"/>
        <v>1.9087210348787131E-3</v>
      </c>
      <c r="H461" s="35">
        <f t="shared" si="29"/>
        <v>2.3146641118331868E-2</v>
      </c>
      <c r="I461" s="35">
        <f>(Table143454[[#This Row],[Core CPI]]-F449)/F449</f>
        <v>6.6802690800483705E-2</v>
      </c>
    </row>
    <row r="462" spans="1:9" x14ac:dyDescent="0.35">
      <c r="A462" s="33">
        <f>IF(Data!A489="",#N/A,Data!A489)</f>
        <v>32721</v>
      </c>
      <c r="B462" s="34">
        <f>VLOOKUP(A462,Data!A:AX,MATCH($B$2,Data!$B$1:$AX$1,0),FALSE)</f>
        <v>48.945830000000001</v>
      </c>
      <c r="C462" s="35">
        <f t="shared" si="30"/>
        <v>2.4213764346394662E-3</v>
      </c>
      <c r="D462" s="35">
        <f t="shared" si="27"/>
        <v>2.9446619781601902E-2</v>
      </c>
      <c r="E462" s="35">
        <f>(Table143454[[#This Row],[JPN]]-B450)/B450</f>
        <v>6.3356229484655219E-2</v>
      </c>
      <c r="F462" s="34">
        <f>VLOOKUP(Table143454[[#This Row],[Date]],'Data Core CPI'!$A:$AX,MATCH($B$2,'Data Core CPI'!$B$1:$AX$1,0),FALSE)</f>
        <v>49.409790000000001</v>
      </c>
      <c r="G462" s="35">
        <f t="shared" si="28"/>
        <v>2.981757062617163E-3</v>
      </c>
      <c r="H462" s="35">
        <f t="shared" si="29"/>
        <v>3.6373754123805169E-2</v>
      </c>
      <c r="I462" s="35">
        <f>(Table143454[[#This Row],[Core CPI]]-F450)/F450</f>
        <v>6.6044786585168519E-2</v>
      </c>
    </row>
    <row r="463" spans="1:9" x14ac:dyDescent="0.35">
      <c r="A463" s="33">
        <f>IF(Data!A490="",#N/A,Data!A490)</f>
        <v>32752</v>
      </c>
      <c r="B463" s="34">
        <f>VLOOKUP(A463,Data!A:AX,MATCH($B$2,Data!$B$1:$AX$1,0),FALSE)</f>
        <v>49.182279999999999</v>
      </c>
      <c r="C463" s="35">
        <f t="shared" si="30"/>
        <v>4.830850758889893E-3</v>
      </c>
      <c r="D463" s="35">
        <f t="shared" si="27"/>
        <v>5.9535533037919919E-2</v>
      </c>
      <c r="E463" s="35">
        <f>(Table143454[[#This Row],[JPN]]-B451)/B451</f>
        <v>6.3032207431672829E-2</v>
      </c>
      <c r="F463" s="34">
        <f>VLOOKUP(Table143454[[#This Row],[Date]],'Data Core CPI'!$A:$AX,MATCH($B$2,'Data Core CPI'!$B$1:$AX$1,0),FALSE)</f>
        <v>49.604419999999998</v>
      </c>
      <c r="G463" s="35">
        <f t="shared" si="28"/>
        <v>3.9390978994242598E-3</v>
      </c>
      <c r="H463" s="35">
        <f t="shared" si="29"/>
        <v>4.8306829829930953E-2</v>
      </c>
      <c r="I463" s="35">
        <f>(Table143454[[#This Row],[Core CPI]]-F451)/F451</f>
        <v>6.5888150593137407E-2</v>
      </c>
    </row>
    <row r="464" spans="1:9" x14ac:dyDescent="0.35">
      <c r="A464" s="33">
        <f>IF(Data!A491="",#N/A,Data!A491)</f>
        <v>32782</v>
      </c>
      <c r="B464" s="34">
        <f>VLOOKUP(A464,Data!A:AX,MATCH($B$2,Data!$B$1:$AX$1,0),FALSE)</f>
        <v>49.576369999999997</v>
      </c>
      <c r="C464" s="35">
        <f t="shared" si="30"/>
        <v>8.0128452767946889E-3</v>
      </c>
      <c r="D464" s="35">
        <f t="shared" si="27"/>
        <v>0.10050696926102565</v>
      </c>
      <c r="E464" s="35">
        <f>(Table143454[[#This Row],[JPN]]-B452)/B452</f>
        <v>6.4297690274852756E-2</v>
      </c>
      <c r="F464" s="34">
        <f>VLOOKUP(Table143454[[#This Row],[Date]],'Data Core CPI'!$A:$AX,MATCH($B$2,'Data Core CPI'!$B$1:$AX$1,0),FALSE)</f>
        <v>49.925820000000002</v>
      </c>
      <c r="G464" s="35">
        <f t="shared" si="28"/>
        <v>6.4792613238902064E-3</v>
      </c>
      <c r="H464" s="35">
        <f t="shared" si="29"/>
        <v>8.0582593029411731E-2</v>
      </c>
      <c r="I464" s="35">
        <f>(Table143454[[#This Row],[Core CPI]]-F452)/F452</f>
        <v>6.4357104757454181E-2</v>
      </c>
    </row>
    <row r="465" spans="1:9" x14ac:dyDescent="0.35">
      <c r="A465" s="33">
        <f>IF(Data!A492="",#N/A,Data!A492)</f>
        <v>32813</v>
      </c>
      <c r="B465" s="34">
        <f>VLOOKUP(A465,Data!A:AX,MATCH($B$2,Data!$B$1:$AX$1,0),FALSE)</f>
        <v>49.852229999999999</v>
      </c>
      <c r="C465" s="35">
        <f t="shared" si="30"/>
        <v>5.5643444649133844E-3</v>
      </c>
      <c r="D465" s="35">
        <f t="shared" si="27"/>
        <v>6.8854001918749574E-2</v>
      </c>
      <c r="E465" s="35">
        <f>(Table143454[[#This Row],[JPN]]-B453)/B453</f>
        <v>6.3025078379932736E-2</v>
      </c>
      <c r="F465" s="34">
        <f>VLOOKUP(Table143454[[#This Row],[Date]],'Data Core CPI'!$A:$AX,MATCH($B$2,'Data Core CPI'!$B$1:$AX$1,0),FALSE)</f>
        <v>50.199269999999999</v>
      </c>
      <c r="G465" s="35">
        <f t="shared" si="28"/>
        <v>5.4771258639316756E-3</v>
      </c>
      <c r="H465" s="35">
        <f t="shared" si="29"/>
        <v>6.7742035388301591E-2</v>
      </c>
      <c r="I465" s="35">
        <f>(Table143454[[#This Row],[Core CPI]]-F453)/F453</f>
        <v>6.1072815172800977E-2</v>
      </c>
    </row>
    <row r="466" spans="1:9" x14ac:dyDescent="0.35">
      <c r="A466" s="33">
        <f>IF(Data!A493="",#N/A,Data!A493)</f>
        <v>32843</v>
      </c>
      <c r="B466" s="34">
        <f>VLOOKUP(A466,Data!A:AX,MATCH($B$2,Data!$B$1:$AX$1,0),FALSE)</f>
        <v>50.049280000000003</v>
      </c>
      <c r="C466" s="35">
        <f t="shared" si="30"/>
        <v>3.9526817556607696E-3</v>
      </c>
      <c r="D466" s="35">
        <f t="shared" si="27"/>
        <v>4.847705261411428E-2</v>
      </c>
      <c r="E466" s="35">
        <f>(Table143454[[#This Row],[JPN]]-B454)/B454</f>
        <v>6.2761593345679059E-2</v>
      </c>
      <c r="F466" s="34">
        <f>VLOOKUP(Table143454[[#This Row],[Date]],'Data Core CPI'!$A:$AX,MATCH($B$2,'Data Core CPI'!$B$1:$AX$1,0),FALSE)</f>
        <v>50.316940000000002</v>
      </c>
      <c r="G466" s="35">
        <f t="shared" si="28"/>
        <v>2.3440579912816784E-3</v>
      </c>
      <c r="H466" s="35">
        <f t="shared" si="29"/>
        <v>2.849418854466057E-2</v>
      </c>
      <c r="I466" s="35">
        <f>(Table143454[[#This Row],[Core CPI]]-F454)/F454</f>
        <v>5.973012306000948E-2</v>
      </c>
    </row>
    <row r="467" spans="1:9" x14ac:dyDescent="0.35">
      <c r="A467" s="33">
        <f>IF(Data!A494="",#N/A,Data!A494)</f>
        <v>32874</v>
      </c>
      <c r="B467" s="34">
        <f>VLOOKUP(A467,Data!A:AX,MATCH($B$2,Data!$B$1:$AX$1,0),FALSE)</f>
        <v>50.522179999999999</v>
      </c>
      <c r="C467" s="35">
        <f t="shared" si="30"/>
        <v>9.4486873737242849E-3</v>
      </c>
      <c r="D467" s="35">
        <f t="shared" si="27"/>
        <v>0.11946616448065006</v>
      </c>
      <c r="E467" s="35">
        <f>(Table143454[[#This Row],[JPN]]-B455)/B455</f>
        <v>6.5669132027586286E-2</v>
      </c>
      <c r="F467" s="34">
        <f>VLOOKUP(Table143454[[#This Row],[Date]],'Data Core CPI'!$A:$AX,MATCH($B$2,'Data Core CPI'!$B$1:$AX$1,0),FALSE)</f>
        <v>50.822629999999997</v>
      </c>
      <c r="G467" s="35">
        <f t="shared" si="28"/>
        <v>1.0050094461228953E-2</v>
      </c>
      <c r="H467" s="35">
        <f t="shared" si="29"/>
        <v>0.12749587877102786</v>
      </c>
      <c r="I467" s="35">
        <f>(Table143454[[#This Row],[Core CPI]]-F455)/F455</f>
        <v>6.3402901504316989E-2</v>
      </c>
    </row>
    <row r="468" spans="1:9" x14ac:dyDescent="0.35">
      <c r="A468" s="33">
        <f>IF(Data!A495="",#N/A,Data!A495)</f>
        <v>32905</v>
      </c>
      <c r="B468" s="34">
        <f>VLOOKUP(A468,Data!A:AX,MATCH($B$2,Data!$B$1:$AX$1,0),FALSE)</f>
        <v>50.916269999999997</v>
      </c>
      <c r="C468" s="35">
        <f t="shared" si="30"/>
        <v>7.8003364067029679E-3</v>
      </c>
      <c r="D468" s="35">
        <f t="shared" si="27"/>
        <v>9.7726093843311768E-2</v>
      </c>
      <c r="E468" s="35">
        <f>(Table143454[[#This Row],[JPN]]-B456)/B456</f>
        <v>6.5127752522489604E-2</v>
      </c>
      <c r="F468" s="34">
        <f>VLOOKUP(Table143454[[#This Row],[Date]],'Data Core CPI'!$A:$AX,MATCH($B$2,'Data Core CPI'!$B$1:$AX$1,0),FALSE)</f>
        <v>51.206150000000001</v>
      </c>
      <c r="G468" s="35">
        <f t="shared" si="28"/>
        <v>7.5462446551861628E-3</v>
      </c>
      <c r="H468" s="35">
        <f t="shared" si="29"/>
        <v>9.4409523908171034E-2</v>
      </c>
      <c r="I468" s="35">
        <f>(Table143454[[#This Row],[Core CPI]]-F456)/F456</f>
        <v>6.1774588689519003E-2</v>
      </c>
    </row>
    <row r="469" spans="1:9" x14ac:dyDescent="0.35">
      <c r="A469" s="33">
        <f>IF(Data!A496="",#N/A,Data!A496)</f>
        <v>32933</v>
      </c>
      <c r="B469" s="34">
        <f>VLOOKUP(A469,Data!A:AX,MATCH($B$2,Data!$B$1:$AX$1,0),FALSE)</f>
        <v>51.113320000000002</v>
      </c>
      <c r="C469" s="35">
        <f t="shared" si="30"/>
        <v>3.8700792497172731E-3</v>
      </c>
      <c r="D469" s="35">
        <f t="shared" si="27"/>
        <v>4.7442330729008386E-2</v>
      </c>
      <c r="E469" s="35">
        <f>(Table143454[[#This Row],[JPN]]-B457)/B457</f>
        <v>6.3114888611058087E-2</v>
      </c>
      <c r="F469" s="34">
        <f>VLOOKUP(Table143454[[#This Row],[Date]],'Data Core CPI'!$A:$AX,MATCH($B$2,'Data Core CPI'!$B$1:$AX$1,0),FALSE)</f>
        <v>51.517569999999999</v>
      </c>
      <c r="G469" s="35">
        <f t="shared" si="28"/>
        <v>6.0816913593386701E-3</v>
      </c>
      <c r="H469" s="35">
        <f t="shared" si="29"/>
        <v>7.5471607666032892E-2</v>
      </c>
      <c r="I469" s="35">
        <f>(Table143454[[#This Row],[Core CPI]]-F457)/F457</f>
        <v>6.2083042648603759E-2</v>
      </c>
    </row>
    <row r="470" spans="1:9" x14ac:dyDescent="0.35">
      <c r="A470" s="33">
        <f>IF(Data!A497="",#N/A,Data!A497)</f>
        <v>32964</v>
      </c>
      <c r="B470" s="34">
        <f>VLOOKUP(A470,Data!A:AX,MATCH($B$2,Data!$B$1:$AX$1,0),FALSE)</f>
        <v>51.310360000000003</v>
      </c>
      <c r="C470" s="35">
        <f t="shared" si="30"/>
        <v>3.854963833302083E-3</v>
      </c>
      <c r="D470" s="35">
        <f t="shared" si="27"/>
        <v>4.725308852047938E-2</v>
      </c>
      <c r="E470" s="35">
        <f>(Table143454[[#This Row],[JPN]]-B458)/B458</f>
        <v>6.1990326869677696E-2</v>
      </c>
      <c r="F470" s="34">
        <f>VLOOKUP(Table143454[[#This Row],[Date]],'Data Core CPI'!$A:$AX,MATCH($B$2,'Data Core CPI'!$B$1:$AX$1,0),FALSE)</f>
        <v>51.697470000000003</v>
      </c>
      <c r="G470" s="35">
        <f t="shared" si="28"/>
        <v>3.492012530870614E-3</v>
      </c>
      <c r="H470" s="35">
        <f t="shared" si="29"/>
        <v>4.2718406457171287E-2</v>
      </c>
      <c r="I470" s="35">
        <f>(Table143454[[#This Row],[Core CPI]]-F458)/F458</f>
        <v>6.0417418772563181E-2</v>
      </c>
    </row>
    <row r="471" spans="1:9" x14ac:dyDescent="0.35">
      <c r="A471" s="33">
        <f>IF(Data!A498="",#N/A,Data!A498)</f>
        <v>32994</v>
      </c>
      <c r="B471" s="34">
        <f>VLOOKUP(A471,Data!A:AX,MATCH($B$2,Data!$B$1:$AX$1,0),FALSE)</f>
        <v>51.46799</v>
      </c>
      <c r="C471" s="35">
        <f t="shared" si="30"/>
        <v>3.0720891453499544E-3</v>
      </c>
      <c r="D471" s="35">
        <f t="shared" si="27"/>
        <v>3.7494382926748893E-2</v>
      </c>
      <c r="E471" s="35">
        <f>(Table143454[[#This Row],[JPN]]-B459)/B459</f>
        <v>6.006478861519686E-2</v>
      </c>
      <c r="F471" s="34">
        <f>VLOOKUP(Table143454[[#This Row],[Date]],'Data Core CPI'!$A:$AX,MATCH($B$2,'Data Core CPI'!$B$1:$AX$1,0),FALSE)</f>
        <v>51.849870000000003</v>
      </c>
      <c r="G471" s="35">
        <f t="shared" si="28"/>
        <v>2.9479198885360436E-3</v>
      </c>
      <c r="H471" s="35">
        <f t="shared" si="29"/>
        <v>3.5954267495482473E-2</v>
      </c>
      <c r="I471" s="35">
        <f>(Table143454[[#This Row],[Core CPI]]-F459)/F459</f>
        <v>5.7928299826405572E-2</v>
      </c>
    </row>
    <row r="472" spans="1:9" x14ac:dyDescent="0.35">
      <c r="A472" s="33">
        <f>IF(Data!A499="",#N/A,Data!A499)</f>
        <v>33025</v>
      </c>
      <c r="B472" s="34">
        <f>VLOOKUP(A472,Data!A:AX,MATCH($B$2,Data!$B$1:$AX$1,0),FALSE)</f>
        <v>51.704450000000001</v>
      </c>
      <c r="C472" s="35">
        <f t="shared" si="30"/>
        <v>4.5943119208657901E-3</v>
      </c>
      <c r="D472" s="35">
        <f t="shared" si="27"/>
        <v>5.6546408134625858E-2</v>
      </c>
      <c r="E472" s="35">
        <f>(Table143454[[#This Row],[JPN]]-B460)/B460</f>
        <v>6.0630645525898391E-2</v>
      </c>
      <c r="F472" s="34">
        <f>VLOOKUP(Table143454[[#This Row],[Date]],'Data Core CPI'!$A:$AX,MATCH($B$2,'Data Core CPI'!$B$1:$AX$1,0),FALSE)</f>
        <v>52.063459999999999</v>
      </c>
      <c r="G472" s="35">
        <f t="shared" si="28"/>
        <v>4.1193931633771719E-3</v>
      </c>
      <c r="H472" s="35">
        <f t="shared" si="29"/>
        <v>5.0568220645994755E-2</v>
      </c>
      <c r="I472" s="35">
        <f>(Table143454[[#This Row],[Core CPI]]-F460)/F460</f>
        <v>5.8866502403442829E-2</v>
      </c>
    </row>
    <row r="473" spans="1:9" x14ac:dyDescent="0.35">
      <c r="A473" s="33">
        <f>IF(Data!A500="",#N/A,Data!A500)</f>
        <v>33055</v>
      </c>
      <c r="B473" s="34">
        <f>VLOOKUP(A473,Data!A:AX,MATCH($B$2,Data!$B$1:$AX$1,0),FALSE)</f>
        <v>51.862079999999999</v>
      </c>
      <c r="C473" s="35">
        <f t="shared" si="30"/>
        <v>3.0486737601889136E-3</v>
      </c>
      <c r="D473" s="35">
        <f t="shared" si="27"/>
        <v>3.7203793103040228E-2</v>
      </c>
      <c r="E473" s="35">
        <f>(Table143454[[#This Row],[JPN]]-B461)/B461</f>
        <v>6.2146818602593662E-2</v>
      </c>
      <c r="F473" s="34">
        <f>VLOOKUP(Table143454[[#This Row],[Date]],'Data Core CPI'!$A:$AX,MATCH($B$2,'Data Core CPI'!$B$1:$AX$1,0),FALSE)</f>
        <v>52.244529999999997</v>
      </c>
      <c r="G473" s="35">
        <f t="shared" si="28"/>
        <v>3.4778710442986416E-3</v>
      </c>
      <c r="H473" s="35">
        <f t="shared" si="29"/>
        <v>4.2542088814553347E-2</v>
      </c>
      <c r="I473" s="35">
        <f>(Table143454[[#This Row],[Core CPI]]-F461)/F461</f>
        <v>6.0524857448505782E-2</v>
      </c>
    </row>
    <row r="474" spans="1:9" x14ac:dyDescent="0.35">
      <c r="A474" s="33">
        <f>IF(Data!A501="",#N/A,Data!A501)</f>
        <v>33086</v>
      </c>
      <c r="B474" s="34">
        <f>VLOOKUP(A474,Data!A:AX,MATCH($B$2,Data!$B$1:$AX$1,0),FALSE)</f>
        <v>52.216769999999997</v>
      </c>
      <c r="C474" s="35">
        <f t="shared" si="30"/>
        <v>6.8391009384891621E-3</v>
      </c>
      <c r="D474" s="35">
        <f t="shared" si="27"/>
        <v>8.5227719260748236E-2</v>
      </c>
      <c r="E474" s="35">
        <f>(Table143454[[#This Row],[JPN]]-B462)/B462</f>
        <v>6.6827756317545256E-2</v>
      </c>
      <c r="F474" s="34">
        <f>VLOOKUP(Table143454[[#This Row],[Date]],'Data Core CPI'!$A:$AX,MATCH($B$2,'Data Core CPI'!$B$1:$AX$1,0),FALSE)</f>
        <v>52.494109999999999</v>
      </c>
      <c r="G474" s="35">
        <f t="shared" si="28"/>
        <v>4.7771508328240397E-3</v>
      </c>
      <c r="H474" s="35">
        <f t="shared" si="29"/>
        <v>5.8856251437271911E-2</v>
      </c>
      <c r="I474" s="35">
        <f>(Table143454[[#This Row],[Core CPI]]-F462)/F462</f>
        <v>6.2423256605624068E-2</v>
      </c>
    </row>
    <row r="475" spans="1:9" x14ac:dyDescent="0.35">
      <c r="A475" s="33">
        <f>IF(Data!A502="",#N/A,Data!A502)</f>
        <v>33117</v>
      </c>
      <c r="B475" s="34">
        <f>VLOOKUP(A475,Data!A:AX,MATCH($B$2,Data!$B$1:$AX$1,0),FALSE)</f>
        <v>52.492629999999998</v>
      </c>
      <c r="C475" s="35">
        <f t="shared" si="30"/>
        <v>5.2829770972047108E-3</v>
      </c>
      <c r="D475" s="35">
        <f t="shared" si="27"/>
        <v>6.527060229166759E-2</v>
      </c>
      <c r="E475" s="35">
        <f>(Table143454[[#This Row],[JPN]]-B463)/B463</f>
        <v>6.7307778329918813E-2</v>
      </c>
      <c r="F475" s="34">
        <f>VLOOKUP(Table143454[[#This Row],[Date]],'Data Core CPI'!$A:$AX,MATCH($B$2,'Data Core CPI'!$B$1:$AX$1,0),FALSE)</f>
        <v>52.706040000000002</v>
      </c>
      <c r="G475" s="35">
        <f t="shared" si="28"/>
        <v>4.0372148418175158E-3</v>
      </c>
      <c r="H475" s="35">
        <f t="shared" si="29"/>
        <v>4.9536927956489674E-2</v>
      </c>
      <c r="I475" s="35">
        <f>(Table143454[[#This Row],[Core CPI]]-F463)/F463</f>
        <v>6.2527089319863116E-2</v>
      </c>
    </row>
    <row r="476" spans="1:9" x14ac:dyDescent="0.35">
      <c r="A476" s="33">
        <f>IF(Data!A503="",#N/A,Data!A503)</f>
        <v>33147</v>
      </c>
      <c r="B476" s="34">
        <f>VLOOKUP(A476,Data!A:AX,MATCH($B$2,Data!$B$1:$AX$1,0),FALSE)</f>
        <v>52.926119999999997</v>
      </c>
      <c r="C476" s="35">
        <f t="shared" si="30"/>
        <v>8.2581116625324302E-3</v>
      </c>
      <c r="D476" s="35">
        <f t="shared" si="27"/>
        <v>0.10372453390986069</v>
      </c>
      <c r="E476" s="35">
        <f>(Table143454[[#This Row],[JPN]]-B464)/B464</f>
        <v>6.7567472164662329E-2</v>
      </c>
      <c r="F476" s="34">
        <f>VLOOKUP(Table143454[[#This Row],[Date]],'Data Core CPI'!$A:$AX,MATCH($B$2,'Data Core CPI'!$B$1:$AX$1,0),FALSE)</f>
        <v>53.055630000000001</v>
      </c>
      <c r="G476" s="35">
        <f t="shared" si="28"/>
        <v>6.6328261428860724E-3</v>
      </c>
      <c r="H476" s="35">
        <f t="shared" si="29"/>
        <v>8.2562708851128486E-2</v>
      </c>
      <c r="I476" s="35">
        <f>(Table143454[[#This Row],[Core CPI]]-F464)/F464</f>
        <v>6.2689205705584783E-2</v>
      </c>
    </row>
    <row r="477" spans="1:9" x14ac:dyDescent="0.35">
      <c r="A477" s="33">
        <f>IF(Data!A504="",#N/A,Data!A504)</f>
        <v>33178</v>
      </c>
      <c r="B477" s="34">
        <f>VLOOKUP(A477,Data!A:AX,MATCH($B$2,Data!$B$1:$AX$1,0),FALSE)</f>
        <v>53.241399999999999</v>
      </c>
      <c r="C477" s="35">
        <f t="shared" si="30"/>
        <v>5.9569830548698022E-3</v>
      </c>
      <c r="D477" s="35">
        <f t="shared" si="27"/>
        <v>7.387298389766328E-2</v>
      </c>
      <c r="E477" s="35">
        <f>(Table143454[[#This Row],[JPN]]-B465)/B465</f>
        <v>6.7984320861875183E-2</v>
      </c>
      <c r="F477" s="34">
        <f>VLOOKUP(Table143454[[#This Row],[Date]],'Data Core CPI'!$A:$AX,MATCH($B$2,'Data Core CPI'!$B$1:$AX$1,0),FALSE)</f>
        <v>53.436860000000003</v>
      </c>
      <c r="G477" s="35">
        <f t="shared" si="28"/>
        <v>7.185476828755144E-3</v>
      </c>
      <c r="H477" s="35">
        <f t="shared" si="29"/>
        <v>8.9716326557839565E-2</v>
      </c>
      <c r="I477" s="35">
        <f>(Table143454[[#This Row],[Core CPI]]-F465)/F465</f>
        <v>6.4494762573240702E-2</v>
      </c>
    </row>
    <row r="478" spans="1:9" x14ac:dyDescent="0.35">
      <c r="A478" s="33">
        <f>IF(Data!A505="",#N/A,Data!A505)</f>
        <v>33208</v>
      </c>
      <c r="B478" s="34">
        <f>VLOOKUP(A478,Data!A:AX,MATCH($B$2,Data!$B$1:$AX$1,0),FALSE)</f>
        <v>53.35962</v>
      </c>
      <c r="C478" s="35">
        <f t="shared" si="30"/>
        <v>2.2204525050055768E-3</v>
      </c>
      <c r="D478" s="35">
        <f t="shared" si="27"/>
        <v>2.697325765417502E-2</v>
      </c>
      <c r="E478" s="35">
        <f>(Table143454[[#This Row],[JPN]]-B466)/B466</f>
        <v>6.6141610828367489E-2</v>
      </c>
      <c r="F478" s="34">
        <f>VLOOKUP(Table143454[[#This Row],[Date]],'Data Core CPI'!$A:$AX,MATCH($B$2,'Data Core CPI'!$B$1:$AX$1,0),FALSE)</f>
        <v>53.562069999999999</v>
      </c>
      <c r="G478" s="35">
        <f t="shared" si="28"/>
        <v>2.3431391739707763E-3</v>
      </c>
      <c r="H478" s="35">
        <f t="shared" si="29"/>
        <v>2.8482875141929709E-2</v>
      </c>
      <c r="I478" s="35">
        <f>(Table143454[[#This Row],[Core CPI]]-F466)/F466</f>
        <v>6.4493786784331403E-2</v>
      </c>
    </row>
    <row r="479" spans="1:9" x14ac:dyDescent="0.35">
      <c r="A479" s="33">
        <f>IF(Data!A506="",#N/A,Data!A506)</f>
        <v>33239</v>
      </c>
      <c r="B479" s="34">
        <f>VLOOKUP(A479,Data!A:AX,MATCH($B$2,Data!$B$1:$AX$1,0),FALSE)</f>
        <v>53.693309999999997</v>
      </c>
      <c r="C479" s="35">
        <f t="shared" si="30"/>
        <v>6.2536052543102905E-3</v>
      </c>
      <c r="D479" s="35">
        <f t="shared" si="27"/>
        <v>7.7678931868292445E-2</v>
      </c>
      <c r="E479" s="35">
        <f>(Table143454[[#This Row],[JPN]]-B467)/B467</f>
        <v>6.2767085664157757E-2</v>
      </c>
      <c r="F479" s="34">
        <f>VLOOKUP(Table143454[[#This Row],[Date]],'Data Core CPI'!$A:$AX,MATCH($B$2,'Data Core CPI'!$B$1:$AX$1,0),FALSE)</f>
        <v>53.637439999999998</v>
      </c>
      <c r="G479" s="35">
        <f t="shared" si="28"/>
        <v>1.4071524868251029E-3</v>
      </c>
      <c r="H479" s="35">
        <f t="shared" si="29"/>
        <v>1.7017129922834773E-2</v>
      </c>
      <c r="I479" s="35">
        <f>(Table143454[[#This Row],[Core CPI]]-F467)/F467</f>
        <v>5.5384973190092709E-2</v>
      </c>
    </row>
    <row r="480" spans="1:9" x14ac:dyDescent="0.35">
      <c r="A480" s="33">
        <f>IF(Data!A507="",#N/A,Data!A507)</f>
        <v>33270</v>
      </c>
      <c r="B480" s="34">
        <f>VLOOKUP(A480,Data!A:AX,MATCH($B$2,Data!$B$1:$AX$1,0),FALSE)</f>
        <v>54.108730000000001</v>
      </c>
      <c r="C480" s="35">
        <f t="shared" si="30"/>
        <v>7.7369042809989352E-3</v>
      </c>
      <c r="D480" s="35">
        <f t="shared" si="27"/>
        <v>9.6897274909974573E-2</v>
      </c>
      <c r="E480" s="35">
        <f>(Table143454[[#This Row],[JPN]]-B468)/B468</f>
        <v>6.2700193867304188E-2</v>
      </c>
      <c r="F480" s="34">
        <f>VLOOKUP(Table143454[[#This Row],[Date]],'Data Core CPI'!$A:$AX,MATCH($B$2,'Data Core CPI'!$B$1:$AX$1,0),FALSE)</f>
        <v>54.065579999999997</v>
      </c>
      <c r="G480" s="35">
        <f t="shared" si="28"/>
        <v>7.9821110030604547E-3</v>
      </c>
      <c r="H480" s="35">
        <f t="shared" si="29"/>
        <v>0.10010438378383157</v>
      </c>
      <c r="I480" s="35">
        <f>(Table143454[[#This Row],[Core CPI]]-F468)/F468</f>
        <v>5.5841534659410955E-2</v>
      </c>
    </row>
    <row r="481" spans="1:9" x14ac:dyDescent="0.35">
      <c r="A481" s="33">
        <f>IF(Data!A508="",#N/A,Data!A508)</f>
        <v>33298</v>
      </c>
      <c r="B481" s="34">
        <f>VLOOKUP(A481,Data!A:AX,MATCH($B$2,Data!$B$1:$AX$1,0),FALSE)</f>
        <v>54.420299999999997</v>
      </c>
      <c r="C481" s="35">
        <f t="shared" si="30"/>
        <v>5.7582205311415002E-3</v>
      </c>
      <c r="D481" s="35">
        <f t="shared" si="27"/>
        <v>7.1329568165708013E-2</v>
      </c>
      <c r="E481" s="35">
        <f>(Table143454[[#This Row],[JPN]]-B469)/B469</f>
        <v>6.469898648727955E-2</v>
      </c>
      <c r="F481" s="34">
        <f>VLOOKUP(Table143454[[#This Row],[Date]],'Data Core CPI'!$A:$AX,MATCH($B$2,'Data Core CPI'!$B$1:$AX$1,0),FALSE)</f>
        <v>54.39517</v>
      </c>
      <c r="G481" s="35">
        <f t="shared" si="28"/>
        <v>6.0961151253717816E-3</v>
      </c>
      <c r="H481" s="35">
        <f t="shared" si="29"/>
        <v>7.565664521361426E-2</v>
      </c>
      <c r="I481" s="35">
        <f>(Table143454[[#This Row],[Core CPI]]-F469)/F469</f>
        <v>5.5856671811189876E-2</v>
      </c>
    </row>
    <row r="482" spans="1:9" x14ac:dyDescent="0.35">
      <c r="A482" s="33">
        <f>IF(Data!A509="",#N/A,Data!A509)</f>
        <v>33329</v>
      </c>
      <c r="B482" s="34">
        <f>VLOOKUP(A482,Data!A:AX,MATCH($B$2,Data!$B$1:$AX$1,0),FALSE)</f>
        <v>54.628010000000003</v>
      </c>
      <c r="C482" s="35">
        <f t="shared" si="30"/>
        <v>3.8167742551953321E-3</v>
      </c>
      <c r="D482" s="35">
        <f t="shared" si="27"/>
        <v>4.6775101704814137E-2</v>
      </c>
      <c r="E482" s="35">
        <f>(Table143454[[#This Row],[JPN]]-B470)/B470</f>
        <v>6.4658482224642364E-2</v>
      </c>
      <c r="F482" s="34">
        <f>VLOOKUP(Table143454[[#This Row],[Date]],'Data Core CPI'!$A:$AX,MATCH($B$2,'Data Core CPI'!$B$1:$AX$1,0),FALSE)</f>
        <v>54.605879999999999</v>
      </c>
      <c r="G482" s="35">
        <f t="shared" si="28"/>
        <v>3.8736895205953026E-3</v>
      </c>
      <c r="H482" s="35">
        <f t="shared" si="29"/>
        <v>4.7487535287895843E-2</v>
      </c>
      <c r="I482" s="35">
        <f>(Table143454[[#This Row],[Core CPI]]-F470)/F470</f>
        <v>5.6258265636596846E-2</v>
      </c>
    </row>
    <row r="483" spans="1:9" x14ac:dyDescent="0.35">
      <c r="A483" s="33">
        <f>IF(Data!A510="",#N/A,Data!A510)</f>
        <v>33359</v>
      </c>
      <c r="B483" s="34">
        <f>VLOOKUP(A483,Data!A:AX,MATCH($B$2,Data!$B$1:$AX$1,0),FALSE)</f>
        <v>54.835720000000002</v>
      </c>
      <c r="C483" s="35">
        <f t="shared" si="30"/>
        <v>3.8022618799402608E-3</v>
      </c>
      <c r="D483" s="35">
        <f t="shared" si="27"/>
        <v>4.6593514957789406E-2</v>
      </c>
      <c r="E483" s="35">
        <f>(Table143454[[#This Row],[JPN]]-B471)/B471</f>
        <v>6.543348593951312E-2</v>
      </c>
      <c r="F483" s="34">
        <f>VLOOKUP(Table143454[[#This Row],[Date]],'Data Core CPI'!$A:$AX,MATCH($B$2,'Data Core CPI'!$B$1:$AX$1,0),FALSE)</f>
        <v>55.047199999999997</v>
      </c>
      <c r="G483" s="35">
        <f t="shared" si="28"/>
        <v>8.0819135228660244E-3</v>
      </c>
      <c r="H483" s="35">
        <f t="shared" si="29"/>
        <v>0.10141218079146563</v>
      </c>
      <c r="I483" s="35">
        <f>(Table143454[[#This Row],[Core CPI]]-F471)/F471</f>
        <v>6.1665149787260676E-2</v>
      </c>
    </row>
    <row r="484" spans="1:9" x14ac:dyDescent="0.35">
      <c r="A484" s="33">
        <f>IF(Data!A511="",#N/A,Data!A511)</f>
        <v>33390</v>
      </c>
      <c r="B484" s="34">
        <f>VLOOKUP(A484,Data!A:AX,MATCH($B$2,Data!$B$1:$AX$1,0),FALSE)</f>
        <v>55.095359999999999</v>
      </c>
      <c r="C484" s="35">
        <f t="shared" si="30"/>
        <v>4.7348698986717785E-3</v>
      </c>
      <c r="D484" s="35">
        <f t="shared" si="27"/>
        <v>5.8321696230348774E-2</v>
      </c>
      <c r="E484" s="35">
        <f>(Table143454[[#This Row],[JPN]]-B472)/B472</f>
        <v>6.5582556240323567E-2</v>
      </c>
      <c r="F484" s="34">
        <f>VLOOKUP(Table143454[[#This Row],[Date]],'Data Core CPI'!$A:$AX,MATCH($B$2,'Data Core CPI'!$B$1:$AX$1,0),FALSE)</f>
        <v>55.296810000000001</v>
      </c>
      <c r="G484" s="35">
        <f t="shared" si="28"/>
        <v>4.5344722347369082E-3</v>
      </c>
      <c r="H484" s="35">
        <f t="shared" si="29"/>
        <v>5.5791444313049166E-2</v>
      </c>
      <c r="I484" s="35">
        <f>(Table143454[[#This Row],[Core CPI]]-F472)/F472</f>
        <v>6.2104016905522634E-2</v>
      </c>
    </row>
    <row r="485" spans="1:9" x14ac:dyDescent="0.35">
      <c r="A485" s="33">
        <f>IF(Data!A512="",#N/A,Data!A512)</f>
        <v>33420</v>
      </c>
      <c r="B485" s="34">
        <f>VLOOKUP(A485,Data!A:AX,MATCH($B$2,Data!$B$1:$AX$1,0),FALSE)</f>
        <v>55.303069999999998</v>
      </c>
      <c r="C485" s="35">
        <f t="shared" si="30"/>
        <v>3.770008944491865E-3</v>
      </c>
      <c r="D485" s="35">
        <f t="shared" si="27"/>
        <v>4.6190052048216579E-2</v>
      </c>
      <c r="E485" s="35">
        <f>(Table143454[[#This Row],[JPN]]-B473)/B473</f>
        <v>6.6348862213008022E-2</v>
      </c>
      <c r="F485" s="34">
        <f>VLOOKUP(Table143454[[#This Row],[Date]],'Data Core CPI'!$A:$AX,MATCH($B$2,'Data Core CPI'!$B$1:$AX$1,0),FALSE)</f>
        <v>55.494630000000001</v>
      </c>
      <c r="G485" s="35">
        <f t="shared" si="28"/>
        <v>3.5774215546973132E-3</v>
      </c>
      <c r="H485" s="35">
        <f t="shared" si="29"/>
        <v>4.3783876967544266E-2</v>
      </c>
      <c r="I485" s="35">
        <f>(Table143454[[#This Row],[Core CPI]]-F473)/F473</f>
        <v>6.2209383451243667E-2</v>
      </c>
    </row>
    <row r="486" spans="1:9" x14ac:dyDescent="0.35">
      <c r="A486" s="33">
        <f>IF(Data!A513="",#N/A,Data!A513)</f>
        <v>33451</v>
      </c>
      <c r="B486" s="34">
        <f>VLOOKUP(A486,Data!A:AX,MATCH($B$2,Data!$B$1:$AX$1,0),FALSE)</f>
        <v>55.458849999999998</v>
      </c>
      <c r="C486" s="35">
        <f t="shared" si="30"/>
        <v>2.8168418136642615E-3</v>
      </c>
      <c r="D486" s="35">
        <f t="shared" si="27"/>
        <v>3.4330733635543398E-2</v>
      </c>
      <c r="E486" s="35">
        <f>(Table143454[[#This Row],[JPN]]-B474)/B474</f>
        <v>6.208886532047083E-2</v>
      </c>
      <c r="F486" s="34">
        <f>VLOOKUP(Table143454[[#This Row],[Date]],'Data Core CPI'!$A:$AX,MATCH($B$2,'Data Core CPI'!$B$1:$AX$1,0),FALSE)</f>
        <v>55.637970000000003</v>
      </c>
      <c r="G486" s="35">
        <f t="shared" si="28"/>
        <v>2.5829526208211995E-3</v>
      </c>
      <c r="H486" s="35">
        <f t="shared" si="29"/>
        <v>3.1439573252998398E-2</v>
      </c>
      <c r="I486" s="35">
        <f>(Table143454[[#This Row],[Core CPI]]-F474)/F474</f>
        <v>5.9889766680490508E-2</v>
      </c>
    </row>
    <row r="487" spans="1:9" x14ac:dyDescent="0.35">
      <c r="A487" s="33">
        <f>IF(Data!A514="",#N/A,Data!A514)</f>
        <v>33482</v>
      </c>
      <c r="B487" s="34">
        <f>VLOOKUP(A487,Data!A:AX,MATCH($B$2,Data!$B$1:$AX$1,0),FALSE)</f>
        <v>55.718490000000003</v>
      </c>
      <c r="C487" s="35">
        <f t="shared" si="30"/>
        <v>4.6816693818931832E-3</v>
      </c>
      <c r="D487" s="35">
        <f t="shared" si="27"/>
        <v>5.76494368845617E-2</v>
      </c>
      <c r="E487" s="35">
        <f>(Table143454[[#This Row],[JPN]]-B475)/B475</f>
        <v>6.1453579292940826E-2</v>
      </c>
      <c r="F487" s="34">
        <f>VLOOKUP(Table143454[[#This Row],[Date]],'Data Core CPI'!$A:$AX,MATCH($B$2,'Data Core CPI'!$B$1:$AX$1,0),FALSE)</f>
        <v>55.870620000000002</v>
      </c>
      <c r="G487" s="35">
        <f t="shared" si="28"/>
        <v>4.1814969165840932E-3</v>
      </c>
      <c r="H487" s="35">
        <f t="shared" si="29"/>
        <v>5.1348204722906798E-2</v>
      </c>
      <c r="I487" s="35">
        <f>(Table143454[[#This Row],[Core CPI]]-F475)/F475</f>
        <v>6.0042074874151058E-2</v>
      </c>
    </row>
    <row r="488" spans="1:9" x14ac:dyDescent="0.35">
      <c r="A488" s="33">
        <f>IF(Data!A515="",#N/A,Data!A515)</f>
        <v>33512</v>
      </c>
      <c r="B488" s="34">
        <f>VLOOKUP(A488,Data!A:AX,MATCH($B$2,Data!$B$1:$AX$1,0),FALSE)</f>
        <v>55.97813</v>
      </c>
      <c r="C488" s="35">
        <f t="shared" si="30"/>
        <v>4.6598534884918497E-3</v>
      </c>
      <c r="D488" s="35">
        <f t="shared" si="27"/>
        <v>5.7373877220598057E-2</v>
      </c>
      <c r="E488" s="35">
        <f>(Table143454[[#This Row],[JPN]]-B476)/B476</f>
        <v>5.766547783967544E-2</v>
      </c>
      <c r="F488" s="34">
        <f>VLOOKUP(Table143454[[#This Row],[Date]],'Data Core CPI'!$A:$AX,MATCH($B$2,'Data Core CPI'!$B$1:$AX$1,0),FALSE)</f>
        <v>56.115470000000002</v>
      </c>
      <c r="G488" s="35">
        <f t="shared" si="28"/>
        <v>4.3824464450188394E-3</v>
      </c>
      <c r="H488" s="35">
        <f t="shared" si="29"/>
        <v>5.38756435278267E-2</v>
      </c>
      <c r="I488" s="35">
        <f>(Table143454[[#This Row],[Core CPI]]-F476)/F476</f>
        <v>5.7672296040966832E-2</v>
      </c>
    </row>
    <row r="489" spans="1:9" x14ac:dyDescent="0.35">
      <c r="A489" s="33">
        <f>IF(Data!A516="",#N/A,Data!A516)</f>
        <v>33543</v>
      </c>
      <c r="B489" s="34">
        <f>VLOOKUP(A489,Data!A:AX,MATCH($B$2,Data!$B$1:$AX$1,0),FALSE)</f>
        <v>56.341630000000002</v>
      </c>
      <c r="C489" s="35">
        <f t="shared" si="30"/>
        <v>6.4936074141812572E-3</v>
      </c>
      <c r="D489" s="35">
        <f t="shared" si="27"/>
        <v>8.0767435595752834E-2</v>
      </c>
      <c r="E489" s="35">
        <f>(Table143454[[#This Row],[JPN]]-B477)/B477</f>
        <v>5.8229685921106569E-2</v>
      </c>
      <c r="F489" s="34">
        <f>VLOOKUP(Table143454[[#This Row],[Date]],'Data Core CPI'!$A:$AX,MATCH($B$2,'Data Core CPI'!$B$1:$AX$1,0),FALSE)</f>
        <v>56.46181</v>
      </c>
      <c r="G489" s="35">
        <f t="shared" si="28"/>
        <v>6.1719165855689262E-3</v>
      </c>
      <c r="H489" s="35">
        <f t="shared" si="29"/>
        <v>7.6629555918561909E-2</v>
      </c>
      <c r="I489" s="35">
        <f>(Table143454[[#This Row],[Core CPI]]-F477)/F477</f>
        <v>5.6607929432979348E-2</v>
      </c>
    </row>
    <row r="490" spans="1:9" x14ac:dyDescent="0.35">
      <c r="A490" s="33">
        <f>IF(Data!A517="",#N/A,Data!A517)</f>
        <v>33573</v>
      </c>
      <c r="B490" s="34">
        <f>VLOOKUP(A490,Data!A:AX,MATCH($B$2,Data!$B$1:$AX$1,0),FALSE)</f>
        <v>56.497410000000002</v>
      </c>
      <c r="C490" s="35">
        <f t="shared" si="30"/>
        <v>2.7649182318651988E-3</v>
      </c>
      <c r="D490" s="35">
        <f t="shared" si="27"/>
        <v>3.3688253024335868E-2</v>
      </c>
      <c r="E490" s="35">
        <f>(Table143454[[#This Row],[JPN]]-B478)/B478</f>
        <v>5.8804579193030282E-2</v>
      </c>
      <c r="F490" s="34">
        <f>VLOOKUP(Table143454[[#This Row],[Date]],'Data Core CPI'!$A:$AX,MATCH($B$2,'Data Core CPI'!$B$1:$AX$1,0),FALSE)</f>
        <v>56.598860000000002</v>
      </c>
      <c r="G490" s="35">
        <f t="shared" si="28"/>
        <v>2.4273044027458557E-3</v>
      </c>
      <c r="H490" s="35">
        <f t="shared" si="29"/>
        <v>2.9519675588613126E-2</v>
      </c>
      <c r="I490" s="35">
        <f>(Table143454[[#This Row],[Core CPI]]-F478)/F478</f>
        <v>5.6696651193652588E-2</v>
      </c>
    </row>
    <row r="491" spans="1:9" x14ac:dyDescent="0.35">
      <c r="A491" s="33">
        <f>IF(Data!A518="",#N/A,Data!A518)</f>
        <v>33604</v>
      </c>
      <c r="B491" s="34">
        <f>VLOOKUP(A491,Data!A:AX,MATCH($B$2,Data!$B$1:$AX$1,0),FALSE)</f>
        <v>56.860900000000001</v>
      </c>
      <c r="C491" s="35">
        <f t="shared" si="30"/>
        <v>6.4337462549168833E-3</v>
      </c>
      <c r="D491" s="35">
        <f t="shared" si="27"/>
        <v>7.9996344761698479E-2</v>
      </c>
      <c r="E491" s="35">
        <f>(Table143454[[#This Row],[JPN]]-B479)/B479</f>
        <v>5.8994127946293579E-2</v>
      </c>
      <c r="F491" s="34">
        <f>VLOOKUP(Table143454[[#This Row],[Date]],'Data Core CPI'!$A:$AX,MATCH($B$2,'Data Core CPI'!$B$1:$AX$1,0),FALSE)</f>
        <v>56.947029999999998</v>
      </c>
      <c r="G491" s="35">
        <f t="shared" si="28"/>
        <v>6.1515373277836183E-3</v>
      </c>
      <c r="H491" s="35">
        <f t="shared" si="29"/>
        <v>7.6367909173537418E-2</v>
      </c>
      <c r="I491" s="35">
        <f>(Table143454[[#This Row],[Core CPI]]-F479)/F479</f>
        <v>6.1702982096088106E-2</v>
      </c>
    </row>
    <row r="492" spans="1:9" x14ac:dyDescent="0.35">
      <c r="A492" s="33">
        <f>IF(Data!A519="",#N/A,Data!A519)</f>
        <v>33635</v>
      </c>
      <c r="B492" s="34">
        <f>VLOOKUP(A492,Data!A:AX,MATCH($B$2,Data!$B$1:$AX$1,0),FALSE)</f>
        <v>57.172469999999997</v>
      </c>
      <c r="C492" s="35">
        <f t="shared" si="30"/>
        <v>5.4795122834847554E-3</v>
      </c>
      <c r="D492" s="35">
        <f t="shared" si="27"/>
        <v>6.7772446189316771E-2</v>
      </c>
      <c r="E492" s="35">
        <f>(Table143454[[#This Row],[JPN]]-B480)/B480</f>
        <v>5.6621916648200682E-2</v>
      </c>
      <c r="F492" s="34">
        <f>VLOOKUP(Table143454[[#This Row],[Date]],'Data Core CPI'!$A:$AX,MATCH($B$2,'Data Core CPI'!$B$1:$AX$1,0),FALSE)</f>
        <v>57.292180000000002</v>
      </c>
      <c r="G492" s="35">
        <f t="shared" si="28"/>
        <v>6.0608955374845674E-3</v>
      </c>
      <c r="H492" s="35">
        <f t="shared" si="29"/>
        <v>7.5204876560024836E-2</v>
      </c>
      <c r="I492" s="35">
        <f>(Table143454[[#This Row],[Core CPI]]-F480)/F480</f>
        <v>5.967937456696118E-2</v>
      </c>
    </row>
    <row r="493" spans="1:9" x14ac:dyDescent="0.35">
      <c r="A493" s="33">
        <f>IF(Data!A520="",#N/A,Data!A520)</f>
        <v>33664</v>
      </c>
      <c r="B493" s="34">
        <f>VLOOKUP(A493,Data!A:AX,MATCH($B$2,Data!$B$1:$AX$1,0),FALSE)</f>
        <v>57.432110000000002</v>
      </c>
      <c r="C493" s="35">
        <f t="shared" si="30"/>
        <v>4.5413465606787273E-3</v>
      </c>
      <c r="D493" s="35">
        <f t="shared" si="27"/>
        <v>5.5878148686790086E-2</v>
      </c>
      <c r="E493" s="35">
        <f>(Table143454[[#This Row],[JPN]]-B481)/B481</f>
        <v>5.534350233276928E-2</v>
      </c>
      <c r="F493" s="34">
        <f>VLOOKUP(Table143454[[#This Row],[Date]],'Data Core CPI'!$A:$AX,MATCH($B$2,'Data Core CPI'!$B$1:$AX$1,0),FALSE)</f>
        <v>57.619450000000001</v>
      </c>
      <c r="G493" s="35">
        <f t="shared" si="28"/>
        <v>5.7122979087198544E-3</v>
      </c>
      <c r="H493" s="35">
        <f t="shared" si="29"/>
        <v>7.0742716466626776E-2</v>
      </c>
      <c r="I493" s="35">
        <f>(Table143454[[#This Row],[Core CPI]]-F481)/F481</f>
        <v>5.9275115786934764E-2</v>
      </c>
    </row>
    <row r="494" spans="1:9" x14ac:dyDescent="0.35">
      <c r="A494" s="33">
        <f>IF(Data!A521="",#N/A,Data!A521)</f>
        <v>33695</v>
      </c>
      <c r="B494" s="34">
        <f>VLOOKUP(A494,Data!A:AX,MATCH($B$2,Data!$B$1:$AX$1,0),FALSE)</f>
        <v>57.63982</v>
      </c>
      <c r="C494" s="35">
        <f t="shared" si="30"/>
        <v>3.6166179511774033E-3</v>
      </c>
      <c r="D494" s="35">
        <f t="shared" si="27"/>
        <v>4.4273182790232291E-2</v>
      </c>
      <c r="E494" s="35">
        <f>(Table143454[[#This Row],[JPN]]-B482)/B482</f>
        <v>5.513307184354687E-2</v>
      </c>
      <c r="F494" s="34">
        <f>VLOOKUP(Table143454[[#This Row],[Date]],'Data Core CPI'!$A:$AX,MATCH($B$2,'Data Core CPI'!$B$1:$AX$1,0),FALSE)</f>
        <v>57.835340000000002</v>
      </c>
      <c r="G494" s="35">
        <f t="shared" si="28"/>
        <v>3.7468250738248443E-3</v>
      </c>
      <c r="H494" s="35">
        <f t="shared" si="29"/>
        <v>4.5900125227398281E-2</v>
      </c>
      <c r="I494" s="35">
        <f>(Table143454[[#This Row],[Core CPI]]-F482)/F482</f>
        <v>5.9141249989927883E-2</v>
      </c>
    </row>
    <row r="495" spans="1:9" x14ac:dyDescent="0.35">
      <c r="A495" s="33">
        <f>IF(Data!A522="",#N/A,Data!A522)</f>
        <v>33725</v>
      </c>
      <c r="B495" s="34">
        <f>VLOOKUP(A495,Data!A:AX,MATCH($B$2,Data!$B$1:$AX$1,0),FALSE)</f>
        <v>57.899459999999998</v>
      </c>
      <c r="C495" s="35">
        <f t="shared" si="30"/>
        <v>4.5045248232904456E-3</v>
      </c>
      <c r="D495" s="35">
        <f t="shared" si="27"/>
        <v>5.5413800286042703E-2</v>
      </c>
      <c r="E495" s="35">
        <f>(Table143454[[#This Row],[JPN]]-B483)/B483</f>
        <v>5.5871245968868388E-2</v>
      </c>
      <c r="F495" s="34">
        <f>VLOOKUP(Table143454[[#This Row],[Date]],'Data Core CPI'!$A:$AX,MATCH($B$2,'Data Core CPI'!$B$1:$AX$1,0),FALSE)</f>
        <v>58.151539999999997</v>
      </c>
      <c r="G495" s="35">
        <f t="shared" si="28"/>
        <v>5.4672454592641362E-3</v>
      </c>
      <c r="H495" s="35">
        <f t="shared" si="29"/>
        <v>6.7616135121077114E-2</v>
      </c>
      <c r="I495" s="35">
        <f>(Table143454[[#This Row],[Core CPI]]-F483)/F483</f>
        <v>5.6394149021203634E-2</v>
      </c>
    </row>
    <row r="496" spans="1:9" x14ac:dyDescent="0.35">
      <c r="A496" s="33">
        <f>IF(Data!A523="",#N/A,Data!A523)</f>
        <v>33756</v>
      </c>
      <c r="B496" s="34">
        <f>VLOOKUP(A496,Data!A:AX,MATCH($B$2,Data!$B$1:$AX$1,0),FALSE)</f>
        <v>58.055239999999998</v>
      </c>
      <c r="C496" s="35">
        <f t="shared" si="30"/>
        <v>2.6905259565459527E-3</v>
      </c>
      <c r="D496" s="35">
        <f t="shared" si="27"/>
        <v>3.2768391740864988E-2</v>
      </c>
      <c r="E496" s="35">
        <f>(Table143454[[#This Row],[JPN]]-B484)/B484</f>
        <v>5.3722854338368937E-2</v>
      </c>
      <c r="F496" s="34">
        <f>VLOOKUP(Table143454[[#This Row],[Date]],'Data Core CPI'!$A:$AX,MATCH($B$2,'Data Core CPI'!$B$1:$AX$1,0),FALSE)</f>
        <v>58.301900000000003</v>
      </c>
      <c r="G496" s="35">
        <f t="shared" si="28"/>
        <v>2.5856580926317818E-3</v>
      </c>
      <c r="H496" s="35">
        <f t="shared" si="29"/>
        <v>3.1472973846126573E-2</v>
      </c>
      <c r="I496" s="35">
        <f>(Table143454[[#This Row],[Core CPI]]-F484)/F484</f>
        <v>5.4344726214767228E-2</v>
      </c>
    </row>
    <row r="497" spans="1:9" x14ac:dyDescent="0.35">
      <c r="A497" s="33">
        <f>IF(Data!A524="",#N/A,Data!A524)</f>
        <v>33786</v>
      </c>
      <c r="B497" s="34">
        <f>VLOOKUP(A497,Data!A:AX,MATCH($B$2,Data!$B$1:$AX$1,0),FALSE)</f>
        <v>58.159100000000002</v>
      </c>
      <c r="C497" s="35">
        <f t="shared" si="30"/>
        <v>1.7889858004205283E-3</v>
      </c>
      <c r="D497" s="35">
        <f t="shared" si="27"/>
        <v>2.1680325353752083E-2</v>
      </c>
      <c r="E497" s="35">
        <f>(Table143454[[#This Row],[JPN]]-B485)/B485</f>
        <v>5.1643245121835081E-2</v>
      </c>
      <c r="F497" s="34">
        <f>VLOOKUP(Table143454[[#This Row],[Date]],'Data Core CPI'!$A:$AX,MATCH($B$2,'Data Core CPI'!$B$1:$AX$1,0),FALSE)</f>
        <v>58.48104</v>
      </c>
      <c r="G497" s="35">
        <f t="shared" si="28"/>
        <v>3.0726271356507073E-3</v>
      </c>
      <c r="H497" s="35">
        <f t="shared" si="29"/>
        <v>3.7501060375769057E-2</v>
      </c>
      <c r="I497" s="35">
        <f>(Table143454[[#This Row],[Core CPI]]-F485)/F485</f>
        <v>5.3814396095622212E-2</v>
      </c>
    </row>
    <row r="498" spans="1:9" x14ac:dyDescent="0.35">
      <c r="A498" s="33">
        <f>IF(Data!A525="",#N/A,Data!A525)</f>
        <v>33817</v>
      </c>
      <c r="B498" s="34">
        <f>VLOOKUP(A498,Data!A:AX,MATCH($B$2,Data!$B$1:$AX$1,0),FALSE)</f>
        <v>58.314880000000002</v>
      </c>
      <c r="C498" s="35">
        <f t="shared" si="30"/>
        <v>2.6785146262580106E-3</v>
      </c>
      <c r="D498" s="35">
        <f t="shared" si="27"/>
        <v>3.2619941889070914E-2</v>
      </c>
      <c r="E498" s="35">
        <f>(Table143454[[#This Row],[JPN]]-B486)/B486</f>
        <v>5.1498182886951391E-2</v>
      </c>
      <c r="F498" s="34">
        <f>VLOOKUP(Table143454[[#This Row],[Date]],'Data Core CPI'!$A:$AX,MATCH($B$2,'Data Core CPI'!$B$1:$AX$1,0),FALSE)</f>
        <v>58.72054</v>
      </c>
      <c r="G498" s="35">
        <f t="shared" si="28"/>
        <v>4.0953444056397448E-3</v>
      </c>
      <c r="H498" s="35">
        <f t="shared" si="29"/>
        <v>5.026632587489166E-2</v>
      </c>
      <c r="I498" s="35">
        <f>(Table143454[[#This Row],[Core CPI]]-F486)/F486</f>
        <v>5.5404070277905483E-2</v>
      </c>
    </row>
    <row r="499" spans="1:9" x14ac:dyDescent="0.35">
      <c r="A499" s="33">
        <f>IF(Data!A526="",#N/A,Data!A526)</f>
        <v>33848</v>
      </c>
      <c r="B499" s="34">
        <f>VLOOKUP(A499,Data!A:AX,MATCH($B$2,Data!$B$1:$AX$1,0),FALSE)</f>
        <v>58.41874</v>
      </c>
      <c r="C499" s="35">
        <f t="shared" si="30"/>
        <v>1.7810205559884995E-3</v>
      </c>
      <c r="D499" s="35">
        <f t="shared" si="27"/>
        <v>2.158284880604544E-2</v>
      </c>
      <c r="E499" s="35">
        <f>(Table143454[[#This Row],[JPN]]-B487)/B487</f>
        <v>4.8462368596133829E-2</v>
      </c>
      <c r="F499" s="34">
        <f>VLOOKUP(Table143454[[#This Row],[Date]],'Data Core CPI'!$A:$AX,MATCH($B$2,'Data Core CPI'!$B$1:$AX$1,0),FALSE)</f>
        <v>58.823869999999999</v>
      </c>
      <c r="G499" s="35">
        <f t="shared" si="28"/>
        <v>1.7596909020249907E-3</v>
      </c>
      <c r="H499" s="35">
        <f t="shared" si="29"/>
        <v>2.1321864139512758E-2</v>
      </c>
      <c r="I499" s="35">
        <f>(Table143454[[#This Row],[Core CPI]]-F487)/F487</f>
        <v>5.2858729686550768E-2</v>
      </c>
    </row>
    <row r="500" spans="1:9" x14ac:dyDescent="0.35">
      <c r="A500" s="33">
        <f>IF(Data!A527="",#N/A,Data!A527)</f>
        <v>33878</v>
      </c>
      <c r="B500" s="34">
        <f>VLOOKUP(A500,Data!A:AX,MATCH($B$2,Data!$B$1:$AX$1,0),FALSE)</f>
        <v>58.678379999999997</v>
      </c>
      <c r="C500" s="35">
        <f t="shared" si="30"/>
        <v>4.4444642250072164E-3</v>
      </c>
      <c r="D500" s="35">
        <f t="shared" si="27"/>
        <v>5.4656794920595164E-2</v>
      </c>
      <c r="E500" s="35">
        <f>(Table143454[[#This Row],[JPN]]-B488)/B488</f>
        <v>4.8237588501080633E-2</v>
      </c>
      <c r="F500" s="34">
        <f>VLOOKUP(Table143454[[#This Row],[Date]],'Data Core CPI'!$A:$AX,MATCH($B$2,'Data Core CPI'!$B$1:$AX$1,0),FALSE)</f>
        <v>59.084980000000002</v>
      </c>
      <c r="G500" s="35">
        <f t="shared" si="28"/>
        <v>4.4388442990914712E-3</v>
      </c>
      <c r="H500" s="35">
        <f t="shared" si="29"/>
        <v>5.4585986697241129E-2</v>
      </c>
      <c r="I500" s="35">
        <f>(Table143454[[#This Row],[Core CPI]]-F488)/F488</f>
        <v>5.2917849569824496E-2</v>
      </c>
    </row>
    <row r="501" spans="1:9" x14ac:dyDescent="0.35">
      <c r="A501" s="33">
        <f>IF(Data!A528="",#N/A,Data!A528)</f>
        <v>33909</v>
      </c>
      <c r="B501" s="34">
        <f>VLOOKUP(A501,Data!A:AX,MATCH($B$2,Data!$B$1:$AX$1,0),FALSE)</f>
        <v>59.093800000000002</v>
      </c>
      <c r="C501" s="35">
        <f t="shared" si="30"/>
        <v>7.0796092189322479E-3</v>
      </c>
      <c r="D501" s="35">
        <f t="shared" si="27"/>
        <v>8.8342609474548972E-2</v>
      </c>
      <c r="E501" s="35">
        <f>(Table143454[[#This Row],[JPN]]-B489)/B489</f>
        <v>4.8847894531982822E-2</v>
      </c>
      <c r="F501" s="34">
        <f>VLOOKUP(Table143454[[#This Row],[Date]],'Data Core CPI'!$A:$AX,MATCH($B$2,'Data Core CPI'!$B$1:$AX$1,0),FALSE)</f>
        <v>59.617400000000004</v>
      </c>
      <c r="G501" s="35">
        <f t="shared" si="28"/>
        <v>9.0110887741690071E-3</v>
      </c>
      <c r="H501" s="35">
        <f t="shared" si="29"/>
        <v>0.11365653169023759</v>
      </c>
      <c r="I501" s="35">
        <f>(Table143454[[#This Row],[Core CPI]]-F489)/F489</f>
        <v>5.5888927400662564E-2</v>
      </c>
    </row>
    <row r="502" spans="1:9" x14ac:dyDescent="0.35">
      <c r="A502" s="33">
        <f>IF(Data!A529="",#N/A,Data!A529)</f>
        <v>33939</v>
      </c>
      <c r="B502" s="34">
        <f>VLOOKUP(A502,Data!A:AX,MATCH($B$2,Data!$B$1:$AX$1,0),FALSE)</f>
        <v>59.249580000000002</v>
      </c>
      <c r="C502" s="35">
        <f t="shared" si="30"/>
        <v>2.6361479546077593E-3</v>
      </c>
      <c r="D502" s="35">
        <f t="shared" si="27"/>
        <v>3.2096481930092846E-2</v>
      </c>
      <c r="E502" s="35">
        <f>(Table143454[[#This Row],[JPN]]-B490)/B490</f>
        <v>4.8713206499200572E-2</v>
      </c>
      <c r="F502" s="34">
        <f>VLOOKUP(Table143454[[#This Row],[Date]],'Data Core CPI'!$A:$AX,MATCH($B$2,'Data Core CPI'!$B$1:$AX$1,0),FALSE)</f>
        <v>59.822139999999997</v>
      </c>
      <c r="G502" s="35">
        <f t="shared" si="28"/>
        <v>3.434232287889083E-3</v>
      </c>
      <c r="H502" s="35">
        <f t="shared" si="29"/>
        <v>4.1998168177673767E-2</v>
      </c>
      <c r="I502" s="35">
        <f>(Table143454[[#This Row],[Core CPI]]-F490)/F490</f>
        <v>5.6949556934538882E-2</v>
      </c>
    </row>
    <row r="503" spans="1:9" x14ac:dyDescent="0.35">
      <c r="A503" s="33">
        <f>IF(Data!A530="",#N/A,Data!A530)</f>
        <v>33970</v>
      </c>
      <c r="B503" s="34">
        <f>VLOOKUP(A503,Data!A:AX,MATCH($B$2,Data!$B$1:$AX$1,0),FALSE)</f>
        <v>59.561149999999998</v>
      </c>
      <c r="C503" s="35">
        <f t="shared" si="30"/>
        <v>5.2586026770147232E-3</v>
      </c>
      <c r="D503" s="35">
        <f t="shared" si="27"/>
        <v>6.4960696823738839E-2</v>
      </c>
      <c r="E503" s="35">
        <f>(Table143454[[#This Row],[JPN]]-B491)/B491</f>
        <v>4.7488696098725081E-2</v>
      </c>
      <c r="F503" s="34">
        <f>VLOOKUP(Table143454[[#This Row],[Date]],'Data Core CPI'!$A:$AX,MATCH($B$2,'Data Core CPI'!$B$1:$AX$1,0),FALSE)</f>
        <v>60.17765</v>
      </c>
      <c r="G503" s="35">
        <f t="shared" si="28"/>
        <v>5.9427830565741413E-3</v>
      </c>
      <c r="H503" s="35">
        <f t="shared" si="29"/>
        <v>7.3691093686134801E-2</v>
      </c>
      <c r="I503" s="35">
        <f>(Table143454[[#This Row],[Core CPI]]-F491)/F491</f>
        <v>5.6730263193708295E-2</v>
      </c>
    </row>
    <row r="504" spans="1:9" x14ac:dyDescent="0.35">
      <c r="A504" s="33">
        <f>IF(Data!A531="",#N/A,Data!A531)</f>
        <v>34001</v>
      </c>
      <c r="B504" s="34">
        <f>VLOOKUP(A504,Data!A:AX,MATCH($B$2,Data!$B$1:$AX$1,0),FALSE)</f>
        <v>59.768859999999997</v>
      </c>
      <c r="C504" s="35">
        <f t="shared" si="30"/>
        <v>3.4873403216693077E-3</v>
      </c>
      <c r="D504" s="35">
        <f t="shared" si="27"/>
        <v>4.2660149804780945E-2</v>
      </c>
      <c r="E504" s="35">
        <f>(Table143454[[#This Row],[JPN]]-B492)/B492</f>
        <v>4.5413290697428318E-2</v>
      </c>
      <c r="F504" s="34">
        <f>VLOOKUP(Table143454[[#This Row],[Date]],'Data Core CPI'!$A:$AX,MATCH($B$2,'Data Core CPI'!$B$1:$AX$1,0),FALSE)</f>
        <v>60.443860000000001</v>
      </c>
      <c r="G504" s="35">
        <f t="shared" si="28"/>
        <v>4.4237353901324106E-3</v>
      </c>
      <c r="H504" s="35">
        <f t="shared" si="29"/>
        <v>5.4395643694074902E-2</v>
      </c>
      <c r="I504" s="35">
        <f>(Table143454[[#This Row],[Core CPI]]-F492)/F492</f>
        <v>5.5010648922767448E-2</v>
      </c>
    </row>
    <row r="505" spans="1:9" x14ac:dyDescent="0.35">
      <c r="A505" s="33">
        <f>IF(Data!A532="",#N/A,Data!A532)</f>
        <v>34029</v>
      </c>
      <c r="B505" s="34">
        <f>VLOOKUP(A505,Data!A:AX,MATCH($B$2,Data!$B$1:$AX$1,0),FALSE)</f>
        <v>59.976570000000002</v>
      </c>
      <c r="C505" s="35">
        <f t="shared" si="30"/>
        <v>3.4752210431987507E-3</v>
      </c>
      <c r="D505" s="35">
        <f t="shared" si="27"/>
        <v>4.250905134395544E-2</v>
      </c>
      <c r="E505" s="35">
        <f>(Table143454[[#This Row],[JPN]]-B493)/B493</f>
        <v>4.4303787550204941E-2</v>
      </c>
      <c r="F505" s="34">
        <f>VLOOKUP(Table143454[[#This Row],[Date]],'Data Core CPI'!$A:$AX,MATCH($B$2,'Data Core CPI'!$B$1:$AX$1,0),FALSE)</f>
        <v>60.680500000000002</v>
      </c>
      <c r="G505" s="35">
        <f t="shared" si="28"/>
        <v>3.9150378549617226E-3</v>
      </c>
      <c r="H505" s="35">
        <f t="shared" si="29"/>
        <v>4.8005389417747901E-2</v>
      </c>
      <c r="I505" s="35">
        <f>(Table143454[[#This Row],[Core CPI]]-F493)/F493</f>
        <v>5.3125290158097686E-2</v>
      </c>
    </row>
    <row r="506" spans="1:9" x14ac:dyDescent="0.35">
      <c r="A506" s="33">
        <f>IF(Data!A533="",#N/A,Data!A533)</f>
        <v>34060</v>
      </c>
      <c r="B506" s="34">
        <f>VLOOKUP(A506,Data!A:AX,MATCH($B$2,Data!$B$1:$AX$1,0),FALSE)</f>
        <v>60.23621</v>
      </c>
      <c r="C506" s="35">
        <f t="shared" si="30"/>
        <v>4.329023817133848E-3</v>
      </c>
      <c r="D506" s="35">
        <f t="shared" si="27"/>
        <v>5.3203178503127946E-2</v>
      </c>
      <c r="E506" s="35">
        <f>(Table143454[[#This Row],[JPN]]-B494)/B494</f>
        <v>4.5045074741732354E-2</v>
      </c>
      <c r="F506" s="34">
        <f>VLOOKUP(Table143454[[#This Row],[Date]],'Data Core CPI'!$A:$AX,MATCH($B$2,'Data Core CPI'!$B$1:$AX$1,0),FALSE)</f>
        <v>60.900950000000002</v>
      </c>
      <c r="G506" s="35">
        <f t="shared" si="28"/>
        <v>3.6329628134244007E-3</v>
      </c>
      <c r="H506" s="35">
        <f t="shared" si="29"/>
        <v>4.4477284993865496E-2</v>
      </c>
      <c r="I506" s="35">
        <f>(Table143454[[#This Row],[Core CPI]]-F494)/F494</f>
        <v>5.3005826541349964E-2</v>
      </c>
    </row>
    <row r="507" spans="1:9" x14ac:dyDescent="0.35">
      <c r="A507" s="33">
        <f>IF(Data!A534="",#N/A,Data!A534)</f>
        <v>34090</v>
      </c>
      <c r="B507" s="34">
        <f>VLOOKUP(A507,Data!A:AX,MATCH($B$2,Data!$B$1:$AX$1,0),FALSE)</f>
        <v>60.443919999999999</v>
      </c>
      <c r="C507" s="35">
        <f t="shared" si="30"/>
        <v>3.4482581158410408E-3</v>
      </c>
      <c r="D507" s="35">
        <f t="shared" ref="D507:D570" si="31">((1+C507)^12)-1</f>
        <v>4.217296002964277E-2</v>
      </c>
      <c r="E507" s="35">
        <f>(Table143454[[#This Row],[JPN]]-B495)/B495</f>
        <v>4.3946178427225417E-2</v>
      </c>
      <c r="F507" s="34">
        <f>VLOOKUP(Table143454[[#This Row],[Date]],'Data Core CPI'!$A:$AX,MATCH($B$2,'Data Core CPI'!$B$1:$AX$1,0),FALSE)</f>
        <v>61.135350000000003</v>
      </c>
      <c r="G507" s="35">
        <f t="shared" si="28"/>
        <v>3.8488726366336934E-3</v>
      </c>
      <c r="H507" s="35">
        <f t="shared" si="29"/>
        <v>4.7176836728683558E-2</v>
      </c>
      <c r="I507" s="35">
        <f>(Table143454[[#This Row],[Core CPI]]-F495)/F495</f>
        <v>5.1310936907259991E-2</v>
      </c>
    </row>
    <row r="508" spans="1:9" x14ac:dyDescent="0.35">
      <c r="A508" s="33">
        <f>IF(Data!A535="",#N/A,Data!A535)</f>
        <v>34121</v>
      </c>
      <c r="B508" s="34">
        <f>VLOOKUP(A508,Data!A:AX,MATCH($B$2,Data!$B$1:$AX$1,0),FALSE)</f>
        <v>60.80742</v>
      </c>
      <c r="C508" s="35">
        <f t="shared" si="30"/>
        <v>6.013838943602634E-3</v>
      </c>
      <c r="D508" s="35">
        <f t="shared" si="31"/>
        <v>7.4601543711960039E-2</v>
      </c>
      <c r="E508" s="35">
        <f>(Table143454[[#This Row],[JPN]]-B496)/B496</f>
        <v>4.7406228964000541E-2</v>
      </c>
      <c r="F508" s="34">
        <f>VLOOKUP(Table143454[[#This Row],[Date]],'Data Core CPI'!$A:$AX,MATCH($B$2,'Data Core CPI'!$B$1:$AX$1,0),FALSE)</f>
        <v>61.450290000000003</v>
      </c>
      <c r="G508" s="35">
        <f t="shared" si="28"/>
        <v>5.1515203560623668E-3</v>
      </c>
      <c r="H508" s="35">
        <f t="shared" si="29"/>
        <v>6.3600191083756918E-2</v>
      </c>
      <c r="I508" s="35">
        <f>(Table143454[[#This Row],[Core CPI]]-F496)/F496</f>
        <v>5.4001499093511512E-2</v>
      </c>
    </row>
    <row r="509" spans="1:9" x14ac:dyDescent="0.35">
      <c r="A509" s="33">
        <f>IF(Data!A536="",#N/A,Data!A536)</f>
        <v>34151</v>
      </c>
      <c r="B509" s="34">
        <f>VLOOKUP(A509,Data!A:AX,MATCH($B$2,Data!$B$1:$AX$1,0),FALSE)</f>
        <v>61.015129999999999</v>
      </c>
      <c r="C509" s="35">
        <f t="shared" si="30"/>
        <v>3.4158660242451511E-3</v>
      </c>
      <c r="D509" s="35">
        <f t="shared" si="31"/>
        <v>4.1769325835853577E-2</v>
      </c>
      <c r="E509" s="35">
        <f>(Table143454[[#This Row],[JPN]]-B497)/B497</f>
        <v>4.9107190448270291E-2</v>
      </c>
      <c r="F509" s="34">
        <f>VLOOKUP(Table143454[[#This Row],[Date]],'Data Core CPI'!$A:$AX,MATCH($B$2,'Data Core CPI'!$B$1:$AX$1,0),FALSE)</f>
        <v>61.715380000000003</v>
      </c>
      <c r="G509" s="35">
        <f t="shared" si="28"/>
        <v>4.3138933925290779E-3</v>
      </c>
      <c r="H509" s="35">
        <f t="shared" si="29"/>
        <v>5.3012793592352114E-2</v>
      </c>
      <c r="I509" s="35">
        <f>(Table143454[[#This Row],[Core CPI]]-F497)/F497</f>
        <v>5.5305787995562378E-2</v>
      </c>
    </row>
    <row r="510" spans="1:9" x14ac:dyDescent="0.35">
      <c r="A510" s="33">
        <f>IF(Data!A537="",#N/A,Data!A537)</f>
        <v>34182</v>
      </c>
      <c r="B510" s="34">
        <f>VLOOKUP(A510,Data!A:AX,MATCH($B$2,Data!$B$1:$AX$1,0),FALSE)</f>
        <v>61.067050000000002</v>
      </c>
      <c r="C510" s="35">
        <f t="shared" si="30"/>
        <v>8.5093648083689466E-4</v>
      </c>
      <c r="D510" s="35">
        <f t="shared" si="31"/>
        <v>1.0259163715514052E-2</v>
      </c>
      <c r="E510" s="35">
        <f>(Table143454[[#This Row],[JPN]]-B498)/B498</f>
        <v>4.7194986939868511E-2</v>
      </c>
      <c r="F510" s="34">
        <f>VLOOKUP(Table143454[[#This Row],[Date]],'Data Core CPI'!$A:$AX,MATCH($B$2,'Data Core CPI'!$B$1:$AX$1,0),FALSE)</f>
        <v>61.854089999999999</v>
      </c>
      <c r="G510" s="35">
        <f t="shared" si="28"/>
        <v>2.247575887890374E-3</v>
      </c>
      <c r="H510" s="35">
        <f t="shared" si="29"/>
        <v>2.7306826605152601E-2</v>
      </c>
      <c r="I510" s="35">
        <f>(Table143454[[#This Row],[Core CPI]]-F498)/F498</f>
        <v>5.3363780373954318E-2</v>
      </c>
    </row>
    <row r="511" spans="1:9" x14ac:dyDescent="0.35">
      <c r="A511" s="33">
        <f>IF(Data!A538="",#N/A,Data!A538)</f>
        <v>34213</v>
      </c>
      <c r="B511" s="34">
        <f>VLOOKUP(A511,Data!A:AX,MATCH($B$2,Data!$B$1:$AX$1,0),FALSE)</f>
        <v>61.222839999999998</v>
      </c>
      <c r="C511" s="35">
        <f t="shared" si="30"/>
        <v>2.5511302740184316E-3</v>
      </c>
      <c r="D511" s="35">
        <f t="shared" si="31"/>
        <v>3.1046782630975045E-2</v>
      </c>
      <c r="E511" s="35">
        <f>(Table143454[[#This Row],[JPN]]-B499)/B499</f>
        <v>4.8000008216541441E-2</v>
      </c>
      <c r="F511" s="34">
        <f>VLOOKUP(Table143454[[#This Row],[Date]],'Data Core CPI'!$A:$AX,MATCH($B$2,'Data Core CPI'!$B$1:$AX$1,0),FALSE)</f>
        <v>62.000390000000003</v>
      </c>
      <c r="G511" s="35">
        <f t="shared" si="28"/>
        <v>2.3652437534851245E-3</v>
      </c>
      <c r="H511" s="35">
        <f t="shared" si="29"/>
        <v>2.8755080596426952E-2</v>
      </c>
      <c r="I511" s="35">
        <f>(Table143454[[#This Row],[Core CPI]]-F499)/F499</f>
        <v>5.4000527336946783E-2</v>
      </c>
    </row>
    <row r="512" spans="1:9" x14ac:dyDescent="0.35">
      <c r="A512" s="33">
        <f>IF(Data!A539="",#N/A,Data!A539)</f>
        <v>34243</v>
      </c>
      <c r="B512" s="34">
        <f>VLOOKUP(A512,Data!A:AX,MATCH($B$2,Data!$B$1:$AX$1,0),FALSE)</f>
        <v>61.534399999999998</v>
      </c>
      <c r="C512" s="35">
        <f t="shared" si="30"/>
        <v>5.0889504635851512E-3</v>
      </c>
      <c r="D512" s="35">
        <f t="shared" si="31"/>
        <v>6.2805963724853031E-2</v>
      </c>
      <c r="E512" s="35">
        <f>(Table143454[[#This Row],[JPN]]-B500)/B500</f>
        <v>4.8672441195547679E-2</v>
      </c>
      <c r="F512" s="34">
        <f>VLOOKUP(Table143454[[#This Row],[Date]],'Data Core CPI'!$A:$AX,MATCH($B$2,'Data Core CPI'!$B$1:$AX$1,0),FALSE)</f>
        <v>62.344410000000003</v>
      </c>
      <c r="G512" s="35">
        <f t="shared" si="28"/>
        <v>5.5486747744650788E-3</v>
      </c>
      <c r="H512" s="35">
        <f t="shared" si="29"/>
        <v>6.865414786408186E-2</v>
      </c>
      <c r="I512" s="35">
        <f>(Table143454[[#This Row],[Core CPI]]-F500)/F500</f>
        <v>5.5165119798635823E-2</v>
      </c>
    </row>
    <row r="513" spans="1:9" x14ac:dyDescent="0.35">
      <c r="A513" s="33">
        <f>IF(Data!A540="",#N/A,Data!A540)</f>
        <v>34274</v>
      </c>
      <c r="B513" s="34">
        <f>VLOOKUP(A513,Data!A:AX,MATCH($B$2,Data!$B$1:$AX$1,0),FALSE)</f>
        <v>61.74212</v>
      </c>
      <c r="C513" s="35">
        <f t="shared" si="30"/>
        <v>3.3756727944045384E-3</v>
      </c>
      <c r="D513" s="35">
        <f t="shared" si="31"/>
        <v>4.1268681764842441E-2</v>
      </c>
      <c r="E513" s="35">
        <f>(Table143454[[#This Row],[JPN]]-B501)/B501</f>
        <v>4.4815530563273948E-2</v>
      </c>
      <c r="F513" s="34">
        <f>VLOOKUP(Table143454[[#This Row],[Date]],'Data Core CPI'!$A:$AX,MATCH($B$2,'Data Core CPI'!$B$1:$AX$1,0),FALSE)</f>
        <v>62.575859999999999</v>
      </c>
      <c r="G513" s="35">
        <f t="shared" si="28"/>
        <v>3.7124419013667698E-3</v>
      </c>
      <c r="H513" s="35">
        <f t="shared" si="29"/>
        <v>4.5470280699930754E-2</v>
      </c>
      <c r="I513" s="35">
        <f>(Table143454[[#This Row],[Core CPI]]-F501)/F501</f>
        <v>4.9624103030323281E-2</v>
      </c>
    </row>
    <row r="514" spans="1:9" x14ac:dyDescent="0.35">
      <c r="A514" s="33">
        <f>IF(Data!A541="",#N/A,Data!A541)</f>
        <v>34304</v>
      </c>
      <c r="B514" s="34">
        <f>VLOOKUP(A514,Data!A:AX,MATCH($B$2,Data!$B$1:$AX$1,0),FALSE)</f>
        <v>61.845970000000001</v>
      </c>
      <c r="C514" s="35">
        <f t="shared" si="30"/>
        <v>1.681996018277232E-3</v>
      </c>
      <c r="D514" s="35">
        <f t="shared" si="31"/>
        <v>2.0371724373497546E-2</v>
      </c>
      <c r="E514" s="35">
        <f>(Table143454[[#This Row],[JPN]]-B502)/B502</f>
        <v>4.3821238901609084E-2</v>
      </c>
      <c r="F514" s="34">
        <f>VLOOKUP(Table143454[[#This Row],[Date]],'Data Core CPI'!$A:$AX,MATCH($B$2,'Data Core CPI'!$B$1:$AX$1,0),FALSE)</f>
        <v>62.671050000000001</v>
      </c>
      <c r="G514" s="35">
        <f t="shared" si="28"/>
        <v>1.5211936360124412E-3</v>
      </c>
      <c r="H514" s="35">
        <f t="shared" si="29"/>
        <v>1.8407826693692231E-2</v>
      </c>
      <c r="I514" s="35">
        <f>(Table143454[[#This Row],[Core CPI]]-F502)/F502</f>
        <v>4.7623003790904235E-2</v>
      </c>
    </row>
    <row r="515" spans="1:9" x14ac:dyDescent="0.35">
      <c r="A515" s="33">
        <f>IF(Data!A542="",#N/A,Data!A542)</f>
        <v>34335</v>
      </c>
      <c r="B515" s="34">
        <f>VLOOKUP(A515,Data!A:AX,MATCH($B$2,Data!$B$1:$AX$1,0),FALSE)</f>
        <v>62.157539999999997</v>
      </c>
      <c r="C515" s="35">
        <f t="shared" si="30"/>
        <v>5.037838358748381E-3</v>
      </c>
      <c r="D515" s="35">
        <f t="shared" si="31"/>
        <v>6.2157578618357912E-2</v>
      </c>
      <c r="E515" s="35">
        <f>(Table143454[[#This Row],[JPN]]-B503)/B503</f>
        <v>4.3592005862882088E-2</v>
      </c>
      <c r="F515" s="34">
        <f>VLOOKUP(Table143454[[#This Row],[Date]],'Data Core CPI'!$A:$AX,MATCH($B$2,'Data Core CPI'!$B$1:$AX$1,0),FALSE)</f>
        <v>62.896070000000002</v>
      </c>
      <c r="G515" s="35">
        <f t="shared" ref="G515:G578" si="32">(F515/F514)-1</f>
        <v>3.5904935372872426E-3</v>
      </c>
      <c r="H515" s="35">
        <f t="shared" ref="H515:H578" si="33">((1+G515)^12)-1</f>
        <v>4.3947036901886616E-2</v>
      </c>
      <c r="I515" s="35">
        <f>(Table143454[[#This Row],[Core CPI]]-F503)/F503</f>
        <v>4.5173249536995912E-2</v>
      </c>
    </row>
    <row r="516" spans="1:9" x14ac:dyDescent="0.35">
      <c r="A516" s="33">
        <f>IF(Data!A543="",#N/A,Data!A543)</f>
        <v>34366</v>
      </c>
      <c r="B516" s="34">
        <f>VLOOKUP(A516,Data!A:AX,MATCH($B$2,Data!$B$1:$AX$1,0),FALSE)</f>
        <v>62.417180000000002</v>
      </c>
      <c r="C516" s="35">
        <f t="shared" ref="C516:C579" si="34">(B516/B515)-1</f>
        <v>4.1771279880125078E-3</v>
      </c>
      <c r="D516" s="35">
        <f t="shared" si="31"/>
        <v>5.1293316374771969E-2</v>
      </c>
      <c r="E516" s="35">
        <f>(Table143454[[#This Row],[JPN]]-B504)/B504</f>
        <v>4.4309361095393247E-2</v>
      </c>
      <c r="F516" s="34">
        <f>VLOOKUP(Table143454[[#This Row],[Date]],'Data Core CPI'!$A:$AX,MATCH($B$2,'Data Core CPI'!$B$1:$AX$1,0),FALSE)</f>
        <v>63.200069999999997</v>
      </c>
      <c r="G516" s="35">
        <f t="shared" si="32"/>
        <v>4.8333703520744287E-3</v>
      </c>
      <c r="H516" s="35">
        <f t="shared" si="33"/>
        <v>5.9567414646525929E-2</v>
      </c>
      <c r="I516" s="35">
        <f>(Table143454[[#This Row],[Core CPI]]-F504)/F504</f>
        <v>4.5599503406963018E-2</v>
      </c>
    </row>
    <row r="517" spans="1:9" x14ac:dyDescent="0.35">
      <c r="A517" s="33">
        <f>IF(Data!A544="",#N/A,Data!A544)</f>
        <v>34394</v>
      </c>
      <c r="B517" s="34">
        <f>VLOOKUP(A517,Data!A:AX,MATCH($B$2,Data!$B$1:$AX$1,0),FALSE)</f>
        <v>62.572960000000002</v>
      </c>
      <c r="C517" s="35">
        <f t="shared" si="34"/>
        <v>2.4957872175577211E-3</v>
      </c>
      <c r="D517" s="35">
        <f t="shared" si="31"/>
        <v>3.0363996998215903E-2</v>
      </c>
      <c r="E517" s="35">
        <f>(Table143454[[#This Row],[JPN]]-B505)/B505</f>
        <v>4.3290071439563808E-2</v>
      </c>
      <c r="F517" s="34">
        <f>VLOOKUP(Table143454[[#This Row],[Date]],'Data Core CPI'!$A:$AX,MATCH($B$2,'Data Core CPI'!$B$1:$AX$1,0),FALSE)</f>
        <v>63.382240000000003</v>
      </c>
      <c r="G517" s="35">
        <f t="shared" si="32"/>
        <v>2.8824335162920267E-3</v>
      </c>
      <c r="H517" s="35">
        <f t="shared" si="33"/>
        <v>3.5142861104733081E-2</v>
      </c>
      <c r="I517" s="35">
        <f>(Table143454[[#This Row],[Core CPI]]-F505)/F505</f>
        <v>4.4524023368297902E-2</v>
      </c>
    </row>
    <row r="518" spans="1:9" x14ac:dyDescent="0.35">
      <c r="A518" s="33">
        <f>IF(Data!A545="",#N/A,Data!A545)</f>
        <v>34425</v>
      </c>
      <c r="B518" s="34">
        <f>VLOOKUP(A518,Data!A:AX,MATCH($B$2,Data!$B$1:$AX$1,0),FALSE)</f>
        <v>62.676819999999999</v>
      </c>
      <c r="C518" s="35">
        <f t="shared" si="34"/>
        <v>1.659822389735055E-3</v>
      </c>
      <c r="D518" s="35">
        <f t="shared" si="31"/>
        <v>2.0100709150164375E-2</v>
      </c>
      <c r="E518" s="35">
        <f>(Table143454[[#This Row],[JPN]]-B506)/B506</f>
        <v>4.0517323384057523E-2</v>
      </c>
      <c r="F518" s="34">
        <f>VLOOKUP(Table143454[[#This Row],[Date]],'Data Core CPI'!$A:$AX,MATCH($B$2,'Data Core CPI'!$B$1:$AX$1,0),FALSE)</f>
        <v>63.485570000000003</v>
      </c>
      <c r="G518" s="35">
        <f t="shared" si="32"/>
        <v>1.6302674061376976E-3</v>
      </c>
      <c r="H518" s="35">
        <f t="shared" si="33"/>
        <v>1.9739578552498971E-2</v>
      </c>
      <c r="I518" s="35">
        <f>(Table143454[[#This Row],[Core CPI]]-F506)/F506</f>
        <v>4.243973205672491E-2</v>
      </c>
    </row>
    <row r="519" spans="1:9" x14ac:dyDescent="0.35">
      <c r="A519" s="33">
        <f>IF(Data!A546="",#N/A,Data!A546)</f>
        <v>34455</v>
      </c>
      <c r="B519" s="34">
        <f>VLOOKUP(A519,Data!A:AX,MATCH($B$2,Data!$B$1:$AX$1,0),FALSE)</f>
        <v>63.040309999999998</v>
      </c>
      <c r="C519" s="35">
        <f t="shared" si="34"/>
        <v>5.799432708934571E-3</v>
      </c>
      <c r="D519" s="35">
        <f t="shared" si="31"/>
        <v>7.1856475434985745E-2</v>
      </c>
      <c r="E519" s="35">
        <f>(Table143454[[#This Row],[JPN]]-B507)/B507</f>
        <v>4.2955354318515403E-2</v>
      </c>
      <c r="F519" s="34">
        <f>VLOOKUP(Table143454[[#This Row],[Date]],'Data Core CPI'!$A:$AX,MATCH($B$2,'Data Core CPI'!$B$1:$AX$1,0),FALSE)</f>
        <v>63.950209999999998</v>
      </c>
      <c r="G519" s="35">
        <f t="shared" si="32"/>
        <v>7.3188285148892973E-3</v>
      </c>
      <c r="H519" s="35">
        <f t="shared" si="33"/>
        <v>9.1448933454551407E-2</v>
      </c>
      <c r="I519" s="35">
        <f>(Table143454[[#This Row],[Core CPI]]-F507)/F507</f>
        <v>4.6043083093496577E-2</v>
      </c>
    </row>
    <row r="520" spans="1:9" x14ac:dyDescent="0.35">
      <c r="A520" s="33">
        <f>IF(Data!A547="",#N/A,Data!A547)</f>
        <v>34486</v>
      </c>
      <c r="B520" s="34">
        <f>VLOOKUP(A520,Data!A:AX,MATCH($B$2,Data!$B$1:$AX$1,0),FALSE)</f>
        <v>63.144170000000003</v>
      </c>
      <c r="C520" s="35">
        <f t="shared" si="34"/>
        <v>1.6475172790235693E-3</v>
      </c>
      <c r="D520" s="35">
        <f t="shared" si="31"/>
        <v>1.9950339488146174E-2</v>
      </c>
      <c r="E520" s="35">
        <f>(Table143454[[#This Row],[JPN]]-B508)/B508</f>
        <v>3.8428698339775018E-2</v>
      </c>
      <c r="F520" s="34">
        <f>VLOOKUP(Table143454[[#This Row],[Date]],'Data Core CPI'!$A:$AX,MATCH($B$2,'Data Core CPI'!$B$1:$AX$1,0),FALSE)</f>
        <v>63.992150000000002</v>
      </c>
      <c r="G520" s="35">
        <f t="shared" si="32"/>
        <v>6.5582270957365019E-4</v>
      </c>
      <c r="H520" s="35">
        <f t="shared" si="33"/>
        <v>7.8983214884427166E-3</v>
      </c>
      <c r="I520" s="35">
        <f>(Table143454[[#This Row],[Core CPI]]-F508)/F508</f>
        <v>4.1364491526402883E-2</v>
      </c>
    </row>
    <row r="521" spans="1:9" x14ac:dyDescent="0.35">
      <c r="A521" s="33">
        <f>IF(Data!A548="",#N/A,Data!A548)</f>
        <v>34516</v>
      </c>
      <c r="B521" s="34">
        <f>VLOOKUP(A521,Data!A:AX,MATCH($B$2,Data!$B$1:$AX$1,0),FALSE)</f>
        <v>63.299950000000003</v>
      </c>
      <c r="C521" s="35">
        <f t="shared" si="34"/>
        <v>2.467052777794132E-3</v>
      </c>
      <c r="D521" s="35">
        <f t="shared" si="31"/>
        <v>3.000965417962731E-2</v>
      </c>
      <c r="E521" s="35">
        <f>(Table143454[[#This Row],[JPN]]-B509)/B509</f>
        <v>3.7446777545176148E-2</v>
      </c>
      <c r="F521" s="34">
        <f>VLOOKUP(Table143454[[#This Row],[Date]],'Data Core CPI'!$A:$AX,MATCH($B$2,'Data Core CPI'!$B$1:$AX$1,0),FALSE)</f>
        <v>64.161000000000001</v>
      </c>
      <c r="G521" s="35">
        <f t="shared" si="32"/>
        <v>2.6386048913811244E-3</v>
      </c>
      <c r="H521" s="35">
        <f t="shared" si="33"/>
        <v>3.2126831882849372E-2</v>
      </c>
      <c r="I521" s="35">
        <f>(Table143454[[#This Row],[Core CPI]]-F509)/F509</f>
        <v>3.9627399199356754E-2</v>
      </c>
    </row>
    <row r="522" spans="1:9" x14ac:dyDescent="0.35">
      <c r="A522" s="33">
        <f>IF(Data!A549="",#N/A,Data!A549)</f>
        <v>34547</v>
      </c>
      <c r="B522" s="34">
        <f>VLOOKUP(A522,Data!A:AX,MATCH($B$2,Data!$B$1:$AX$1,0),FALSE)</f>
        <v>63.403799999999997</v>
      </c>
      <c r="C522" s="35">
        <f t="shared" si="34"/>
        <v>1.6406016118495348E-3</v>
      </c>
      <c r="D522" s="35">
        <f t="shared" si="31"/>
        <v>1.9865838274523373E-2</v>
      </c>
      <c r="E522" s="35">
        <f>(Table143454[[#This Row],[JPN]]-B510)/B510</f>
        <v>3.8265316565971257E-2</v>
      </c>
      <c r="F522" s="34">
        <f>VLOOKUP(Table143454[[#This Row],[Date]],'Data Core CPI'!$A:$AX,MATCH($B$2,'Data Core CPI'!$B$1:$AX$1,0),FALSE)</f>
        <v>64.282830000000004</v>
      </c>
      <c r="G522" s="35">
        <f t="shared" si="32"/>
        <v>1.89881703838779E-3</v>
      </c>
      <c r="H522" s="35">
        <f t="shared" si="33"/>
        <v>2.3025280483903288E-2</v>
      </c>
      <c r="I522" s="35">
        <f>(Table143454[[#This Row],[Core CPI]]-F510)/F510</f>
        <v>3.9265633040596097E-2</v>
      </c>
    </row>
    <row r="523" spans="1:9" x14ac:dyDescent="0.35">
      <c r="A523" s="33">
        <f>IF(Data!A550="",#N/A,Data!A550)</f>
        <v>34578</v>
      </c>
      <c r="B523" s="34">
        <f>VLOOKUP(A523,Data!A:AX,MATCH($B$2,Data!$B$1:$AX$1,0),FALSE)</f>
        <v>63.611519999999999</v>
      </c>
      <c r="C523" s="35">
        <f t="shared" si="34"/>
        <v>3.2761443320432626E-3</v>
      </c>
      <c r="D523" s="35">
        <f t="shared" si="31"/>
        <v>4.0029911255964334E-2</v>
      </c>
      <c r="E523" s="35">
        <f>(Table143454[[#This Row],[JPN]]-B511)/B511</f>
        <v>3.9016158022071513E-2</v>
      </c>
      <c r="F523" s="34">
        <f>VLOOKUP(Table143454[[#This Row],[Date]],'Data Core CPI'!$A:$AX,MATCH($B$2,'Data Core CPI'!$B$1:$AX$1,0),FALSE)</f>
        <v>64.450649999999996</v>
      </c>
      <c r="G523" s="35">
        <f t="shared" si="32"/>
        <v>2.6106504645173612E-3</v>
      </c>
      <c r="H523" s="35">
        <f t="shared" si="33"/>
        <v>3.1781565822770697E-2</v>
      </c>
      <c r="I523" s="35">
        <f>(Table143454[[#This Row],[Core CPI]]-F511)/F511</f>
        <v>3.9520073986631259E-2</v>
      </c>
    </row>
    <row r="524" spans="1:9" x14ac:dyDescent="0.35">
      <c r="A524" s="33">
        <f>IF(Data!A551="",#N/A,Data!A551)</f>
        <v>34608</v>
      </c>
      <c r="B524" s="34">
        <f>VLOOKUP(A524,Data!A:AX,MATCH($B$2,Data!$B$1:$AX$1,0),FALSE)</f>
        <v>63.923079999999999</v>
      </c>
      <c r="C524" s="35">
        <f t="shared" si="34"/>
        <v>4.8978549797269455E-3</v>
      </c>
      <c r="D524" s="35">
        <f t="shared" si="31"/>
        <v>6.0383668568310567E-2</v>
      </c>
      <c r="E524" s="35">
        <f>(Table143454[[#This Row],[JPN]]-B512)/B512</f>
        <v>3.8818612028393887E-2</v>
      </c>
      <c r="F524" s="34">
        <f>VLOOKUP(Table143454[[#This Row],[Date]],'Data Core CPI'!$A:$AX,MATCH($B$2,'Data Core CPI'!$B$1:$AX$1,0),FALSE)</f>
        <v>64.761740000000003</v>
      </c>
      <c r="G524" s="35">
        <f t="shared" si="32"/>
        <v>4.8267938337318572E-3</v>
      </c>
      <c r="H524" s="35">
        <f t="shared" si="33"/>
        <v>5.9484200685927746E-2</v>
      </c>
      <c r="I524" s="35">
        <f>(Table143454[[#This Row],[Core CPI]]-F512)/F512</f>
        <v>3.8773805061271725E-2</v>
      </c>
    </row>
    <row r="525" spans="1:9" x14ac:dyDescent="0.35">
      <c r="A525" s="33">
        <f>IF(Data!A552="",#N/A,Data!A552)</f>
        <v>34639</v>
      </c>
      <c r="B525" s="34">
        <f>VLOOKUP(A525,Data!A:AX,MATCH($B$2,Data!$B$1:$AX$1,0),FALSE)</f>
        <v>64.182720000000003</v>
      </c>
      <c r="C525" s="35">
        <f t="shared" si="34"/>
        <v>4.0617567238625529E-3</v>
      </c>
      <c r="D525" s="35">
        <f t="shared" si="31"/>
        <v>4.9844817833644584E-2</v>
      </c>
      <c r="E525" s="35">
        <f>(Table143454[[#This Row],[JPN]]-B513)/B513</f>
        <v>3.952893097937038E-2</v>
      </c>
      <c r="F525" s="34">
        <f>VLOOKUP(Table143454[[#This Row],[Date]],'Data Core CPI'!$A:$AX,MATCH($B$2,'Data Core CPI'!$B$1:$AX$1,0),FALSE)</f>
        <v>65.026920000000004</v>
      </c>
      <c r="G525" s="35">
        <f t="shared" si="32"/>
        <v>4.0947015938732623E-3</v>
      </c>
      <c r="H525" s="35">
        <f t="shared" si="33"/>
        <v>5.025825746371293E-2</v>
      </c>
      <c r="I525" s="35">
        <f>(Table143454[[#This Row],[Core CPI]]-F513)/F513</f>
        <v>3.916941772753911E-2</v>
      </c>
    </row>
    <row r="526" spans="1:9" x14ac:dyDescent="0.35">
      <c r="A526" s="33">
        <f>IF(Data!A553="",#N/A,Data!A553)</f>
        <v>34669</v>
      </c>
      <c r="B526" s="34">
        <f>VLOOKUP(A526,Data!A:AX,MATCH($B$2,Data!$B$1:$AX$1,0),FALSE)</f>
        <v>64.338499999999996</v>
      </c>
      <c r="C526" s="35">
        <f t="shared" si="34"/>
        <v>2.4271330351843812E-3</v>
      </c>
      <c r="D526" s="35">
        <f t="shared" si="31"/>
        <v>2.9517563601722197E-2</v>
      </c>
      <c r="E526" s="35">
        <f>(Table143454[[#This Row],[JPN]]-B514)/B514</f>
        <v>4.0302221793917938E-2</v>
      </c>
      <c r="F526" s="34">
        <f>VLOOKUP(Table143454[[#This Row],[Date]],'Data Core CPI'!$A:$AX,MATCH($B$2,'Data Core CPI'!$B$1:$AX$1,0),FALSE)</f>
        <v>65.138450000000006</v>
      </c>
      <c r="G526" s="35">
        <f t="shared" si="32"/>
        <v>1.7151358237481595E-3</v>
      </c>
      <c r="H526" s="35">
        <f t="shared" si="33"/>
        <v>2.0776895767135262E-2</v>
      </c>
      <c r="I526" s="35">
        <f>(Table143454[[#This Row],[Core CPI]]-F514)/F514</f>
        <v>3.9370650403974479E-2</v>
      </c>
    </row>
    <row r="527" spans="1:9" x14ac:dyDescent="0.35">
      <c r="A527" s="33">
        <f>IF(Data!A554="",#N/A,Data!A554)</f>
        <v>34700</v>
      </c>
      <c r="B527" s="34">
        <f>VLOOKUP(A527,Data!A:AX,MATCH($B$2,Data!$B$1:$AX$1,0),FALSE)</f>
        <v>64.598140000000001</v>
      </c>
      <c r="C527" s="35">
        <f t="shared" si="34"/>
        <v>4.0355308252446598E-3</v>
      </c>
      <c r="D527" s="35">
        <f t="shared" si="31"/>
        <v>4.9515804182389767E-2</v>
      </c>
      <c r="E527" s="35">
        <f>(Table143454[[#This Row],[JPN]]-B515)/B515</f>
        <v>3.9264745676872083E-2</v>
      </c>
      <c r="F527" s="34">
        <f>VLOOKUP(Table143454[[#This Row],[Date]],'Data Core CPI'!$A:$AX,MATCH($B$2,'Data Core CPI'!$B$1:$AX$1,0),FALSE)</f>
        <v>65.363680000000002</v>
      </c>
      <c r="G527" s="35">
        <f t="shared" si="32"/>
        <v>3.4577119965242264E-3</v>
      </c>
      <c r="H527" s="35">
        <f t="shared" si="33"/>
        <v>4.2290790791191579E-2</v>
      </c>
      <c r="I527" s="35">
        <f>(Table143454[[#This Row],[Core CPI]]-F515)/F515</f>
        <v>3.9233134916060737E-2</v>
      </c>
    </row>
    <row r="528" spans="1:9" x14ac:dyDescent="0.35">
      <c r="A528" s="33">
        <f>IF(Data!A555="",#N/A,Data!A555)</f>
        <v>34731</v>
      </c>
      <c r="B528" s="34">
        <f>VLOOKUP(A528,Data!A:AX,MATCH($B$2,Data!$B$1:$AX$1,0),FALSE)</f>
        <v>65.065489999999997</v>
      </c>
      <c r="C528" s="35">
        <f t="shared" si="34"/>
        <v>7.2347284302611836E-3</v>
      </c>
      <c r="D528" s="35">
        <f t="shared" si="31"/>
        <v>9.0355947114887369E-2</v>
      </c>
      <c r="E528" s="35">
        <f>(Table143454[[#This Row],[JPN]]-B516)/B516</f>
        <v>4.2429183759983953E-2</v>
      </c>
      <c r="F528" s="34">
        <f>VLOOKUP(Table143454[[#This Row],[Date]],'Data Core CPI'!$A:$AX,MATCH($B$2,'Data Core CPI'!$B$1:$AX$1,0),FALSE)</f>
        <v>65.853999999999999</v>
      </c>
      <c r="G528" s="35">
        <f t="shared" si="32"/>
        <v>7.5014136290978417E-3</v>
      </c>
      <c r="H528" s="35">
        <f t="shared" si="33"/>
        <v>9.3825314534791149E-2</v>
      </c>
      <c r="I528" s="35">
        <f>(Table143454[[#This Row],[Core CPI]]-F516)/F516</f>
        <v>4.1992516780440317E-2</v>
      </c>
    </row>
    <row r="529" spans="1:9" x14ac:dyDescent="0.35">
      <c r="A529" s="33">
        <f>IF(Data!A556="",#N/A,Data!A556)</f>
        <v>34759</v>
      </c>
      <c r="B529" s="34">
        <f>VLOOKUP(A529,Data!A:AX,MATCH($B$2,Data!$B$1:$AX$1,0),FALSE)</f>
        <v>65.636700000000005</v>
      </c>
      <c r="C529" s="35">
        <f t="shared" si="34"/>
        <v>8.7790009727124474E-3</v>
      </c>
      <c r="D529" s="35">
        <f t="shared" si="31"/>
        <v>0.11058652342138275</v>
      </c>
      <c r="E529" s="35">
        <f>(Table143454[[#This Row],[JPN]]-B517)/B517</f>
        <v>4.8962682922463675E-2</v>
      </c>
      <c r="F529" s="34">
        <f>VLOOKUP(Table143454[[#This Row],[Date]],'Data Core CPI'!$A:$AX,MATCH($B$2,'Data Core CPI'!$B$1:$AX$1,0),FALSE)</f>
        <v>66.34348</v>
      </c>
      <c r="G529" s="35">
        <f t="shared" si="32"/>
        <v>7.4328059039694416E-3</v>
      </c>
      <c r="H529" s="35">
        <f t="shared" si="33"/>
        <v>9.2931815844591315E-2</v>
      </c>
      <c r="I529" s="35">
        <f>(Table143454[[#This Row],[Core CPI]]-F517)/F517</f>
        <v>4.6720343111887434E-2</v>
      </c>
    </row>
    <row r="530" spans="1:9" x14ac:dyDescent="0.35">
      <c r="A530" s="33">
        <f>IF(Data!A557="",#N/A,Data!A557)</f>
        <v>34790</v>
      </c>
      <c r="B530" s="34">
        <f>VLOOKUP(A530,Data!A:AX,MATCH($B$2,Data!$B$1:$AX$1,0),FALSE)</f>
        <v>65.896339999999995</v>
      </c>
      <c r="C530" s="35">
        <f t="shared" si="34"/>
        <v>3.955713800358529E-3</v>
      </c>
      <c r="D530" s="35">
        <f t="shared" si="31"/>
        <v>4.8515051402128417E-2</v>
      </c>
      <c r="E530" s="35">
        <f>(Table143454[[#This Row],[JPN]]-B518)/B518</f>
        <v>5.1366996602571664E-2</v>
      </c>
      <c r="F530" s="34">
        <f>VLOOKUP(Table143454[[#This Row],[Date]],'Data Core CPI'!$A:$AX,MATCH($B$2,'Data Core CPI'!$B$1:$AX$1,0),FALSE)</f>
        <v>66.576840000000004</v>
      </c>
      <c r="G530" s="35">
        <f t="shared" si="32"/>
        <v>3.5174519033369656E-3</v>
      </c>
      <c r="H530" s="35">
        <f t="shared" si="33"/>
        <v>4.3035656226090291E-2</v>
      </c>
      <c r="I530" s="35">
        <f>(Table143454[[#This Row],[Core CPI]]-F518)/F518</f>
        <v>4.8692482401906469E-2</v>
      </c>
    </row>
    <row r="531" spans="1:9" x14ac:dyDescent="0.35">
      <c r="A531" s="33">
        <f>IF(Data!A558="",#N/A,Data!A558)</f>
        <v>34820</v>
      </c>
      <c r="B531" s="34">
        <f>VLOOKUP(A531,Data!A:AX,MATCH($B$2,Data!$B$1:$AX$1,0),FALSE)</f>
        <v>66.311760000000007</v>
      </c>
      <c r="C531" s="35">
        <f t="shared" si="34"/>
        <v>6.3041437506241582E-3</v>
      </c>
      <c r="D531" s="35">
        <f t="shared" si="31"/>
        <v>7.8328620811822569E-2</v>
      </c>
      <c r="E531" s="35">
        <f>(Table143454[[#This Row],[JPN]]-B519)/B519</f>
        <v>5.1894573487979496E-2</v>
      </c>
      <c r="F531" s="34">
        <f>VLOOKUP(Table143454[[#This Row],[Date]],'Data Core CPI'!$A:$AX,MATCH($B$2,'Data Core CPI'!$B$1:$AX$1,0),FALSE)</f>
        <v>66.955780000000004</v>
      </c>
      <c r="G531" s="35">
        <f t="shared" si="32"/>
        <v>5.6917690896713946E-3</v>
      </c>
      <c r="H531" s="35">
        <f t="shared" si="33"/>
        <v>7.0480471099644504E-2</v>
      </c>
      <c r="I531" s="35">
        <f>(Table143454[[#This Row],[Core CPI]]-F519)/F519</f>
        <v>4.6998594687961241E-2</v>
      </c>
    </row>
    <row r="532" spans="1:9" x14ac:dyDescent="0.35">
      <c r="A532" s="33">
        <f>IF(Data!A559="",#N/A,Data!A559)</f>
        <v>34851</v>
      </c>
      <c r="B532" s="34">
        <f>VLOOKUP(A532,Data!A:AX,MATCH($B$2,Data!$B$1:$AX$1,0),FALSE)</f>
        <v>66.727180000000004</v>
      </c>
      <c r="C532" s="35">
        <f t="shared" si="34"/>
        <v>6.2646504933665526E-3</v>
      </c>
      <c r="D532" s="35">
        <f t="shared" si="31"/>
        <v>7.7820891390287805E-2</v>
      </c>
      <c r="E532" s="35">
        <f>(Table143454[[#This Row],[JPN]]-B520)/B520</f>
        <v>5.674332246349903E-2</v>
      </c>
      <c r="F532" s="34">
        <f>VLOOKUP(Table143454[[#This Row],[Date]],'Data Core CPI'!$A:$AX,MATCH($B$2,'Data Core CPI'!$B$1:$AX$1,0),FALSE)</f>
        <v>67.402010000000004</v>
      </c>
      <c r="G532" s="35">
        <f t="shared" si="32"/>
        <v>6.6645478553157833E-3</v>
      </c>
      <c r="H532" s="35">
        <f t="shared" si="33"/>
        <v>8.2972153422399053E-2</v>
      </c>
      <c r="I532" s="35">
        <f>(Table143454[[#This Row],[Core CPI]]-F520)/F520</f>
        <v>5.3285598311667945E-2</v>
      </c>
    </row>
    <row r="533" spans="1:9" x14ac:dyDescent="0.35">
      <c r="A533" s="33">
        <f>IF(Data!A560="",#N/A,Data!A560)</f>
        <v>34881</v>
      </c>
      <c r="B533" s="34">
        <f>VLOOKUP(A533,Data!A:AX,MATCH($B$2,Data!$B$1:$AX$1,0),FALSE)</f>
        <v>66.831040000000002</v>
      </c>
      <c r="C533" s="35">
        <f t="shared" si="34"/>
        <v>1.5564871765898491E-3</v>
      </c>
      <c r="D533" s="35">
        <f t="shared" si="31"/>
        <v>1.8838573667444791E-2</v>
      </c>
      <c r="E533" s="35">
        <f>(Table143454[[#This Row],[JPN]]-B521)/B521</f>
        <v>5.5783456385036623E-2</v>
      </c>
      <c r="F533" s="34">
        <f>VLOOKUP(Table143454[[#This Row],[Date]],'Data Core CPI'!$A:$AX,MATCH($B$2,'Data Core CPI'!$B$1:$AX$1,0),FALSE)</f>
        <v>67.545270000000002</v>
      </c>
      <c r="G533" s="35">
        <f t="shared" si="32"/>
        <v>2.1254559025760678E-3</v>
      </c>
      <c r="H533" s="35">
        <f t="shared" si="33"/>
        <v>2.580575252559969E-2</v>
      </c>
      <c r="I533" s="35">
        <f>(Table143454[[#This Row],[Core CPI]]-F521)/F521</f>
        <v>5.2746528264833788E-2</v>
      </c>
    </row>
    <row r="534" spans="1:9" x14ac:dyDescent="0.35">
      <c r="A534" s="33">
        <f>IF(Data!A561="",#N/A,Data!A561)</f>
        <v>34912</v>
      </c>
      <c r="B534" s="34">
        <f>VLOOKUP(A534,Data!A:AX,MATCH($B$2,Data!$B$1:$AX$1,0),FALSE)</f>
        <v>67.038749999999993</v>
      </c>
      <c r="C534" s="35">
        <f t="shared" si="34"/>
        <v>3.1079869473824573E-3</v>
      </c>
      <c r="D534" s="35">
        <f t="shared" si="31"/>
        <v>3.7940027064074622E-2</v>
      </c>
      <c r="E534" s="35">
        <f>(Table143454[[#This Row],[JPN]]-B522)/B522</f>
        <v>5.7330160021954464E-2</v>
      </c>
      <c r="F534" s="34">
        <f>VLOOKUP(Table143454[[#This Row],[Date]],'Data Core CPI'!$A:$AX,MATCH($B$2,'Data Core CPI'!$B$1:$AX$1,0),FALSE)</f>
        <v>67.810370000000006</v>
      </c>
      <c r="G534" s="35">
        <f t="shared" si="32"/>
        <v>3.924775191512353E-3</v>
      </c>
      <c r="H534" s="35">
        <f t="shared" si="33"/>
        <v>4.8127375743749923E-2</v>
      </c>
      <c r="I534" s="35">
        <f>(Table143454[[#This Row],[Core CPI]]-F522)/F522</f>
        <v>5.4875306516530178E-2</v>
      </c>
    </row>
    <row r="535" spans="1:9" x14ac:dyDescent="0.35">
      <c r="A535" s="33">
        <f>IF(Data!A562="",#N/A,Data!A562)</f>
        <v>34943</v>
      </c>
      <c r="B535" s="34">
        <f>VLOOKUP(A535,Data!A:AX,MATCH($B$2,Data!$B$1:$AX$1,0),FALSE)</f>
        <v>67.19453</v>
      </c>
      <c r="C535" s="35">
        <f t="shared" si="34"/>
        <v>2.3237306781527245E-3</v>
      </c>
      <c r="D535" s="35">
        <f t="shared" si="31"/>
        <v>2.8243924876911519E-2</v>
      </c>
      <c r="E535" s="35">
        <f>(Table143454[[#This Row],[JPN]]-B523)/B523</f>
        <v>5.6326432696467581E-2</v>
      </c>
      <c r="F535" s="34">
        <f>VLOOKUP(Table143454[[#This Row],[Date]],'Data Core CPI'!$A:$AX,MATCH($B$2,'Data Core CPI'!$B$1:$AX$1,0),FALSE)</f>
        <v>67.963679999999997</v>
      </c>
      <c r="G535" s="35">
        <f t="shared" si="32"/>
        <v>2.2608636407674965E-3</v>
      </c>
      <c r="H535" s="35">
        <f t="shared" si="33"/>
        <v>2.747027837093996E-2</v>
      </c>
      <c r="I535" s="35">
        <f>(Table143454[[#This Row],[Core CPI]]-F523)/F523</f>
        <v>5.450728580704773E-2</v>
      </c>
    </row>
    <row r="536" spans="1:9" x14ac:dyDescent="0.35">
      <c r="A536" s="33">
        <f>IF(Data!A563="",#N/A,Data!A563)</f>
        <v>34973</v>
      </c>
      <c r="B536" s="34">
        <f>VLOOKUP(A536,Data!A:AX,MATCH($B$2,Data!$B$1:$AX$1,0),FALSE)</f>
        <v>67.454170000000005</v>
      </c>
      <c r="C536" s="35">
        <f t="shared" si="34"/>
        <v>3.8640050015976701E-3</v>
      </c>
      <c r="D536" s="35">
        <f t="shared" si="31"/>
        <v>4.736627850267161E-2</v>
      </c>
      <c r="E536" s="35">
        <f>(Table143454[[#This Row],[JPN]]-B524)/B524</f>
        <v>5.5239672431303469E-2</v>
      </c>
      <c r="F536" s="34">
        <f>VLOOKUP(Table143454[[#This Row],[Date]],'Data Core CPI'!$A:$AX,MATCH($B$2,'Data Core CPI'!$B$1:$AX$1,0),FALSE)</f>
        <v>68.245109999999997</v>
      </c>
      <c r="G536" s="35">
        <f t="shared" si="32"/>
        <v>4.140888192046166E-3</v>
      </c>
      <c r="H536" s="35">
        <f t="shared" si="33"/>
        <v>5.0838124640868898E-2</v>
      </c>
      <c r="I536" s="35">
        <f>(Table143454[[#This Row],[Core CPI]]-F524)/F524</f>
        <v>5.3787467723998665E-2</v>
      </c>
    </row>
    <row r="537" spans="1:9" x14ac:dyDescent="0.35">
      <c r="A537" s="33">
        <f>IF(Data!A564="",#N/A,Data!A564)</f>
        <v>35004</v>
      </c>
      <c r="B537" s="34">
        <f>VLOOKUP(A537,Data!A:AX,MATCH($B$2,Data!$B$1:$AX$1,0),FALSE)</f>
        <v>67.817670000000007</v>
      </c>
      <c r="C537" s="35">
        <f t="shared" si="34"/>
        <v>5.388844010681737E-3</v>
      </c>
      <c r="D537" s="35">
        <f t="shared" si="31"/>
        <v>6.6617593228391447E-2</v>
      </c>
      <c r="E537" s="35">
        <f>(Table143454[[#This Row],[JPN]]-B525)/B525</f>
        <v>5.6634402530774688E-2</v>
      </c>
      <c r="F537" s="34">
        <f>VLOOKUP(Table143454[[#This Row],[Date]],'Data Core CPI'!$A:$AX,MATCH($B$2,'Data Core CPI'!$B$1:$AX$1,0),FALSE)</f>
        <v>68.701620000000005</v>
      </c>
      <c r="G537" s="35">
        <f t="shared" si="32"/>
        <v>6.6892704839951467E-3</v>
      </c>
      <c r="H537" s="35">
        <f t="shared" si="33"/>
        <v>8.3291356500395208E-2</v>
      </c>
      <c r="I537" s="35">
        <f>(Table143454[[#This Row],[Core CPI]]-F525)/F525</f>
        <v>5.6510442136887329E-2</v>
      </c>
    </row>
    <row r="538" spans="1:9" x14ac:dyDescent="0.35">
      <c r="A538" s="33">
        <f>IF(Data!A565="",#N/A,Data!A565)</f>
        <v>35034</v>
      </c>
      <c r="B538" s="34">
        <f>VLOOKUP(A538,Data!A:AX,MATCH($B$2,Data!$B$1:$AX$1,0),FALSE)</f>
        <v>67.921520000000001</v>
      </c>
      <c r="C538" s="35">
        <f t="shared" si="34"/>
        <v>1.5313118247795021E-3</v>
      </c>
      <c r="D538" s="35">
        <f t="shared" si="31"/>
        <v>1.8531299051008032E-2</v>
      </c>
      <c r="E538" s="35">
        <f>(Table143454[[#This Row],[JPN]]-B526)/B526</f>
        <v>5.5690138874857277E-2</v>
      </c>
      <c r="F538" s="34">
        <f>VLOOKUP(Table143454[[#This Row],[Date]],'Data Core CPI'!$A:$AX,MATCH($B$2,'Data Core CPI'!$B$1:$AX$1,0),FALSE)</f>
        <v>68.780559999999994</v>
      </c>
      <c r="G538" s="35">
        <f t="shared" si="32"/>
        <v>1.1490267623963657E-3</v>
      </c>
      <c r="H538" s="35">
        <f t="shared" si="33"/>
        <v>1.3875793081950416E-2</v>
      </c>
      <c r="I538" s="35">
        <f>(Table143454[[#This Row],[Core CPI]]-F526)/F526</f>
        <v>5.5913366068734947E-2</v>
      </c>
    </row>
    <row r="539" spans="1:9" x14ac:dyDescent="0.35">
      <c r="A539" s="33">
        <f>IF(Data!A566="",#N/A,Data!A566)</f>
        <v>35065</v>
      </c>
      <c r="B539" s="34">
        <f>VLOOKUP(A539,Data!A:AX,MATCH($B$2,Data!$B$1:$AX$1,0),FALSE)</f>
        <v>68.203739999999996</v>
      </c>
      <c r="C539" s="35">
        <f t="shared" si="34"/>
        <v>4.1550895798561083E-3</v>
      </c>
      <c r="D539" s="35">
        <f t="shared" si="31"/>
        <v>5.1016480337188419E-2</v>
      </c>
      <c r="E539" s="35">
        <f>(Table143454[[#This Row],[JPN]]-B527)/B527</f>
        <v>5.5815848567776029E-2</v>
      </c>
      <c r="F539" s="34">
        <f>VLOOKUP(Table143454[[#This Row],[Date]],'Data Core CPI'!$A:$AX,MATCH($B$2,'Data Core CPI'!$B$1:$AX$1,0),FALSE)</f>
        <v>69.040040000000005</v>
      </c>
      <c r="G539" s="35">
        <f t="shared" si="32"/>
        <v>3.7725776004151612E-3</v>
      </c>
      <c r="H539" s="35">
        <f t="shared" si="33"/>
        <v>4.6222179010444897E-2</v>
      </c>
      <c r="I539" s="35">
        <f>(Table143454[[#This Row],[Core CPI]]-F527)/F527</f>
        <v>5.6244691241374455E-2</v>
      </c>
    </row>
    <row r="540" spans="1:9" x14ac:dyDescent="0.35">
      <c r="A540" s="33">
        <f>IF(Data!A567="",#N/A,Data!A567)</f>
        <v>35096</v>
      </c>
      <c r="B540" s="34">
        <f>VLOOKUP(A540,Data!A:AX,MATCH($B$2,Data!$B$1:$AX$1,0),FALSE)</f>
        <v>68.469909999999999</v>
      </c>
      <c r="C540" s="35">
        <f t="shared" si="34"/>
        <v>3.9025719117455893E-3</v>
      </c>
      <c r="D540" s="35">
        <f t="shared" si="31"/>
        <v>4.7849238951022555E-2</v>
      </c>
      <c r="E540" s="35">
        <f>(Table143454[[#This Row],[JPN]]-B528)/B528</f>
        <v>5.2322974898060433E-2</v>
      </c>
      <c r="F540" s="34">
        <f>VLOOKUP(Table143454[[#This Row],[Date]],'Data Core CPI'!$A:$AX,MATCH($B$2,'Data Core CPI'!$B$1:$AX$1,0),FALSE)</f>
        <v>69.334130000000002</v>
      </c>
      <c r="G540" s="35">
        <f t="shared" si="32"/>
        <v>4.2597020511574435E-3</v>
      </c>
      <c r="H540" s="35">
        <f t="shared" si="33"/>
        <v>5.2331167131183687E-2</v>
      </c>
      <c r="I540" s="35">
        <f>(Table143454[[#This Row],[Core CPI]]-F528)/F528</f>
        <v>5.2846144501472993E-2</v>
      </c>
    </row>
    <row r="541" spans="1:9" x14ac:dyDescent="0.35">
      <c r="A541" s="33">
        <f>IF(Data!A568="",#N/A,Data!A568)</f>
        <v>35125</v>
      </c>
      <c r="B541" s="34">
        <f>VLOOKUP(A541,Data!A:AX,MATCH($B$2,Data!$B$1:$AX$1,0),FALSE)</f>
        <v>68.736069999999998</v>
      </c>
      <c r="C541" s="35">
        <f t="shared" si="34"/>
        <v>3.887255000043055E-3</v>
      </c>
      <c r="D541" s="35">
        <f t="shared" si="31"/>
        <v>4.7657405982851397E-2</v>
      </c>
      <c r="E541" s="35">
        <f>(Table143454[[#This Row],[JPN]]-B529)/B529</f>
        <v>4.7220076573014684E-2</v>
      </c>
      <c r="F541" s="34">
        <f>VLOOKUP(Table143454[[#This Row],[Date]],'Data Core CPI'!$A:$AX,MATCH($B$2,'Data Core CPI'!$B$1:$AX$1,0),FALSE)</f>
        <v>69.606499999999997</v>
      </c>
      <c r="G541" s="35">
        <f t="shared" si="32"/>
        <v>3.9283683230755262E-3</v>
      </c>
      <c r="H541" s="35">
        <f t="shared" si="33"/>
        <v>4.8172392666746555E-2</v>
      </c>
      <c r="I541" s="35">
        <f>(Table143454[[#This Row],[Core CPI]]-F529)/F529</f>
        <v>4.9183732900354299E-2</v>
      </c>
    </row>
    <row r="542" spans="1:9" x14ac:dyDescent="0.35">
      <c r="A542" s="33">
        <f>IF(Data!A569="",#N/A,Data!A569)</f>
        <v>35156</v>
      </c>
      <c r="B542" s="34">
        <f>VLOOKUP(A542,Data!A:AX,MATCH($B$2,Data!$B$1:$AX$1,0),FALSE)</f>
        <v>69.002229999999997</v>
      </c>
      <c r="C542" s="35">
        <f t="shared" si="34"/>
        <v>3.8722027605011533E-3</v>
      </c>
      <c r="D542" s="35">
        <f t="shared" si="31"/>
        <v>4.7468919201065773E-2</v>
      </c>
      <c r="E542" s="35">
        <f>(Table143454[[#This Row],[JPN]]-B530)/B530</f>
        <v>4.7132966717119681E-2</v>
      </c>
      <c r="F542" s="34">
        <f>VLOOKUP(Table143454[[#This Row],[Date]],'Data Core CPI'!$A:$AX,MATCH($B$2,'Data Core CPI'!$B$1:$AX$1,0),FALSE)</f>
        <v>69.762789999999995</v>
      </c>
      <c r="G542" s="35">
        <f t="shared" si="32"/>
        <v>2.2453362832492996E-3</v>
      </c>
      <c r="H542" s="35">
        <f t="shared" si="33"/>
        <v>2.7279279724536032E-2</v>
      </c>
      <c r="I542" s="35">
        <f>(Table143454[[#This Row],[Core CPI]]-F530)/F530</f>
        <v>4.7853728113259671E-2</v>
      </c>
    </row>
    <row r="543" spans="1:9" x14ac:dyDescent="0.35">
      <c r="A543" s="33">
        <f>IF(Data!A570="",#N/A,Data!A570)</f>
        <v>35186</v>
      </c>
      <c r="B543" s="34">
        <f>VLOOKUP(A543,Data!A:AX,MATCH($B$2,Data!$B$1:$AX$1,0),FALSE)</f>
        <v>69.268389999999997</v>
      </c>
      <c r="C543" s="35">
        <f t="shared" si="34"/>
        <v>3.8572666419620649E-3</v>
      </c>
      <c r="D543" s="35">
        <f t="shared" si="31"/>
        <v>4.7281917233736648E-2</v>
      </c>
      <c r="E543" s="35">
        <f>(Table143454[[#This Row],[JPN]]-B531)/B531</f>
        <v>4.4586812354248925E-2</v>
      </c>
      <c r="F543" s="34">
        <f>VLOOKUP(Table143454[[#This Row],[Date]],'Data Core CPI'!$A:$AX,MATCH($B$2,'Data Core CPI'!$B$1:$AX$1,0),FALSE)</f>
        <v>70.007850000000005</v>
      </c>
      <c r="G543" s="35">
        <f t="shared" si="32"/>
        <v>3.5127608858533943E-3</v>
      </c>
      <c r="H543" s="35">
        <f t="shared" si="33"/>
        <v>4.2977148750872107E-2</v>
      </c>
      <c r="I543" s="35">
        <f>(Table143454[[#This Row],[Core CPI]]-F531)/F531</f>
        <v>4.5583368605369101E-2</v>
      </c>
    </row>
    <row r="544" spans="1:9" x14ac:dyDescent="0.35">
      <c r="A544" s="33">
        <f>IF(Data!A571="",#N/A,Data!A571)</f>
        <v>35217</v>
      </c>
      <c r="B544" s="34">
        <f>VLOOKUP(A544,Data!A:AX,MATCH($B$2,Data!$B$1:$AX$1,0),FALSE)</f>
        <v>69.401470000000003</v>
      </c>
      <c r="C544" s="35">
        <f t="shared" si="34"/>
        <v>1.9212226529301546E-3</v>
      </c>
      <c r="D544" s="35">
        <f t="shared" si="31"/>
        <v>2.3299851079734646E-2</v>
      </c>
      <c r="E544" s="35">
        <f>(Table143454[[#This Row],[JPN]]-B532)/B532</f>
        <v>4.007797122551858E-2</v>
      </c>
      <c r="F544" s="34">
        <f>VLOOKUP(Table143454[[#This Row],[Date]],'Data Core CPI'!$A:$AX,MATCH($B$2,'Data Core CPI'!$B$1:$AX$1,0),FALSE)</f>
        <v>70.154830000000004</v>
      </c>
      <c r="G544" s="35">
        <f t="shared" si="32"/>
        <v>2.0994788441581758E-3</v>
      </c>
      <c r="H544" s="35">
        <f t="shared" si="33"/>
        <v>2.5486707236565875E-2</v>
      </c>
      <c r="I544" s="35">
        <f>(Table143454[[#This Row],[Core CPI]]-F532)/F532</f>
        <v>4.0841808723508385E-2</v>
      </c>
    </row>
    <row r="545" spans="1:9" x14ac:dyDescent="0.35">
      <c r="A545" s="33">
        <f>IF(Data!A572="",#N/A,Data!A572)</f>
        <v>35247</v>
      </c>
      <c r="B545" s="34">
        <f>VLOOKUP(A545,Data!A:AX,MATCH($B$2,Data!$B$1:$AX$1,0),FALSE)</f>
        <v>69.33493</v>
      </c>
      <c r="C545" s="35">
        <f t="shared" si="34"/>
        <v>-9.5876931713412272E-4</v>
      </c>
      <c r="D545" s="35">
        <f t="shared" si="31"/>
        <v>-1.1444755534455231E-2</v>
      </c>
      <c r="E545" s="35">
        <f>(Table143454[[#This Row],[JPN]]-B533)/B533</f>
        <v>3.7465973894765039E-2</v>
      </c>
      <c r="F545" s="34">
        <f>VLOOKUP(Table143454[[#This Row],[Date]],'Data Core CPI'!$A:$AX,MATCH($B$2,'Data Core CPI'!$B$1:$AX$1,0),FALSE)</f>
        <v>70.280789999999996</v>
      </c>
      <c r="G545" s="35">
        <f t="shared" si="32"/>
        <v>1.7954572764269372E-3</v>
      </c>
      <c r="H545" s="35">
        <f t="shared" si="33"/>
        <v>2.1759527837198256E-2</v>
      </c>
      <c r="I545" s="35">
        <f>(Table143454[[#This Row],[Core CPI]]-F533)/F533</f>
        <v>4.0499060852077336E-2</v>
      </c>
    </row>
    <row r="546" spans="1:9" x14ac:dyDescent="0.35">
      <c r="A546" s="33">
        <f>IF(Data!A573="",#N/A,Data!A573)</f>
        <v>35278</v>
      </c>
      <c r="B546" s="34">
        <f>VLOOKUP(A546,Data!A:AX,MATCH($B$2,Data!$B$1:$AX$1,0),FALSE)</f>
        <v>69.401470000000003</v>
      </c>
      <c r="C546" s="35">
        <f t="shared" si="34"/>
        <v>9.596894379211296E-4</v>
      </c>
      <c r="D546" s="35">
        <f t="shared" si="31"/>
        <v>1.157725438060031E-2</v>
      </c>
      <c r="E546" s="35">
        <f>(Table143454[[#This Row],[JPN]]-B534)/B534</f>
        <v>3.5244093900915673E-2</v>
      </c>
      <c r="F546" s="34">
        <f>VLOOKUP(Table143454[[#This Row],[Date]],'Data Core CPI'!$A:$AX,MATCH($B$2,'Data Core CPI'!$B$1:$AX$1,0),FALSE)</f>
        <v>70.409739999999999</v>
      </c>
      <c r="G546" s="35">
        <f t="shared" si="32"/>
        <v>1.8347830182330327E-3</v>
      </c>
      <c r="H546" s="35">
        <f t="shared" si="33"/>
        <v>2.2240945007417023E-2</v>
      </c>
      <c r="I546" s="35">
        <f>(Table143454[[#This Row],[Core CPI]]-F534)/F534</f>
        <v>3.833292754485771E-2</v>
      </c>
    </row>
    <row r="547" spans="1:9" x14ac:dyDescent="0.35">
      <c r="A547" s="33">
        <f>IF(Data!A574="",#N/A,Data!A574)</f>
        <v>35309</v>
      </c>
      <c r="B547" s="34">
        <f>VLOOKUP(A547,Data!A:AX,MATCH($B$2,Data!$B$1:$AX$1,0),FALSE)</f>
        <v>69.468010000000007</v>
      </c>
      <c r="C547" s="35">
        <f t="shared" si="34"/>
        <v>9.587693171340117E-4</v>
      </c>
      <c r="D547" s="35">
        <f t="shared" si="31"/>
        <v>1.1566095866663906E-2</v>
      </c>
      <c r="E547" s="35">
        <f>(Table143454[[#This Row],[JPN]]-B535)/B535</f>
        <v>3.3834301690926424E-2</v>
      </c>
      <c r="F547" s="34">
        <f>VLOOKUP(Table143454[[#This Row],[Date]],'Data Core CPI'!$A:$AX,MATCH($B$2,'Data Core CPI'!$B$1:$AX$1,0),FALSE)</f>
        <v>70.489710000000002</v>
      </c>
      <c r="G547" s="35">
        <f t="shared" si="32"/>
        <v>1.1357803622056295E-3</v>
      </c>
      <c r="H547" s="35">
        <f t="shared" si="33"/>
        <v>1.3714827309474487E-2</v>
      </c>
      <c r="I547" s="35">
        <f>(Table143454[[#This Row],[Core CPI]]-F535)/F535</f>
        <v>3.7167351738458039E-2</v>
      </c>
    </row>
    <row r="548" spans="1:9" x14ac:dyDescent="0.35">
      <c r="A548" s="33">
        <f>IF(Data!A575="",#N/A,Data!A575)</f>
        <v>35339</v>
      </c>
      <c r="B548" s="34">
        <f>VLOOKUP(A548,Data!A:AX,MATCH($B$2,Data!$B$1:$AX$1,0),FALSE)</f>
        <v>69.534549999999996</v>
      </c>
      <c r="C548" s="35">
        <f t="shared" si="34"/>
        <v>9.5785095902400919E-4</v>
      </c>
      <c r="D548" s="35">
        <f t="shared" si="31"/>
        <v>1.1554958841619278E-2</v>
      </c>
      <c r="E548" s="35">
        <f>(Table143454[[#This Row],[JPN]]-B536)/B536</f>
        <v>3.0841384602315777E-2</v>
      </c>
      <c r="F548" s="34">
        <f>VLOOKUP(Table143454[[#This Row],[Date]],'Data Core CPI'!$A:$AX,MATCH($B$2,'Data Core CPI'!$B$1:$AX$1,0),FALSE)</f>
        <v>70.556049999999999</v>
      </c>
      <c r="G548" s="35">
        <f t="shared" si="32"/>
        <v>9.4113027277309413E-4</v>
      </c>
      <c r="H548" s="35">
        <f t="shared" si="33"/>
        <v>1.1352204979178548E-2</v>
      </c>
      <c r="I548" s="35">
        <f>(Table143454[[#This Row],[Core CPI]]-F536)/F536</f>
        <v>3.3862352921696551E-2</v>
      </c>
    </row>
    <row r="549" spans="1:9" x14ac:dyDescent="0.35">
      <c r="A549" s="33">
        <f>IF(Data!A576="",#N/A,Data!A576)</f>
        <v>35370</v>
      </c>
      <c r="B549" s="34">
        <f>VLOOKUP(A549,Data!A:AX,MATCH($B$2,Data!$B$1:$AX$1,0),FALSE)</f>
        <v>69.800709999999995</v>
      </c>
      <c r="C549" s="35">
        <f t="shared" si="34"/>
        <v>3.8277374341244563E-3</v>
      </c>
      <c r="D549" s="35">
        <f t="shared" si="31"/>
        <v>4.691229812232578E-2</v>
      </c>
      <c r="E549" s="35">
        <f>(Table143454[[#This Row],[JPN]]-B537)/B537</f>
        <v>2.924075687059122E-2</v>
      </c>
      <c r="F549" s="34">
        <f>VLOOKUP(Table143454[[#This Row],[Date]],'Data Core CPI'!$A:$AX,MATCH($B$2,'Data Core CPI'!$B$1:$AX$1,0),FALSE)</f>
        <v>70.84308</v>
      </c>
      <c r="G549" s="35">
        <f t="shared" si="32"/>
        <v>4.0681132234585693E-3</v>
      </c>
      <c r="H549" s="35">
        <f t="shared" si="33"/>
        <v>4.9924576718774594E-2</v>
      </c>
      <c r="I549" s="35">
        <f>(Table143454[[#This Row],[Core CPI]]-F537)/F537</f>
        <v>3.1170444015730558E-2</v>
      </c>
    </row>
    <row r="550" spans="1:9" x14ac:dyDescent="0.35">
      <c r="A550" s="33">
        <f>IF(Data!A577="",#N/A,Data!A577)</f>
        <v>35400</v>
      </c>
      <c r="B550" s="34">
        <f>VLOOKUP(A550,Data!A:AX,MATCH($B$2,Data!$B$1:$AX$1,0),FALSE)</f>
        <v>69.867249999999999</v>
      </c>
      <c r="C550" s="35">
        <f t="shared" si="34"/>
        <v>9.5328543219697082E-4</v>
      </c>
      <c r="D550" s="35">
        <f t="shared" si="31"/>
        <v>1.1499593887623449E-2</v>
      </c>
      <c r="E550" s="35">
        <f>(Table143454[[#This Row],[JPN]]-B538)/B538</f>
        <v>2.8646738176648541E-2</v>
      </c>
      <c r="F550" s="34">
        <f>VLOOKUP(Table143454[[#This Row],[Date]],'Data Core CPI'!$A:$AX,MATCH($B$2,'Data Core CPI'!$B$1:$AX$1,0),FALSE)</f>
        <v>70.925420000000003</v>
      </c>
      <c r="G550" s="35">
        <f t="shared" si="32"/>
        <v>1.1622871281147251E-3</v>
      </c>
      <c r="H550" s="35">
        <f t="shared" si="33"/>
        <v>1.4036952025030969E-2</v>
      </c>
      <c r="I550" s="35">
        <f>(Table143454[[#This Row],[Core CPI]]-F538)/F538</f>
        <v>3.1184102019524245E-2</v>
      </c>
    </row>
    <row r="551" spans="1:9" x14ac:dyDescent="0.35">
      <c r="A551" s="33">
        <f>IF(Data!A578="",#N/A,Data!A578)</f>
        <v>35431</v>
      </c>
      <c r="B551" s="34">
        <f>VLOOKUP(A551,Data!A:AX,MATCH($B$2,Data!$B$1:$AX$1,0),FALSE)</f>
        <v>70.066869999999994</v>
      </c>
      <c r="C551" s="35">
        <f t="shared" si="34"/>
        <v>2.8571326336730429E-3</v>
      </c>
      <c r="D551" s="35">
        <f t="shared" si="31"/>
        <v>3.4829527535912508E-2</v>
      </c>
      <c r="E551" s="35">
        <f>(Table143454[[#This Row],[JPN]]-B539)/B539</f>
        <v>2.7317123665065848E-2</v>
      </c>
      <c r="F551" s="34">
        <f>VLOOKUP(Table143454[[#This Row],[Date]],'Data Core CPI'!$A:$AX,MATCH($B$2,'Data Core CPI'!$B$1:$AX$1,0),FALSE)</f>
        <v>71.145529999999994</v>
      </c>
      <c r="G551" s="35">
        <f t="shared" si="32"/>
        <v>3.1034007271297792E-3</v>
      </c>
      <c r="H551" s="35">
        <f t="shared" si="33"/>
        <v>3.7883082823539915E-2</v>
      </c>
      <c r="I551" s="35">
        <f>(Table143454[[#This Row],[Core CPI]]-F539)/F539</f>
        <v>3.0496650928939044E-2</v>
      </c>
    </row>
    <row r="552" spans="1:9" x14ac:dyDescent="0.35">
      <c r="A552" s="33">
        <f>IF(Data!A579="",#N/A,Data!A579)</f>
        <v>35462</v>
      </c>
      <c r="B552" s="34">
        <f>VLOOKUP(A552,Data!A:AX,MATCH($B$2,Data!$B$1:$AX$1,0),FALSE)</f>
        <v>70.133420000000001</v>
      </c>
      <c r="C552" s="35">
        <f t="shared" si="34"/>
        <v>9.4980694870505644E-4</v>
      </c>
      <c r="D552" s="35">
        <f t="shared" si="31"/>
        <v>1.1457413089286828E-2</v>
      </c>
      <c r="E552" s="35">
        <f>(Table143454[[#This Row],[JPN]]-B540)/B540</f>
        <v>2.4295489799825973E-2</v>
      </c>
      <c r="F552" s="34">
        <f>VLOOKUP(Table143454[[#This Row],[Date]],'Data Core CPI'!$A:$AX,MATCH($B$2,'Data Core CPI'!$B$1:$AX$1,0),FALSE)</f>
        <v>71.253479999999996</v>
      </c>
      <c r="G552" s="35">
        <f t="shared" si="32"/>
        <v>1.5173124720555542E-3</v>
      </c>
      <c r="H552" s="35">
        <f t="shared" si="33"/>
        <v>1.8360468452679024E-2</v>
      </c>
      <c r="I552" s="35">
        <f>(Table143454[[#This Row],[Core CPI]]-F540)/F540</f>
        <v>2.7682614608418601E-2</v>
      </c>
    </row>
    <row r="553" spans="1:9" x14ac:dyDescent="0.35">
      <c r="A553" s="33">
        <f>IF(Data!A580="",#N/A,Data!A580)</f>
        <v>35490</v>
      </c>
      <c r="B553" s="34">
        <f>VLOOKUP(A553,Data!A:AX,MATCH($B$2,Data!$B$1:$AX$1,0),FALSE)</f>
        <v>70.333029999999994</v>
      </c>
      <c r="C553" s="35">
        <f t="shared" si="34"/>
        <v>2.8461466730125284E-3</v>
      </c>
      <c r="D553" s="35">
        <f t="shared" si="31"/>
        <v>3.4693501242597513E-2</v>
      </c>
      <c r="E553" s="35">
        <f>(Table143454[[#This Row],[JPN]]-B541)/B541</f>
        <v>2.3233216563006812E-2</v>
      </c>
      <c r="F553" s="34">
        <f>VLOOKUP(Table143454[[#This Row],[Date]],'Data Core CPI'!$A:$AX,MATCH($B$2,'Data Core CPI'!$B$1:$AX$1,0),FALSE)</f>
        <v>71.504620000000003</v>
      </c>
      <c r="G553" s="35">
        <f t="shared" si="32"/>
        <v>3.5245997809512097E-3</v>
      </c>
      <c r="H553" s="35">
        <f t="shared" si="33"/>
        <v>4.3124812024430748E-2</v>
      </c>
      <c r="I553" s="35">
        <f>(Table143454[[#This Row],[Core CPI]]-F541)/F541</f>
        <v>2.7269292379303742E-2</v>
      </c>
    </row>
    <row r="554" spans="1:9" x14ac:dyDescent="0.35">
      <c r="A554" s="33">
        <f>IF(Data!A581="",#N/A,Data!A581)</f>
        <v>35521</v>
      </c>
      <c r="B554" s="34">
        <f>VLOOKUP(A554,Data!A:AX,MATCH($B$2,Data!$B$1:$AX$1,0),FALSE)</f>
        <v>70.399569999999997</v>
      </c>
      <c r="C554" s="35">
        <f t="shared" si="34"/>
        <v>9.4607043091987642E-4</v>
      </c>
      <c r="D554" s="35">
        <f t="shared" si="31"/>
        <v>1.1412105110888415E-2</v>
      </c>
      <c r="E554" s="35">
        <f>(Table143454[[#This Row],[JPN]]-B542)/B542</f>
        <v>2.0250649870301292E-2</v>
      </c>
      <c r="F554" s="34">
        <f>VLOOKUP(Table143454[[#This Row],[Date]],'Data Core CPI'!$A:$AX,MATCH($B$2,'Data Core CPI'!$B$1:$AX$1,0),FALSE)</f>
        <v>71.606049999999996</v>
      </c>
      <c r="G554" s="35">
        <f t="shared" si="32"/>
        <v>1.4185097410488456E-3</v>
      </c>
      <c r="H554" s="35">
        <f t="shared" si="33"/>
        <v>1.7155550055919289E-2</v>
      </c>
      <c r="I554" s="35">
        <f>(Table143454[[#This Row],[Core CPI]]-F542)/F542</f>
        <v>2.6421821718999497E-2</v>
      </c>
    </row>
    <row r="555" spans="1:9" x14ac:dyDescent="0.35">
      <c r="A555" s="33">
        <f>IF(Data!A582="",#N/A,Data!A582)</f>
        <v>35551</v>
      </c>
      <c r="B555" s="34">
        <f>VLOOKUP(A555,Data!A:AX,MATCH($B$2,Data!$B$1:$AX$1,0),FALSE)</f>
        <v>70.599199999999996</v>
      </c>
      <c r="C555" s="35">
        <f t="shared" si="34"/>
        <v>2.8356707292387373E-3</v>
      </c>
      <c r="D555" s="35">
        <f t="shared" si="31"/>
        <v>3.456380515832902E-2</v>
      </c>
      <c r="E555" s="35">
        <f>(Table143454[[#This Row],[JPN]]-B543)/B543</f>
        <v>1.9212370895295816E-2</v>
      </c>
      <c r="F555" s="34">
        <f>VLOOKUP(Table143454[[#This Row],[Date]],'Data Core CPI'!$A:$AX,MATCH($B$2,'Data Core CPI'!$B$1:$AX$1,0),FALSE)</f>
        <v>71.879840000000002</v>
      </c>
      <c r="G555" s="35">
        <f t="shared" si="32"/>
        <v>3.823559601458415E-3</v>
      </c>
      <c r="H555" s="35">
        <f t="shared" si="33"/>
        <v>4.6860013562531666E-2</v>
      </c>
      <c r="I555" s="35">
        <f>(Table143454[[#This Row],[Core CPI]]-F543)/F543</f>
        <v>2.673971561760569E-2</v>
      </c>
    </row>
    <row r="556" spans="1:9" x14ac:dyDescent="0.35">
      <c r="A556" s="33">
        <f>IF(Data!A583="",#N/A,Data!A583)</f>
        <v>35582</v>
      </c>
      <c r="B556" s="34">
        <f>VLOOKUP(A556,Data!A:AX,MATCH($B$2,Data!$B$1:$AX$1,0),FALSE)</f>
        <v>70.599199999999996</v>
      </c>
      <c r="C556" s="35">
        <f t="shared" si="34"/>
        <v>0</v>
      </c>
      <c r="D556" s="35">
        <f t="shared" si="31"/>
        <v>0</v>
      </c>
      <c r="E556" s="35">
        <f>(Table143454[[#This Row],[JPN]]-B544)/B544</f>
        <v>1.7257991797579975E-2</v>
      </c>
      <c r="F556" s="34">
        <f>VLOOKUP(Table143454[[#This Row],[Date]],'Data Core CPI'!$A:$AX,MATCH($B$2,'Data Core CPI'!$B$1:$AX$1,0),FALSE)</f>
        <v>71.902860000000004</v>
      </c>
      <c r="G556" s="35">
        <f t="shared" si="32"/>
        <v>3.2025669506219323E-4</v>
      </c>
      <c r="H556" s="35">
        <f t="shared" si="33"/>
        <v>3.8498568194271776E-3</v>
      </c>
      <c r="I556" s="35">
        <f>(Table143454[[#This Row],[Core CPI]]-F544)/F544</f>
        <v>2.4916744862755705E-2</v>
      </c>
    </row>
    <row r="557" spans="1:9" x14ac:dyDescent="0.35">
      <c r="A557" s="33">
        <f>IF(Data!A584="",#N/A,Data!A584)</f>
        <v>35612</v>
      </c>
      <c r="B557" s="34">
        <f>VLOOKUP(A557,Data!A:AX,MATCH($B$2,Data!$B$1:$AX$1,0),FALSE)</f>
        <v>70.599199999999996</v>
      </c>
      <c r="C557" s="35">
        <f t="shared" si="34"/>
        <v>0</v>
      </c>
      <c r="D557" s="35">
        <f t="shared" si="31"/>
        <v>0</v>
      </c>
      <c r="E557" s="35">
        <f>(Table143454[[#This Row],[JPN]]-B545)/B545</f>
        <v>1.823424354794901E-2</v>
      </c>
      <c r="F557" s="34">
        <f>VLOOKUP(Table143454[[#This Row],[Date]],'Data Core CPI'!$A:$AX,MATCH($B$2,'Data Core CPI'!$B$1:$AX$1,0),FALSE)</f>
        <v>71.974559999999997</v>
      </c>
      <c r="G557" s="35">
        <f t="shared" si="32"/>
        <v>9.9717869358739719E-4</v>
      </c>
      <c r="H557" s="35">
        <f t="shared" si="33"/>
        <v>1.203199106935271E-2</v>
      </c>
      <c r="I557" s="35">
        <f>(Table143454[[#This Row],[Core CPI]]-F545)/F545</f>
        <v>2.4100042131000532E-2</v>
      </c>
    </row>
    <row r="558" spans="1:9" x14ac:dyDescent="0.35">
      <c r="A558" s="33">
        <f>IF(Data!A585="",#N/A,Data!A585)</f>
        <v>35643</v>
      </c>
      <c r="B558" s="34">
        <f>VLOOKUP(A558,Data!A:AX,MATCH($B$2,Data!$B$1:$AX$1,0),FALSE)</f>
        <v>70.665729999999996</v>
      </c>
      <c r="C558" s="35">
        <f t="shared" si="34"/>
        <v>9.4236195310992699E-4</v>
      </c>
      <c r="D558" s="35">
        <f t="shared" si="31"/>
        <v>1.1367138977000701E-2</v>
      </c>
      <c r="E558" s="35">
        <f>(Table143454[[#This Row],[JPN]]-B546)/B546</f>
        <v>1.8216617025547052E-2</v>
      </c>
      <c r="F558" s="34">
        <f>VLOOKUP(Table143454[[#This Row],[Date]],'Data Core CPI'!$A:$AX,MATCH($B$2,'Data Core CPI'!$B$1:$AX$1,0),FALSE)</f>
        <v>72.096850000000003</v>
      </c>
      <c r="G558" s="35">
        <f t="shared" si="32"/>
        <v>1.6990725611938373E-3</v>
      </c>
      <c r="H558" s="35">
        <f t="shared" si="33"/>
        <v>2.0580485902306656E-2</v>
      </c>
      <c r="I558" s="35">
        <f>(Table143454[[#This Row],[Core CPI]]-F546)/F546</f>
        <v>2.3961315579350301E-2</v>
      </c>
    </row>
    <row r="559" spans="1:9" x14ac:dyDescent="0.35">
      <c r="A559" s="33">
        <f>IF(Data!A586="",#N/A,Data!A586)</f>
        <v>35674</v>
      </c>
      <c r="B559" s="34">
        <f>VLOOKUP(A559,Data!A:AX,MATCH($B$2,Data!$B$1:$AX$1,0),FALSE)</f>
        <v>70.732280000000003</v>
      </c>
      <c r="C559" s="35">
        <f t="shared" si="34"/>
        <v>9.4175776575156078E-4</v>
      </c>
      <c r="D559" s="35">
        <f t="shared" si="31"/>
        <v>1.1359813241957673E-2</v>
      </c>
      <c r="E559" s="35">
        <f>(Table143454[[#This Row],[JPN]]-B547)/B547</f>
        <v>1.8199312172610043E-2</v>
      </c>
      <c r="F559" s="34">
        <f>VLOOKUP(Table143454[[#This Row],[Date]],'Data Core CPI'!$A:$AX,MATCH($B$2,'Data Core CPI'!$B$1:$AX$1,0),FALSE)</f>
        <v>72.193020000000004</v>
      </c>
      <c r="G559" s="35">
        <f t="shared" si="32"/>
        <v>1.3339001634606884E-3</v>
      </c>
      <c r="H559" s="35">
        <f t="shared" si="33"/>
        <v>1.6124758795470706E-2</v>
      </c>
      <c r="I559" s="35">
        <f>(Table143454[[#This Row],[Core CPI]]-F547)/F547</f>
        <v>2.4163952440717968E-2</v>
      </c>
    </row>
    <row r="560" spans="1:9" x14ac:dyDescent="0.35">
      <c r="A560" s="33">
        <f>IF(Data!A587="",#N/A,Data!A587)</f>
        <v>35704</v>
      </c>
      <c r="B560" s="34">
        <f>VLOOKUP(A560,Data!A:AX,MATCH($B$2,Data!$B$1:$AX$1,0),FALSE)</f>
        <v>70.931889999999996</v>
      </c>
      <c r="C560" s="35">
        <f t="shared" si="34"/>
        <v>2.8220495649227129E-3</v>
      </c>
      <c r="D560" s="35">
        <f t="shared" si="31"/>
        <v>3.4395192357922655E-2</v>
      </c>
      <c r="E560" s="35">
        <f>(Table143454[[#This Row],[JPN]]-B548)/B548</f>
        <v>2.0095621529153493E-2</v>
      </c>
      <c r="F560" s="34">
        <f>VLOOKUP(Table143454[[#This Row],[Date]],'Data Core CPI'!$A:$AX,MATCH($B$2,'Data Core CPI'!$B$1:$AX$1,0),FALSE)</f>
        <v>72.397419999999997</v>
      </c>
      <c r="G560" s="35">
        <f t="shared" si="32"/>
        <v>2.8312986490937053E-3</v>
      </c>
      <c r="H560" s="35">
        <f t="shared" si="33"/>
        <v>3.45096815859951E-2</v>
      </c>
      <c r="I560" s="35">
        <f>(Table143454[[#This Row],[Core CPI]]-F548)/F548</f>
        <v>2.6097974588996944E-2</v>
      </c>
    </row>
    <row r="561" spans="1:9" x14ac:dyDescent="0.35">
      <c r="A561" s="33">
        <f>IF(Data!A588="",#N/A,Data!A588)</f>
        <v>35735</v>
      </c>
      <c r="B561" s="34">
        <f>VLOOKUP(A561,Data!A:AX,MATCH($B$2,Data!$B$1:$AX$1,0),FALSE)</f>
        <v>71.198059999999998</v>
      </c>
      <c r="C561" s="35">
        <f t="shared" si="34"/>
        <v>3.7524729709021987E-3</v>
      </c>
      <c r="D561" s="35">
        <f t="shared" si="31"/>
        <v>4.5970748443460385E-2</v>
      </c>
      <c r="E561" s="35">
        <f>(Table143454[[#This Row],[JPN]]-B549)/B549</f>
        <v>2.0019137341153164E-2</v>
      </c>
      <c r="F561" s="34">
        <f>VLOOKUP(Table143454[[#This Row],[Date]],'Data Core CPI'!$A:$AX,MATCH($B$2,'Data Core CPI'!$B$1:$AX$1,0),FALSE)</f>
        <v>72.698869999999999</v>
      </c>
      <c r="G561" s="35">
        <f t="shared" si="32"/>
        <v>4.163822412456275E-3</v>
      </c>
      <c r="H561" s="35">
        <f t="shared" si="33"/>
        <v>5.1126170046773778E-2</v>
      </c>
      <c r="I561" s="35">
        <f>(Table143454[[#This Row],[Core CPI]]-F549)/F549</f>
        <v>2.6195783695457608E-2</v>
      </c>
    </row>
    <row r="562" spans="1:9" x14ac:dyDescent="0.35">
      <c r="A562" s="33">
        <f>IF(Data!A589="",#N/A,Data!A589)</f>
        <v>35765</v>
      </c>
      <c r="B562" s="34">
        <f>VLOOKUP(A562,Data!A:AX,MATCH($B$2,Data!$B$1:$AX$1,0),FALSE)</f>
        <v>71.198059999999998</v>
      </c>
      <c r="C562" s="35">
        <f t="shared" si="34"/>
        <v>0</v>
      </c>
      <c r="D562" s="35">
        <f t="shared" si="31"/>
        <v>0</v>
      </c>
      <c r="E562" s="35">
        <f>(Table143454[[#This Row],[JPN]]-B550)/B550</f>
        <v>1.904769401973027E-2</v>
      </c>
      <c r="F562" s="34">
        <f>VLOOKUP(Table143454[[#This Row],[Date]],'Data Core CPI'!$A:$AX,MATCH($B$2,'Data Core CPI'!$B$1:$AX$1,0),FALSE)</f>
        <v>72.665170000000003</v>
      </c>
      <c r="G562" s="35">
        <f t="shared" si="32"/>
        <v>-4.6355603601533346E-4</v>
      </c>
      <c r="H562" s="35">
        <f t="shared" si="33"/>
        <v>-5.5485119666323079E-3</v>
      </c>
      <c r="I562" s="35">
        <f>(Table143454[[#This Row],[Core CPI]]-F550)/F550</f>
        <v>2.4529287242853137E-2</v>
      </c>
    </row>
    <row r="563" spans="1:9" x14ac:dyDescent="0.35">
      <c r="A563" s="33">
        <f>IF(Data!A590="",#N/A,Data!A590)</f>
        <v>35796</v>
      </c>
      <c r="B563" s="34">
        <f>VLOOKUP(A563,Data!A:AX,MATCH($B$2,Data!$B$1:$AX$1,0),FALSE)</f>
        <v>71.397670000000005</v>
      </c>
      <c r="C563" s="35">
        <f t="shared" si="34"/>
        <v>2.8035876258427628E-3</v>
      </c>
      <c r="D563" s="35">
        <f t="shared" si="31"/>
        <v>3.4166697093061194E-2</v>
      </c>
      <c r="E563" s="35">
        <f>(Table143454[[#This Row],[JPN]]-B551)/B551</f>
        <v>1.8993284558023082E-2</v>
      </c>
      <c r="F563" s="34">
        <f>VLOOKUP(Table143454[[#This Row],[Date]],'Data Core CPI'!$A:$AX,MATCH($B$2,'Data Core CPI'!$B$1:$AX$1,0),FALSE)</f>
        <v>72.863259999999997</v>
      </c>
      <c r="G563" s="35">
        <f t="shared" si="32"/>
        <v>2.7260653212535235E-3</v>
      </c>
      <c r="H563" s="35">
        <f t="shared" si="33"/>
        <v>3.320774271785254E-2</v>
      </c>
      <c r="I563" s="35">
        <f>(Table143454[[#This Row],[Core CPI]]-F551)/F551</f>
        <v>2.414389210397341E-2</v>
      </c>
    </row>
    <row r="564" spans="1:9" x14ac:dyDescent="0.35">
      <c r="A564" s="33">
        <f>IF(Data!A591="",#N/A,Data!A591)</f>
        <v>35827</v>
      </c>
      <c r="B564" s="34">
        <f>VLOOKUP(A564,Data!A:AX,MATCH($B$2,Data!$B$1:$AX$1,0),FALSE)</f>
        <v>71.597300000000004</v>
      </c>
      <c r="C564" s="35">
        <f t="shared" si="34"/>
        <v>2.7960296183333622E-3</v>
      </c>
      <c r="D564" s="35">
        <f t="shared" si="31"/>
        <v>3.4073168321181235E-2</v>
      </c>
      <c r="E564" s="35">
        <f>(Table143454[[#This Row],[JPN]]-B552)/B552</f>
        <v>2.0872787894843901E-2</v>
      </c>
      <c r="F564" s="34">
        <f>VLOOKUP(Table143454[[#This Row],[Date]],'Data Core CPI'!$A:$AX,MATCH($B$2,'Data Core CPI'!$B$1:$AX$1,0),FALSE)</f>
        <v>73.132279999999994</v>
      </c>
      <c r="G564" s="35">
        <f t="shared" si="32"/>
        <v>3.6921213791423213E-3</v>
      </c>
      <c r="H564" s="35">
        <f t="shared" si="33"/>
        <v>4.5216317882109669E-2</v>
      </c>
      <c r="I564" s="35">
        <f>(Table143454[[#This Row],[Core CPI]]-F552)/F552</f>
        <v>2.6367834946447503E-2</v>
      </c>
    </row>
    <row r="565" spans="1:9" x14ac:dyDescent="0.35">
      <c r="A565" s="33">
        <f>IF(Data!A592="",#N/A,Data!A592)</f>
        <v>35855</v>
      </c>
      <c r="B565" s="34">
        <f>VLOOKUP(A565,Data!A:AX,MATCH($B$2,Data!$B$1:$AX$1,0),FALSE)</f>
        <v>71.79692</v>
      </c>
      <c r="C565" s="35">
        <f t="shared" si="34"/>
        <v>2.7880939644371328E-3</v>
      </c>
      <c r="D565" s="35">
        <f t="shared" si="31"/>
        <v>3.3974974598378394E-2</v>
      </c>
      <c r="E565" s="35">
        <f>(Table143454[[#This Row],[JPN]]-B553)/B553</f>
        <v>2.0813691660945169E-2</v>
      </c>
      <c r="F565" s="34">
        <f>VLOOKUP(Table143454[[#This Row],[Date]],'Data Core CPI'!$A:$AX,MATCH($B$2,'Data Core CPI'!$B$1:$AX$1,0),FALSE)</f>
        <v>73.440309999999997</v>
      </c>
      <c r="G565" s="35">
        <f t="shared" si="32"/>
        <v>4.2119567446823325E-3</v>
      </c>
      <c r="H565" s="35">
        <f t="shared" si="33"/>
        <v>5.173095499843483E-2</v>
      </c>
      <c r="I565" s="35">
        <f>(Table143454[[#This Row],[Core CPI]]-F553)/F553</f>
        <v>2.7070838219963884E-2</v>
      </c>
    </row>
    <row r="566" spans="1:9" x14ac:dyDescent="0.35">
      <c r="A566" s="33">
        <f>IF(Data!A593="",#N/A,Data!A593)</f>
        <v>35886</v>
      </c>
      <c r="B566" s="34">
        <f>VLOOKUP(A566,Data!A:AX,MATCH($B$2,Data!$B$1:$AX$1,0),FALSE)</f>
        <v>71.863460000000003</v>
      </c>
      <c r="C566" s="35">
        <f t="shared" si="34"/>
        <v>9.2678070312768313E-4</v>
      </c>
      <c r="D566" s="35">
        <f t="shared" si="31"/>
        <v>1.1178232813600308E-2</v>
      </c>
      <c r="E566" s="35">
        <f>(Table143454[[#This Row],[JPN]]-B554)/B554</f>
        <v>2.0794019054377839E-2</v>
      </c>
      <c r="F566" s="34">
        <f>VLOOKUP(Table143454[[#This Row],[Date]],'Data Core CPI'!$A:$AX,MATCH($B$2,'Data Core CPI'!$B$1:$AX$1,0),FALSE)</f>
        <v>73.490210000000005</v>
      </c>
      <c r="G566" s="35">
        <f t="shared" si="32"/>
        <v>6.794633628317559E-4</v>
      </c>
      <c r="H566" s="35">
        <f t="shared" si="33"/>
        <v>8.1840997214506217E-3</v>
      </c>
      <c r="I566" s="35">
        <f>(Table143454[[#This Row],[Core CPI]]-F554)/F554</f>
        <v>2.6312860435675597E-2</v>
      </c>
    </row>
    <row r="567" spans="1:9" x14ac:dyDescent="0.35">
      <c r="A567" s="33">
        <f>IF(Data!A594="",#N/A,Data!A594)</f>
        <v>35916</v>
      </c>
      <c r="B567" s="34">
        <f>VLOOKUP(A567,Data!A:AX,MATCH($B$2,Data!$B$1:$AX$1,0),FALSE)</f>
        <v>71.996539999999996</v>
      </c>
      <c r="C567" s="35">
        <f t="shared" si="34"/>
        <v>1.8518451519031753E-3</v>
      </c>
      <c r="D567" s="35">
        <f t="shared" si="31"/>
        <v>2.2449880601853378E-2</v>
      </c>
      <c r="E567" s="35">
        <f>(Table143454[[#This Row],[JPN]]-B555)/B555</f>
        <v>1.9792575553264059E-2</v>
      </c>
      <c r="F567" s="34">
        <f>VLOOKUP(Table143454[[#This Row],[Date]],'Data Core CPI'!$A:$AX,MATCH($B$2,'Data Core CPI'!$B$1:$AX$1,0),FALSE)</f>
        <v>73.675060000000002</v>
      </c>
      <c r="G567" s="35">
        <f t="shared" si="32"/>
        <v>2.5153010176457435E-3</v>
      </c>
      <c r="H567" s="35">
        <f t="shared" si="33"/>
        <v>3.0604697897004263E-2</v>
      </c>
      <c r="I567" s="35">
        <f>(Table143454[[#This Row],[Core CPI]]-F555)/F555</f>
        <v>2.4975292098591211E-2</v>
      </c>
    </row>
    <row r="568" spans="1:9" x14ac:dyDescent="0.35">
      <c r="A568" s="33">
        <f>IF(Data!A595="",#N/A,Data!A595)</f>
        <v>35947</v>
      </c>
      <c r="B568" s="34">
        <f>VLOOKUP(A568,Data!A:AX,MATCH($B$2,Data!$B$1:$AX$1,0),FALSE)</f>
        <v>72.063079999999999</v>
      </c>
      <c r="C568" s="35">
        <f t="shared" si="34"/>
        <v>9.2421108014351105E-4</v>
      </c>
      <c r="D568" s="35">
        <f t="shared" si="31"/>
        <v>1.1147081961927263E-2</v>
      </c>
      <c r="E568" s="35">
        <f>(Table143454[[#This Row],[JPN]]-B556)/B556</f>
        <v>2.0735079151038584E-2</v>
      </c>
      <c r="F568" s="34">
        <f>VLOOKUP(Table143454[[#This Row],[Date]],'Data Core CPI'!$A:$AX,MATCH($B$2,'Data Core CPI'!$B$1:$AX$1,0),FALSE)</f>
        <v>73.755009999999999</v>
      </c>
      <c r="G568" s="35">
        <f t="shared" si="32"/>
        <v>1.085170476956554E-3</v>
      </c>
      <c r="H568" s="35">
        <f t="shared" si="33"/>
        <v>1.3100048814814524E-2</v>
      </c>
      <c r="I568" s="35">
        <f>(Table143454[[#This Row],[Core CPI]]-F556)/F556</f>
        <v>2.5759058819078886E-2</v>
      </c>
    </row>
    <row r="569" spans="1:9" x14ac:dyDescent="0.35">
      <c r="A569" s="33">
        <f>IF(Data!A596="",#N/A,Data!A596)</f>
        <v>35977</v>
      </c>
      <c r="B569" s="34">
        <f>VLOOKUP(A569,Data!A:AX,MATCH($B$2,Data!$B$1:$AX$1,0),FALSE)</f>
        <v>72.063079999999999</v>
      </c>
      <c r="C569" s="35">
        <f t="shared" si="34"/>
        <v>0</v>
      </c>
      <c r="D569" s="35">
        <f t="shared" si="31"/>
        <v>0</v>
      </c>
      <c r="E569" s="35">
        <f>(Table143454[[#This Row],[JPN]]-B557)/B557</f>
        <v>2.0735079151038584E-2</v>
      </c>
      <c r="F569" s="34">
        <f>VLOOKUP(Table143454[[#This Row],[Date]],'Data Core CPI'!$A:$AX,MATCH($B$2,'Data Core CPI'!$B$1:$AX$1,0),FALSE)</f>
        <v>73.835369999999998</v>
      </c>
      <c r="G569" s="35">
        <f t="shared" si="32"/>
        <v>1.0895531029011529E-3</v>
      </c>
      <c r="H569" s="35">
        <f t="shared" si="33"/>
        <v>1.3153272803337002E-2</v>
      </c>
      <c r="I569" s="35">
        <f>(Table143454[[#This Row],[Core CPI]]-F557)/F557</f>
        <v>2.5853718313804223E-2</v>
      </c>
    </row>
    <row r="570" spans="1:9" x14ac:dyDescent="0.35">
      <c r="A570" s="33">
        <f>IF(Data!A597="",#N/A,Data!A597)</f>
        <v>36008</v>
      </c>
      <c r="B570" s="34">
        <f>VLOOKUP(A570,Data!A:AX,MATCH($B$2,Data!$B$1:$AX$1,0),FALSE)</f>
        <v>72.129620000000003</v>
      </c>
      <c r="C570" s="35">
        <f t="shared" si="34"/>
        <v>9.2335770272389261E-4</v>
      </c>
      <c r="D570" s="35">
        <f t="shared" si="31"/>
        <v>1.1136736890460464E-2</v>
      </c>
      <c r="E570" s="35">
        <f>(Table143454[[#This Row],[JPN]]-B558)/B558</f>
        <v>2.0715699109030733E-2</v>
      </c>
      <c r="F570" s="34">
        <f>VLOOKUP(Table143454[[#This Row],[Date]],'Data Core CPI'!$A:$AX,MATCH($B$2,'Data Core CPI'!$B$1:$AX$1,0),FALSE)</f>
        <v>73.952370000000002</v>
      </c>
      <c r="G570" s="35">
        <f t="shared" si="32"/>
        <v>1.5846064020537121E-3</v>
      </c>
      <c r="H570" s="35">
        <f t="shared" si="33"/>
        <v>1.918187982562114E-2</v>
      </c>
      <c r="I570" s="35">
        <f>(Table143454[[#This Row],[Core CPI]]-F558)/F558</f>
        <v>2.5736491954918953E-2</v>
      </c>
    </row>
    <row r="571" spans="1:9" x14ac:dyDescent="0.35">
      <c r="A571" s="33">
        <f>IF(Data!A598="",#N/A,Data!A598)</f>
        <v>36039</v>
      </c>
      <c r="B571" s="34">
        <f>VLOOKUP(A571,Data!A:AX,MATCH($B$2,Data!$B$1:$AX$1,0),FALSE)</f>
        <v>72.129620000000003</v>
      </c>
      <c r="C571" s="35">
        <f t="shared" si="34"/>
        <v>0</v>
      </c>
      <c r="D571" s="35">
        <f t="shared" ref="D571:D634" si="35">((1+C571)^12)-1</f>
        <v>0</v>
      </c>
      <c r="E571" s="35">
        <f>(Table143454[[#This Row],[JPN]]-B559)/B559</f>
        <v>1.9755336601619513E-2</v>
      </c>
      <c r="F571" s="34">
        <f>VLOOKUP(Table143454[[#This Row],[Date]],'Data Core CPI'!$A:$AX,MATCH($B$2,'Data Core CPI'!$B$1:$AX$1,0),FALSE)</f>
        <v>73.974530000000001</v>
      </c>
      <c r="G571" s="35">
        <f t="shared" si="32"/>
        <v>2.9965233027695604E-4</v>
      </c>
      <c r="H571" s="35">
        <f t="shared" si="33"/>
        <v>3.6017601269457966E-3</v>
      </c>
      <c r="I571" s="35">
        <f>(Table143454[[#This Row],[Core CPI]]-F559)/F559</f>
        <v>2.4677039414613727E-2</v>
      </c>
    </row>
    <row r="572" spans="1:9" x14ac:dyDescent="0.35">
      <c r="A572" s="33">
        <f>IF(Data!A599="",#N/A,Data!A599)</f>
        <v>36069</v>
      </c>
      <c r="B572" s="34">
        <f>VLOOKUP(A572,Data!A:AX,MATCH($B$2,Data!$B$1:$AX$1,0),FALSE)</f>
        <v>72.262699999999995</v>
      </c>
      <c r="C572" s="35">
        <f t="shared" si="34"/>
        <v>1.8450117995907345E-3</v>
      </c>
      <c r="D572" s="35">
        <f t="shared" si="35"/>
        <v>2.2366197591899617E-2</v>
      </c>
      <c r="E572" s="35">
        <f>(Table143454[[#This Row],[JPN]]-B560)/B560</f>
        <v>1.8761800933261467E-2</v>
      </c>
      <c r="F572" s="34">
        <f>VLOOKUP(Table143454[[#This Row],[Date]],'Data Core CPI'!$A:$AX,MATCH($B$2,'Data Core CPI'!$B$1:$AX$1,0),FALSE)</f>
        <v>74.12397</v>
      </c>
      <c r="G572" s="35">
        <f t="shared" si="32"/>
        <v>2.0201547748934789E-3</v>
      </c>
      <c r="H572" s="35">
        <f t="shared" si="33"/>
        <v>2.4513026986911157E-2</v>
      </c>
      <c r="I572" s="35">
        <f>(Table143454[[#This Row],[Core CPI]]-F560)/F560</f>
        <v>2.3848225530688844E-2</v>
      </c>
    </row>
    <row r="573" spans="1:9" x14ac:dyDescent="0.35">
      <c r="A573" s="33">
        <f>IF(Data!A600="",#N/A,Data!A600)</f>
        <v>36100</v>
      </c>
      <c r="B573" s="34">
        <f>VLOOKUP(A573,Data!A:AX,MATCH($B$2,Data!$B$1:$AX$1,0),FALSE)</f>
        <v>72.329239999999999</v>
      </c>
      <c r="C573" s="35">
        <f t="shared" si="34"/>
        <v>9.2080700001528903E-4</v>
      </c>
      <c r="D573" s="35">
        <f t="shared" si="35"/>
        <v>1.1105816564198623E-2</v>
      </c>
      <c r="E573" s="35">
        <f>(Table143454[[#This Row],[JPN]]-B561)/B561</f>
        <v>1.5887792448277392E-2</v>
      </c>
      <c r="F573" s="34">
        <f>VLOOKUP(Table143454[[#This Row],[Date]],'Data Core CPI'!$A:$AX,MATCH($B$2,'Data Core CPI'!$B$1:$AX$1,0),FALSE)</f>
        <v>74.221050000000005</v>
      </c>
      <c r="G573" s="35">
        <f t="shared" si="32"/>
        <v>1.3096977941144949E-3</v>
      </c>
      <c r="H573" s="35">
        <f t="shared" si="33"/>
        <v>1.5830079575258393E-2</v>
      </c>
      <c r="I573" s="35">
        <f>(Table143454[[#This Row],[Core CPI]]-F561)/F561</f>
        <v>2.0938152133588954E-2</v>
      </c>
    </row>
    <row r="574" spans="1:9" x14ac:dyDescent="0.35">
      <c r="A574" s="33">
        <f>IF(Data!A601="",#N/A,Data!A601)</f>
        <v>36130</v>
      </c>
      <c r="B574" s="34">
        <f>VLOOKUP(A574,Data!A:AX,MATCH($B$2,Data!$B$1:$AX$1,0),FALSE)</f>
        <v>72.395780000000002</v>
      </c>
      <c r="C574" s="35">
        <f t="shared" si="34"/>
        <v>9.1995989450466276E-4</v>
      </c>
      <c r="D574" s="35">
        <f t="shared" si="35"/>
        <v>1.1095547907783221E-2</v>
      </c>
      <c r="E574" s="35">
        <f>(Table143454[[#This Row],[JPN]]-B562)/B562</f>
        <v>1.6822368474646694E-2</v>
      </c>
      <c r="F574" s="34">
        <f>VLOOKUP(Table143454[[#This Row],[Date]],'Data Core CPI'!$A:$AX,MATCH($B$2,'Data Core CPI'!$B$1:$AX$1,0),FALSE)</f>
        <v>74.28398</v>
      </c>
      <c r="G574" s="35">
        <f t="shared" si="32"/>
        <v>8.4787267224051277E-4</v>
      </c>
      <c r="H574" s="35">
        <f t="shared" si="33"/>
        <v>1.0222053031180289E-2</v>
      </c>
      <c r="I574" s="35">
        <f>(Table143454[[#This Row],[Core CPI]]-F562)/F562</f>
        <v>2.2277660672919312E-2</v>
      </c>
    </row>
    <row r="575" spans="1:9" x14ac:dyDescent="0.35">
      <c r="A575" s="33">
        <f>IF(Data!A602="",#N/A,Data!A602)</f>
        <v>36161</v>
      </c>
      <c r="B575" s="34">
        <f>VLOOKUP(A575,Data!A:AX,MATCH($B$2,Data!$B$1:$AX$1,0),FALSE)</f>
        <v>72.462320000000005</v>
      </c>
      <c r="C575" s="35">
        <f t="shared" si="34"/>
        <v>9.1911434616775978E-4</v>
      </c>
      <c r="D575" s="35">
        <f t="shared" si="35"/>
        <v>1.108529822283999E-2</v>
      </c>
      <c r="E575" s="35">
        <f>(Table143454[[#This Row],[JPN]]-B563)/B563</f>
        <v>1.4911551035208855E-2</v>
      </c>
      <c r="F575" s="34">
        <f>VLOOKUP(Table143454[[#This Row],[Date]],'Data Core CPI'!$A:$AX,MATCH($B$2,'Data Core CPI'!$B$1:$AX$1,0),FALSE)</f>
        <v>74.397850000000005</v>
      </c>
      <c r="G575" s="35">
        <f t="shared" si="32"/>
        <v>1.5329011719620311E-3</v>
      </c>
      <c r="H575" s="35">
        <f t="shared" si="33"/>
        <v>1.8550695117336202E-2</v>
      </c>
      <c r="I575" s="35">
        <f>(Table143454[[#This Row],[Core CPI]]-F563)/F563</f>
        <v>2.1061231682469445E-2</v>
      </c>
    </row>
    <row r="576" spans="1:9" x14ac:dyDescent="0.35">
      <c r="A576" s="33">
        <f>IF(Data!A603="",#N/A,Data!A603)</f>
        <v>36192</v>
      </c>
      <c r="B576" s="34">
        <f>VLOOKUP(A576,Data!A:AX,MATCH($B$2,Data!$B$1:$AX$1,0),FALSE)</f>
        <v>72.595410000000001</v>
      </c>
      <c r="C576" s="35">
        <f t="shared" si="34"/>
        <v>1.8366787041872445E-3</v>
      </c>
      <c r="D576" s="35">
        <f t="shared" si="35"/>
        <v>2.2264156834377991E-2</v>
      </c>
      <c r="E576" s="35">
        <f>(Table143454[[#This Row],[JPN]]-B564)/B564</f>
        <v>1.3940609492257346E-2</v>
      </c>
      <c r="F576" s="34">
        <f>VLOOKUP(Table143454[[#This Row],[Date]],'Data Core CPI'!$A:$AX,MATCH($B$2,'Data Core CPI'!$B$1:$AX$1,0),FALSE)</f>
        <v>74.536510000000007</v>
      </c>
      <c r="G576" s="35">
        <f t="shared" si="32"/>
        <v>1.8637635361775651E-3</v>
      </c>
      <c r="H576" s="35">
        <f t="shared" si="33"/>
        <v>2.2595851262025235E-2</v>
      </c>
      <c r="I576" s="35">
        <f>(Table143454[[#This Row],[Core CPI]]-F564)/F564</f>
        <v>1.9201233709656155E-2</v>
      </c>
    </row>
    <row r="577" spans="1:9" x14ac:dyDescent="0.35">
      <c r="A577" s="33">
        <f>IF(Data!A604="",#N/A,Data!A604)</f>
        <v>36220</v>
      </c>
      <c r="B577" s="34">
        <f>VLOOKUP(A577,Data!A:AX,MATCH($B$2,Data!$B$1:$AX$1,0),FALSE)</f>
        <v>72.728489999999994</v>
      </c>
      <c r="C577" s="35">
        <f t="shared" si="34"/>
        <v>1.8331737502410572E-3</v>
      </c>
      <c r="D577" s="35">
        <f t="shared" si="35"/>
        <v>2.2221240619501925E-2</v>
      </c>
      <c r="E577" s="35">
        <f>(Table143454[[#This Row],[JPN]]-B565)/B565</f>
        <v>1.2975069125527858E-2</v>
      </c>
      <c r="F577" s="34">
        <f>VLOOKUP(Table143454[[#This Row],[Date]],'Data Core CPI'!$A:$AX,MATCH($B$2,'Data Core CPI'!$B$1:$AX$1,0),FALSE)</f>
        <v>74.665940000000006</v>
      </c>
      <c r="G577" s="35">
        <f t="shared" si="32"/>
        <v>1.7364644521187245E-3</v>
      </c>
      <c r="H577" s="35">
        <f t="shared" si="33"/>
        <v>2.1037740233744051E-2</v>
      </c>
      <c r="I577" s="35">
        <f>(Table143454[[#This Row],[Core CPI]]-F565)/F565</f>
        <v>1.6688791210167954E-2</v>
      </c>
    </row>
    <row r="578" spans="1:9" x14ac:dyDescent="0.35">
      <c r="A578" s="33">
        <f>IF(Data!A605="",#N/A,Data!A605)</f>
        <v>36251</v>
      </c>
      <c r="B578" s="34">
        <f>VLOOKUP(A578,Data!A:AX,MATCH($B$2,Data!$B$1:$AX$1,0),FALSE)</f>
        <v>72.928100000000001</v>
      </c>
      <c r="C578" s="35">
        <f t="shared" si="34"/>
        <v>2.7445915623989237E-3</v>
      </c>
      <c r="D578" s="35">
        <f t="shared" si="35"/>
        <v>3.3436838998641916E-2</v>
      </c>
      <c r="E578" s="35">
        <f>(Table143454[[#This Row],[JPN]]-B566)/B566</f>
        <v>1.4814761215226725E-2</v>
      </c>
      <c r="F578" s="34">
        <f>VLOOKUP(Table143454[[#This Row],[Date]],'Data Core CPI'!$A:$AX,MATCH($B$2,'Data Core CPI'!$B$1:$AX$1,0),FALSE)</f>
        <v>74.806129999999996</v>
      </c>
      <c r="G578" s="35">
        <f t="shared" si="32"/>
        <v>1.877562915567621E-3</v>
      </c>
      <c r="H578" s="35">
        <f t="shared" si="33"/>
        <v>2.2764883312198503E-2</v>
      </c>
      <c r="I578" s="35">
        <f>(Table143454[[#This Row],[Core CPI]]-F566)/F566</f>
        <v>1.7906058507656888E-2</v>
      </c>
    </row>
    <row r="579" spans="1:9" x14ac:dyDescent="0.35">
      <c r="A579" s="33">
        <f>IF(Data!A606="",#N/A,Data!A606)</f>
        <v>36281</v>
      </c>
      <c r="B579" s="34">
        <f>VLOOKUP(A579,Data!A:AX,MATCH($B$2,Data!$B$1:$AX$1,0),FALSE)</f>
        <v>73.061179999999993</v>
      </c>
      <c r="C579" s="35">
        <f t="shared" si="34"/>
        <v>1.8248110124903238E-3</v>
      </c>
      <c r="D579" s="35">
        <f t="shared" si="35"/>
        <v>2.2118850210547825E-2</v>
      </c>
      <c r="E579" s="35">
        <f>(Table143454[[#This Row],[JPN]]-B567)/B567</f>
        <v>1.4787377282297138E-2</v>
      </c>
      <c r="F579" s="34">
        <f>VLOOKUP(Table143454[[#This Row],[Date]],'Data Core CPI'!$A:$AX,MATCH($B$2,'Data Core CPI'!$B$1:$AX$1,0),FALSE)</f>
        <v>74.942629999999994</v>
      </c>
      <c r="G579" s="35">
        <f t="shared" ref="G579:G642" si="36">(F579/F578)-1</f>
        <v>1.8247167712057699E-3</v>
      </c>
      <c r="H579" s="35">
        <f t="shared" ref="H579:H642" si="37">((1+G579)^12)-1</f>
        <v>2.2117696407097931E-2</v>
      </c>
      <c r="I579" s="35">
        <f>(Table143454[[#This Row],[Core CPI]]-F567)/F567</f>
        <v>1.7204872313643069E-2</v>
      </c>
    </row>
    <row r="580" spans="1:9" x14ac:dyDescent="0.35">
      <c r="A580" s="33">
        <f>IF(Data!A607="",#N/A,Data!A607)</f>
        <v>36312</v>
      </c>
      <c r="B580" s="34">
        <f>VLOOKUP(A580,Data!A:AX,MATCH($B$2,Data!$B$1:$AX$1,0),FALSE)</f>
        <v>73.061179999999993</v>
      </c>
      <c r="C580" s="35">
        <f t="shared" ref="C580:C643" si="38">(B580/B579)-1</f>
        <v>0</v>
      </c>
      <c r="D580" s="35">
        <f t="shared" si="35"/>
        <v>0</v>
      </c>
      <c r="E580" s="35">
        <f>(Table143454[[#This Row],[JPN]]-B568)/B568</f>
        <v>1.3850365540856618E-2</v>
      </c>
      <c r="F580" s="34">
        <f>VLOOKUP(Table143454[[#This Row],[Date]],'Data Core CPI'!$A:$AX,MATCH($B$2,'Data Core CPI'!$B$1:$AX$1,0),FALSE)</f>
        <v>74.980080000000001</v>
      </c>
      <c r="G580" s="35">
        <f t="shared" si="36"/>
        <v>4.9971558243955272E-4</v>
      </c>
      <c r="H580" s="35">
        <f t="shared" si="37"/>
        <v>6.0130957070434476E-3</v>
      </c>
      <c r="I580" s="35">
        <f>(Table143454[[#This Row],[Core CPI]]-F568)/F568</f>
        <v>1.6609990290829088E-2</v>
      </c>
    </row>
    <row r="581" spans="1:9" x14ac:dyDescent="0.35">
      <c r="A581" s="33">
        <f>IF(Data!A608="",#N/A,Data!A608)</f>
        <v>36342</v>
      </c>
      <c r="B581" s="34">
        <f>VLOOKUP(A581,Data!A:AX,MATCH($B$2,Data!$B$1:$AX$1,0),FALSE)</f>
        <v>73.260800000000003</v>
      </c>
      <c r="C581" s="35">
        <f t="shared" si="38"/>
        <v>2.7322307140400515E-3</v>
      </c>
      <c r="D581" s="35">
        <f t="shared" si="35"/>
        <v>3.3283979056494495E-2</v>
      </c>
      <c r="E581" s="35">
        <f>(Table143454[[#This Row],[JPN]]-B569)/B569</f>
        <v>1.66204386490281E-2</v>
      </c>
      <c r="F581" s="34">
        <f>VLOOKUP(Table143454[[#This Row],[Date]],'Data Core CPI'!$A:$AX,MATCH($B$2,'Data Core CPI'!$B$1:$AX$1,0),FALSE)</f>
        <v>75.233649999999997</v>
      </c>
      <c r="G581" s="35">
        <f t="shared" si="36"/>
        <v>3.3818315477924799E-3</v>
      </c>
      <c r="H581" s="35">
        <f t="shared" si="37"/>
        <v>4.134538045740288E-2</v>
      </c>
      <c r="I581" s="35">
        <f>(Table143454[[#This Row],[Core CPI]]-F569)/F569</f>
        <v>1.8937807178321175E-2</v>
      </c>
    </row>
    <row r="582" spans="1:9" x14ac:dyDescent="0.35">
      <c r="A582" s="33">
        <f>IF(Data!A609="",#N/A,Data!A609)</f>
        <v>36373</v>
      </c>
      <c r="B582" s="34">
        <f>VLOOKUP(A582,Data!A:AX,MATCH($B$2,Data!$B$1:$AX$1,0),FALSE)</f>
        <v>73.327349999999996</v>
      </c>
      <c r="C582" s="35">
        <f t="shared" si="38"/>
        <v>9.083984886868457E-4</v>
      </c>
      <c r="D582" s="35">
        <f t="shared" si="35"/>
        <v>1.0955409509395775E-2</v>
      </c>
      <c r="E582" s="35">
        <f>(Table143454[[#This Row],[JPN]]-B570)/B570</f>
        <v>1.6605244835616668E-2</v>
      </c>
      <c r="F582" s="34">
        <f>VLOOKUP(Table143454[[#This Row],[Date]],'Data Core CPI'!$A:$AX,MATCH($B$2,'Data Core CPI'!$B$1:$AX$1,0),FALSE)</f>
        <v>75.322819999999993</v>
      </c>
      <c r="G582" s="35">
        <f t="shared" si="36"/>
        <v>1.185240912809471E-3</v>
      </c>
      <c r="H582" s="35">
        <f t="shared" si="37"/>
        <v>1.431597477461688E-2</v>
      </c>
      <c r="I582" s="35">
        <f>(Table143454[[#This Row],[Core CPI]]-F570)/F570</f>
        <v>1.8531522383934296E-2</v>
      </c>
    </row>
    <row r="583" spans="1:9" x14ac:dyDescent="0.35">
      <c r="A583" s="33">
        <f>IF(Data!A610="",#N/A,Data!A610)</f>
        <v>36404</v>
      </c>
      <c r="B583" s="34">
        <f>VLOOKUP(A583,Data!A:AX,MATCH($B$2,Data!$B$1:$AX$1,0),FALSE)</f>
        <v>73.460430000000002</v>
      </c>
      <c r="C583" s="35">
        <f t="shared" si="38"/>
        <v>1.814875350057088E-3</v>
      </c>
      <c r="D583" s="35">
        <f t="shared" si="35"/>
        <v>2.1997213686977712E-2</v>
      </c>
      <c r="E583" s="35">
        <f>(Table143454[[#This Row],[JPN]]-B571)/B571</f>
        <v>1.8450256635207555E-2</v>
      </c>
      <c r="F583" s="34">
        <f>VLOOKUP(Table143454[[#This Row],[Date]],'Data Core CPI'!$A:$AX,MATCH($B$2,'Data Core CPI'!$B$1:$AX$1,0),FALSE)</f>
        <v>75.371729999999999</v>
      </c>
      <c r="G583" s="35">
        <f t="shared" si="36"/>
        <v>6.4933840767000817E-4</v>
      </c>
      <c r="H583" s="35">
        <f t="shared" si="37"/>
        <v>7.8199494776027834E-3</v>
      </c>
      <c r="I583" s="35">
        <f>(Table143454[[#This Row],[Core CPI]]-F571)/F571</f>
        <v>1.8887581982609394E-2</v>
      </c>
    </row>
    <row r="584" spans="1:9" x14ac:dyDescent="0.35">
      <c r="A584" s="33">
        <f>IF(Data!A611="",#N/A,Data!A611)</f>
        <v>36434</v>
      </c>
      <c r="B584" s="34">
        <f>VLOOKUP(A584,Data!A:AX,MATCH($B$2,Data!$B$1:$AX$1,0),FALSE)</f>
        <v>73.726590000000002</v>
      </c>
      <c r="C584" s="35">
        <f t="shared" si="38"/>
        <v>3.6231750889561543E-3</v>
      </c>
      <c r="D584" s="35">
        <f t="shared" si="35"/>
        <v>4.4355058945878101E-2</v>
      </c>
      <c r="E584" s="35">
        <f>(Table143454[[#This Row],[JPN]]-B572)/B572</f>
        <v>2.0257892384314542E-2</v>
      </c>
      <c r="F584" s="34">
        <f>VLOOKUP(Table143454[[#This Row],[Date]],'Data Core CPI'!$A:$AX,MATCH($B$2,'Data Core CPI'!$B$1:$AX$1,0),FALSE)</f>
        <v>75.672250000000005</v>
      </c>
      <c r="G584" s="35">
        <f t="shared" si="36"/>
        <v>3.9871713174157719E-3</v>
      </c>
      <c r="H584" s="35">
        <f t="shared" si="37"/>
        <v>4.8909363993630661E-2</v>
      </c>
      <c r="I584" s="35">
        <f>(Table143454[[#This Row],[Core CPI]]-F572)/F572</f>
        <v>2.0887710142886377E-2</v>
      </c>
    </row>
    <row r="585" spans="1:9" x14ac:dyDescent="0.35">
      <c r="A585" s="33">
        <f>IF(Data!A612="",#N/A,Data!A612)</f>
        <v>36465</v>
      </c>
      <c r="B585" s="34">
        <f>VLOOKUP(A585,Data!A:AX,MATCH($B$2,Data!$B$1:$AX$1,0),FALSE)</f>
        <v>73.859660000000005</v>
      </c>
      <c r="C585" s="35">
        <f t="shared" si="38"/>
        <v>1.8049119049179385E-3</v>
      </c>
      <c r="D585" s="35">
        <f t="shared" si="35"/>
        <v>2.1875250360766874E-2</v>
      </c>
      <c r="E585" s="35">
        <f>(Table143454[[#This Row],[JPN]]-B573)/B573</f>
        <v>2.115907757360656E-2</v>
      </c>
      <c r="F585" s="34">
        <f>VLOOKUP(Table143454[[#This Row],[Date]],'Data Core CPI'!$A:$AX,MATCH($B$2,'Data Core CPI'!$B$1:$AX$1,0),FALSE)</f>
        <v>75.793970000000002</v>
      </c>
      <c r="G585" s="35">
        <f t="shared" si="36"/>
        <v>1.6085156712004611E-3</v>
      </c>
      <c r="H585" s="35">
        <f t="shared" si="37"/>
        <v>1.9473870257246562E-2</v>
      </c>
      <c r="I585" s="35">
        <f>(Table143454[[#This Row],[Core CPI]]-F573)/F573</f>
        <v>2.1192370628009119E-2</v>
      </c>
    </row>
    <row r="586" spans="1:9" x14ac:dyDescent="0.35">
      <c r="A586" s="33">
        <f>IF(Data!A613="",#N/A,Data!A613)</f>
        <v>36495</v>
      </c>
      <c r="B586" s="34">
        <f>VLOOKUP(A586,Data!A:AX,MATCH($B$2,Data!$B$1:$AX$1,0),FALSE)</f>
        <v>73.926209999999998</v>
      </c>
      <c r="C586" s="35">
        <f t="shared" si="38"/>
        <v>9.0103312146294634E-4</v>
      </c>
      <c r="D586" s="35">
        <f t="shared" si="35"/>
        <v>1.0866141522504869E-2</v>
      </c>
      <c r="E586" s="35">
        <f>(Table143454[[#This Row],[JPN]]-B574)/B574</f>
        <v>2.1139768091454993E-2</v>
      </c>
      <c r="F586" s="34">
        <f>VLOOKUP(Table143454[[#This Row],[Date]],'Data Core CPI'!$A:$AX,MATCH($B$2,'Data Core CPI'!$B$1:$AX$1,0),FALSE)</f>
        <v>75.751149999999996</v>
      </c>
      <c r="G586" s="35">
        <f t="shared" si="36"/>
        <v>-5.6495259451383451E-4</v>
      </c>
      <c r="H586" s="35">
        <f t="shared" si="37"/>
        <v>-6.758405438819115E-3</v>
      </c>
      <c r="I586" s="35">
        <f>(Table143454[[#This Row],[Core CPI]]-F574)/F574</f>
        <v>1.9750826490449163E-2</v>
      </c>
    </row>
    <row r="587" spans="1:9" x14ac:dyDescent="0.35">
      <c r="A587" s="33">
        <f>IF(Data!A614="",#N/A,Data!A614)</f>
        <v>36526</v>
      </c>
      <c r="B587" s="34">
        <f>VLOOKUP(A587,Data!A:AX,MATCH($B$2,Data!$B$1:$AX$1,0),FALSE)</f>
        <v>74.059290000000004</v>
      </c>
      <c r="C587" s="35">
        <f t="shared" si="38"/>
        <v>1.8001734432213645E-3</v>
      </c>
      <c r="D587" s="35">
        <f t="shared" si="35"/>
        <v>2.1817251154997441E-2</v>
      </c>
      <c r="E587" s="35">
        <f>(Table143454[[#This Row],[JPN]]-B575)/B575</f>
        <v>2.2038626419910359E-2</v>
      </c>
      <c r="F587" s="34">
        <f>VLOOKUP(Table143454[[#This Row],[Date]],'Data Core CPI'!$A:$AX,MATCH($B$2,'Data Core CPI'!$B$1:$AX$1,0),FALSE)</f>
        <v>75.879090000000005</v>
      </c>
      <c r="G587" s="35">
        <f t="shared" si="36"/>
        <v>1.68895125684565E-3</v>
      </c>
      <c r="H587" s="35">
        <f t="shared" si="37"/>
        <v>2.045674776217421E-2</v>
      </c>
      <c r="I587" s="35">
        <f>(Table143454[[#This Row],[Core CPI]]-F575)/F575</f>
        <v>1.990971513289698E-2</v>
      </c>
    </row>
    <row r="588" spans="1:9" x14ac:dyDescent="0.35">
      <c r="A588" s="33">
        <f>IF(Data!A615="",#N/A,Data!A615)</f>
        <v>36557</v>
      </c>
      <c r="B588" s="34">
        <f>VLOOKUP(A588,Data!A:AX,MATCH($B$2,Data!$B$1:$AX$1,0),FALSE)</f>
        <v>74.325450000000004</v>
      </c>
      <c r="C588" s="35">
        <f t="shared" si="38"/>
        <v>3.5938772839976263E-3</v>
      </c>
      <c r="D588" s="35">
        <f t="shared" si="35"/>
        <v>4.3989275458922839E-2</v>
      </c>
      <c r="E588" s="35">
        <f>(Table143454[[#This Row],[JPN]]-B576)/B576</f>
        <v>2.3831258753136079E-2</v>
      </c>
      <c r="F588" s="34">
        <f>VLOOKUP(Table143454[[#This Row],[Date]],'Data Core CPI'!$A:$AX,MATCH($B$2,'Data Core CPI'!$B$1:$AX$1,0),FALSE)</f>
        <v>76.135540000000006</v>
      </c>
      <c r="G588" s="35">
        <f t="shared" si="36"/>
        <v>3.3797189713267173E-3</v>
      </c>
      <c r="H588" s="35">
        <f t="shared" si="37"/>
        <v>4.1319070677424463E-2</v>
      </c>
      <c r="I588" s="35">
        <f>(Table143454[[#This Row],[Core CPI]]-F576)/F576</f>
        <v>2.1452976534586859E-2</v>
      </c>
    </row>
    <row r="589" spans="1:9" x14ac:dyDescent="0.35">
      <c r="A589" s="33">
        <f>IF(Data!A616="",#N/A,Data!A616)</f>
        <v>36586</v>
      </c>
      <c r="B589" s="34">
        <f>VLOOKUP(A589,Data!A:AX,MATCH($B$2,Data!$B$1:$AX$1,0),FALSE)</f>
        <v>74.525069999999999</v>
      </c>
      <c r="C589" s="35">
        <f t="shared" si="38"/>
        <v>2.6857556866455301E-3</v>
      </c>
      <c r="D589" s="35">
        <f t="shared" si="35"/>
        <v>3.2709432910339009E-2</v>
      </c>
      <c r="E589" s="35">
        <f>(Table143454[[#This Row],[JPN]]-B577)/B577</f>
        <v>2.4702561540876293E-2</v>
      </c>
      <c r="F589" s="34">
        <f>VLOOKUP(Table143454[[#This Row],[Date]],'Data Core CPI'!$A:$AX,MATCH($B$2,'Data Core CPI'!$B$1:$AX$1,0),FALSE)</f>
        <v>76.157160000000005</v>
      </c>
      <c r="G589" s="35">
        <f t="shared" si="36"/>
        <v>2.8396725103685405E-4</v>
      </c>
      <c r="H589" s="35">
        <f t="shared" si="37"/>
        <v>3.4129341216837528E-3</v>
      </c>
      <c r="I589" s="35">
        <f>(Table143454[[#This Row],[Core CPI]]-F577)/F577</f>
        <v>1.9971890797865779E-2</v>
      </c>
    </row>
    <row r="590" spans="1:9" x14ac:dyDescent="0.35">
      <c r="A590" s="33">
        <f>IF(Data!A617="",#N/A,Data!A617)</f>
        <v>36617</v>
      </c>
      <c r="B590" s="34">
        <f>VLOOKUP(A590,Data!A:AX,MATCH($B$2,Data!$B$1:$AX$1,0),FALSE)</f>
        <v>74.591610000000003</v>
      </c>
      <c r="C590" s="35">
        <f t="shared" si="38"/>
        <v>8.9285390808768739E-4</v>
      </c>
      <c r="D590" s="35">
        <f t="shared" si="35"/>
        <v>1.0767018216709667E-2</v>
      </c>
      <c r="E590" s="35">
        <f>(Table143454[[#This Row],[JPN]]-B578)/B578</f>
        <v>2.2810274777486348E-2</v>
      </c>
      <c r="F590" s="34">
        <f>VLOOKUP(Table143454[[#This Row],[Date]],'Data Core CPI'!$A:$AX,MATCH($B$2,'Data Core CPI'!$B$1:$AX$1,0),FALSE)</f>
        <v>76.246679999999998</v>
      </c>
      <c r="G590" s="35">
        <f t="shared" si="36"/>
        <v>1.175464001020865E-3</v>
      </c>
      <c r="H590" s="35">
        <f t="shared" si="37"/>
        <v>1.4197119504354649E-2</v>
      </c>
      <c r="I590" s="35">
        <f>(Table143454[[#This Row],[Core CPI]]-F578)/F578</f>
        <v>1.9257111683227055E-2</v>
      </c>
    </row>
    <row r="591" spans="1:9" x14ac:dyDescent="0.35">
      <c r="A591" s="33">
        <f>IF(Data!A618="",#N/A,Data!A618)</f>
        <v>36647</v>
      </c>
      <c r="B591" s="34">
        <f>VLOOKUP(A591,Data!A:AX,MATCH($B$2,Data!$B$1:$AX$1,0),FALSE)</f>
        <v>74.857770000000002</v>
      </c>
      <c r="C591" s="35">
        <f t="shared" si="38"/>
        <v>3.568229724495886E-3</v>
      </c>
      <c r="D591" s="35">
        <f t="shared" si="35"/>
        <v>4.3669161741847207E-2</v>
      </c>
      <c r="E591" s="35">
        <f>(Table143454[[#This Row],[JPN]]-B579)/B579</f>
        <v>2.459021329795124E-2</v>
      </c>
      <c r="F591" s="34">
        <f>VLOOKUP(Table143454[[#This Row],[Date]],'Data Core CPI'!$A:$AX,MATCH($B$2,'Data Core CPI'!$B$1:$AX$1,0),FALSE)</f>
        <v>76.438580000000002</v>
      </c>
      <c r="G591" s="35">
        <f t="shared" si="36"/>
        <v>2.5168308967682407E-3</v>
      </c>
      <c r="H591" s="35">
        <f t="shared" si="37"/>
        <v>3.0623570991624716E-2</v>
      </c>
      <c r="I591" s="35">
        <f>(Table143454[[#This Row],[Core CPI]]-F579)/F579</f>
        <v>1.9961269040064483E-2</v>
      </c>
    </row>
    <row r="592" spans="1:9" x14ac:dyDescent="0.35">
      <c r="A592" s="33">
        <f>IF(Data!A619="",#N/A,Data!A619)</f>
        <v>36678</v>
      </c>
      <c r="B592" s="34">
        <f>VLOOKUP(A592,Data!A:AX,MATCH($B$2,Data!$B$1:$AX$1,0),FALSE)</f>
        <v>75.057389999999998</v>
      </c>
      <c r="C592" s="35">
        <f t="shared" si="38"/>
        <v>2.6666570484266128E-3</v>
      </c>
      <c r="D592" s="35">
        <f t="shared" si="35"/>
        <v>3.2473411473428415E-2</v>
      </c>
      <c r="E592" s="35">
        <f>(Table143454[[#This Row],[JPN]]-B580)/B580</f>
        <v>2.7322444011991118E-2</v>
      </c>
      <c r="F592" s="34">
        <f>VLOOKUP(Table143454[[#This Row],[Date]],'Data Core CPI'!$A:$AX,MATCH($B$2,'Data Core CPI'!$B$1:$AX$1,0),FALSE)</f>
        <v>76.580659999999995</v>
      </c>
      <c r="G592" s="35">
        <f t="shared" si="36"/>
        <v>1.8587472451736531E-3</v>
      </c>
      <c r="H592" s="35">
        <f t="shared" si="37"/>
        <v>2.2534411805322119E-2</v>
      </c>
      <c r="I592" s="35">
        <f>(Table143454[[#This Row],[Core CPI]]-F580)/F580</f>
        <v>2.1346736359843757E-2</v>
      </c>
    </row>
    <row r="593" spans="1:9" x14ac:dyDescent="0.35">
      <c r="A593" s="33">
        <f>IF(Data!A620="",#N/A,Data!A620)</f>
        <v>36708</v>
      </c>
      <c r="B593" s="34">
        <f>VLOOKUP(A593,Data!A:AX,MATCH($B$2,Data!$B$1:$AX$1,0),FALSE)</f>
        <v>75.190470000000005</v>
      </c>
      <c r="C593" s="35">
        <f t="shared" si="38"/>
        <v>1.773043267291996E-3</v>
      </c>
      <c r="D593" s="35">
        <f t="shared" si="35"/>
        <v>2.1485233408286231E-2</v>
      </c>
      <c r="E593" s="35">
        <f>(Table143454[[#This Row],[JPN]]-B581)/B581</f>
        <v>2.6339734209836659E-2</v>
      </c>
      <c r="F593" s="34">
        <f>VLOOKUP(Table143454[[#This Row],[Date]],'Data Core CPI'!$A:$AX,MATCH($B$2,'Data Core CPI'!$B$1:$AX$1,0),FALSE)</f>
        <v>76.69041</v>
      </c>
      <c r="G593" s="35">
        <f t="shared" si="36"/>
        <v>1.4331294611460432E-3</v>
      </c>
      <c r="H593" s="35">
        <f t="shared" si="37"/>
        <v>1.7333757948503559E-2</v>
      </c>
      <c r="I593" s="35">
        <f>(Table143454[[#This Row],[Core CPI]]-F581)/F581</f>
        <v>1.9363144018667216E-2</v>
      </c>
    </row>
    <row r="594" spans="1:9" x14ac:dyDescent="0.35">
      <c r="A594" s="33">
        <f>IF(Data!A621="",#N/A,Data!A621)</f>
        <v>36739</v>
      </c>
      <c r="B594" s="34">
        <f>VLOOKUP(A594,Data!A:AX,MATCH($B$2,Data!$B$1:$AX$1,0),FALSE)</f>
        <v>75.257009999999994</v>
      </c>
      <c r="C594" s="35">
        <f t="shared" si="38"/>
        <v>8.8495257444187736E-4</v>
      </c>
      <c r="D594" s="35">
        <f t="shared" si="35"/>
        <v>1.0671270976609915E-2</v>
      </c>
      <c r="E594" s="35">
        <f>(Table143454[[#This Row],[JPN]]-B582)/B582</f>
        <v>2.6315692575826052E-2</v>
      </c>
      <c r="F594" s="34">
        <f>VLOOKUP(Table143454[[#This Row],[Date]],'Data Core CPI'!$A:$AX,MATCH($B$2,'Data Core CPI'!$B$1:$AX$1,0),FALSE)</f>
        <v>76.820719999999994</v>
      </c>
      <c r="G594" s="35">
        <f t="shared" si="36"/>
        <v>1.6991694267900481E-3</v>
      </c>
      <c r="H594" s="35">
        <f t="shared" si="37"/>
        <v>2.0581670200377378E-2</v>
      </c>
      <c r="I594" s="35">
        <f>(Table143454[[#This Row],[Core CPI]]-F582)/F582</f>
        <v>1.9886403615796668E-2</v>
      </c>
    </row>
    <row r="595" spans="1:9" x14ac:dyDescent="0.35">
      <c r="A595" s="33">
        <f>IF(Data!A622="",#N/A,Data!A622)</f>
        <v>36770</v>
      </c>
      <c r="B595" s="34">
        <f>VLOOKUP(A595,Data!A:AX,MATCH($B$2,Data!$B$1:$AX$1,0),FALSE)</f>
        <v>75.390090000000001</v>
      </c>
      <c r="C595" s="35">
        <f t="shared" si="38"/>
        <v>1.7683402516257551E-3</v>
      </c>
      <c r="D595" s="35">
        <f t="shared" si="35"/>
        <v>2.142768819428742E-2</v>
      </c>
      <c r="E595" s="35">
        <f>(Table143454[[#This Row],[JPN]]-B583)/B583</f>
        <v>2.6268019394931372E-2</v>
      </c>
      <c r="F595" s="34">
        <f>VLOOKUP(Table143454[[#This Row],[Date]],'Data Core CPI'!$A:$AX,MATCH($B$2,'Data Core CPI'!$B$1:$AX$1,0),FALSE)</f>
        <v>76.780060000000006</v>
      </c>
      <c r="G595" s="35">
        <f t="shared" si="36"/>
        <v>-5.292842868432901E-4</v>
      </c>
      <c r="H595" s="35">
        <f t="shared" si="37"/>
        <v>-6.3329546612195253E-3</v>
      </c>
      <c r="I595" s="35">
        <f>(Table143454[[#This Row],[Core CPI]]-F583)/F583</f>
        <v>1.868512239270621E-2</v>
      </c>
    </row>
    <row r="596" spans="1:9" x14ac:dyDescent="0.35">
      <c r="A596" s="33">
        <f>IF(Data!A623="",#N/A,Data!A623)</f>
        <v>36800</v>
      </c>
      <c r="B596" s="34">
        <f>VLOOKUP(A596,Data!A:AX,MATCH($B$2,Data!$B$1:$AX$1,0),FALSE)</f>
        <v>75.65625</v>
      </c>
      <c r="C596" s="35">
        <f t="shared" si="38"/>
        <v>3.5304374885345435E-3</v>
      </c>
      <c r="D596" s="35">
        <f t="shared" si="35"/>
        <v>4.3197631195507125E-2</v>
      </c>
      <c r="E596" s="35">
        <f>(Table143454[[#This Row],[JPN]]-B584)/B584</f>
        <v>2.6173189347289742E-2</v>
      </c>
      <c r="F596" s="34">
        <f>VLOOKUP(Table143454[[#This Row],[Date]],'Data Core CPI'!$A:$AX,MATCH($B$2,'Data Core CPI'!$B$1:$AX$1,0),FALSE)</f>
        <v>77.107039999999998</v>
      </c>
      <c r="G596" s="35">
        <f t="shared" si="36"/>
        <v>4.2586577817207427E-3</v>
      </c>
      <c r="H596" s="35">
        <f t="shared" si="37"/>
        <v>5.2318036133438328E-2</v>
      </c>
      <c r="I596" s="35">
        <f>(Table143454[[#This Row],[Core CPI]]-F584)/F584</f>
        <v>1.8960583304976294E-2</v>
      </c>
    </row>
    <row r="597" spans="1:9" x14ac:dyDescent="0.35">
      <c r="A597" s="33">
        <f>IF(Data!A624="",#N/A,Data!A624)</f>
        <v>36831</v>
      </c>
      <c r="B597" s="34">
        <f>VLOOKUP(A597,Data!A:AX,MATCH($B$2,Data!$B$1:$AX$1,0),FALSE)</f>
        <v>75.855869999999996</v>
      </c>
      <c r="C597" s="35">
        <f t="shared" si="38"/>
        <v>2.6385130111523658E-3</v>
      </c>
      <c r="D597" s="35">
        <f t="shared" si="35"/>
        <v>3.2125696893617883E-2</v>
      </c>
      <c r="E597" s="35">
        <f>(Table143454[[#This Row],[JPN]]-B585)/B585</f>
        <v>2.7027067278674051E-2</v>
      </c>
      <c r="F597" s="34">
        <f>VLOOKUP(Table143454[[#This Row],[Date]],'Data Core CPI'!$A:$AX,MATCH($B$2,'Data Core CPI'!$B$1:$AX$1,0),FALSE)</f>
        <v>77.248069999999998</v>
      </c>
      <c r="G597" s="35">
        <f t="shared" si="36"/>
        <v>1.8290158719618255E-3</v>
      </c>
      <c r="H597" s="35">
        <f t="shared" si="37"/>
        <v>2.2170331850415392E-2</v>
      </c>
      <c r="I597" s="35">
        <f>(Table143454[[#This Row],[Core CPI]]-F585)/F585</f>
        <v>1.9184903495621047E-2</v>
      </c>
    </row>
    <row r="598" spans="1:9" x14ac:dyDescent="0.35">
      <c r="A598" s="33">
        <f>IF(Data!A625="",#N/A,Data!A625)</f>
        <v>36861</v>
      </c>
      <c r="B598" s="34">
        <f>VLOOKUP(A598,Data!A:AX,MATCH($B$2,Data!$B$1:$AX$1,0),FALSE)</f>
        <v>75.922420000000002</v>
      </c>
      <c r="C598" s="35">
        <f t="shared" si="38"/>
        <v>8.7732168914556041E-4</v>
      </c>
      <c r="D598" s="35">
        <f t="shared" si="35"/>
        <v>1.0578808883368707E-2</v>
      </c>
      <c r="E598" s="35">
        <f>(Table143454[[#This Row],[JPN]]-B586)/B586</f>
        <v>2.7002736918340667E-2</v>
      </c>
      <c r="F598" s="34">
        <f>VLOOKUP(Table143454[[#This Row],[Date]],'Data Core CPI'!$A:$AX,MATCH($B$2,'Data Core CPI'!$B$1:$AX$1,0),FALSE)</f>
        <v>77.270759999999996</v>
      </c>
      <c r="G598" s="35">
        <f t="shared" si="36"/>
        <v>2.9372902132052126E-4</v>
      </c>
      <c r="H598" s="35">
        <f t="shared" si="37"/>
        <v>3.530448099474448E-3</v>
      </c>
      <c r="I598" s="35">
        <f>(Table143454[[#This Row],[Core CPI]]-F586)/F586</f>
        <v>2.0060553536150938E-2</v>
      </c>
    </row>
    <row r="599" spans="1:9" x14ac:dyDescent="0.35">
      <c r="A599" s="33">
        <f>IF(Data!A626="",#N/A,Data!A626)</f>
        <v>36892</v>
      </c>
      <c r="B599" s="34">
        <f>VLOOKUP(A599,Data!A:AX,MATCH($B$2,Data!$B$1:$AX$1,0),FALSE)</f>
        <v>76.255110000000002</v>
      </c>
      <c r="C599" s="35">
        <f t="shared" si="38"/>
        <v>4.3819730719858452E-3</v>
      </c>
      <c r="D599" s="35">
        <f t="shared" si="35"/>
        <v>5.3869683148669578E-2</v>
      </c>
      <c r="E599" s="35">
        <f>(Table143454[[#This Row],[JPN]]-B587)/B587</f>
        <v>2.9649487592981211E-2</v>
      </c>
      <c r="F599" s="34">
        <f>VLOOKUP(Table143454[[#This Row],[Date]],'Data Core CPI'!$A:$AX,MATCH($B$2,'Data Core CPI'!$B$1:$AX$1,0),FALSE)</f>
        <v>77.719920000000002</v>
      </c>
      <c r="G599" s="35">
        <f t="shared" si="36"/>
        <v>5.8128068107523578E-3</v>
      </c>
      <c r="H599" s="35">
        <f t="shared" si="37"/>
        <v>7.2027517480861114E-2</v>
      </c>
      <c r="I599" s="35">
        <f>(Table143454[[#This Row],[Core CPI]]-F587)/F587</f>
        <v>2.4260043181856778E-2</v>
      </c>
    </row>
    <row r="600" spans="1:9" x14ac:dyDescent="0.35">
      <c r="A600" s="33">
        <f>IF(Data!A627="",#N/A,Data!A627)</f>
        <v>36923</v>
      </c>
      <c r="B600" s="34">
        <f>VLOOKUP(A600,Data!A:AX,MATCH($B$2,Data!$B$1:$AX$1,0),FALSE)</f>
        <v>76.521280000000004</v>
      </c>
      <c r="C600" s="35">
        <f t="shared" si="38"/>
        <v>3.4905201762871485E-3</v>
      </c>
      <c r="D600" s="35">
        <f t="shared" si="35"/>
        <v>4.2699798322629379E-2</v>
      </c>
      <c r="E600" s="35">
        <f>(Table143454[[#This Row],[JPN]]-B588)/B588</f>
        <v>2.9543447096519439E-2</v>
      </c>
      <c r="F600" s="34">
        <f>VLOOKUP(Table143454[[#This Row],[Date]],'Data Core CPI'!$A:$AX,MATCH($B$2,'Data Core CPI'!$B$1:$AX$1,0),FALSE)</f>
        <v>77.949190000000002</v>
      </c>
      <c r="G600" s="35">
        <f t="shared" si="36"/>
        <v>2.9499515696875811E-3</v>
      </c>
      <c r="H600" s="35">
        <f t="shared" si="37"/>
        <v>3.5979450285143155E-2</v>
      </c>
      <c r="I600" s="35">
        <f>(Table143454[[#This Row],[Core CPI]]-F588)/F588</f>
        <v>2.3821332323905438E-2</v>
      </c>
    </row>
    <row r="601" spans="1:9" x14ac:dyDescent="0.35">
      <c r="A601" s="33">
        <f>IF(Data!A628="",#N/A,Data!A628)</f>
        <v>36951</v>
      </c>
      <c r="B601" s="34">
        <f>VLOOKUP(A601,Data!A:AX,MATCH($B$2,Data!$B$1:$AX$1,0),FALSE)</f>
        <v>76.587810000000005</v>
      </c>
      <c r="C601" s="35">
        <f t="shared" si="38"/>
        <v>8.6943135295181051E-4</v>
      </c>
      <c r="D601" s="35">
        <f t="shared" si="35"/>
        <v>1.0483211223349054E-2</v>
      </c>
      <c r="E601" s="35">
        <f>(Table143454[[#This Row],[JPN]]-B589)/B589</f>
        <v>2.7678471150714857E-2</v>
      </c>
      <c r="F601" s="34">
        <f>VLOOKUP(Table143454[[#This Row],[Date]],'Data Core CPI'!$A:$AX,MATCH($B$2,'Data Core CPI'!$B$1:$AX$1,0),FALSE)</f>
        <v>77.985569999999996</v>
      </c>
      <c r="G601" s="35">
        <f t="shared" si="36"/>
        <v>4.6671427887834405E-4</v>
      </c>
      <c r="H601" s="35">
        <f t="shared" si="37"/>
        <v>5.6149700018013338E-3</v>
      </c>
      <c r="I601" s="35">
        <f>(Table143454[[#This Row],[Core CPI]]-F589)/F589</f>
        <v>2.4008379514151933E-2</v>
      </c>
    </row>
    <row r="602" spans="1:9" x14ac:dyDescent="0.35">
      <c r="A602" s="33">
        <f>IF(Data!A629="",#N/A,Data!A629)</f>
        <v>36982</v>
      </c>
      <c r="B602" s="34">
        <f>VLOOKUP(A602,Data!A:AX,MATCH($B$2,Data!$B$1:$AX$1,0),FALSE)</f>
        <v>76.920519999999996</v>
      </c>
      <c r="C602" s="35">
        <f t="shared" si="38"/>
        <v>4.3441639080683547E-3</v>
      </c>
      <c r="D602" s="35">
        <f t="shared" si="35"/>
        <v>5.3393716627476717E-2</v>
      </c>
      <c r="E602" s="35">
        <f>(Table143454[[#This Row],[JPN]]-B590)/B590</f>
        <v>3.1222144152673381E-2</v>
      </c>
      <c r="F602" s="34">
        <f>VLOOKUP(Table143454[[#This Row],[Date]],'Data Core CPI'!$A:$AX,MATCH($B$2,'Data Core CPI'!$B$1:$AX$1,0),FALSE)</f>
        <v>78.311070000000001</v>
      </c>
      <c r="G602" s="35">
        <f t="shared" si="36"/>
        <v>4.1738490851577215E-3</v>
      </c>
      <c r="H602" s="35">
        <f t="shared" si="37"/>
        <v>5.1252124119085307E-2</v>
      </c>
      <c r="I602" s="35">
        <f>(Table143454[[#This Row],[Core CPI]]-F590)/F590</f>
        <v>2.7075146091606914E-2</v>
      </c>
    </row>
    <row r="603" spans="1:9" x14ac:dyDescent="0.35">
      <c r="A603" s="33">
        <f>IF(Data!A630="",#N/A,Data!A630)</f>
        <v>37012</v>
      </c>
      <c r="B603" s="34">
        <f>VLOOKUP(A603,Data!A:AX,MATCH($B$2,Data!$B$1:$AX$1,0),FALSE)</f>
        <v>77.120140000000006</v>
      </c>
      <c r="C603" s="35">
        <f t="shared" si="38"/>
        <v>2.5951462626618849E-3</v>
      </c>
      <c r="D603" s="35">
        <f t="shared" si="35"/>
        <v>3.1590118554514213E-2</v>
      </c>
      <c r="E603" s="35">
        <f>(Table143454[[#This Row],[JPN]]-B591)/B591</f>
        <v>3.0222246802169023E-2</v>
      </c>
      <c r="F603" s="34">
        <f>VLOOKUP(Table143454[[#This Row],[Date]],'Data Core CPI'!$A:$AX,MATCH($B$2,'Data Core CPI'!$B$1:$AX$1,0),FALSE)</f>
        <v>78.473740000000006</v>
      </c>
      <c r="G603" s="35">
        <f t="shared" si="36"/>
        <v>2.0772286727790412E-3</v>
      </c>
      <c r="H603" s="35">
        <f t="shared" si="37"/>
        <v>2.5213507189212114E-2</v>
      </c>
      <c r="I603" s="35">
        <f>(Table143454[[#This Row],[Core CPI]]-F591)/F591</f>
        <v>2.6624775080855829E-2</v>
      </c>
    </row>
    <row r="604" spans="1:9" x14ac:dyDescent="0.35">
      <c r="A604" s="33">
        <f>IF(Data!A631="",#N/A,Data!A631)</f>
        <v>37043</v>
      </c>
      <c r="B604" s="34">
        <f>VLOOKUP(A604,Data!A:AX,MATCH($B$2,Data!$B$1:$AX$1,0),FALSE)</f>
        <v>77.319760000000002</v>
      </c>
      <c r="C604" s="35">
        <f t="shared" si="38"/>
        <v>2.5884289110471581E-3</v>
      </c>
      <c r="D604" s="35">
        <f t="shared" si="35"/>
        <v>3.1507182208044826E-2</v>
      </c>
      <c r="E604" s="35">
        <f>(Table143454[[#This Row],[JPN]]-B592)/B592</f>
        <v>3.0141868775346494E-2</v>
      </c>
      <c r="F604" s="34">
        <f>VLOOKUP(Table143454[[#This Row],[Date]],'Data Core CPI'!$A:$AX,MATCH($B$2,'Data Core CPI'!$B$1:$AX$1,0),FALSE)</f>
        <v>78.623009999999994</v>
      </c>
      <c r="G604" s="35">
        <f t="shared" si="36"/>
        <v>1.9021649790107453E-3</v>
      </c>
      <c r="H604" s="35">
        <f t="shared" si="37"/>
        <v>2.3066303678483724E-2</v>
      </c>
      <c r="I604" s="35">
        <f>(Table143454[[#This Row],[Core CPI]]-F592)/F592</f>
        <v>2.6669266104522985E-2</v>
      </c>
    </row>
    <row r="605" spans="1:9" x14ac:dyDescent="0.35">
      <c r="A605" s="33">
        <f>IF(Data!A632="",#N/A,Data!A632)</f>
        <v>37073</v>
      </c>
      <c r="B605" s="34">
        <f>VLOOKUP(A605,Data!A:AX,MATCH($B$2,Data!$B$1:$AX$1,0),FALSE)</f>
        <v>77.386300000000006</v>
      </c>
      <c r="C605" s="35">
        <f t="shared" si="38"/>
        <v>8.605820814757692E-4</v>
      </c>
      <c r="D605" s="35">
        <f t="shared" si="35"/>
        <v>1.0376005166484736E-2</v>
      </c>
      <c r="E605" s="35">
        <f>(Table143454[[#This Row],[JPN]]-B593)/B593</f>
        <v>2.9203567952162033E-2</v>
      </c>
      <c r="F605" s="34">
        <f>VLOOKUP(Table143454[[#This Row],[Date]],'Data Core CPI'!$A:$AX,MATCH($B$2,'Data Core CPI'!$B$1:$AX$1,0),FALSE)</f>
        <v>78.826059999999998</v>
      </c>
      <c r="G605" s="35">
        <f t="shared" si="36"/>
        <v>2.5825772887606568E-3</v>
      </c>
      <c r="H605" s="35">
        <f t="shared" si="37"/>
        <v>3.1434939642873916E-2</v>
      </c>
      <c r="I605" s="35">
        <f>(Table143454[[#This Row],[Core CPI]]-F593)/F593</f>
        <v>2.7847680042393803E-2</v>
      </c>
    </row>
    <row r="606" spans="1:9" x14ac:dyDescent="0.35">
      <c r="A606" s="33">
        <f>IF(Data!A633="",#N/A,Data!A633)</f>
        <v>37104</v>
      </c>
      <c r="B606" s="34">
        <f>VLOOKUP(A606,Data!A:AX,MATCH($B$2,Data!$B$1:$AX$1,0),FALSE)</f>
        <v>77.386300000000006</v>
      </c>
      <c r="C606" s="35">
        <f t="shared" si="38"/>
        <v>0</v>
      </c>
      <c r="D606" s="35">
        <f t="shared" si="35"/>
        <v>0</v>
      </c>
      <c r="E606" s="35">
        <f>(Table143454[[#This Row],[JPN]]-B594)/B594</f>
        <v>2.829357690399887E-2</v>
      </c>
      <c r="F606" s="34">
        <f>VLOOKUP(Table143454[[#This Row],[Date]],'Data Core CPI'!$A:$AX,MATCH($B$2,'Data Core CPI'!$B$1:$AX$1,0),FALSE)</f>
        <v>78.928889999999996</v>
      </c>
      <c r="G606" s="35">
        <f t="shared" si="36"/>
        <v>1.3045178206292363E-3</v>
      </c>
      <c r="H606" s="35">
        <f t="shared" si="37"/>
        <v>1.5767020285908817E-2</v>
      </c>
      <c r="I606" s="35">
        <f>(Table143454[[#This Row],[Core CPI]]-F594)/F594</f>
        <v>2.7442726389442867E-2</v>
      </c>
    </row>
    <row r="607" spans="1:9" x14ac:dyDescent="0.35">
      <c r="A607" s="33">
        <f>IF(Data!A634="",#N/A,Data!A634)</f>
        <v>37135</v>
      </c>
      <c r="B607" s="34">
        <f>VLOOKUP(A607,Data!A:AX,MATCH($B$2,Data!$B$1:$AX$1,0),FALSE)</f>
        <v>77.386300000000006</v>
      </c>
      <c r="C607" s="35">
        <f t="shared" si="38"/>
        <v>0</v>
      </c>
      <c r="D607" s="35">
        <f t="shared" si="35"/>
        <v>0</v>
      </c>
      <c r="E607" s="35">
        <f>(Table143454[[#This Row],[JPN]]-B595)/B595</f>
        <v>2.647841380743815E-2</v>
      </c>
      <c r="F607" s="34">
        <f>VLOOKUP(Table143454[[#This Row],[Date]],'Data Core CPI'!$A:$AX,MATCH($B$2,'Data Core CPI'!$B$1:$AX$1,0),FALSE)</f>
        <v>78.913790000000006</v>
      </c>
      <c r="G607" s="35">
        <f t="shared" si="36"/>
        <v>-1.9131144502337882E-4</v>
      </c>
      <c r="H607" s="35">
        <f t="shared" si="37"/>
        <v>-2.2933232755065758E-3</v>
      </c>
      <c r="I607" s="35">
        <f>(Table143454[[#This Row],[Core CPI]]-F595)/F595</f>
        <v>2.779015801758946E-2</v>
      </c>
    </row>
    <row r="608" spans="1:9" x14ac:dyDescent="0.35">
      <c r="A608" s="33">
        <f>IF(Data!A635="",#N/A,Data!A635)</f>
        <v>37165</v>
      </c>
      <c r="B608" s="34">
        <f>VLOOKUP(A608,Data!A:AX,MATCH($B$2,Data!$B$1:$AX$1,0),FALSE)</f>
        <v>77.519379999999998</v>
      </c>
      <c r="C608" s="35">
        <f t="shared" si="38"/>
        <v>1.7196842335140961E-3</v>
      </c>
      <c r="D608" s="35">
        <f t="shared" si="35"/>
        <v>2.0832516700311166E-2</v>
      </c>
      <c r="E608" s="35">
        <f>(Table143454[[#This Row],[JPN]]-B596)/B596</f>
        <v>2.462625361420898E-2</v>
      </c>
      <c r="F608" s="34">
        <f>VLOOKUP(Table143454[[#This Row],[Date]],'Data Core CPI'!$A:$AX,MATCH($B$2,'Data Core CPI'!$B$1:$AX$1,0),FALSE)</f>
        <v>79.111840000000001</v>
      </c>
      <c r="G608" s="35">
        <f t="shared" si="36"/>
        <v>2.5097007759986578E-3</v>
      </c>
      <c r="H608" s="35">
        <f t="shared" si="37"/>
        <v>3.0535614167065628E-2</v>
      </c>
      <c r="I608" s="35">
        <f>(Table143454[[#This Row],[Core CPI]]-F596)/F596</f>
        <v>2.6000219953975709E-2</v>
      </c>
    </row>
    <row r="609" spans="1:9" x14ac:dyDescent="0.35">
      <c r="A609" s="33">
        <f>IF(Data!A636="",#N/A,Data!A636)</f>
        <v>37196</v>
      </c>
      <c r="B609" s="34">
        <f>VLOOKUP(A609,Data!A:AX,MATCH($B$2,Data!$B$1:$AX$1,0),FALSE)</f>
        <v>77.652460000000005</v>
      </c>
      <c r="C609" s="35">
        <f t="shared" si="38"/>
        <v>1.7167319965665229E-3</v>
      </c>
      <c r="D609" s="35">
        <f t="shared" si="35"/>
        <v>2.0796414497229465E-2</v>
      </c>
      <c r="E609" s="35">
        <f>(Table143454[[#This Row],[JPN]]-B597)/B597</f>
        <v>2.3684258054123025E-2</v>
      </c>
      <c r="F609" s="34">
        <f>VLOOKUP(Table143454[[#This Row],[Date]],'Data Core CPI'!$A:$AX,MATCH($B$2,'Data Core CPI'!$B$1:$AX$1,0),FALSE)</f>
        <v>79.27422</v>
      </c>
      <c r="G609" s="35">
        <f t="shared" si="36"/>
        <v>2.0525372687576482E-3</v>
      </c>
      <c r="H609" s="35">
        <f t="shared" si="37"/>
        <v>2.4910410423098384E-2</v>
      </c>
      <c r="I609" s="35">
        <f>(Table143454[[#This Row],[Core CPI]]-F597)/F597</f>
        <v>2.622913426833837E-2</v>
      </c>
    </row>
    <row r="610" spans="1:9" x14ac:dyDescent="0.35">
      <c r="A610" s="33">
        <f>IF(Data!A637="",#N/A,Data!A637)</f>
        <v>37226</v>
      </c>
      <c r="B610" s="34">
        <f>VLOOKUP(A610,Data!A:AX,MATCH($B$2,Data!$B$1:$AX$1,0),FALSE)</f>
        <v>77.718999999999994</v>
      </c>
      <c r="C610" s="35">
        <f t="shared" si="38"/>
        <v>8.5689493932306071E-4</v>
      </c>
      <c r="D610" s="35">
        <f t="shared" si="35"/>
        <v>1.0331339711061149E-2</v>
      </c>
      <c r="E610" s="35">
        <f>(Table143454[[#This Row],[JPN]]-B598)/B598</f>
        <v>2.3663365841078188E-2</v>
      </c>
      <c r="F610" s="34">
        <f>VLOOKUP(Table143454[[#This Row],[Date]],'Data Core CPI'!$A:$AX,MATCH($B$2,'Data Core CPI'!$B$1:$AX$1,0),FALSE)</f>
        <v>79.317869999999999</v>
      </c>
      <c r="G610" s="35">
        <f t="shared" si="36"/>
        <v>5.5062036561182026E-4</v>
      </c>
      <c r="H610" s="35">
        <f t="shared" si="37"/>
        <v>6.6274912233219574E-3</v>
      </c>
      <c r="I610" s="35">
        <f>(Table143454[[#This Row],[Core CPI]]-F598)/F598</f>
        <v>2.6492686237329664E-2</v>
      </c>
    </row>
    <row r="611" spans="1:9" x14ac:dyDescent="0.35">
      <c r="A611" s="33">
        <f>IF(Data!A638="",#N/A,Data!A638)</f>
        <v>37257</v>
      </c>
      <c r="B611" s="34">
        <f>VLOOKUP(A611,Data!A:AX,MATCH($B$2,Data!$B$1:$AX$1,0),FALSE)</f>
        <v>78.051699999999997</v>
      </c>
      <c r="C611" s="35">
        <f t="shared" si="38"/>
        <v>4.2808064951942448E-3</v>
      </c>
      <c r="D611" s="35">
        <f t="shared" si="35"/>
        <v>5.2596573754269738E-2</v>
      </c>
      <c r="E611" s="35">
        <f>(Table143454[[#This Row],[JPN]]-B599)/B599</f>
        <v>2.3560257142111456E-2</v>
      </c>
      <c r="F611" s="34">
        <f>VLOOKUP(Table143454[[#This Row],[Date]],'Data Core CPI'!$A:$AX,MATCH($B$2,'Data Core CPI'!$B$1:$AX$1,0),FALSE)</f>
        <v>79.671459999999996</v>
      </c>
      <c r="G611" s="35">
        <f t="shared" si="36"/>
        <v>4.4578857198258603E-3</v>
      </c>
      <c r="H611" s="35">
        <f t="shared" si="37"/>
        <v>5.4825916597752711E-2</v>
      </c>
      <c r="I611" s="35">
        <f>(Table143454[[#This Row],[Core CPI]]-F599)/F599</f>
        <v>2.5109907472884611E-2</v>
      </c>
    </row>
    <row r="612" spans="1:9" x14ac:dyDescent="0.35">
      <c r="A612" s="33">
        <f>IF(Data!A639="",#N/A,Data!A639)</f>
        <v>37288</v>
      </c>
      <c r="B612" s="34">
        <f>VLOOKUP(A612,Data!A:AX,MATCH($B$2,Data!$B$1:$AX$1,0),FALSE)</f>
        <v>78.317859999999996</v>
      </c>
      <c r="C612" s="35">
        <f t="shared" si="38"/>
        <v>3.4100474429128447E-3</v>
      </c>
      <c r="D612" s="35">
        <f t="shared" si="35"/>
        <v>4.169683633550525E-2</v>
      </c>
      <c r="E612" s="35">
        <f>(Table143454[[#This Row],[JPN]]-B600)/B600</f>
        <v>2.3478174959958738E-2</v>
      </c>
      <c r="F612" s="34">
        <f>VLOOKUP(Table143454[[#This Row],[Date]],'Data Core CPI'!$A:$AX,MATCH($B$2,'Data Core CPI'!$B$1:$AX$1,0),FALSE)</f>
        <v>79.957890000000006</v>
      </c>
      <c r="G612" s="35">
        <f t="shared" si="36"/>
        <v>3.5951393384783259E-3</v>
      </c>
      <c r="H612" s="35">
        <f t="shared" si="37"/>
        <v>4.4005029805205487E-2</v>
      </c>
      <c r="I612" s="35">
        <f>(Table143454[[#This Row],[Core CPI]]-F600)/F600</f>
        <v>2.576935052179509E-2</v>
      </c>
    </row>
    <row r="613" spans="1:9" x14ac:dyDescent="0.35">
      <c r="A613" s="33">
        <f>IF(Data!A640="",#N/A,Data!A640)</f>
        <v>37316</v>
      </c>
      <c r="B613" s="34">
        <f>VLOOKUP(A613,Data!A:AX,MATCH($B$2,Data!$B$1:$AX$1,0),FALSE)</f>
        <v>78.517489999999995</v>
      </c>
      <c r="C613" s="35">
        <f t="shared" si="38"/>
        <v>2.5489715883453279E-3</v>
      </c>
      <c r="D613" s="35">
        <f t="shared" si="35"/>
        <v>3.1020142438854315E-2</v>
      </c>
      <c r="E613" s="35">
        <f>(Table143454[[#This Row],[JPN]]-B601)/B601</f>
        <v>2.5195654504287176E-2</v>
      </c>
      <c r="F613" s="34">
        <f>VLOOKUP(Table143454[[#This Row],[Date]],'Data Core CPI'!$A:$AX,MATCH($B$2,'Data Core CPI'!$B$1:$AX$1,0),FALSE)</f>
        <v>80.189170000000004</v>
      </c>
      <c r="G613" s="35">
        <f t="shared" si="36"/>
        <v>2.892522551558141E-3</v>
      </c>
      <c r="H613" s="35">
        <f t="shared" si="37"/>
        <v>3.5267830935863387E-2</v>
      </c>
      <c r="I613" s="35">
        <f>(Table143454[[#This Row],[Core CPI]]-F601)/F601</f>
        <v>2.8256509505540688E-2</v>
      </c>
    </row>
    <row r="614" spans="1:9" x14ac:dyDescent="0.35">
      <c r="A614" s="33">
        <f>IF(Data!A641="",#N/A,Data!A641)</f>
        <v>37347</v>
      </c>
      <c r="B614" s="34">
        <f>VLOOKUP(A614,Data!A:AX,MATCH($B$2,Data!$B$1:$AX$1,0),FALSE)</f>
        <v>78.717100000000002</v>
      </c>
      <c r="C614" s="35">
        <f t="shared" si="38"/>
        <v>2.5422361310838415E-3</v>
      </c>
      <c r="D614" s="35">
        <f t="shared" si="35"/>
        <v>3.0937024677547997E-2</v>
      </c>
      <c r="E614" s="35">
        <f>(Table143454[[#This Row],[JPN]]-B602)/B602</f>
        <v>2.3356316363956017E-2</v>
      </c>
      <c r="F614" s="34">
        <f>VLOOKUP(Table143454[[#This Row],[Date]],'Data Core CPI'!$A:$AX,MATCH($B$2,'Data Core CPI'!$B$1:$AX$1,0),FALSE)</f>
        <v>80.273319999999998</v>
      </c>
      <c r="G614" s="35">
        <f t="shared" si="36"/>
        <v>1.0493935777111663E-3</v>
      </c>
      <c r="H614" s="35">
        <f t="shared" si="37"/>
        <v>1.2665658744464237E-2</v>
      </c>
      <c r="I614" s="35">
        <f>(Table143454[[#This Row],[Core CPI]]-F602)/F602</f>
        <v>2.5057121553823711E-2</v>
      </c>
    </row>
    <row r="615" spans="1:9" x14ac:dyDescent="0.35">
      <c r="A615" s="33">
        <f>IF(Data!A642="",#N/A,Data!A642)</f>
        <v>37377</v>
      </c>
      <c r="B615" s="34">
        <f>VLOOKUP(A615,Data!A:AX,MATCH($B$2,Data!$B$1:$AX$1,0),FALSE)</f>
        <v>78.916730000000001</v>
      </c>
      <c r="C615" s="35">
        <f t="shared" si="38"/>
        <v>2.5360436296559818E-3</v>
      </c>
      <c r="D615" s="35">
        <f t="shared" si="35"/>
        <v>3.0860612589686642E-2</v>
      </c>
      <c r="E615" s="35">
        <f>(Table143454[[#This Row],[JPN]]-B603)/B603</f>
        <v>2.3295989867238243E-2</v>
      </c>
      <c r="F615" s="34">
        <f>VLOOKUP(Table143454[[#This Row],[Date]],'Data Core CPI'!$A:$AX,MATCH($B$2,'Data Core CPI'!$B$1:$AX$1,0),FALSE)</f>
        <v>80.467479999999995</v>
      </c>
      <c r="G615" s="35">
        <f t="shared" si="36"/>
        <v>2.4187363871333023E-3</v>
      </c>
      <c r="H615" s="35">
        <f t="shared" si="37"/>
        <v>2.9414085575794724E-2</v>
      </c>
      <c r="I615" s="35">
        <f>(Table143454[[#This Row],[Core CPI]]-F603)/F603</f>
        <v>2.5406460810966678E-2</v>
      </c>
    </row>
    <row r="616" spans="1:9" x14ac:dyDescent="0.35">
      <c r="A616" s="33">
        <f>IF(Data!A643="",#N/A,Data!A643)</f>
        <v>37408</v>
      </c>
      <c r="B616" s="34">
        <f>VLOOKUP(A616,Data!A:AX,MATCH($B$2,Data!$B$1:$AX$1,0),FALSE)</f>
        <v>78.983270000000005</v>
      </c>
      <c r="C616" s="35">
        <f t="shared" si="38"/>
        <v>8.4316722195665328E-4</v>
      </c>
      <c r="D616" s="35">
        <f t="shared" si="35"/>
        <v>1.0165060233048306E-2</v>
      </c>
      <c r="E616" s="35">
        <f>(Table143454[[#This Row],[JPN]]-B604)/B604</f>
        <v>2.1514681369937026E-2</v>
      </c>
      <c r="F616" s="34">
        <f>VLOOKUP(Table143454[[#This Row],[Date]],'Data Core CPI'!$A:$AX,MATCH($B$2,'Data Core CPI'!$B$1:$AX$1,0),FALSE)</f>
        <v>80.618859999999998</v>
      </c>
      <c r="G616" s="35">
        <f t="shared" si="36"/>
        <v>1.8812568754482673E-3</v>
      </c>
      <c r="H616" s="35">
        <f t="shared" si="37"/>
        <v>2.2810135896359274E-2</v>
      </c>
      <c r="I616" s="35">
        <f>(Table143454[[#This Row],[Core CPI]]-F604)/F604</f>
        <v>2.5385062210159653E-2</v>
      </c>
    </row>
    <row r="617" spans="1:9" x14ac:dyDescent="0.35">
      <c r="A617" s="33">
        <f>IF(Data!A644="",#N/A,Data!A644)</f>
        <v>37438</v>
      </c>
      <c r="B617" s="34">
        <f>VLOOKUP(A617,Data!A:AX,MATCH($B$2,Data!$B$1:$AX$1,0),FALSE)</f>
        <v>79.116349999999997</v>
      </c>
      <c r="C617" s="35">
        <f t="shared" si="38"/>
        <v>1.6849137798420344E-3</v>
      </c>
      <c r="D617" s="35">
        <f t="shared" si="35"/>
        <v>2.0407391370909522E-2</v>
      </c>
      <c r="E617" s="35">
        <f>(Table143454[[#This Row],[JPN]]-B605)/B605</f>
        <v>2.2356024257523505E-2</v>
      </c>
      <c r="F617" s="34">
        <f>VLOOKUP(Table143454[[#This Row],[Date]],'Data Core CPI'!$A:$AX,MATCH($B$2,'Data Core CPI'!$B$1:$AX$1,0),FALSE)</f>
        <v>80.816839999999999</v>
      </c>
      <c r="G617" s="35">
        <f t="shared" si="36"/>
        <v>2.4557529094308972E-3</v>
      </c>
      <c r="H617" s="35">
        <f t="shared" si="37"/>
        <v>2.9870338854384393E-2</v>
      </c>
      <c r="I617" s="35">
        <f>(Table143454[[#This Row],[Core CPI]]-F605)/F605</f>
        <v>2.5255353369177665E-2</v>
      </c>
    </row>
    <row r="618" spans="1:9" x14ac:dyDescent="0.35">
      <c r="A618" s="33">
        <f>IF(Data!A645="",#N/A,Data!A645)</f>
        <v>37469</v>
      </c>
      <c r="B618" s="34">
        <f>VLOOKUP(A618,Data!A:AX,MATCH($B$2,Data!$B$1:$AX$1,0),FALSE)</f>
        <v>79.249430000000004</v>
      </c>
      <c r="C618" s="35">
        <f t="shared" si="38"/>
        <v>1.6820796207106525E-3</v>
      </c>
      <c r="D618" s="35">
        <f t="shared" si="35"/>
        <v>2.0372746321763779E-2</v>
      </c>
      <c r="E618" s="35">
        <f>(Table143454[[#This Row],[JPN]]-B606)/B606</f>
        <v>2.4075708491037795E-2</v>
      </c>
      <c r="F618" s="34">
        <f>VLOOKUP(Table143454[[#This Row],[Date]],'Data Core CPI'!$A:$AX,MATCH($B$2,'Data Core CPI'!$B$1:$AX$1,0),FALSE)</f>
        <v>81.027889999999999</v>
      </c>
      <c r="G618" s="35">
        <f t="shared" si="36"/>
        <v>2.6114606807194907E-3</v>
      </c>
      <c r="H618" s="35">
        <f t="shared" si="37"/>
        <v>3.1791571340148872E-2</v>
      </c>
      <c r="I618" s="35">
        <f>(Table143454[[#This Row],[Core CPI]]-F606)/F606</f>
        <v>2.6593557821477078E-2</v>
      </c>
    </row>
    <row r="619" spans="1:9" x14ac:dyDescent="0.35">
      <c r="A619" s="33">
        <f>IF(Data!A646="",#N/A,Data!A646)</f>
        <v>37500</v>
      </c>
      <c r="B619" s="34">
        <f>VLOOKUP(A619,Data!A:AX,MATCH($B$2,Data!$B$1:$AX$1,0),FALSE)</f>
        <v>79.382509999999996</v>
      </c>
      <c r="C619" s="35">
        <f t="shared" si="38"/>
        <v>1.6792549801303291E-3</v>
      </c>
      <c r="D619" s="35">
        <f t="shared" si="35"/>
        <v>2.0338218701183575E-2</v>
      </c>
      <c r="E619" s="35">
        <f>(Table143454[[#This Row],[JPN]]-B607)/B607</f>
        <v>2.5795392724551898E-2</v>
      </c>
      <c r="F619" s="34">
        <f>VLOOKUP(Table143454[[#This Row],[Date]],'Data Core CPI'!$A:$AX,MATCH($B$2,'Data Core CPI'!$B$1:$AX$1,0),FALSE)</f>
        <v>81.102419999999995</v>
      </c>
      <c r="G619" s="35">
        <f t="shared" si="36"/>
        <v>9.198067480220562E-4</v>
      </c>
      <c r="H619" s="35">
        <f t="shared" si="37"/>
        <v>1.1093691468474498E-2</v>
      </c>
      <c r="I619" s="35">
        <f>(Table143454[[#This Row],[Core CPI]]-F607)/F607</f>
        <v>2.7734442864802072E-2</v>
      </c>
    </row>
    <row r="620" spans="1:9" x14ac:dyDescent="0.35">
      <c r="A620" s="33">
        <f>IF(Data!A647="",#N/A,Data!A647)</f>
        <v>37530</v>
      </c>
      <c r="B620" s="34">
        <f>VLOOKUP(A620,Data!A:AX,MATCH($B$2,Data!$B$1:$AX$1,0),FALSE)</f>
        <v>79.582130000000006</v>
      </c>
      <c r="C620" s="35">
        <f t="shared" si="38"/>
        <v>2.5146597153455907E-3</v>
      </c>
      <c r="D620" s="35">
        <f t="shared" si="35"/>
        <v>3.0596786674055299E-2</v>
      </c>
      <c r="E620" s="35">
        <f>(Table143454[[#This Row],[JPN]]-B608)/B608</f>
        <v>2.6609474946781158E-2</v>
      </c>
      <c r="F620" s="34">
        <f>VLOOKUP(Table143454[[#This Row],[Date]],'Data Core CPI'!$A:$AX,MATCH($B$2,'Data Core CPI'!$B$1:$AX$1,0),FALSE)</f>
        <v>81.270070000000004</v>
      </c>
      <c r="G620" s="35">
        <f t="shared" si="36"/>
        <v>2.0671393036115759E-3</v>
      </c>
      <c r="H620" s="35">
        <f t="shared" si="37"/>
        <v>2.508964625947474E-2</v>
      </c>
      <c r="I620" s="35">
        <f>(Table143454[[#This Row],[Core CPI]]-F608)/F608</f>
        <v>2.7280745840319264E-2</v>
      </c>
    </row>
    <row r="621" spans="1:9" x14ac:dyDescent="0.35">
      <c r="A621" s="33">
        <f>IF(Data!A648="",#N/A,Data!A648)</f>
        <v>37561</v>
      </c>
      <c r="B621" s="34">
        <f>VLOOKUP(A621,Data!A:AX,MATCH($B$2,Data!$B$1:$AX$1,0),FALSE)</f>
        <v>79.848290000000006</v>
      </c>
      <c r="C621" s="35">
        <f t="shared" si="38"/>
        <v>3.3444694179458612E-3</v>
      </c>
      <c r="D621" s="35">
        <f t="shared" si="35"/>
        <v>4.0880166761193326E-2</v>
      </c>
      <c r="E621" s="35">
        <f>(Table143454[[#This Row],[JPN]]-B609)/B609</f>
        <v>2.827766177658764E-2</v>
      </c>
      <c r="F621" s="34">
        <f>VLOOKUP(Table143454[[#This Row],[Date]],'Data Core CPI'!$A:$AX,MATCH($B$2,'Data Core CPI'!$B$1:$AX$1,0),FALSE)</f>
        <v>81.584800000000001</v>
      </c>
      <c r="G621" s="35">
        <f t="shared" si="36"/>
        <v>3.8726433975015961E-3</v>
      </c>
      <c r="H621" s="35">
        <f t="shared" si="37"/>
        <v>4.7474436493114114E-2</v>
      </c>
      <c r="I621" s="35">
        <f>(Table143454[[#This Row],[Core CPI]]-F609)/F609</f>
        <v>2.9146675930712428E-2</v>
      </c>
    </row>
    <row r="622" spans="1:9" x14ac:dyDescent="0.35">
      <c r="A622" s="33">
        <f>IF(Data!A649="",#N/A,Data!A649)</f>
        <v>37591</v>
      </c>
      <c r="B622" s="34">
        <f>VLOOKUP(A622,Data!A:AX,MATCH($B$2,Data!$B$1:$AX$1,0),FALSE)</f>
        <v>79.914829999999995</v>
      </c>
      <c r="C622" s="35">
        <f t="shared" si="38"/>
        <v>8.3333030676024933E-4</v>
      </c>
      <c r="D622" s="35">
        <f t="shared" si="35"/>
        <v>1.0045924233992309E-2</v>
      </c>
      <c r="E622" s="35">
        <f>(Table143454[[#This Row],[JPN]]-B610)/B610</f>
        <v>2.8253451536947222E-2</v>
      </c>
      <c r="F622" s="34">
        <f>VLOOKUP(Table143454[[#This Row],[Date]],'Data Core CPI'!$A:$AX,MATCH($B$2,'Data Core CPI'!$B$1:$AX$1,0),FALSE)</f>
        <v>81.622169999999997</v>
      </c>
      <c r="G622" s="35">
        <f t="shared" si="36"/>
        <v>4.5805100950180311E-4</v>
      </c>
      <c r="H622" s="35">
        <f t="shared" si="37"/>
        <v>5.5104807867134564E-3</v>
      </c>
      <c r="I622" s="35">
        <f>(Table143454[[#This Row],[Core CPI]]-F610)/F610</f>
        <v>2.9051460912906484E-2</v>
      </c>
    </row>
    <row r="623" spans="1:9" x14ac:dyDescent="0.35">
      <c r="A623" s="33">
        <f>IF(Data!A650="",#N/A,Data!A650)</f>
        <v>37622</v>
      </c>
      <c r="B623" s="34">
        <f>VLOOKUP(A623,Data!A:AX,MATCH($B$2,Data!$B$1:$AX$1,0),FALSE)</f>
        <v>80.247529999999998</v>
      </c>
      <c r="C623" s="35">
        <f t="shared" si="38"/>
        <v>4.1631822278793695E-3</v>
      </c>
      <c r="D623" s="35">
        <f t="shared" si="35"/>
        <v>5.1118128581173261E-2</v>
      </c>
      <c r="E623" s="35">
        <f>(Table143454[[#This Row],[JPN]]-B611)/B611</f>
        <v>2.8133019524238433E-2</v>
      </c>
      <c r="F623" s="34">
        <f>VLOOKUP(Table143454[[#This Row],[Date]],'Data Core CPI'!$A:$AX,MATCH($B$2,'Data Core CPI'!$B$1:$AX$1,0),FALSE)</f>
        <v>81.867519999999999</v>
      </c>
      <c r="G623" s="35">
        <f t="shared" si="36"/>
        <v>3.00592351318274E-3</v>
      </c>
      <c r="H623" s="35">
        <f t="shared" si="37"/>
        <v>3.6673446048067104E-2</v>
      </c>
      <c r="I623" s="35">
        <f>(Table143454[[#This Row],[Core CPI]]-F611)/F611</f>
        <v>2.7563948244452942E-2</v>
      </c>
    </row>
    <row r="624" spans="1:9" x14ac:dyDescent="0.35">
      <c r="A624" s="33">
        <f>IF(Data!A651="",#N/A,Data!A651)</f>
        <v>37653</v>
      </c>
      <c r="B624" s="34">
        <f>VLOOKUP(A624,Data!A:AX,MATCH($B$2,Data!$B$1:$AX$1,0),FALSE)</f>
        <v>80.380610000000004</v>
      </c>
      <c r="C624" s="35">
        <f t="shared" si="38"/>
        <v>1.6583687996378771E-3</v>
      </c>
      <c r="D624" s="35">
        <f t="shared" si="35"/>
        <v>2.0082945077922076E-2</v>
      </c>
      <c r="E624" s="35">
        <f>(Table143454[[#This Row],[JPN]]-B612)/B612</f>
        <v>2.6338181354802193E-2</v>
      </c>
      <c r="F624" s="34">
        <f>VLOOKUP(Table143454[[#This Row],[Date]],'Data Core CPI'!$A:$AX,MATCH($B$2,'Data Core CPI'!$B$1:$AX$1,0),FALSE)</f>
        <v>81.955060000000003</v>
      </c>
      <c r="G624" s="35">
        <f t="shared" si="36"/>
        <v>1.0692885285887854E-3</v>
      </c>
      <c r="H624" s="35">
        <f t="shared" si="37"/>
        <v>1.2907194908686082E-2</v>
      </c>
      <c r="I624" s="35">
        <f>(Table143454[[#This Row],[Core CPI]]-F612)/F612</f>
        <v>2.4977772675091811E-2</v>
      </c>
    </row>
    <row r="625" spans="1:9" x14ac:dyDescent="0.35">
      <c r="A625" s="33">
        <f>IF(Data!A652="",#N/A,Data!A652)</f>
        <v>37681</v>
      </c>
      <c r="B625" s="34">
        <f>VLOOKUP(A625,Data!A:AX,MATCH($B$2,Data!$B$1:$AX$1,0),FALSE)</f>
        <v>80.646770000000004</v>
      </c>
      <c r="C625" s="35">
        <f t="shared" si="38"/>
        <v>3.311246331671347E-3</v>
      </c>
      <c r="D625" s="35">
        <f t="shared" si="35"/>
        <v>4.0466650301397511E-2</v>
      </c>
      <c r="E625" s="35">
        <f>(Table143454[[#This Row],[JPN]]-B613)/B613</f>
        <v>2.7118543906587037E-2</v>
      </c>
      <c r="F625" s="34">
        <f>VLOOKUP(Table143454[[#This Row],[Date]],'Data Core CPI'!$A:$AX,MATCH($B$2,'Data Core CPI'!$B$1:$AX$1,0),FALSE)</f>
        <v>82.184070000000006</v>
      </c>
      <c r="G625" s="35">
        <f t="shared" si="36"/>
        <v>2.7943363106561758E-3</v>
      </c>
      <c r="H625" s="35">
        <f t="shared" si="37"/>
        <v>3.4052215053864687E-2</v>
      </c>
      <c r="I625" s="35">
        <f>(Table143454[[#This Row],[Core CPI]]-F613)/F613</f>
        <v>2.487742422075202E-2</v>
      </c>
    </row>
    <row r="626" spans="1:9" x14ac:dyDescent="0.35">
      <c r="A626" s="33">
        <f>IF(Data!A653="",#N/A,Data!A653)</f>
        <v>37712</v>
      </c>
      <c r="B626" s="34">
        <f>VLOOKUP(A626,Data!A:AX,MATCH($B$2,Data!$B$1:$AX$1,0),FALSE)</f>
        <v>80.84639</v>
      </c>
      <c r="C626" s="35">
        <f t="shared" si="38"/>
        <v>2.475238623939946E-3</v>
      </c>
      <c r="D626" s="35">
        <f t="shared" si="35"/>
        <v>3.0110587722110171E-2</v>
      </c>
      <c r="E626" s="35">
        <f>(Table143454[[#This Row],[JPN]]-B614)/B614</f>
        <v>2.7049904023395136E-2</v>
      </c>
      <c r="F626" s="34">
        <f>VLOOKUP(Table143454[[#This Row],[Date]],'Data Core CPI'!$A:$AX,MATCH($B$2,'Data Core CPI'!$B$1:$AX$1,0),FALSE)</f>
        <v>82.414169999999999</v>
      </c>
      <c r="G626" s="35">
        <f t="shared" si="36"/>
        <v>2.7998126644250831E-3</v>
      </c>
      <c r="H626" s="35">
        <f t="shared" si="37"/>
        <v>3.411998176094122E-2</v>
      </c>
      <c r="I626" s="35">
        <f>(Table143454[[#This Row],[Core CPI]]-F614)/F614</f>
        <v>2.6669508623786836E-2</v>
      </c>
    </row>
    <row r="627" spans="1:9" x14ac:dyDescent="0.35">
      <c r="A627" s="33">
        <f>IF(Data!A654="",#N/A,Data!A654)</f>
        <v>37742</v>
      </c>
      <c r="B627" s="34">
        <f>VLOOKUP(A627,Data!A:AX,MATCH($B$2,Data!$B$1:$AX$1,0),FALSE)</f>
        <v>81.046009999999995</v>
      </c>
      <c r="C627" s="35">
        <f t="shared" si="38"/>
        <v>2.4691269455567877E-3</v>
      </c>
      <c r="D627" s="35">
        <f t="shared" si="35"/>
        <v>3.003522833242811E-2</v>
      </c>
      <c r="E627" s="35">
        <f>(Table143454[[#This Row],[JPN]]-B615)/B615</f>
        <v>2.6981351102611503E-2</v>
      </c>
      <c r="F627" s="34">
        <f>VLOOKUP(Table143454[[#This Row],[Date]],'Data Core CPI'!$A:$AX,MATCH($B$2,'Data Core CPI'!$B$1:$AX$1,0),FALSE)</f>
        <v>82.700869999999995</v>
      </c>
      <c r="G627" s="35">
        <f t="shared" si="36"/>
        <v>3.4787707016887826E-3</v>
      </c>
      <c r="H627" s="35">
        <f t="shared" si="37"/>
        <v>4.2553305029839672E-2</v>
      </c>
      <c r="I627" s="35">
        <f>(Table143454[[#This Row],[Core CPI]]-F615)/F615</f>
        <v>2.7755187561484467E-2</v>
      </c>
    </row>
    <row r="628" spans="1:9" x14ac:dyDescent="0.35">
      <c r="A628" s="33">
        <f>IF(Data!A655="",#N/A,Data!A655)</f>
        <v>37773</v>
      </c>
      <c r="B628" s="34">
        <f>VLOOKUP(A628,Data!A:AX,MATCH($B$2,Data!$B$1:$AX$1,0),FALSE)</f>
        <v>81.112560000000002</v>
      </c>
      <c r="C628" s="35">
        <f t="shared" si="38"/>
        <v>8.2113851132215032E-4</v>
      </c>
      <c r="D628" s="35">
        <f t="shared" si="35"/>
        <v>9.8982858861385026E-3</v>
      </c>
      <c r="E628" s="35">
        <f>(Table143454[[#This Row],[JPN]]-B616)/B616</f>
        <v>2.6958747086566526E-2</v>
      </c>
      <c r="F628" s="34">
        <f>VLOOKUP(Table143454[[#This Row],[Date]],'Data Core CPI'!$A:$AX,MATCH($B$2,'Data Core CPI'!$B$1:$AX$1,0),FALSE)</f>
        <v>82.778300000000002</v>
      </c>
      <c r="G628" s="35">
        <f t="shared" si="36"/>
        <v>9.3626584581274486E-4</v>
      </c>
      <c r="H628" s="35">
        <f t="shared" si="37"/>
        <v>1.1293226276586354E-2</v>
      </c>
      <c r="I628" s="35">
        <f>(Table143454[[#This Row],[Core CPI]]-F616)/F616</f>
        <v>2.6785791810998116E-2</v>
      </c>
    </row>
    <row r="629" spans="1:9" x14ac:dyDescent="0.35">
      <c r="A629" s="33">
        <f>IF(Data!A656="",#N/A,Data!A656)</f>
        <v>37803</v>
      </c>
      <c r="B629" s="34">
        <f>VLOOKUP(A629,Data!A:AX,MATCH($B$2,Data!$B$1:$AX$1,0),FALSE)</f>
        <v>81.245639999999995</v>
      </c>
      <c r="C629" s="35">
        <f t="shared" si="38"/>
        <v>1.6406830212236656E-3</v>
      </c>
      <c r="D629" s="35">
        <f t="shared" si="35"/>
        <v>1.986683296275582E-2</v>
      </c>
      <c r="E629" s="35">
        <f>(Table143454[[#This Row],[JPN]]-B617)/B617</f>
        <v>2.6913400327492325E-2</v>
      </c>
      <c r="F629" s="34">
        <f>VLOOKUP(Table143454[[#This Row],[Date]],'Data Core CPI'!$A:$AX,MATCH($B$2,'Data Core CPI'!$B$1:$AX$1,0),FALSE)</f>
        <v>82.931830000000005</v>
      </c>
      <c r="G629" s="35">
        <f t="shared" si="36"/>
        <v>1.8547131313400023E-3</v>
      </c>
      <c r="H629" s="35">
        <f t="shared" si="37"/>
        <v>2.2485004494672278E-2</v>
      </c>
      <c r="I629" s="35">
        <f>(Table143454[[#This Row],[Core CPI]]-F617)/F617</f>
        <v>2.6170164535015302E-2</v>
      </c>
    </row>
    <row r="630" spans="1:9" x14ac:dyDescent="0.35">
      <c r="A630" s="33">
        <f>IF(Data!A657="",#N/A,Data!A657)</f>
        <v>37834</v>
      </c>
      <c r="B630" s="34">
        <f>VLOOKUP(A630,Data!A:AX,MATCH($B$2,Data!$B$1:$AX$1,0),FALSE)</f>
        <v>81.445250000000001</v>
      </c>
      <c r="C630" s="35">
        <f t="shared" si="38"/>
        <v>2.4568703009786308E-3</v>
      </c>
      <c r="D630" s="35">
        <f t="shared" si="35"/>
        <v>2.9884114330820388E-2</v>
      </c>
      <c r="E630" s="35">
        <f>(Table143454[[#This Row],[JPN]]-B618)/B618</f>
        <v>2.7707707172152502E-2</v>
      </c>
      <c r="F630" s="34">
        <f>VLOOKUP(Table143454[[#This Row],[Date]],'Data Core CPI'!$A:$AX,MATCH($B$2,'Data Core CPI'!$B$1:$AX$1,0),FALSE)</f>
        <v>83.126009999999994</v>
      </c>
      <c r="G630" s="35">
        <f t="shared" si="36"/>
        <v>2.3414411571527349E-3</v>
      </c>
      <c r="H630" s="35">
        <f t="shared" si="37"/>
        <v>2.8461967751483463E-2</v>
      </c>
      <c r="I630" s="35">
        <f>(Table143454[[#This Row],[Core CPI]]-F618)/F618</f>
        <v>2.5893800270499385E-2</v>
      </c>
    </row>
    <row r="631" spans="1:9" x14ac:dyDescent="0.35">
      <c r="A631" s="33">
        <f>IF(Data!A658="",#N/A,Data!A658)</f>
        <v>37865</v>
      </c>
      <c r="B631" s="34">
        <f>VLOOKUP(A631,Data!A:AX,MATCH($B$2,Data!$B$1:$AX$1,0),FALSE)</f>
        <v>81.578329999999994</v>
      </c>
      <c r="C631" s="35">
        <f t="shared" si="38"/>
        <v>1.6339811100094526E-3</v>
      </c>
      <c r="D631" s="35">
        <f t="shared" si="35"/>
        <v>1.9784949642057015E-2</v>
      </c>
      <c r="E631" s="35">
        <f>(Table143454[[#This Row],[JPN]]-B619)/B619</f>
        <v>2.7661256868798906E-2</v>
      </c>
      <c r="F631" s="34">
        <f>VLOOKUP(Table143454[[#This Row],[Date]],'Data Core CPI'!$A:$AX,MATCH($B$2,'Data Core CPI'!$B$1:$AX$1,0),FALSE)</f>
        <v>83.135120000000001</v>
      </c>
      <c r="G631" s="35">
        <f t="shared" si="36"/>
        <v>1.0959265337051605E-4</v>
      </c>
      <c r="H631" s="35">
        <f t="shared" si="37"/>
        <v>1.3159048263753359E-3</v>
      </c>
      <c r="I631" s="35">
        <f>(Table143454[[#This Row],[Core CPI]]-F619)/F619</f>
        <v>2.5063370488821488E-2</v>
      </c>
    </row>
    <row r="632" spans="1:9" x14ac:dyDescent="0.35">
      <c r="A632" s="33">
        <f>IF(Data!A659="",#N/A,Data!A659)</f>
        <v>37895</v>
      </c>
      <c r="B632" s="34">
        <f>VLOOKUP(A632,Data!A:AX,MATCH($B$2,Data!$B$1:$AX$1,0),FALSE)</f>
        <v>81.644869999999997</v>
      </c>
      <c r="C632" s="35">
        <f t="shared" si="38"/>
        <v>8.156577855908953E-4</v>
      </c>
      <c r="D632" s="35">
        <f t="shared" si="35"/>
        <v>9.8319226737462184E-3</v>
      </c>
      <c r="E632" s="35">
        <f>(Table143454[[#This Row],[JPN]]-B620)/B620</f>
        <v>2.5919637989081101E-2</v>
      </c>
      <c r="F632" s="34">
        <f>VLOOKUP(Table143454[[#This Row],[Date]],'Data Core CPI'!$A:$AX,MATCH($B$2,'Data Core CPI'!$B$1:$AX$1,0),FALSE)</f>
        <v>83.198679999999996</v>
      </c>
      <c r="G632" s="35">
        <f t="shared" si="36"/>
        <v>7.6453850069624352E-4</v>
      </c>
      <c r="H632" s="35">
        <f t="shared" si="37"/>
        <v>9.2131387547640387E-3</v>
      </c>
      <c r="I632" s="35">
        <f>(Table143454[[#This Row],[Core CPI]]-F620)/F620</f>
        <v>2.3730876569935177E-2</v>
      </c>
    </row>
    <row r="633" spans="1:9" x14ac:dyDescent="0.35">
      <c r="A633" s="33">
        <f>IF(Data!A660="",#N/A,Data!A660)</f>
        <v>37926</v>
      </c>
      <c r="B633" s="34">
        <f>VLOOKUP(A633,Data!A:AX,MATCH($B$2,Data!$B$1:$AX$1,0),FALSE)</f>
        <v>81.844499999999996</v>
      </c>
      <c r="C633" s="35">
        <f t="shared" si="38"/>
        <v>2.4451015722113389E-3</v>
      </c>
      <c r="D633" s="35">
        <f t="shared" si="35"/>
        <v>2.9739035041110418E-2</v>
      </c>
      <c r="E633" s="35">
        <f>(Table143454[[#This Row],[JPN]]-B621)/B621</f>
        <v>2.5000034440311628E-2</v>
      </c>
      <c r="F633" s="34">
        <f>VLOOKUP(Table143454[[#This Row],[Date]],'Data Core CPI'!$A:$AX,MATCH($B$2,'Data Core CPI'!$B$1:$AX$1,0),FALSE)</f>
        <v>83.412670000000006</v>
      </c>
      <c r="G633" s="35">
        <f t="shared" si="36"/>
        <v>2.5720359986480812E-3</v>
      </c>
      <c r="H633" s="35">
        <f t="shared" si="37"/>
        <v>3.1304811394589738E-2</v>
      </c>
      <c r="I633" s="35">
        <f>(Table143454[[#This Row],[Core CPI]]-F621)/F621</f>
        <v>2.240454104195885E-2</v>
      </c>
    </row>
    <row r="634" spans="1:9" x14ac:dyDescent="0.35">
      <c r="A634" s="33">
        <f>IF(Data!A661="",#N/A,Data!A661)</f>
        <v>37956</v>
      </c>
      <c r="B634" s="34">
        <f>VLOOKUP(A634,Data!A:AX,MATCH($B$2,Data!$B$1:$AX$1,0),FALSE)</f>
        <v>81.911029999999997</v>
      </c>
      <c r="C634" s="35">
        <f t="shared" si="38"/>
        <v>8.1288296708992291E-4</v>
      </c>
      <c r="D634" s="35">
        <f t="shared" si="35"/>
        <v>9.798325386759954E-3</v>
      </c>
      <c r="E634" s="35">
        <f>(Table143454[[#This Row],[JPN]]-B622)/B622</f>
        <v>2.4979093367276158E-2</v>
      </c>
      <c r="F634" s="34">
        <f>VLOOKUP(Table143454[[#This Row],[Date]],'Data Core CPI'!$A:$AX,MATCH($B$2,'Data Core CPI'!$B$1:$AX$1,0),FALSE)</f>
        <v>83.463470000000001</v>
      </c>
      <c r="G634" s="35">
        <f t="shared" si="36"/>
        <v>6.0902018841968442E-4</v>
      </c>
      <c r="H634" s="35">
        <f t="shared" si="37"/>
        <v>7.3327717937115011E-3</v>
      </c>
      <c r="I634" s="35">
        <f>(Table143454[[#This Row],[Core CPI]]-F622)/F622</f>
        <v>2.2558821947517495E-2</v>
      </c>
    </row>
    <row r="635" spans="1:9" x14ac:dyDescent="0.35">
      <c r="A635" s="33">
        <f>IF(Data!A662="",#N/A,Data!A662)</f>
        <v>37987</v>
      </c>
      <c r="B635" s="34">
        <f>VLOOKUP(A635,Data!A:AX,MATCH($B$2,Data!$B$1:$AX$1,0),FALSE)</f>
        <v>82.044110000000003</v>
      </c>
      <c r="C635" s="35">
        <f t="shared" si="38"/>
        <v>1.6246896175033942E-3</v>
      </c>
      <c r="D635" s="35">
        <f t="shared" ref="D635:D698" si="39">((1+C635)^12)-1</f>
        <v>1.9671437029887828E-2</v>
      </c>
      <c r="E635" s="35">
        <f>(Table143454[[#This Row],[JPN]]-B623)/B623</f>
        <v>2.238797879511065E-2</v>
      </c>
      <c r="F635" s="34">
        <f>VLOOKUP(Table143454[[#This Row],[Date]],'Data Core CPI'!$A:$AX,MATCH($B$2,'Data Core CPI'!$B$1:$AX$1,0),FALSE)</f>
        <v>83.556010000000001</v>
      </c>
      <c r="G635" s="35">
        <f t="shared" si="36"/>
        <v>1.1087485339393854E-3</v>
      </c>
      <c r="H635" s="35">
        <f t="shared" si="37"/>
        <v>1.3386418357515417E-2</v>
      </c>
      <c r="I635" s="35">
        <f>(Table143454[[#This Row],[Core CPI]]-F623)/F623</f>
        <v>2.0624662869963589E-2</v>
      </c>
    </row>
    <row r="636" spans="1:9" x14ac:dyDescent="0.35">
      <c r="A636" s="33">
        <f>IF(Data!A663="",#N/A,Data!A663)</f>
        <v>38018</v>
      </c>
      <c r="B636" s="34">
        <f>VLOOKUP(A636,Data!A:AX,MATCH($B$2,Data!$B$1:$AX$1,0),FALSE)</f>
        <v>82.243740000000003</v>
      </c>
      <c r="C636" s="35">
        <f t="shared" si="38"/>
        <v>2.4332033097804739E-3</v>
      </c>
      <c r="D636" s="35">
        <f t="shared" si="39"/>
        <v>2.9592377966813466E-2</v>
      </c>
      <c r="E636" s="35">
        <f>(Table143454[[#This Row],[JPN]]-B624)/B624</f>
        <v>2.3178848729811807E-2</v>
      </c>
      <c r="F636" s="34">
        <f>VLOOKUP(Table143454[[#This Row],[Date]],'Data Core CPI'!$A:$AX,MATCH($B$2,'Data Core CPI'!$B$1:$AX$1,0),FALSE)</f>
        <v>83.788960000000003</v>
      </c>
      <c r="G636" s="35">
        <f t="shared" si="36"/>
        <v>2.7879502623449071E-3</v>
      </c>
      <c r="H636" s="35">
        <f t="shared" si="37"/>
        <v>3.397319654475961E-2</v>
      </c>
      <c r="I636" s="35">
        <f>(Table143454[[#This Row],[Core CPI]]-F624)/F624</f>
        <v>2.2376897777879729E-2</v>
      </c>
    </row>
    <row r="637" spans="1:9" x14ac:dyDescent="0.35">
      <c r="A637" s="33">
        <f>IF(Data!A664="",#N/A,Data!A664)</f>
        <v>38047</v>
      </c>
      <c r="B637" s="34">
        <f>VLOOKUP(A637,Data!A:AX,MATCH($B$2,Data!$B$1:$AX$1,0),FALSE)</f>
        <v>82.509900000000002</v>
      </c>
      <c r="C637" s="35">
        <f t="shared" si="38"/>
        <v>3.2362341498575198E-3</v>
      </c>
      <c r="D637" s="35">
        <f t="shared" si="39"/>
        <v>3.9533552961551255E-2</v>
      </c>
      <c r="E637" s="35">
        <f>(Table143454[[#This Row],[JPN]]-B625)/B625</f>
        <v>2.310235115429915E-2</v>
      </c>
      <c r="F637" s="34">
        <f>VLOOKUP(Table143454[[#This Row],[Date]],'Data Core CPI'!$A:$AX,MATCH($B$2,'Data Core CPI'!$B$1:$AX$1,0),FALSE)</f>
        <v>84.099299999999999</v>
      </c>
      <c r="G637" s="35">
        <f t="shared" si="36"/>
        <v>3.7038292395561445E-3</v>
      </c>
      <c r="H637" s="35">
        <f t="shared" si="37"/>
        <v>4.5362634047623418E-2</v>
      </c>
      <c r="I637" s="35">
        <f>(Table143454[[#This Row],[Core CPI]]-F625)/F625</f>
        <v>2.3304151278952159E-2</v>
      </c>
    </row>
    <row r="638" spans="1:9" x14ac:dyDescent="0.35">
      <c r="A638" s="33">
        <f>IF(Data!A665="",#N/A,Data!A665)</f>
        <v>38078</v>
      </c>
      <c r="B638" s="34">
        <f>VLOOKUP(A638,Data!A:AX,MATCH($B$2,Data!$B$1:$AX$1,0),FALSE)</f>
        <v>82.709519999999998</v>
      </c>
      <c r="C638" s="35">
        <f t="shared" si="38"/>
        <v>2.4193460421113588E-3</v>
      </c>
      <c r="D638" s="35">
        <f t="shared" si="39"/>
        <v>2.9421598478316158E-2</v>
      </c>
      <c r="E638" s="35">
        <f>(Table143454[[#This Row],[JPN]]-B626)/B626</f>
        <v>2.3045308516558356E-2</v>
      </c>
      <c r="F638" s="34">
        <f>VLOOKUP(Table143454[[#This Row],[Date]],'Data Core CPI'!$A:$AX,MATCH($B$2,'Data Core CPI'!$B$1:$AX$1,0),FALSE)</f>
        <v>84.338279999999997</v>
      </c>
      <c r="G638" s="35">
        <f t="shared" si="36"/>
        <v>2.8416407746556516E-3</v>
      </c>
      <c r="H638" s="35">
        <f t="shared" si="37"/>
        <v>3.4637714716806434E-2</v>
      </c>
      <c r="I638" s="35">
        <f>(Table143454[[#This Row],[Core CPI]]-F626)/F626</f>
        <v>2.3346834652341931E-2</v>
      </c>
    </row>
    <row r="639" spans="1:9" x14ac:dyDescent="0.35">
      <c r="A639" s="33">
        <f>IF(Data!A666="",#N/A,Data!A666)</f>
        <v>38108</v>
      </c>
      <c r="B639" s="34">
        <f>VLOOKUP(A639,Data!A:AX,MATCH($B$2,Data!$B$1:$AX$1,0),FALSE)</f>
        <v>82.909139999999994</v>
      </c>
      <c r="C639" s="35">
        <f t="shared" si="38"/>
        <v>2.4135069336637116E-3</v>
      </c>
      <c r="D639" s="35">
        <f t="shared" si="39"/>
        <v>2.9349644019681653E-2</v>
      </c>
      <c r="E639" s="35">
        <f>(Table143454[[#This Row],[JPN]]-B627)/B627</f>
        <v>2.2988546876027558E-2</v>
      </c>
      <c r="F639" s="34">
        <f>VLOOKUP(Table143454[[#This Row],[Date]],'Data Core CPI'!$A:$AX,MATCH($B$2,'Data Core CPI'!$B$1:$AX$1,0),FALSE)</f>
        <v>84.50224</v>
      </c>
      <c r="G639" s="35">
        <f t="shared" si="36"/>
        <v>1.9440756913704504E-3</v>
      </c>
      <c r="H639" s="35">
        <f t="shared" si="37"/>
        <v>2.3579974238188139E-2</v>
      </c>
      <c r="I639" s="35">
        <f>(Table143454[[#This Row],[Core CPI]]-F627)/F627</f>
        <v>2.1781753928344475E-2</v>
      </c>
    </row>
    <row r="640" spans="1:9" x14ac:dyDescent="0.35">
      <c r="A640" s="33">
        <f>IF(Data!A667="",#N/A,Data!A667)</f>
        <v>38139</v>
      </c>
      <c r="B640" s="34">
        <f>VLOOKUP(A640,Data!A:AX,MATCH($B$2,Data!$B$1:$AX$1,0),FALSE)</f>
        <v>83.04222</v>
      </c>
      <c r="C640" s="35">
        <f t="shared" si="38"/>
        <v>1.6051306285411737E-3</v>
      </c>
      <c r="D640" s="35">
        <f t="shared" si="39"/>
        <v>1.9432525979417692E-2</v>
      </c>
      <c r="E640" s="35">
        <f>(Table143454[[#This Row],[JPN]]-B628)/B628</f>
        <v>2.378990380774566E-2</v>
      </c>
      <c r="F640" s="34">
        <f>VLOOKUP(Table143454[[#This Row],[Date]],'Data Core CPI'!$A:$AX,MATCH($B$2,'Data Core CPI'!$B$1:$AX$1,0),FALSE)</f>
        <v>84.607960000000006</v>
      </c>
      <c r="G640" s="35">
        <f t="shared" si="36"/>
        <v>1.2510910953367205E-3</v>
      </c>
      <c r="H640" s="35">
        <f t="shared" si="37"/>
        <v>1.5116830282170479E-2</v>
      </c>
      <c r="I640" s="35">
        <f>(Table143454[[#This Row],[Core CPI]]-F628)/F628</f>
        <v>2.2103135725184065E-2</v>
      </c>
    </row>
    <row r="641" spans="1:9" x14ac:dyDescent="0.35">
      <c r="A641" s="33">
        <f>IF(Data!A668="",#N/A,Data!A668)</f>
        <v>38169</v>
      </c>
      <c r="B641" s="34">
        <f>VLOOKUP(A641,Data!A:AX,MATCH($B$2,Data!$B$1:$AX$1,0),FALSE)</f>
        <v>83.108760000000004</v>
      </c>
      <c r="C641" s="35">
        <f t="shared" si="38"/>
        <v>8.0127915655436865E-4</v>
      </c>
      <c r="D641" s="35">
        <f t="shared" si="39"/>
        <v>9.6578384510705995E-3</v>
      </c>
      <c r="E641" s="35">
        <f>(Table143454[[#This Row],[JPN]]-B629)/B629</f>
        <v>2.2931938255394496E-2</v>
      </c>
      <c r="F641" s="34">
        <f>VLOOKUP(Table143454[[#This Row],[Date]],'Data Core CPI'!$A:$AX,MATCH($B$2,'Data Core CPI'!$B$1:$AX$1,0),FALSE)</f>
        <v>84.760900000000007</v>
      </c>
      <c r="G641" s="35">
        <f t="shared" si="36"/>
        <v>1.8076313387060949E-3</v>
      </c>
      <c r="H641" s="35">
        <f t="shared" si="37"/>
        <v>2.1908537842664888E-2</v>
      </c>
      <c r="I641" s="35">
        <f>(Table143454[[#This Row],[Core CPI]]-F629)/F629</f>
        <v>2.2055102365400613E-2</v>
      </c>
    </row>
    <row r="642" spans="1:9" x14ac:dyDescent="0.35">
      <c r="A642" s="33">
        <f>IF(Data!A669="",#N/A,Data!A669)</f>
        <v>38200</v>
      </c>
      <c r="B642" s="34">
        <f>VLOOKUP(A642,Data!A:AX,MATCH($B$2,Data!$B$1:$AX$1,0),FALSE)</f>
        <v>83.30838</v>
      </c>
      <c r="C642" s="35">
        <f t="shared" si="38"/>
        <v>2.4019128669467982E-3</v>
      </c>
      <c r="D642" s="35">
        <f t="shared" si="39"/>
        <v>2.9206785737687868E-2</v>
      </c>
      <c r="E642" s="35">
        <f>(Table143454[[#This Row],[JPN]]-B630)/B630</f>
        <v>2.2875858322001567E-2</v>
      </c>
      <c r="F642" s="34">
        <f>VLOOKUP(Table143454[[#This Row],[Date]],'Data Core CPI'!$A:$AX,MATCH($B$2,'Data Core CPI'!$B$1:$AX$1,0),FALSE)</f>
        <v>85.017910000000001</v>
      </c>
      <c r="G642" s="35">
        <f t="shared" si="36"/>
        <v>3.0321763926526302E-3</v>
      </c>
      <c r="H642" s="35">
        <f t="shared" si="37"/>
        <v>3.6999102126236805E-2</v>
      </c>
      <c r="I642" s="35">
        <f>(Table143454[[#This Row],[Core CPI]]-F630)/F630</f>
        <v>2.2759422712578251E-2</v>
      </c>
    </row>
    <row r="643" spans="1:9" x14ac:dyDescent="0.35">
      <c r="A643" s="33">
        <f>IF(Data!A670="",#N/A,Data!A670)</f>
        <v>38231</v>
      </c>
      <c r="B643" s="34">
        <f>VLOOKUP(A643,Data!A:AX,MATCH($B$2,Data!$B$1:$AX$1,0),FALSE)</f>
        <v>83.30838</v>
      </c>
      <c r="C643" s="35">
        <f t="shared" si="38"/>
        <v>0</v>
      </c>
      <c r="D643" s="35">
        <f t="shared" si="39"/>
        <v>0</v>
      </c>
      <c r="E643" s="35">
        <f>(Table143454[[#This Row],[JPN]]-B631)/B631</f>
        <v>2.1207225006935122E-2</v>
      </c>
      <c r="F643" s="34">
        <f>VLOOKUP(Table143454[[#This Row],[Date]],'Data Core CPI'!$A:$AX,MATCH($B$2,'Data Core CPI'!$B$1:$AX$1,0),FALSE)</f>
        <v>85.026820000000001</v>
      </c>
      <c r="G643" s="35">
        <f t="shared" ref="G643:G706" si="40">(F643/F642)-1</f>
        <v>1.0480144713032047E-4</v>
      </c>
      <c r="H643" s="35">
        <f t="shared" ref="H643:H706" si="41">((1+G643)^12)-1</f>
        <v>1.2583425195182851E-3</v>
      </c>
      <c r="I643" s="35">
        <f>(Table143454[[#This Row],[Core CPI]]-F631)/F631</f>
        <v>2.2754522998222653E-2</v>
      </c>
    </row>
    <row r="644" spans="1:9" x14ac:dyDescent="0.35">
      <c r="A644" s="33">
        <f>IF(Data!A671="",#N/A,Data!A671)</f>
        <v>38261</v>
      </c>
      <c r="B644" s="34">
        <f>VLOOKUP(A644,Data!A:AX,MATCH($B$2,Data!$B$1:$AX$1,0),FALSE)</f>
        <v>83.30838</v>
      </c>
      <c r="C644" s="35">
        <f t="shared" ref="C644:C707" si="42">(B644/B643)-1</f>
        <v>0</v>
      </c>
      <c r="D644" s="35">
        <f t="shared" si="39"/>
        <v>0</v>
      </c>
      <c r="E644" s="35">
        <f>(Table143454[[#This Row],[JPN]]-B632)/B632</f>
        <v>2.0374948236184371E-2</v>
      </c>
      <c r="F644" s="34">
        <f>VLOOKUP(Table143454[[#This Row],[Date]],'Data Core CPI'!$A:$AX,MATCH($B$2,'Data Core CPI'!$B$1:$AX$1,0),FALSE)</f>
        <v>84.964820000000003</v>
      </c>
      <c r="G644" s="35">
        <f t="shared" si="40"/>
        <v>-7.2918168643720804E-4</v>
      </c>
      <c r="H644" s="35">
        <f t="shared" si="41"/>
        <v>-8.7151728022166752E-3</v>
      </c>
      <c r="I644" s="35">
        <f>(Table143454[[#This Row],[Core CPI]]-F632)/F632</f>
        <v>2.1227981020852823E-2</v>
      </c>
    </row>
    <row r="645" spans="1:9" x14ac:dyDescent="0.35">
      <c r="A645" s="33">
        <f>IF(Data!A672="",#N/A,Data!A672)</f>
        <v>38292</v>
      </c>
      <c r="B645" s="34">
        <f>VLOOKUP(A645,Data!A:AX,MATCH($B$2,Data!$B$1:$AX$1,0),FALSE)</f>
        <v>83.374920000000003</v>
      </c>
      <c r="C645" s="35">
        <f t="shared" si="42"/>
        <v>7.9871916846774305E-4</v>
      </c>
      <c r="D645" s="35">
        <f t="shared" si="39"/>
        <v>9.6268471756351115E-3</v>
      </c>
      <c r="E645" s="35">
        <f>(Table143454[[#This Row],[JPN]]-B633)/B633</f>
        <v>1.8699118450231922E-2</v>
      </c>
      <c r="F645" s="34">
        <f>VLOOKUP(Table143454[[#This Row],[Date]],'Data Core CPI'!$A:$AX,MATCH($B$2,'Data Core CPI'!$B$1:$AX$1,0),FALSE)</f>
        <v>85.075289999999995</v>
      </c>
      <c r="G645" s="35">
        <f t="shared" si="40"/>
        <v>1.3001851825260591E-3</v>
      </c>
      <c r="H645" s="35">
        <f t="shared" si="41"/>
        <v>1.5714278934001458E-2</v>
      </c>
      <c r="I645" s="35">
        <f>(Table143454[[#This Row],[Core CPI]]-F633)/F633</f>
        <v>1.9932463497451761E-2</v>
      </c>
    </row>
    <row r="646" spans="1:9" x14ac:dyDescent="0.35">
      <c r="A646" s="33">
        <f>IF(Data!A673="",#N/A,Data!A673)</f>
        <v>38322</v>
      </c>
      <c r="B646" s="34">
        <f>VLOOKUP(A646,Data!A:AX,MATCH($B$2,Data!$B$1:$AX$1,0),FALSE)</f>
        <v>83.574539999999999</v>
      </c>
      <c r="C646" s="35">
        <f t="shared" si="42"/>
        <v>2.3942451758873773E-3</v>
      </c>
      <c r="D646" s="35">
        <f t="shared" si="39"/>
        <v>2.9112316951480421E-2</v>
      </c>
      <c r="E646" s="35">
        <f>(Table143454[[#This Row],[JPN]]-B634)/B634</f>
        <v>2.0308742302471379E-2</v>
      </c>
      <c r="F646" s="34">
        <f>VLOOKUP(Table143454[[#This Row],[Date]],'Data Core CPI'!$A:$AX,MATCH($B$2,'Data Core CPI'!$B$1:$AX$1,0),FALSE)</f>
        <v>85.357759999999999</v>
      </c>
      <c r="G646" s="35">
        <f t="shared" si="40"/>
        <v>3.3202355231467529E-3</v>
      </c>
      <c r="H646" s="35">
        <f t="shared" si="41"/>
        <v>4.0578520848614019E-2</v>
      </c>
      <c r="I646" s="35">
        <f>(Table143454[[#This Row],[Core CPI]]-F634)/F634</f>
        <v>2.2696036960840448E-2</v>
      </c>
    </row>
    <row r="647" spans="1:9" x14ac:dyDescent="0.35">
      <c r="A647" s="33">
        <f>IF(Data!A674="",#N/A,Data!A674)</f>
        <v>38353</v>
      </c>
      <c r="B647" s="34">
        <f>VLOOKUP(A647,Data!A:AX,MATCH($B$2,Data!$B$1:$AX$1,0),FALSE)</f>
        <v>83.574539999999999</v>
      </c>
      <c r="C647" s="35">
        <f t="shared" si="42"/>
        <v>0</v>
      </c>
      <c r="D647" s="35">
        <f t="shared" si="39"/>
        <v>0</v>
      </c>
      <c r="E647" s="35">
        <f>(Table143454[[#This Row],[JPN]]-B635)/B635</f>
        <v>1.8653746137291215E-2</v>
      </c>
      <c r="F647" s="34">
        <f>VLOOKUP(Table143454[[#This Row],[Date]],'Data Core CPI'!$A:$AX,MATCH($B$2,'Data Core CPI'!$B$1:$AX$1,0),FALSE)</f>
        <v>85.359160000000003</v>
      </c>
      <c r="G647" s="35">
        <f t="shared" si="40"/>
        <v>1.6401555055001182E-5</v>
      </c>
      <c r="H647" s="35">
        <f t="shared" si="41"/>
        <v>1.9683641635759308E-4</v>
      </c>
      <c r="I647" s="35">
        <f>(Table143454[[#This Row],[Core CPI]]-F635)/F635</f>
        <v>2.1580135288891873E-2</v>
      </c>
    </row>
    <row r="648" spans="1:9" x14ac:dyDescent="0.35">
      <c r="A648" s="33">
        <f>IF(Data!A675="",#N/A,Data!A675)</f>
        <v>38384</v>
      </c>
      <c r="B648" s="34">
        <f>VLOOKUP(A648,Data!A:AX,MATCH($B$2,Data!$B$1:$AX$1,0),FALSE)</f>
        <v>83.840710000000001</v>
      </c>
      <c r="C648" s="35">
        <f t="shared" si="42"/>
        <v>3.1848215975822658E-3</v>
      </c>
      <c r="D648" s="35">
        <f t="shared" si="39"/>
        <v>3.8894461070416275E-2</v>
      </c>
      <c r="E648" s="35">
        <f>(Table143454[[#This Row],[JPN]]-B636)/B636</f>
        <v>1.9417526488946135E-2</v>
      </c>
      <c r="F648" s="34">
        <f>VLOOKUP(Table143454[[#This Row],[Date]],'Data Core CPI'!$A:$AX,MATCH($B$2,'Data Core CPI'!$B$1:$AX$1,0),FALSE)</f>
        <v>85.586240000000004</v>
      </c>
      <c r="G648" s="35">
        <f t="shared" si="40"/>
        <v>2.66028859702927E-3</v>
      </c>
      <c r="H648" s="35">
        <f t="shared" si="41"/>
        <v>3.2394720989372017E-2</v>
      </c>
      <c r="I648" s="35">
        <f>(Table143454[[#This Row],[Core CPI]]-F636)/F636</f>
        <v>2.1450081251754415E-2</v>
      </c>
    </row>
    <row r="649" spans="1:9" x14ac:dyDescent="0.35">
      <c r="A649" s="33">
        <f>IF(Data!A676="",#N/A,Data!A676)</f>
        <v>38412</v>
      </c>
      <c r="B649" s="34">
        <f>VLOOKUP(A649,Data!A:AX,MATCH($B$2,Data!$B$1:$AX$1,0),FALSE)</f>
        <v>84.106859999999998</v>
      </c>
      <c r="C649" s="35">
        <f t="shared" si="42"/>
        <v>3.1744721627475769E-3</v>
      </c>
      <c r="D649" s="35">
        <f t="shared" si="39"/>
        <v>3.8765854334330108E-2</v>
      </c>
      <c r="E649" s="35">
        <f>(Table143454[[#This Row],[JPN]]-B637)/B637</f>
        <v>1.935476833689043E-2</v>
      </c>
      <c r="F649" s="34">
        <f>VLOOKUP(Table143454[[#This Row],[Date]],'Data Core CPI'!$A:$AX,MATCH($B$2,'Data Core CPI'!$B$1:$AX$1,0),FALSE)</f>
        <v>85.801389999999998</v>
      </c>
      <c r="G649" s="35">
        <f t="shared" si="40"/>
        <v>2.5138386731324847E-3</v>
      </c>
      <c r="H649" s="35">
        <f t="shared" si="41"/>
        <v>3.0586658227789609E-2</v>
      </c>
      <c r="I649" s="35">
        <f>(Table143454[[#This Row],[Core CPI]]-F637)/F637</f>
        <v>2.0239050741207101E-2</v>
      </c>
    </row>
    <row r="650" spans="1:9" x14ac:dyDescent="0.35">
      <c r="A650" s="33">
        <f>IF(Data!A677="",#N/A,Data!A677)</f>
        <v>38443</v>
      </c>
      <c r="B650" s="34">
        <f>VLOOKUP(A650,Data!A:AX,MATCH($B$2,Data!$B$1:$AX$1,0),FALSE)</f>
        <v>84.239940000000004</v>
      </c>
      <c r="C650" s="35">
        <f t="shared" si="42"/>
        <v>1.5822728371979178E-3</v>
      </c>
      <c r="D650" s="35">
        <f t="shared" si="39"/>
        <v>1.9153385419557134E-2</v>
      </c>
      <c r="E650" s="35">
        <f>(Table143454[[#This Row],[JPN]]-B638)/B638</f>
        <v>1.8503553158088774E-2</v>
      </c>
      <c r="F650" s="34">
        <f>VLOOKUP(Table143454[[#This Row],[Date]],'Data Core CPI'!$A:$AX,MATCH($B$2,'Data Core CPI'!$B$1:$AX$1,0),FALSE)</f>
        <v>85.768169999999998</v>
      </c>
      <c r="G650" s="35">
        <f t="shared" si="40"/>
        <v>-3.8717321479286859E-4</v>
      </c>
      <c r="H650" s="35">
        <f t="shared" si="41"/>
        <v>-4.6361977303754909E-3</v>
      </c>
      <c r="I650" s="35">
        <f>(Table143454[[#This Row],[Core CPI]]-F638)/F638</f>
        <v>1.6954222922260218E-2</v>
      </c>
    </row>
    <row r="651" spans="1:9" x14ac:dyDescent="0.35">
      <c r="A651" s="33">
        <f>IF(Data!A678="",#N/A,Data!A678)</f>
        <v>38473</v>
      </c>
      <c r="B651" s="34">
        <f>VLOOKUP(A651,Data!A:AX,MATCH($B$2,Data!$B$1:$AX$1,0),FALSE)</f>
        <v>84.506100000000004</v>
      </c>
      <c r="C651" s="35">
        <f t="shared" si="42"/>
        <v>3.1595464099334336E-3</v>
      </c>
      <c r="D651" s="35">
        <f t="shared" si="39"/>
        <v>3.8580405910960902E-2</v>
      </c>
      <c r="E651" s="35">
        <f>(Table143454[[#This Row],[JPN]]-B639)/B639</f>
        <v>1.9261567542493023E-2</v>
      </c>
      <c r="F651" s="34">
        <f>VLOOKUP(Table143454[[#This Row],[Date]],'Data Core CPI'!$A:$AX,MATCH($B$2,'Data Core CPI'!$B$1:$AX$1,0),FALSE)</f>
        <v>86.101460000000003</v>
      </c>
      <c r="G651" s="35">
        <f t="shared" si="40"/>
        <v>3.8859404368778439E-3</v>
      </c>
      <c r="H651" s="35">
        <f t="shared" si="41"/>
        <v>4.7640943553510118E-2</v>
      </c>
      <c r="I651" s="35">
        <f>(Table143454[[#This Row],[Core CPI]]-F639)/F639</f>
        <v>1.8925178788159965E-2</v>
      </c>
    </row>
    <row r="652" spans="1:9" x14ac:dyDescent="0.35">
      <c r="A652" s="33">
        <f>IF(Data!A679="",#N/A,Data!A679)</f>
        <v>38504</v>
      </c>
      <c r="B652" s="34">
        <f>VLOOKUP(A652,Data!A:AX,MATCH($B$2,Data!$B$1:$AX$1,0),FALSE)</f>
        <v>84.506100000000004</v>
      </c>
      <c r="C652" s="35">
        <f t="shared" si="42"/>
        <v>0</v>
      </c>
      <c r="D652" s="35">
        <f t="shared" si="39"/>
        <v>0</v>
      </c>
      <c r="E652" s="35">
        <f>(Table143454[[#This Row],[JPN]]-B640)/B640</f>
        <v>1.7628141444195534E-2</v>
      </c>
      <c r="F652" s="34">
        <f>VLOOKUP(Table143454[[#This Row],[Date]],'Data Core CPI'!$A:$AX,MATCH($B$2,'Data Core CPI'!$B$1:$AX$1,0),FALSE)</f>
        <v>86.113560000000007</v>
      </c>
      <c r="G652" s="35">
        <f t="shared" si="40"/>
        <v>1.4053187948270818E-4</v>
      </c>
      <c r="H652" s="35">
        <f t="shared" si="41"/>
        <v>1.6876866123765044E-3</v>
      </c>
      <c r="I652" s="35">
        <f>(Table143454[[#This Row],[Core CPI]]-F640)/F640</f>
        <v>1.7795015977220122E-2</v>
      </c>
    </row>
    <row r="653" spans="1:9" x14ac:dyDescent="0.35">
      <c r="A653" s="33">
        <f>IF(Data!A680="",#N/A,Data!A680)</f>
        <v>38534</v>
      </c>
      <c r="B653" s="34">
        <f>VLOOKUP(A653,Data!A:AX,MATCH($B$2,Data!$B$1:$AX$1,0),FALSE)</f>
        <v>84.838809999999995</v>
      </c>
      <c r="C653" s="35">
        <f t="shared" si="42"/>
        <v>3.9371122321345542E-3</v>
      </c>
      <c r="D653" s="35">
        <f t="shared" si="39"/>
        <v>4.8281949046522499E-2</v>
      </c>
      <c r="E653" s="35">
        <f>(Table143454[[#This Row],[JPN]]-B641)/B641</f>
        <v>2.081669850446561E-2</v>
      </c>
      <c r="F653" s="34">
        <f>VLOOKUP(Table143454[[#This Row],[Date]],'Data Core CPI'!$A:$AX,MATCH($B$2,'Data Core CPI'!$B$1:$AX$1,0),FALSE)</f>
        <v>86.428849999999997</v>
      </c>
      <c r="G653" s="35">
        <f t="shared" si="40"/>
        <v>3.6613281346165039E-3</v>
      </c>
      <c r="H653" s="35">
        <f t="shared" si="41"/>
        <v>4.4831576339928958E-2</v>
      </c>
      <c r="I653" s="35">
        <f>(Table143454[[#This Row],[Core CPI]]-F641)/F641</f>
        <v>1.9678295062935745E-2</v>
      </c>
    </row>
    <row r="654" spans="1:9" x14ac:dyDescent="0.35">
      <c r="A654" s="33">
        <f>IF(Data!A681="",#N/A,Data!A681)</f>
        <v>38565</v>
      </c>
      <c r="B654" s="34">
        <f>VLOOKUP(A654,Data!A:AX,MATCH($B$2,Data!$B$1:$AX$1,0),FALSE)</f>
        <v>84.971890000000002</v>
      </c>
      <c r="C654" s="35">
        <f t="shared" si="42"/>
        <v>1.5686217192345531E-3</v>
      </c>
      <c r="D654" s="35">
        <f t="shared" si="39"/>
        <v>1.8986710661955897E-2</v>
      </c>
      <c r="E654" s="35">
        <f>(Table143454[[#This Row],[JPN]]-B642)/B642</f>
        <v>1.9968099247638739E-2</v>
      </c>
      <c r="F654" s="34">
        <f>VLOOKUP(Table143454[[#This Row],[Date]],'Data Core CPI'!$A:$AX,MATCH($B$2,'Data Core CPI'!$B$1:$AX$1,0),FALSE)</f>
        <v>86.586179999999999</v>
      </c>
      <c r="G654" s="35">
        <f t="shared" si="40"/>
        <v>1.8203412402224561E-3</v>
      </c>
      <c r="H654" s="35">
        <f t="shared" si="41"/>
        <v>2.2064127752094764E-2</v>
      </c>
      <c r="I654" s="35">
        <f>(Table143454[[#This Row],[Core CPI]]-F642)/F642</f>
        <v>1.8446348539972322E-2</v>
      </c>
    </row>
    <row r="655" spans="1:9" x14ac:dyDescent="0.35">
      <c r="A655" s="33">
        <f>IF(Data!A682="",#N/A,Data!A682)</f>
        <v>38596</v>
      </c>
      <c r="B655" s="34">
        <f>VLOOKUP(A655,Data!A:AX,MATCH($B$2,Data!$B$1:$AX$1,0),FALSE)</f>
        <v>84.971890000000002</v>
      </c>
      <c r="C655" s="35">
        <f t="shared" si="42"/>
        <v>0</v>
      </c>
      <c r="D655" s="35">
        <f t="shared" si="39"/>
        <v>0</v>
      </c>
      <c r="E655" s="35">
        <f>(Table143454[[#This Row],[JPN]]-B643)/B643</f>
        <v>1.9968099247638739E-2</v>
      </c>
      <c r="F655" s="34">
        <f>VLOOKUP(Table143454[[#This Row],[Date]],'Data Core CPI'!$A:$AX,MATCH($B$2,'Data Core CPI'!$B$1:$AX$1,0),FALSE)</f>
        <v>86.449420000000003</v>
      </c>
      <c r="G655" s="35">
        <f t="shared" si="40"/>
        <v>-1.5794668387033584E-3</v>
      </c>
      <c r="H655" s="35">
        <f t="shared" si="41"/>
        <v>-1.8789814639372793E-2</v>
      </c>
      <c r="I655" s="35">
        <f>(Table143454[[#This Row],[Core CPI]]-F643)/F643</f>
        <v>1.6731191405253105E-2</v>
      </c>
    </row>
    <row r="656" spans="1:9" x14ac:dyDescent="0.35">
      <c r="A656" s="33">
        <f>IF(Data!A683="",#N/A,Data!A683)</f>
        <v>38626</v>
      </c>
      <c r="B656" s="34">
        <f>VLOOKUP(A656,Data!A:AX,MATCH($B$2,Data!$B$1:$AX$1,0),FALSE)</f>
        <v>85.171509999999998</v>
      </c>
      <c r="C656" s="35">
        <f t="shared" si="42"/>
        <v>2.3492474982020894E-3</v>
      </c>
      <c r="D656" s="35">
        <f t="shared" si="39"/>
        <v>2.8558089114375296E-2</v>
      </c>
      <c r="E656" s="35">
        <f>(Table143454[[#This Row],[JPN]]-B644)/B644</f>
        <v>2.236425675304211E-2</v>
      </c>
      <c r="F656" s="34">
        <f>VLOOKUP(Table143454[[#This Row],[Date]],'Data Core CPI'!$A:$AX,MATCH($B$2,'Data Core CPI'!$B$1:$AX$1,0),FALSE)</f>
        <v>86.532880000000006</v>
      </c>
      <c r="G656" s="35">
        <f t="shared" si="40"/>
        <v>9.6542001091504126E-4</v>
      </c>
      <c r="H656" s="35">
        <f t="shared" si="41"/>
        <v>1.164675288160244E-2</v>
      </c>
      <c r="I656" s="35">
        <f>(Table143454[[#This Row],[Core CPI]]-F644)/F644</f>
        <v>1.8455403071530107E-2</v>
      </c>
    </row>
    <row r="657" spans="1:9" x14ac:dyDescent="0.35">
      <c r="A657" s="33">
        <f>IF(Data!A684="",#N/A,Data!A684)</f>
        <v>38657</v>
      </c>
      <c r="B657" s="34">
        <f>VLOOKUP(A657,Data!A:AX,MATCH($B$2,Data!$B$1:$AX$1,0),FALSE)</f>
        <v>85.238039999999998</v>
      </c>
      <c r="C657" s="35">
        <f t="shared" si="42"/>
        <v>7.8112974632005283E-4</v>
      </c>
      <c r="D657" s="35">
        <f t="shared" si="39"/>
        <v>9.4139327990188093E-3</v>
      </c>
      <c r="E657" s="35">
        <f>(Table143454[[#This Row],[JPN]]-B645)/B645</f>
        <v>2.2346288308282575E-2</v>
      </c>
      <c r="F657" s="34">
        <f>VLOOKUP(Table143454[[#This Row],[Date]],'Data Core CPI'!$A:$AX,MATCH($B$2,'Data Core CPI'!$B$1:$AX$1,0),FALSE)</f>
        <v>86.768199999999993</v>
      </c>
      <c r="G657" s="35">
        <f t="shared" si="40"/>
        <v>2.7194287304430631E-3</v>
      </c>
      <c r="H657" s="35">
        <f t="shared" si="41"/>
        <v>3.3125685681794081E-2</v>
      </c>
      <c r="I657" s="35">
        <f>(Table143454[[#This Row],[Core CPI]]-F645)/F645</f>
        <v>1.9898962436683997E-2</v>
      </c>
    </row>
    <row r="658" spans="1:9" x14ac:dyDescent="0.35">
      <c r="A658" s="33">
        <f>IF(Data!A685="",#N/A,Data!A685)</f>
        <v>38687</v>
      </c>
      <c r="B658" s="34">
        <f>VLOOKUP(A658,Data!A:AX,MATCH($B$2,Data!$B$1:$AX$1,0),FALSE)</f>
        <v>85.238039999999998</v>
      </c>
      <c r="C658" s="35">
        <f t="shared" si="42"/>
        <v>0</v>
      </c>
      <c r="D658" s="35">
        <f t="shared" si="39"/>
        <v>0</v>
      </c>
      <c r="E658" s="35">
        <f>(Table143454[[#This Row],[JPN]]-B646)/B646</f>
        <v>1.9904387149483553E-2</v>
      </c>
      <c r="F658" s="34">
        <f>VLOOKUP(Table143454[[#This Row],[Date]],'Data Core CPI'!$A:$AX,MATCH($B$2,'Data Core CPI'!$B$1:$AX$1,0),FALSE)</f>
        <v>86.779610000000005</v>
      </c>
      <c r="G658" s="35">
        <f t="shared" si="40"/>
        <v>1.314997890933256E-4</v>
      </c>
      <c r="H658" s="35">
        <f t="shared" si="41"/>
        <v>1.5791392543695881E-3</v>
      </c>
      <c r="I658" s="35">
        <f>(Table143454[[#This Row],[Core CPI]]-F646)/F646</f>
        <v>1.6657536467686199E-2</v>
      </c>
    </row>
    <row r="659" spans="1:9" x14ac:dyDescent="0.35">
      <c r="A659" s="33">
        <f>IF(Data!A686="",#N/A,Data!A686)</f>
        <v>38718</v>
      </c>
      <c r="B659" s="34">
        <f>VLOOKUP(A659,Data!A:AX,MATCH($B$2,Data!$B$1:$AX$1,0),FALSE)</f>
        <v>85.437669999999997</v>
      </c>
      <c r="C659" s="35">
        <f t="shared" si="42"/>
        <v>2.3420294507006112E-3</v>
      </c>
      <c r="D659" s="35">
        <f t="shared" si="39"/>
        <v>2.8469211265138128E-2</v>
      </c>
      <c r="E659" s="35">
        <f>(Table143454[[#This Row],[JPN]]-B647)/B647</f>
        <v>2.2293033261086431E-2</v>
      </c>
      <c r="F659" s="34">
        <f>VLOOKUP(Table143454[[#This Row],[Date]],'Data Core CPI'!$A:$AX,MATCH($B$2,'Data Core CPI'!$B$1:$AX$1,0),FALSE)</f>
        <v>86.893510000000006</v>
      </c>
      <c r="G659" s="35">
        <f t="shared" si="40"/>
        <v>1.3125203028683252E-3</v>
      </c>
      <c r="H659" s="35">
        <f t="shared" si="41"/>
        <v>1.586444137661025E-2</v>
      </c>
      <c r="I659" s="35">
        <f>(Table143454[[#This Row],[Core CPI]]-F647)/F647</f>
        <v>1.797522374868735E-2</v>
      </c>
    </row>
    <row r="660" spans="1:9" x14ac:dyDescent="0.35">
      <c r="A660" s="33">
        <f>IF(Data!A687="",#N/A,Data!A687)</f>
        <v>38749</v>
      </c>
      <c r="B660" s="34">
        <f>VLOOKUP(A660,Data!A:AX,MATCH($B$2,Data!$B$1:$AX$1,0),FALSE)</f>
        <v>85.637289999999993</v>
      </c>
      <c r="C660" s="35">
        <f t="shared" si="42"/>
        <v>2.336440120616512E-3</v>
      </c>
      <c r="D660" s="35">
        <f t="shared" si="39"/>
        <v>2.8400393108037214E-2</v>
      </c>
      <c r="E660" s="35">
        <f>(Table143454[[#This Row],[JPN]]-B648)/B648</f>
        <v>2.1428492196690505E-2</v>
      </c>
      <c r="F660" s="34">
        <f>VLOOKUP(Table143454[[#This Row],[Date]],'Data Core CPI'!$A:$AX,MATCH($B$2,'Data Core CPI'!$B$1:$AX$1,0),FALSE)</f>
        <v>87.053430000000006</v>
      </c>
      <c r="G660" s="35">
        <f t="shared" si="40"/>
        <v>1.840413628129367E-3</v>
      </c>
      <c r="H660" s="35">
        <f t="shared" si="41"/>
        <v>2.2309890721876613E-2</v>
      </c>
      <c r="I660" s="35">
        <f>(Table143454[[#This Row],[Core CPI]]-F648)/F648</f>
        <v>1.7142825762645982E-2</v>
      </c>
    </row>
    <row r="661" spans="1:9" x14ac:dyDescent="0.35">
      <c r="A661" s="33">
        <f>IF(Data!A688="",#N/A,Data!A688)</f>
        <v>38777</v>
      </c>
      <c r="B661" s="34">
        <f>VLOOKUP(A661,Data!A:AX,MATCH($B$2,Data!$B$1:$AX$1,0),FALSE)</f>
        <v>85.836910000000003</v>
      </c>
      <c r="C661" s="35">
        <f t="shared" si="42"/>
        <v>2.330993892964317E-3</v>
      </c>
      <c r="D661" s="35">
        <f t="shared" si="39"/>
        <v>2.8333340948014207E-2</v>
      </c>
      <c r="E661" s="35">
        <f>(Table143454[[#This Row],[JPN]]-B649)/B649</f>
        <v>2.0569665779937636E-2</v>
      </c>
      <c r="F661" s="34">
        <f>VLOOKUP(Table143454[[#This Row],[Date]],'Data Core CPI'!$A:$AX,MATCH($B$2,'Data Core CPI'!$B$1:$AX$1,0),FALSE)</f>
        <v>87.238680000000002</v>
      </c>
      <c r="G661" s="35">
        <f t="shared" si="40"/>
        <v>2.1280034571871109E-3</v>
      </c>
      <c r="H661" s="35">
        <f t="shared" si="41"/>
        <v>2.5837046005254383E-2</v>
      </c>
      <c r="I661" s="35">
        <f>(Table143454[[#This Row],[Core CPI]]-F649)/F649</f>
        <v>1.675136032178505E-2</v>
      </c>
    </row>
    <row r="662" spans="1:9" x14ac:dyDescent="0.35">
      <c r="A662" s="33">
        <f>IF(Data!A689="",#N/A,Data!A689)</f>
        <v>38808</v>
      </c>
      <c r="B662" s="34">
        <f>VLOOKUP(A662,Data!A:AX,MATCH($B$2,Data!$B$1:$AX$1,0),FALSE)</f>
        <v>86.103070000000002</v>
      </c>
      <c r="C662" s="35">
        <f t="shared" si="42"/>
        <v>3.1007639953488653E-3</v>
      </c>
      <c r="D662" s="35">
        <f t="shared" si="39"/>
        <v>3.7850345463735557E-2</v>
      </c>
      <c r="E662" s="35">
        <f>(Table143454[[#This Row],[JPN]]-B650)/B650</f>
        <v>2.2116943578069953E-2</v>
      </c>
      <c r="F662" s="34">
        <f>VLOOKUP(Table143454[[#This Row],[Date]],'Data Core CPI'!$A:$AX,MATCH($B$2,'Data Core CPI'!$B$1:$AX$1,0),FALSE)</f>
        <v>87.402990000000003</v>
      </c>
      <c r="G662" s="35">
        <f t="shared" si="40"/>
        <v>1.8834535323093426E-3</v>
      </c>
      <c r="H662" s="35">
        <f t="shared" si="41"/>
        <v>2.2837046750087131E-2</v>
      </c>
      <c r="I662" s="35">
        <f>(Table143454[[#This Row],[Core CPI]]-F650)/F650</f>
        <v>1.9060917354305273E-2</v>
      </c>
    </row>
    <row r="663" spans="1:9" x14ac:dyDescent="0.35">
      <c r="A663" s="33">
        <f>IF(Data!A690="",#N/A,Data!A690)</f>
        <v>38838</v>
      </c>
      <c r="B663" s="34">
        <f>VLOOKUP(A663,Data!A:AX,MATCH($B$2,Data!$B$1:$AX$1,0),FALSE)</f>
        <v>86.369230000000002</v>
      </c>
      <c r="C663" s="35">
        <f t="shared" si="42"/>
        <v>3.0911789788679034E-3</v>
      </c>
      <c r="D663" s="35">
        <f t="shared" si="39"/>
        <v>3.7731346971427326E-2</v>
      </c>
      <c r="E663" s="35">
        <f>(Table143454[[#This Row],[JPN]]-B651)/B651</f>
        <v>2.2047284160551701E-2</v>
      </c>
      <c r="F663" s="34">
        <f>VLOOKUP(Table143454[[#This Row],[Date]],'Data Core CPI'!$A:$AX,MATCH($B$2,'Data Core CPI'!$B$1:$AX$1,0),FALSE)</f>
        <v>87.636340000000004</v>
      </c>
      <c r="G663" s="35">
        <f t="shared" si="40"/>
        <v>2.6698171309700314E-3</v>
      </c>
      <c r="H663" s="35">
        <f t="shared" si="41"/>
        <v>3.2512460436370016E-2</v>
      </c>
      <c r="I663" s="35">
        <f>(Table143454[[#This Row],[Core CPI]]-F651)/F651</f>
        <v>1.7826410841349276E-2</v>
      </c>
    </row>
    <row r="664" spans="1:9" x14ac:dyDescent="0.35">
      <c r="A664" s="33">
        <f>IF(Data!A691="",#N/A,Data!A691)</f>
        <v>38869</v>
      </c>
      <c r="B664" s="34">
        <f>VLOOKUP(A664,Data!A:AX,MATCH($B$2,Data!$B$1:$AX$1,0),FALSE)</f>
        <v>86.435779999999994</v>
      </c>
      <c r="C664" s="35">
        <f t="shared" si="42"/>
        <v>7.7052904141905465E-4</v>
      </c>
      <c r="D664" s="35">
        <f t="shared" si="39"/>
        <v>9.2856345063954127E-3</v>
      </c>
      <c r="E664" s="35">
        <f>(Table143454[[#This Row],[JPN]]-B652)/B652</f>
        <v>2.2834801274700767E-2</v>
      </c>
      <c r="F664" s="34">
        <f>VLOOKUP(Table143454[[#This Row],[Date]],'Data Core CPI'!$A:$AX,MATCH($B$2,'Data Core CPI'!$B$1:$AX$1,0),FALSE)</f>
        <v>87.683329999999998</v>
      </c>
      <c r="G664" s="35">
        <f t="shared" si="40"/>
        <v>5.3619309067443055E-4</v>
      </c>
      <c r="H664" s="35">
        <f t="shared" si="41"/>
        <v>6.4533262436266003E-3</v>
      </c>
      <c r="I664" s="35">
        <f>(Table143454[[#This Row],[Core CPI]]-F652)/F652</f>
        <v>1.8229068685582051E-2</v>
      </c>
    </row>
    <row r="665" spans="1:9" x14ac:dyDescent="0.35">
      <c r="A665" s="33">
        <f>IF(Data!A692="",#N/A,Data!A692)</f>
        <v>38899</v>
      </c>
      <c r="B665" s="34">
        <f>VLOOKUP(A665,Data!A:AX,MATCH($B$2,Data!$B$1:$AX$1,0),FALSE)</f>
        <v>86.701930000000004</v>
      </c>
      <c r="C665" s="35">
        <f t="shared" si="42"/>
        <v>3.0791646700014663E-3</v>
      </c>
      <c r="D665" s="35">
        <f t="shared" si="39"/>
        <v>3.7582206347986036E-2</v>
      </c>
      <c r="E665" s="35">
        <f>(Table143454[[#This Row],[JPN]]-B653)/B653</f>
        <v>2.1960704069281609E-2</v>
      </c>
      <c r="F665" s="34">
        <f>VLOOKUP(Table143454[[#This Row],[Date]],'Data Core CPI'!$A:$AX,MATCH($B$2,'Data Core CPI'!$B$1:$AX$1,0),FALSE)</f>
        <v>87.828699999999998</v>
      </c>
      <c r="G665" s="35">
        <f t="shared" si="40"/>
        <v>1.6578978010985956E-3</v>
      </c>
      <c r="H665" s="35">
        <f t="shared" si="41"/>
        <v>2.0077189147362784E-2</v>
      </c>
      <c r="I665" s="35">
        <f>(Table143454[[#This Row],[Core CPI]]-F653)/F653</f>
        <v>1.6196559366461555E-2</v>
      </c>
    </row>
    <row r="666" spans="1:9" x14ac:dyDescent="0.35">
      <c r="A666" s="33">
        <f>IF(Data!A693="",#N/A,Data!A693)</f>
        <v>38930</v>
      </c>
      <c r="B666" s="34">
        <f>VLOOKUP(A666,Data!A:AX,MATCH($B$2,Data!$B$1:$AX$1,0),FALSE)</f>
        <v>86.835009999999997</v>
      </c>
      <c r="C666" s="35">
        <f t="shared" si="42"/>
        <v>1.5349139286748859E-3</v>
      </c>
      <c r="D666" s="35">
        <f t="shared" si="39"/>
        <v>1.8575258872438383E-2</v>
      </c>
      <c r="E666" s="35">
        <f>(Table143454[[#This Row],[JPN]]-B654)/B654</f>
        <v>2.1926309983219098E-2</v>
      </c>
      <c r="F666" s="34">
        <f>VLOOKUP(Table143454[[#This Row],[Date]],'Data Core CPI'!$A:$AX,MATCH($B$2,'Data Core CPI'!$B$1:$AX$1,0),FALSE)</f>
        <v>87.911069999999995</v>
      </c>
      <c r="G666" s="35">
        <f t="shared" si="40"/>
        <v>9.3784833431431736E-4</v>
      </c>
      <c r="H666" s="35">
        <f t="shared" si="41"/>
        <v>1.1312412798721194E-2</v>
      </c>
      <c r="I666" s="35">
        <f>(Table143454[[#This Row],[Core CPI]]-F654)/F654</f>
        <v>1.5301402602586191E-2</v>
      </c>
    </row>
    <row r="667" spans="1:9" x14ac:dyDescent="0.35">
      <c r="A667" s="33">
        <f>IF(Data!A694="",#N/A,Data!A694)</f>
        <v>38961</v>
      </c>
      <c r="B667" s="34">
        <f>VLOOKUP(A667,Data!A:AX,MATCH($B$2,Data!$B$1:$AX$1,0),FALSE)</f>
        <v>86.768469999999994</v>
      </c>
      <c r="C667" s="35">
        <f t="shared" si="42"/>
        <v>-7.6628078928075993E-4</v>
      </c>
      <c r="D667" s="35">
        <f t="shared" si="39"/>
        <v>-9.156713997437893E-3</v>
      </c>
      <c r="E667" s="35">
        <f>(Table143454[[#This Row],[JPN]]-B655)/B655</f>
        <v>2.1143227483818375E-2</v>
      </c>
      <c r="F667" s="34">
        <f>VLOOKUP(Table143454[[#This Row],[Date]],'Data Core CPI'!$A:$AX,MATCH($B$2,'Data Core CPI'!$B$1:$AX$1,0),FALSE)</f>
        <v>87.94708</v>
      </c>
      <c r="G667" s="35">
        <f t="shared" si="40"/>
        <v>4.0961849287013408E-4</v>
      </c>
      <c r="H667" s="35">
        <f t="shared" si="41"/>
        <v>4.9265110111582633E-3</v>
      </c>
      <c r="I667" s="35">
        <f>(Table143454[[#This Row],[Core CPI]]-F655)/F655</f>
        <v>1.7324118542379998E-2</v>
      </c>
    </row>
    <row r="668" spans="1:9" x14ac:dyDescent="0.35">
      <c r="A668" s="33">
        <f>IF(Data!A695="",#N/A,Data!A695)</f>
        <v>38991</v>
      </c>
      <c r="B668" s="34">
        <f>VLOOKUP(A668,Data!A:AX,MATCH($B$2,Data!$B$1:$AX$1,0),FALSE)</f>
        <v>86.701930000000004</v>
      </c>
      <c r="C668" s="35">
        <f t="shared" si="42"/>
        <v>-7.6686842582318615E-4</v>
      </c>
      <c r="D668" s="35">
        <f t="shared" si="39"/>
        <v>-9.1637064016557579E-3</v>
      </c>
      <c r="E668" s="35">
        <f>(Table143454[[#This Row],[JPN]]-B656)/B656</f>
        <v>1.7968684598875923E-2</v>
      </c>
      <c r="F668" s="34">
        <f>VLOOKUP(Table143454[[#This Row],[Date]],'Data Core CPI'!$A:$AX,MATCH($B$2,'Data Core CPI'!$B$1:$AX$1,0),FALSE)</f>
        <v>87.954319999999996</v>
      </c>
      <c r="G668" s="35">
        <f t="shared" si="40"/>
        <v>8.2322232870080114E-5</v>
      </c>
      <c r="H668" s="35">
        <f t="shared" si="41"/>
        <v>9.883141959026176E-4</v>
      </c>
      <c r="I668" s="35">
        <f>(Table143454[[#This Row],[Core CPI]]-F656)/F656</f>
        <v>1.6426588367334932E-2</v>
      </c>
    </row>
    <row r="669" spans="1:9" x14ac:dyDescent="0.35">
      <c r="A669" s="33">
        <f>IF(Data!A696="",#N/A,Data!A696)</f>
        <v>39022</v>
      </c>
      <c r="B669" s="34">
        <f>VLOOKUP(A669,Data!A:AX,MATCH($B$2,Data!$B$1:$AX$1,0),FALSE)</f>
        <v>86.768469999999994</v>
      </c>
      <c r="C669" s="35">
        <f t="shared" si="42"/>
        <v>7.6745696433744293E-4</v>
      </c>
      <c r="D669" s="35">
        <f t="shared" si="39"/>
        <v>9.2484565420778431E-3</v>
      </c>
      <c r="E669" s="35">
        <f>(Table143454[[#This Row],[JPN]]-B657)/B657</f>
        <v>1.7954776998626382E-2</v>
      </c>
      <c r="F669" s="34">
        <f>VLOOKUP(Table143454[[#This Row],[Date]],'Data Core CPI'!$A:$AX,MATCH($B$2,'Data Core CPI'!$B$1:$AX$1,0),FALSE)</f>
        <v>88.028480000000002</v>
      </c>
      <c r="G669" s="35">
        <f t="shared" si="40"/>
        <v>8.4316495198888397E-4</v>
      </c>
      <c r="H669" s="35">
        <f t="shared" si="41"/>
        <v>1.0165032739725133E-2</v>
      </c>
      <c r="I669" s="35">
        <f>(Table143454[[#This Row],[Core CPI]]-F657)/F657</f>
        <v>1.4524676091010403E-2</v>
      </c>
    </row>
    <row r="670" spans="1:9" x14ac:dyDescent="0.35">
      <c r="A670" s="33">
        <f>IF(Data!A697="",#N/A,Data!A697)</f>
        <v>39052</v>
      </c>
      <c r="B670" s="34">
        <f>VLOOKUP(A670,Data!A:AX,MATCH($B$2,Data!$B$1:$AX$1,0),FALSE)</f>
        <v>86.835009999999997</v>
      </c>
      <c r="C670" s="35">
        <f t="shared" si="42"/>
        <v>7.6686842582329717E-4</v>
      </c>
      <c r="D670" s="35">
        <f t="shared" si="39"/>
        <v>9.2413342521382447E-3</v>
      </c>
      <c r="E670" s="35">
        <f>(Table143454[[#This Row],[JPN]]-B658)/B658</f>
        <v>1.8735414376022712E-2</v>
      </c>
      <c r="F670" s="34">
        <f>VLOOKUP(Table143454[[#This Row],[Date]],'Data Core CPI'!$A:$AX,MATCH($B$2,'Data Core CPI'!$B$1:$AX$1,0),FALSE)</f>
        <v>88.089070000000007</v>
      </c>
      <c r="G670" s="35">
        <f t="shared" si="40"/>
        <v>6.8829996837393992E-4</v>
      </c>
      <c r="H670" s="35">
        <f t="shared" si="41"/>
        <v>8.2909394226777788E-3</v>
      </c>
      <c r="I670" s="35">
        <f>(Table143454[[#This Row],[Core CPI]]-F658)/F658</f>
        <v>1.5089489339719334E-2</v>
      </c>
    </row>
    <row r="671" spans="1:9" x14ac:dyDescent="0.35">
      <c r="A671" s="33">
        <f>IF(Data!A698="",#N/A,Data!A698)</f>
        <v>39083</v>
      </c>
      <c r="B671" s="34">
        <f>VLOOKUP(A671,Data!A:AX,MATCH($B$2,Data!$B$1:$AX$1,0),FALSE)</f>
        <v>86.90155</v>
      </c>
      <c r="C671" s="35">
        <f t="shared" si="42"/>
        <v>7.6628078928075993E-4</v>
      </c>
      <c r="D671" s="35">
        <f t="shared" si="39"/>
        <v>9.2342229235171658E-3</v>
      </c>
      <c r="E671" s="35">
        <f>(Table143454[[#This Row],[JPN]]-B659)/B659</f>
        <v>1.7133894217854995E-2</v>
      </c>
      <c r="F671" s="34">
        <f>VLOOKUP(Table143454[[#This Row],[Date]],'Data Core CPI'!$A:$AX,MATCH($B$2,'Data Core CPI'!$B$1:$AX$1,0),FALSE)</f>
        <v>88.135120000000001</v>
      </c>
      <c r="G671" s="35">
        <f t="shared" si="40"/>
        <v>5.2276633185011079E-4</v>
      </c>
      <c r="H671" s="35">
        <f t="shared" si="41"/>
        <v>6.2912642353727399E-3</v>
      </c>
      <c r="I671" s="35">
        <f>(Table143454[[#This Row],[Core CPI]]-F659)/F659</f>
        <v>1.4288869214743359E-2</v>
      </c>
    </row>
    <row r="672" spans="1:9" x14ac:dyDescent="0.35">
      <c r="A672" s="33">
        <f>IF(Data!A699="",#N/A,Data!A699)</f>
        <v>39114</v>
      </c>
      <c r="B672" s="34">
        <f>VLOOKUP(A672,Data!A:AX,MATCH($B$2,Data!$B$1:$AX$1,0),FALSE)</f>
        <v>87.167720000000003</v>
      </c>
      <c r="C672" s="35">
        <f t="shared" si="42"/>
        <v>3.0628912832970645E-3</v>
      </c>
      <c r="D672" s="35">
        <f t="shared" si="39"/>
        <v>3.7380226637548697E-2</v>
      </c>
      <c r="E672" s="35">
        <f>(Table143454[[#This Row],[JPN]]-B660)/B660</f>
        <v>1.7871069950952556E-2</v>
      </c>
      <c r="F672" s="34">
        <f>VLOOKUP(Table143454[[#This Row],[Date]],'Data Core CPI'!$A:$AX,MATCH($B$2,'Data Core CPI'!$B$1:$AX$1,0),FALSE)</f>
        <v>88.540080000000003</v>
      </c>
      <c r="G672" s="35">
        <f t="shared" si="40"/>
        <v>4.594763131882118E-3</v>
      </c>
      <c r="H672" s="35">
        <f t="shared" si="41"/>
        <v>5.655210269073363E-2</v>
      </c>
      <c r="I672" s="35">
        <f>(Table143454[[#This Row],[Core CPI]]-F660)/F660</f>
        <v>1.707744312889219E-2</v>
      </c>
    </row>
    <row r="673" spans="1:9" x14ac:dyDescent="0.35">
      <c r="A673" s="33">
        <f>IF(Data!A700="",#N/A,Data!A700)</f>
        <v>39142</v>
      </c>
      <c r="B673" s="34">
        <f>VLOOKUP(A673,Data!A:AX,MATCH($B$2,Data!$B$1:$AX$1,0),FALSE)</f>
        <v>87.300799999999995</v>
      </c>
      <c r="C673" s="35">
        <f t="shared" si="42"/>
        <v>1.5267119525437245E-3</v>
      </c>
      <c r="D673" s="35">
        <f t="shared" si="39"/>
        <v>1.847516506368474E-2</v>
      </c>
      <c r="E673" s="35">
        <f>(Table143454[[#This Row],[JPN]]-B661)/B661</f>
        <v>1.705431847441843E-2</v>
      </c>
      <c r="F673" s="34">
        <f>VLOOKUP(Table143454[[#This Row],[Date]],'Data Core CPI'!$A:$AX,MATCH($B$2,'Data Core CPI'!$B$1:$AX$1,0),FALSE)</f>
        <v>88.624020000000002</v>
      </c>
      <c r="G673" s="35">
        <f t="shared" si="40"/>
        <v>9.4804522426450433E-4</v>
      </c>
      <c r="H673" s="35">
        <f t="shared" si="41"/>
        <v>1.1436050675504461E-2</v>
      </c>
      <c r="I673" s="35">
        <f>(Table143454[[#This Row],[Core CPI]]-F661)/F661</f>
        <v>1.5879882639214617E-2</v>
      </c>
    </row>
    <row r="674" spans="1:9" x14ac:dyDescent="0.35">
      <c r="A674" s="33">
        <f>IF(Data!A701="",#N/A,Data!A701)</f>
        <v>39173</v>
      </c>
      <c r="B674" s="34">
        <f>VLOOKUP(A674,Data!A:AX,MATCH($B$2,Data!$B$1:$AX$1,0),FALSE)</f>
        <v>87.433880000000002</v>
      </c>
      <c r="C674" s="35">
        <f t="shared" si="42"/>
        <v>1.5243846562689178E-3</v>
      </c>
      <c r="D674" s="35">
        <f t="shared" si="39"/>
        <v>1.8446765264029441E-2</v>
      </c>
      <c r="E674" s="35">
        <f>(Table143454[[#This Row],[JPN]]-B662)/B662</f>
        <v>1.5456011034217475E-2</v>
      </c>
      <c r="F674" s="34">
        <f>VLOOKUP(Table143454[[#This Row],[Date]],'Data Core CPI'!$A:$AX,MATCH($B$2,'Data Core CPI'!$B$1:$AX$1,0),FALSE)</f>
        <v>88.686210000000003</v>
      </c>
      <c r="G674" s="35">
        <f t="shared" si="40"/>
        <v>7.017284930201928E-4</v>
      </c>
      <c r="H674" s="35">
        <f t="shared" si="41"/>
        <v>8.4533179667225511E-3</v>
      </c>
      <c r="I674" s="35">
        <f>(Table143454[[#This Row],[Core CPI]]-F662)/F662</f>
        <v>1.4681648762816924E-2</v>
      </c>
    </row>
    <row r="675" spans="1:9" x14ac:dyDescent="0.35">
      <c r="A675" s="33">
        <f>IF(Data!A702="",#N/A,Data!A702)</f>
        <v>39203</v>
      </c>
      <c r="B675" s="34">
        <f>VLOOKUP(A675,Data!A:AX,MATCH($B$2,Data!$B$1:$AX$1,0),FALSE)</f>
        <v>87.700040000000001</v>
      </c>
      <c r="C675" s="35">
        <f t="shared" si="42"/>
        <v>3.0441288891673857E-3</v>
      </c>
      <c r="D675" s="35">
        <f t="shared" si="39"/>
        <v>3.7147398950547972E-2</v>
      </c>
      <c r="E675" s="35">
        <f>(Table143454[[#This Row],[JPN]]-B663)/B663</f>
        <v>1.5408380970861956E-2</v>
      </c>
      <c r="F675" s="34">
        <f>VLOOKUP(Table143454[[#This Row],[Date]],'Data Core CPI'!$A:$AX,MATCH($B$2,'Data Core CPI'!$B$1:$AX$1,0),FALSE)</f>
        <v>88.905739999999994</v>
      </c>
      <c r="G675" s="35">
        <f t="shared" si="40"/>
        <v>2.4753566535316018E-3</v>
      </c>
      <c r="H675" s="35">
        <f t="shared" si="41"/>
        <v>3.0112043122975551E-2</v>
      </c>
      <c r="I675" s="35">
        <f>(Table143454[[#This Row],[Core CPI]]-F663)/F663</f>
        <v>1.4484858678488744E-2</v>
      </c>
    </row>
    <row r="676" spans="1:9" x14ac:dyDescent="0.35">
      <c r="A676" s="33">
        <f>IF(Data!A703="",#N/A,Data!A703)</f>
        <v>39234</v>
      </c>
      <c r="B676" s="34">
        <f>VLOOKUP(A676,Data!A:AX,MATCH($B$2,Data!$B$1:$AX$1,0),FALSE)</f>
        <v>87.899659999999997</v>
      </c>
      <c r="C676" s="35">
        <f t="shared" si="42"/>
        <v>2.2761677189655494E-3</v>
      </c>
      <c r="D676" s="35">
        <f t="shared" si="39"/>
        <v>2.7658562360146854E-2</v>
      </c>
      <c r="E676" s="35">
        <f>(Table143454[[#This Row],[JPN]]-B664)/B664</f>
        <v>1.693604199557178E-2</v>
      </c>
      <c r="F676" s="34">
        <f>VLOOKUP(Table143454[[#This Row],[Date]],'Data Core CPI'!$A:$AX,MATCH($B$2,'Data Core CPI'!$B$1:$AX$1,0),FALSE)</f>
        <v>89.016080000000002</v>
      </c>
      <c r="G676" s="35">
        <f t="shared" si="40"/>
        <v>1.2410897204162552E-3</v>
      </c>
      <c r="H676" s="35">
        <f t="shared" si="41"/>
        <v>1.49951584296657E-2</v>
      </c>
      <c r="I676" s="35">
        <f>(Table143454[[#This Row],[Core CPI]]-F664)/F664</f>
        <v>1.5199582406370793E-2</v>
      </c>
    </row>
    <row r="677" spans="1:9" x14ac:dyDescent="0.35">
      <c r="A677" s="33">
        <f>IF(Data!A704="",#N/A,Data!A704)</f>
        <v>39264</v>
      </c>
      <c r="B677" s="34">
        <f>VLOOKUP(A677,Data!A:AX,MATCH($B$2,Data!$B$1:$AX$1,0),FALSE)</f>
        <v>88.099279999999993</v>
      </c>
      <c r="C677" s="35">
        <f t="shared" si="42"/>
        <v>2.2709985453868153E-3</v>
      </c>
      <c r="D677" s="35">
        <f t="shared" si="39"/>
        <v>2.7594963184848886E-2</v>
      </c>
      <c r="E677" s="35">
        <f>(Table143454[[#This Row],[JPN]]-B665)/B665</f>
        <v>1.6116711588773036E-2</v>
      </c>
      <c r="F677" s="34">
        <f>VLOOKUP(Table143454[[#This Row],[Date]],'Data Core CPI'!$A:$AX,MATCH($B$2,'Data Core CPI'!$B$1:$AX$1,0),FALSE)</f>
        <v>89.25609</v>
      </c>
      <c r="G677" s="35">
        <f t="shared" si="40"/>
        <v>2.6962544295368041E-3</v>
      </c>
      <c r="H677" s="35">
        <f t="shared" si="41"/>
        <v>3.2839197696485245E-2</v>
      </c>
      <c r="I677" s="35">
        <f>(Table143454[[#This Row],[Core CPI]]-F665)/F665</f>
        <v>1.6251976859500399E-2</v>
      </c>
    </row>
    <row r="678" spans="1:9" x14ac:dyDescent="0.35">
      <c r="A678" s="33">
        <f>IF(Data!A705="",#N/A,Data!A705)</f>
        <v>39295</v>
      </c>
      <c r="B678" s="34">
        <f>VLOOKUP(A678,Data!A:AX,MATCH($B$2,Data!$B$1:$AX$1,0),FALSE)</f>
        <v>88.23236</v>
      </c>
      <c r="C678" s="35">
        <f t="shared" si="42"/>
        <v>1.5105685313205885E-3</v>
      </c>
      <c r="D678" s="35">
        <f t="shared" si="39"/>
        <v>1.8278183205500342E-2</v>
      </c>
      <c r="E678" s="35">
        <f>(Table143454[[#This Row],[JPN]]-B666)/B666</f>
        <v>1.6092011735819492E-2</v>
      </c>
      <c r="F678" s="34">
        <f>VLOOKUP(Table143454[[#This Row],[Date]],'Data Core CPI'!$A:$AX,MATCH($B$2,'Data Core CPI'!$B$1:$AX$1,0),FALSE)</f>
        <v>89.448629999999994</v>
      </c>
      <c r="G678" s="35">
        <f t="shared" si="40"/>
        <v>2.1571637296682322E-3</v>
      </c>
      <c r="H678" s="35">
        <f t="shared" si="41"/>
        <v>2.619530533609904E-2</v>
      </c>
      <c r="I678" s="35">
        <f>(Table143454[[#This Row],[Core CPI]]-F666)/F666</f>
        <v>1.7489947511729744E-2</v>
      </c>
    </row>
    <row r="679" spans="1:9" x14ac:dyDescent="0.35">
      <c r="A679" s="33">
        <f>IF(Data!A706="",#N/A,Data!A706)</f>
        <v>39326</v>
      </c>
      <c r="B679" s="34">
        <f>VLOOKUP(A679,Data!A:AX,MATCH($B$2,Data!$B$1:$AX$1,0),FALSE)</f>
        <v>88.23236</v>
      </c>
      <c r="C679" s="35">
        <f t="shared" si="42"/>
        <v>0</v>
      </c>
      <c r="D679" s="35">
        <f t="shared" si="39"/>
        <v>0</v>
      </c>
      <c r="E679" s="35">
        <f>(Table143454[[#This Row],[JPN]]-B667)/B667</f>
        <v>1.6871220617351055E-2</v>
      </c>
      <c r="F679" s="34">
        <f>VLOOKUP(Table143454[[#This Row],[Date]],'Data Core CPI'!$A:$AX,MATCH($B$2,'Data Core CPI'!$B$1:$AX$1,0),FALSE)</f>
        <v>89.330699999999993</v>
      </c>
      <c r="G679" s="35">
        <f t="shared" si="40"/>
        <v>-1.3184103546359793E-3</v>
      </c>
      <c r="H679" s="35">
        <f t="shared" si="41"/>
        <v>-1.5706705343330407E-2</v>
      </c>
      <c r="I679" s="35">
        <f>(Table143454[[#This Row],[Core CPI]]-F667)/F667</f>
        <v>1.5732415448017074E-2</v>
      </c>
    </row>
    <row r="680" spans="1:9" x14ac:dyDescent="0.35">
      <c r="A680" s="33">
        <f>IF(Data!A707="",#N/A,Data!A707)</f>
        <v>39356</v>
      </c>
      <c r="B680" s="34">
        <f>VLOOKUP(A680,Data!A:AX,MATCH($B$2,Data!$B$1:$AX$1,0),FALSE)</f>
        <v>88.498519999999999</v>
      </c>
      <c r="C680" s="35">
        <f t="shared" si="42"/>
        <v>3.0165803113506584E-3</v>
      </c>
      <c r="D680" s="35">
        <f t="shared" si="39"/>
        <v>3.6805627903004234E-2</v>
      </c>
      <c r="E680" s="35">
        <f>(Table143454[[#This Row],[JPN]]-B668)/B668</f>
        <v>2.072145337479794E-2</v>
      </c>
      <c r="F680" s="34">
        <f>VLOOKUP(Table143454[[#This Row],[Date]],'Data Core CPI'!$A:$AX,MATCH($B$2,'Data Core CPI'!$B$1:$AX$1,0),FALSE)</f>
        <v>89.419169999999994</v>
      </c>
      <c r="G680" s="35">
        <f t="shared" si="40"/>
        <v>9.9036501449112357E-4</v>
      </c>
      <c r="H680" s="35">
        <f t="shared" si="41"/>
        <v>1.1949328661714498E-2</v>
      </c>
      <c r="I680" s="35">
        <f>(Table143454[[#This Row],[Core CPI]]-F668)/F668</f>
        <v>1.665466801403272E-2</v>
      </c>
    </row>
    <row r="681" spans="1:9" x14ac:dyDescent="0.35">
      <c r="A681" s="33">
        <f>IF(Data!A708="",#N/A,Data!A708)</f>
        <v>39387</v>
      </c>
      <c r="B681" s="34">
        <f>VLOOKUP(A681,Data!A:AX,MATCH($B$2,Data!$B$1:$AX$1,0),FALSE)</f>
        <v>88.831220000000002</v>
      </c>
      <c r="C681" s="35">
        <f t="shared" si="42"/>
        <v>3.7593849027079962E-3</v>
      </c>
      <c r="D681" s="35">
        <f t="shared" si="39"/>
        <v>4.6057183525794132E-2</v>
      </c>
      <c r="E681" s="35">
        <f>(Table143454[[#This Row],[JPN]]-B669)/B669</f>
        <v>2.377303644976117E-2</v>
      </c>
      <c r="F681" s="34">
        <f>VLOOKUP(Table143454[[#This Row],[Date]],'Data Core CPI'!$A:$AX,MATCH($B$2,'Data Core CPI'!$B$1:$AX$1,0),FALSE)</f>
        <v>89.585369999999998</v>
      </c>
      <c r="G681" s="35">
        <f t="shared" si="40"/>
        <v>1.858661850697052E-3</v>
      </c>
      <c r="H681" s="35">
        <f t="shared" si="41"/>
        <v>2.253336592435029E-2</v>
      </c>
      <c r="I681" s="35">
        <f>(Table143454[[#This Row],[Core CPI]]-F669)/F669</f>
        <v>1.7686207918164616E-2</v>
      </c>
    </row>
    <row r="682" spans="1:9" x14ac:dyDescent="0.35">
      <c r="A682" s="33">
        <f>IF(Data!A709="",#N/A,Data!A709)</f>
        <v>39417</v>
      </c>
      <c r="B682" s="34">
        <f>VLOOKUP(A682,Data!A:AX,MATCH($B$2,Data!$B$1:$AX$1,0),FALSE)</f>
        <v>89.097380000000001</v>
      </c>
      <c r="C682" s="35">
        <f t="shared" si="42"/>
        <v>2.9962438881285802E-3</v>
      </c>
      <c r="D682" s="35">
        <f t="shared" si="39"/>
        <v>3.6553397971512913E-2</v>
      </c>
      <c r="E682" s="35">
        <f>(Table143454[[#This Row],[JPN]]-B670)/B670</f>
        <v>2.6053661996468986E-2</v>
      </c>
      <c r="F682" s="34">
        <f>VLOOKUP(Table143454[[#This Row],[Date]],'Data Core CPI'!$A:$AX,MATCH($B$2,'Data Core CPI'!$B$1:$AX$1,0),FALSE)</f>
        <v>89.721739999999997</v>
      </c>
      <c r="G682" s="35">
        <f t="shared" si="40"/>
        <v>1.5222351596024808E-3</v>
      </c>
      <c r="H682" s="35">
        <f t="shared" si="41"/>
        <v>1.8420535782818215E-2</v>
      </c>
      <c r="I682" s="35">
        <f>(Table143454[[#This Row],[Core CPI]]-F670)/F670</f>
        <v>1.853430851296296E-2</v>
      </c>
    </row>
    <row r="683" spans="1:9" x14ac:dyDescent="0.35">
      <c r="A683" s="33">
        <f>IF(Data!A710="",#N/A,Data!A710)</f>
        <v>39448</v>
      </c>
      <c r="B683" s="34">
        <f>VLOOKUP(A683,Data!A:AX,MATCH($B$2,Data!$B$1:$AX$1,0),FALSE)</f>
        <v>89.496619999999993</v>
      </c>
      <c r="C683" s="35">
        <f t="shared" si="42"/>
        <v>4.4809398435732284E-3</v>
      </c>
      <c r="D683" s="35">
        <f t="shared" si="39"/>
        <v>5.511647520755969E-2</v>
      </c>
      <c r="E683" s="35">
        <f>(Table143454[[#This Row],[JPN]]-B671)/B671</f>
        <v>2.9862183125617354E-2</v>
      </c>
      <c r="F683" s="34">
        <f>VLOOKUP(Table143454[[#This Row],[Date]],'Data Core CPI'!$A:$AX,MATCH($B$2,'Data Core CPI'!$B$1:$AX$1,0),FALSE)</f>
        <v>89.97578</v>
      </c>
      <c r="G683" s="35">
        <f t="shared" si="40"/>
        <v>2.831420790546435E-3</v>
      </c>
      <c r="H683" s="35">
        <f t="shared" si="41"/>
        <v>3.4511193584275901E-2</v>
      </c>
      <c r="I683" s="35">
        <f>(Table143454[[#This Row],[Core CPI]]-F671)/F671</f>
        <v>2.0884523672288637E-2</v>
      </c>
    </row>
    <row r="684" spans="1:9" x14ac:dyDescent="0.35">
      <c r="A684" s="33">
        <f>IF(Data!A711="",#N/A,Data!A711)</f>
        <v>39479</v>
      </c>
      <c r="B684" s="34">
        <f>VLOOKUP(A684,Data!A:AX,MATCH($B$2,Data!$B$1:$AX$1,0),FALSE)</f>
        <v>89.696240000000003</v>
      </c>
      <c r="C684" s="35">
        <f t="shared" si="42"/>
        <v>2.2304752961621599E-3</v>
      </c>
      <c r="D684" s="35">
        <f t="shared" si="39"/>
        <v>2.7096508437578049E-2</v>
      </c>
      <c r="E684" s="35">
        <f>(Table143454[[#This Row],[JPN]]-B672)/B672</f>
        <v>2.900752709833411E-2</v>
      </c>
      <c r="F684" s="34">
        <f>VLOOKUP(Table143454[[#This Row],[Date]],'Data Core CPI'!$A:$AX,MATCH($B$2,'Data Core CPI'!$B$1:$AX$1,0),FALSE)</f>
        <v>90.158389999999997</v>
      </c>
      <c r="G684" s="35">
        <f t="shared" si="40"/>
        <v>2.0295461734256559E-3</v>
      </c>
      <c r="H684" s="35">
        <f t="shared" si="41"/>
        <v>2.4628259473055136E-2</v>
      </c>
      <c r="I684" s="35">
        <f>(Table143454[[#This Row],[Core CPI]]-F672)/F672</f>
        <v>1.8277711065993997E-2</v>
      </c>
    </row>
    <row r="685" spans="1:9" x14ac:dyDescent="0.35">
      <c r="A685" s="33">
        <f>IF(Data!A712="",#N/A,Data!A712)</f>
        <v>39508</v>
      </c>
      <c r="B685" s="34">
        <f>VLOOKUP(A685,Data!A:AX,MATCH($B$2,Data!$B$1:$AX$1,0),FALSE)</f>
        <v>90.162030000000001</v>
      </c>
      <c r="C685" s="35">
        <f t="shared" si="42"/>
        <v>5.1929712995772981E-3</v>
      </c>
      <c r="D685" s="35">
        <f t="shared" si="39"/>
        <v>6.4126645829265527E-2</v>
      </c>
      <c r="E685" s="35">
        <f>(Table143454[[#This Row],[JPN]]-B673)/B673</f>
        <v>3.2774384656268973E-2</v>
      </c>
      <c r="F685" s="34">
        <f>VLOOKUP(Table143454[[#This Row],[Date]],'Data Core CPI'!$A:$AX,MATCH($B$2,'Data Core CPI'!$B$1:$AX$1,0),FALSE)</f>
        <v>90.505790000000005</v>
      </c>
      <c r="G685" s="35">
        <f t="shared" si="40"/>
        <v>3.8532187631123982E-3</v>
      </c>
      <c r="H685" s="35">
        <f t="shared" si="41"/>
        <v>4.7231242583701594E-2</v>
      </c>
      <c r="I685" s="35">
        <f>(Table143454[[#This Row],[Core CPI]]-F673)/F673</f>
        <v>2.1233182606701918E-2</v>
      </c>
    </row>
    <row r="686" spans="1:9" x14ac:dyDescent="0.35">
      <c r="A686" s="33">
        <f>IF(Data!A713="",#N/A,Data!A713)</f>
        <v>39539</v>
      </c>
      <c r="B686" s="34">
        <f>VLOOKUP(A686,Data!A:AX,MATCH($B$2,Data!$B$1:$AX$1,0),FALSE)</f>
        <v>90.361649999999997</v>
      </c>
      <c r="C686" s="35">
        <f t="shared" si="42"/>
        <v>2.2140140367292727E-3</v>
      </c>
      <c r="D686" s="35">
        <f t="shared" si="39"/>
        <v>2.6894090627386236E-2</v>
      </c>
      <c r="E686" s="35">
        <f>(Table143454[[#This Row],[JPN]]-B674)/B674</f>
        <v>3.3485532152982292E-2</v>
      </c>
      <c r="F686" s="34">
        <f>VLOOKUP(Table143454[[#This Row],[Date]],'Data Core CPI'!$A:$AX,MATCH($B$2,'Data Core CPI'!$B$1:$AX$1,0),FALSE)</f>
        <v>90.55753</v>
      </c>
      <c r="G686" s="35">
        <f t="shared" si="40"/>
        <v>5.7167613254360816E-4</v>
      </c>
      <c r="H686" s="35">
        <f t="shared" si="41"/>
        <v>6.8817244440140257E-3</v>
      </c>
      <c r="I686" s="35">
        <f>(Table143454[[#This Row],[Core CPI]]-F674)/F674</f>
        <v>2.1100461954569907E-2</v>
      </c>
    </row>
    <row r="687" spans="1:9" x14ac:dyDescent="0.35">
      <c r="A687" s="33">
        <f>IF(Data!A714="",#N/A,Data!A714)</f>
        <v>39569</v>
      </c>
      <c r="B687" s="34">
        <f>VLOOKUP(A687,Data!A:AX,MATCH($B$2,Data!$B$1:$AX$1,0),FALSE)</f>
        <v>90.827430000000007</v>
      </c>
      <c r="C687" s="35">
        <f t="shared" si="42"/>
        <v>5.1546203505581367E-3</v>
      </c>
      <c r="D687" s="35">
        <f t="shared" si="39"/>
        <v>6.3639554828626377E-2</v>
      </c>
      <c r="E687" s="35">
        <f>(Table143454[[#This Row],[JPN]]-B675)/B675</f>
        <v>3.5660074955496092E-2</v>
      </c>
      <c r="F687" s="34">
        <f>VLOOKUP(Table143454[[#This Row],[Date]],'Data Core CPI'!$A:$AX,MATCH($B$2,'Data Core CPI'!$B$1:$AX$1,0),FALSE)</f>
        <v>90.770390000000006</v>
      </c>
      <c r="G687" s="35">
        <f t="shared" si="40"/>
        <v>2.3505499763520898E-3</v>
      </c>
      <c r="H687" s="35">
        <f t="shared" si="41"/>
        <v>2.8574127644039438E-2</v>
      </c>
      <c r="I687" s="35">
        <f>(Table143454[[#This Row],[Core CPI]]-F675)/F675</f>
        <v>2.0973336479736985E-2</v>
      </c>
    </row>
    <row r="688" spans="1:9" x14ac:dyDescent="0.35">
      <c r="A688" s="33">
        <f>IF(Data!A715="",#N/A,Data!A715)</f>
        <v>39600</v>
      </c>
      <c r="B688" s="34">
        <f>VLOOKUP(A688,Data!A:AX,MATCH($B$2,Data!$B$1:$AX$1,0),FALSE)</f>
        <v>91.226669999999999</v>
      </c>
      <c r="C688" s="35">
        <f t="shared" si="42"/>
        <v>4.3955884252147026E-3</v>
      </c>
      <c r="D688" s="35">
        <f t="shared" si="39"/>
        <v>5.4041130405679816E-2</v>
      </c>
      <c r="E688" s="35">
        <f>(Table143454[[#This Row],[JPN]]-B676)/B676</f>
        <v>3.7850089522530592E-2</v>
      </c>
      <c r="F688" s="34">
        <f>VLOOKUP(Table143454[[#This Row],[Date]],'Data Core CPI'!$A:$AX,MATCH($B$2,'Data Core CPI'!$B$1:$AX$1,0),FALSE)</f>
        <v>90.933890000000005</v>
      </c>
      <c r="G688" s="35">
        <f t="shared" si="40"/>
        <v>1.8012481823643789E-3</v>
      </c>
      <c r="H688" s="35">
        <f t="shared" si="41"/>
        <v>2.1830405796080754E-2</v>
      </c>
      <c r="I688" s="35">
        <f>(Table143454[[#This Row],[Core CPI]]-F676)/F676</f>
        <v>2.1544534425690313E-2</v>
      </c>
    </row>
    <row r="689" spans="1:9" x14ac:dyDescent="0.35">
      <c r="A689" s="33">
        <f>IF(Data!A716="",#N/A,Data!A716)</f>
        <v>39630</v>
      </c>
      <c r="B689" s="34">
        <f>VLOOKUP(A689,Data!A:AX,MATCH($B$2,Data!$B$1:$AX$1,0),FALSE)</f>
        <v>91.692449999999994</v>
      </c>
      <c r="C689" s="35">
        <f t="shared" si="42"/>
        <v>5.1057437479631318E-3</v>
      </c>
      <c r="D689" s="35">
        <f t="shared" si="39"/>
        <v>6.3019074928833962E-2</v>
      </c>
      <c r="E689" s="35">
        <f>(Table143454[[#This Row],[JPN]]-B677)/B677</f>
        <v>4.0785463853961132E-2</v>
      </c>
      <c r="F689" s="34">
        <f>VLOOKUP(Table143454[[#This Row],[Date]],'Data Core CPI'!$A:$AX,MATCH($B$2,'Data Core CPI'!$B$1:$AX$1,0),FALSE)</f>
        <v>91.324029999999993</v>
      </c>
      <c r="G689" s="35">
        <f t="shared" si="40"/>
        <v>4.290369630068458E-3</v>
      </c>
      <c r="H689" s="35">
        <f t="shared" si="41"/>
        <v>5.2716858640504238E-2</v>
      </c>
      <c r="I689" s="35">
        <f>(Table143454[[#This Row],[Core CPI]]-F677)/F677</f>
        <v>2.3168615161161473E-2</v>
      </c>
    </row>
    <row r="690" spans="1:9" x14ac:dyDescent="0.35">
      <c r="A690" s="33">
        <f>IF(Data!A717="",#N/A,Data!A717)</f>
        <v>39661</v>
      </c>
      <c r="B690" s="34">
        <f>VLOOKUP(A690,Data!A:AX,MATCH($B$2,Data!$B$1:$AX$1,0),FALSE)</f>
        <v>91.825530000000001</v>
      </c>
      <c r="C690" s="35">
        <f t="shared" si="42"/>
        <v>1.4513735863750377E-3</v>
      </c>
      <c r="D690" s="35">
        <f t="shared" si="39"/>
        <v>1.75561858723845E-2</v>
      </c>
      <c r="E690" s="35">
        <f>(Table143454[[#This Row],[JPN]]-B678)/B678</f>
        <v>4.0723947540335551E-2</v>
      </c>
      <c r="F690" s="34">
        <f>VLOOKUP(Table143454[[#This Row],[Date]],'Data Core CPI'!$A:$AX,MATCH($B$2,'Data Core CPI'!$B$1:$AX$1,0),FALSE)</f>
        <v>91.702749999999995</v>
      </c>
      <c r="G690" s="35">
        <f t="shared" si="40"/>
        <v>4.1469917610950091E-3</v>
      </c>
      <c r="H690" s="35">
        <f t="shared" si="41"/>
        <v>5.091477616524176E-2</v>
      </c>
      <c r="I690" s="35">
        <f>(Table143454[[#This Row],[Core CPI]]-F678)/F678</f>
        <v>2.5200162372526001E-2</v>
      </c>
    </row>
    <row r="691" spans="1:9" x14ac:dyDescent="0.35">
      <c r="A691" s="33">
        <f>IF(Data!A718="",#N/A,Data!A718)</f>
        <v>39692</v>
      </c>
      <c r="B691" s="34">
        <f>VLOOKUP(A691,Data!A:AX,MATCH($B$2,Data!$B$1:$AX$1,0),FALSE)</f>
        <v>91.559370000000001</v>
      </c>
      <c r="C691" s="35">
        <f t="shared" si="42"/>
        <v>-2.8985403079078154E-3</v>
      </c>
      <c r="D691" s="35">
        <f t="shared" si="39"/>
        <v>-3.4233305027830729E-2</v>
      </c>
      <c r="E691" s="35">
        <f>(Table143454[[#This Row],[JPN]]-B679)/B679</f>
        <v>3.7707367228984934E-2</v>
      </c>
      <c r="F691" s="34">
        <f>VLOOKUP(Table143454[[#This Row],[Date]],'Data Core CPI'!$A:$AX,MATCH($B$2,'Data Core CPI'!$B$1:$AX$1,0),FALSE)</f>
        <v>91.408479999999997</v>
      </c>
      <c r="G691" s="35">
        <f t="shared" si="40"/>
        <v>-3.2089550204328354E-3</v>
      </c>
      <c r="H691" s="35">
        <f t="shared" si="41"/>
        <v>-3.7835049783521368E-2</v>
      </c>
      <c r="I691" s="35">
        <f>(Table143454[[#This Row],[Core CPI]]-F679)/F679</f>
        <v>2.3259416975351187E-2</v>
      </c>
    </row>
    <row r="692" spans="1:9" x14ac:dyDescent="0.35">
      <c r="A692" s="33">
        <f>IF(Data!A719="",#N/A,Data!A719)</f>
        <v>39722</v>
      </c>
      <c r="B692" s="34">
        <f>VLOOKUP(A692,Data!A:AX,MATCH($B$2,Data!$B$1:$AX$1,0),FALSE)</f>
        <v>91.559370000000001</v>
      </c>
      <c r="C692" s="35">
        <f t="shared" si="42"/>
        <v>0</v>
      </c>
      <c r="D692" s="35">
        <f t="shared" si="39"/>
        <v>0</v>
      </c>
      <c r="E692" s="35">
        <f>(Table143454[[#This Row],[JPN]]-B680)/B680</f>
        <v>3.4586454101153352E-2</v>
      </c>
      <c r="F692" s="34">
        <f>VLOOKUP(Table143454[[#This Row],[Date]],'Data Core CPI'!$A:$AX,MATCH($B$2,'Data Core CPI'!$B$1:$AX$1,0),FALSE)</f>
        <v>91.525120000000001</v>
      </c>
      <c r="G692" s="35">
        <f t="shared" si="40"/>
        <v>1.2760304076822049E-3</v>
      </c>
      <c r="H692" s="35">
        <f t="shared" si="41"/>
        <v>1.5420288039149854E-2</v>
      </c>
      <c r="I692" s="35">
        <f>(Table143454[[#This Row],[Core CPI]]-F680)/F680</f>
        <v>2.355143757205538E-2</v>
      </c>
    </row>
    <row r="693" spans="1:9" x14ac:dyDescent="0.35">
      <c r="A693" s="33">
        <f>IF(Data!A720="",#N/A,Data!A720)</f>
        <v>39753</v>
      </c>
      <c r="B693" s="34">
        <f>VLOOKUP(A693,Data!A:AX,MATCH($B$2,Data!$B$1:$AX$1,0),FALSE)</f>
        <v>91.226669999999999</v>
      </c>
      <c r="C693" s="35">
        <f t="shared" si="42"/>
        <v>-3.6337078335073603E-3</v>
      </c>
      <c r="D693" s="35">
        <f t="shared" si="39"/>
        <v>-4.2743510601343182E-2</v>
      </c>
      <c r="E693" s="35">
        <f>(Table143454[[#This Row],[JPN]]-B681)/B681</f>
        <v>2.6966307566191217E-2</v>
      </c>
      <c r="F693" s="34">
        <f>VLOOKUP(Table143454[[#This Row],[Date]],'Data Core CPI'!$A:$AX,MATCH($B$2,'Data Core CPI'!$B$1:$AX$1,0),FALSE)</f>
        <v>91.542479999999998</v>
      </c>
      <c r="G693" s="35">
        <f t="shared" si="40"/>
        <v>1.8967470351305415E-4</v>
      </c>
      <c r="H693" s="35">
        <f t="shared" si="41"/>
        <v>2.2784723925883821E-3</v>
      </c>
      <c r="I693" s="35">
        <f>(Table143454[[#This Row],[Core CPI]]-F681)/F681</f>
        <v>2.1846312628948233E-2</v>
      </c>
    </row>
    <row r="694" spans="1:9" x14ac:dyDescent="0.35">
      <c r="A694" s="33">
        <f>IF(Data!A721="",#N/A,Data!A721)</f>
        <v>39783</v>
      </c>
      <c r="B694" s="34">
        <f>VLOOKUP(A694,Data!A:AX,MATCH($B$2,Data!$B$1:$AX$1,0),FALSE)</f>
        <v>91.093590000000006</v>
      </c>
      <c r="C694" s="35">
        <f t="shared" si="42"/>
        <v>-1.4587839279893711E-3</v>
      </c>
      <c r="D694" s="35">
        <f t="shared" si="39"/>
        <v>-1.7365636523740569E-2</v>
      </c>
      <c r="E694" s="35">
        <f>(Table143454[[#This Row],[JPN]]-B682)/B682</f>
        <v>2.2404811454612972E-2</v>
      </c>
      <c r="F694" s="34">
        <f>VLOOKUP(Table143454[[#This Row],[Date]],'Data Core CPI'!$A:$AX,MATCH($B$2,'Data Core CPI'!$B$1:$AX$1,0),FALSE)</f>
        <v>91.656970000000001</v>
      </c>
      <c r="G694" s="35">
        <f t="shared" si="40"/>
        <v>1.2506761888033679E-3</v>
      </c>
      <c r="H694" s="35">
        <f t="shared" si="41"/>
        <v>1.5111782465707213E-2</v>
      </c>
      <c r="I694" s="35">
        <f>(Table143454[[#This Row],[Core CPI]]-F682)/F682</f>
        <v>2.1569242861317717E-2</v>
      </c>
    </row>
    <row r="695" spans="1:9" x14ac:dyDescent="0.35">
      <c r="A695" s="33">
        <f>IF(Data!A722="",#N/A,Data!A722)</f>
        <v>39814</v>
      </c>
      <c r="B695" s="34">
        <f>VLOOKUP(A695,Data!A:AX,MATCH($B$2,Data!$B$1:$AX$1,0),FALSE)</f>
        <v>90.960509999999999</v>
      </c>
      <c r="C695" s="35">
        <f t="shared" si="42"/>
        <v>-1.4609150874392851E-3</v>
      </c>
      <c r="D695" s="35">
        <f t="shared" si="39"/>
        <v>-1.7390802746952372E-2</v>
      </c>
      <c r="E695" s="35">
        <f>(Table143454[[#This Row],[JPN]]-B683)/B683</f>
        <v>1.6356930574584899E-2</v>
      </c>
      <c r="F695" s="34">
        <f>VLOOKUP(Table143454[[#This Row],[Date]],'Data Core CPI'!$A:$AX,MATCH($B$2,'Data Core CPI'!$B$1:$AX$1,0),FALSE)</f>
        <v>91.676320000000004</v>
      </c>
      <c r="G695" s="35">
        <f t="shared" si="40"/>
        <v>2.1111324103340046E-4</v>
      </c>
      <c r="H695" s="35">
        <f t="shared" si="41"/>
        <v>2.5363025042151044E-3</v>
      </c>
      <c r="I695" s="35">
        <f>(Table143454[[#This Row],[Core CPI]]-F683)/F683</f>
        <v>1.889997508218327E-2</v>
      </c>
    </row>
    <row r="696" spans="1:9" x14ac:dyDescent="0.35">
      <c r="A696" s="33">
        <f>IF(Data!A723="",#N/A,Data!A723)</f>
        <v>39845</v>
      </c>
      <c r="B696" s="34">
        <f>VLOOKUP(A696,Data!A:AX,MATCH($B$2,Data!$B$1:$AX$1,0),FALSE)</f>
        <v>91.160129999999995</v>
      </c>
      <c r="C696" s="35">
        <f t="shared" si="42"/>
        <v>2.1945787243276005E-3</v>
      </c>
      <c r="D696" s="35">
        <f t="shared" si="39"/>
        <v>2.6655149100364373E-2</v>
      </c>
      <c r="E696" s="35">
        <f>(Table143454[[#This Row],[JPN]]-B684)/B684</f>
        <v>1.6320528039971263E-2</v>
      </c>
      <c r="F696" s="34">
        <f>VLOOKUP(Table143454[[#This Row],[Date]],'Data Core CPI'!$A:$AX,MATCH($B$2,'Data Core CPI'!$B$1:$AX$1,0),FALSE)</f>
        <v>91.854280000000003</v>
      </c>
      <c r="G696" s="35">
        <f t="shared" si="40"/>
        <v>1.9411773945550159E-3</v>
      </c>
      <c r="H696" s="35">
        <f t="shared" si="41"/>
        <v>2.3544444214661508E-2</v>
      </c>
      <c r="I696" s="35">
        <f>(Table143454[[#This Row],[Core CPI]]-F684)/F684</f>
        <v>1.8810118503668996E-2</v>
      </c>
    </row>
    <row r="697" spans="1:9" x14ac:dyDescent="0.35">
      <c r="A697" s="33">
        <f>IF(Data!A724="",#N/A,Data!A724)</f>
        <v>39873</v>
      </c>
      <c r="B697" s="34">
        <f>VLOOKUP(A697,Data!A:AX,MATCH($B$2,Data!$B$1:$AX$1,0),FALSE)</f>
        <v>91.226669999999999</v>
      </c>
      <c r="C697" s="35">
        <f t="shared" si="42"/>
        <v>7.2992436496099877E-4</v>
      </c>
      <c r="D697" s="35">
        <f t="shared" si="39"/>
        <v>8.7943421895348983E-3</v>
      </c>
      <c r="E697" s="35">
        <f>(Table143454[[#This Row],[JPN]]-B685)/B685</f>
        <v>1.1808074862555747E-2</v>
      </c>
      <c r="F697" s="34">
        <f>VLOOKUP(Table143454[[#This Row],[Date]],'Data Core CPI'!$A:$AX,MATCH($B$2,'Data Core CPI'!$B$1:$AX$1,0),FALSE)</f>
        <v>91.940880000000007</v>
      </c>
      <c r="G697" s="35">
        <f t="shared" si="40"/>
        <v>9.4279765733285004E-4</v>
      </c>
      <c r="H697" s="35">
        <f t="shared" si="41"/>
        <v>1.137242189444132E-2</v>
      </c>
      <c r="I697" s="35">
        <f>(Table143454[[#This Row],[Core CPI]]-F685)/F685</f>
        <v>1.5856333611363453E-2</v>
      </c>
    </row>
    <row r="698" spans="1:9" x14ac:dyDescent="0.35">
      <c r="A698" s="33">
        <f>IF(Data!A725="",#N/A,Data!A725)</f>
        <v>39904</v>
      </c>
      <c r="B698" s="34">
        <f>VLOOKUP(A698,Data!A:AX,MATCH($B$2,Data!$B$1:$AX$1,0),FALSE)</f>
        <v>91.426289999999995</v>
      </c>
      <c r="C698" s="35">
        <f t="shared" si="42"/>
        <v>2.1881758919841676E-3</v>
      </c>
      <c r="D698" s="35">
        <f t="shared" si="39"/>
        <v>2.6576442590199534E-2</v>
      </c>
      <c r="E698" s="35">
        <f>(Table143454[[#This Row],[JPN]]-B686)/B686</f>
        <v>1.1781989372703987E-2</v>
      </c>
      <c r="F698" s="34">
        <f>VLOOKUP(Table143454[[#This Row],[Date]],'Data Core CPI'!$A:$AX,MATCH($B$2,'Data Core CPI'!$B$1:$AX$1,0),FALSE)</f>
        <v>92.230289999999997</v>
      </c>
      <c r="G698" s="35">
        <f t="shared" si="40"/>
        <v>3.1477836627187283E-3</v>
      </c>
      <c r="H698" s="35">
        <f t="shared" si="41"/>
        <v>3.8434278356407559E-2</v>
      </c>
      <c r="I698" s="35">
        <f>(Table143454[[#This Row],[Core CPI]]-F686)/F686</f>
        <v>1.8471793565924301E-2</v>
      </c>
    </row>
    <row r="699" spans="1:9" x14ac:dyDescent="0.35">
      <c r="A699" s="33">
        <f>IF(Data!A726="",#N/A,Data!A726)</f>
        <v>39934</v>
      </c>
      <c r="B699" s="34">
        <f>VLOOKUP(A699,Data!A:AX,MATCH($B$2,Data!$B$1:$AX$1,0),FALSE)</f>
        <v>91.625910000000005</v>
      </c>
      <c r="C699" s="35">
        <f t="shared" si="42"/>
        <v>2.1833982326091572E-3</v>
      </c>
      <c r="D699" s="35">
        <f t="shared" ref="D699:D762" si="43">((1+C699)^12)-1</f>
        <v>2.6517717044397315E-2</v>
      </c>
      <c r="E699" s="35">
        <f>(Table143454[[#This Row],[JPN]]-B687)/B687</f>
        <v>8.7911768504294104E-3</v>
      </c>
      <c r="F699" s="34">
        <f>VLOOKUP(Table143454[[#This Row],[Date]],'Data Core CPI'!$A:$AX,MATCH($B$2,'Data Core CPI'!$B$1:$AX$1,0),FALSE)</f>
        <v>92.437370000000001</v>
      </c>
      <c r="G699" s="35">
        <f t="shared" si="40"/>
        <v>2.2452493643900784E-3</v>
      </c>
      <c r="H699" s="35">
        <f t="shared" si="41"/>
        <v>2.7278210646171308E-2</v>
      </c>
      <c r="I699" s="35">
        <f>(Table143454[[#This Row],[Core CPI]]-F687)/F687</f>
        <v>1.8364799358028483E-2</v>
      </c>
    </row>
    <row r="700" spans="1:9" x14ac:dyDescent="0.35">
      <c r="A700" s="33">
        <f>IF(Data!A727="",#N/A,Data!A727)</f>
        <v>39965</v>
      </c>
      <c r="B700" s="34">
        <f>VLOOKUP(A700,Data!A:AX,MATCH($B$2,Data!$B$1:$AX$1,0),FALSE)</f>
        <v>91.692449999999994</v>
      </c>
      <c r="C700" s="35">
        <f t="shared" si="42"/>
        <v>7.2621379694881583E-4</v>
      </c>
      <c r="D700" s="35">
        <f t="shared" si="43"/>
        <v>8.7494574678039783E-3</v>
      </c>
      <c r="E700" s="35">
        <f>(Table143454[[#This Row],[JPN]]-B688)/B688</f>
        <v>5.1057437479631257E-3</v>
      </c>
      <c r="F700" s="34">
        <f>VLOOKUP(Table143454[[#This Row],[Date]],'Data Core CPI'!$A:$AX,MATCH($B$2,'Data Core CPI'!$B$1:$AX$1,0),FALSE)</f>
        <v>92.352980000000002</v>
      </c>
      <c r="G700" s="35">
        <f t="shared" si="40"/>
        <v>-9.1294246039230753E-4</v>
      </c>
      <c r="H700" s="35">
        <f t="shared" si="41"/>
        <v>-1.0900467960592297E-2</v>
      </c>
      <c r="I700" s="35">
        <f>(Table143454[[#This Row],[Core CPI]]-F688)/F688</f>
        <v>1.5605732912118871E-2</v>
      </c>
    </row>
    <row r="701" spans="1:9" x14ac:dyDescent="0.35">
      <c r="A701" s="33">
        <f>IF(Data!A728="",#N/A,Data!A728)</f>
        <v>39995</v>
      </c>
      <c r="B701" s="34">
        <f>VLOOKUP(A701,Data!A:AX,MATCH($B$2,Data!$B$1:$AX$1,0),FALSE)</f>
        <v>91.692449999999994</v>
      </c>
      <c r="C701" s="35">
        <f t="shared" si="42"/>
        <v>0</v>
      </c>
      <c r="D701" s="35">
        <f t="shared" si="43"/>
        <v>0</v>
      </c>
      <c r="E701" s="35">
        <f>(Table143454[[#This Row],[JPN]]-B689)/B689</f>
        <v>0</v>
      </c>
      <c r="F701" s="34">
        <f>VLOOKUP(Table143454[[#This Row],[Date]],'Data Core CPI'!$A:$AX,MATCH($B$2,'Data Core CPI'!$B$1:$AX$1,0),FALSE)</f>
        <v>92.543430000000001</v>
      </c>
      <c r="G701" s="35">
        <f t="shared" si="40"/>
        <v>2.0621965853186985E-3</v>
      </c>
      <c r="H701" s="35">
        <f t="shared" si="41"/>
        <v>2.5028972577699315E-2</v>
      </c>
      <c r="I701" s="35">
        <f>(Table143454[[#This Row],[Core CPI]]-F689)/F689</f>
        <v>1.3352454989119593E-2</v>
      </c>
    </row>
    <row r="702" spans="1:9" x14ac:dyDescent="0.35">
      <c r="A702" s="33">
        <f>IF(Data!A729="",#N/A,Data!A729)</f>
        <v>40026</v>
      </c>
      <c r="B702" s="34">
        <f>VLOOKUP(A702,Data!A:AX,MATCH($B$2,Data!$B$1:$AX$1,0),FALSE)</f>
        <v>91.958609999999993</v>
      </c>
      <c r="C702" s="35">
        <f t="shared" si="42"/>
        <v>2.9027471727498533E-3</v>
      </c>
      <c r="D702" s="35">
        <f t="shared" si="43"/>
        <v>3.5394494338764959E-2</v>
      </c>
      <c r="E702" s="35">
        <f>(Table143454[[#This Row],[JPN]]-B690)/B690</f>
        <v>1.4492701539538355E-3</v>
      </c>
      <c r="F702" s="34">
        <f>VLOOKUP(Table143454[[#This Row],[Date]],'Data Core CPI'!$A:$AX,MATCH($B$2,'Data Core CPI'!$B$1:$AX$1,0),FALSE)</f>
        <v>92.886020000000002</v>
      </c>
      <c r="G702" s="35">
        <f t="shared" si="40"/>
        <v>3.7019375659623766E-3</v>
      </c>
      <c r="H702" s="35">
        <f t="shared" si="41"/>
        <v>4.5338992040867554E-2</v>
      </c>
      <c r="I702" s="35">
        <f>(Table143454[[#This Row],[Core CPI]]-F690)/F690</f>
        <v>1.2903320783727941E-2</v>
      </c>
    </row>
    <row r="703" spans="1:9" x14ac:dyDescent="0.35">
      <c r="A703" s="33">
        <f>IF(Data!A730="",#N/A,Data!A730)</f>
        <v>40057</v>
      </c>
      <c r="B703" s="34">
        <f>VLOOKUP(A703,Data!A:AX,MATCH($B$2,Data!$B$1:$AX$1,0),FALSE)</f>
        <v>91.759</v>
      </c>
      <c r="C703" s="35">
        <f t="shared" si="42"/>
        <v>-2.1706504698145723E-3</v>
      </c>
      <c r="D703" s="35">
        <f t="shared" si="43"/>
        <v>-2.5739070989222457E-2</v>
      </c>
      <c r="E703" s="35">
        <f>(Table143454[[#This Row],[JPN]]-B691)/B691</f>
        <v>2.1803339188550454E-3</v>
      </c>
      <c r="F703" s="34">
        <f>VLOOKUP(Table143454[[#This Row],[Date]],'Data Core CPI'!$A:$AX,MATCH($B$2,'Data Core CPI'!$B$1:$AX$1,0),FALSE)</f>
        <v>92.671379999999999</v>
      </c>
      <c r="G703" s="35">
        <f t="shared" si="40"/>
        <v>-2.3107890724567426E-3</v>
      </c>
      <c r="H703" s="35">
        <f t="shared" si="41"/>
        <v>-2.7379746148521122E-2</v>
      </c>
      <c r="I703" s="35">
        <f>(Table143454[[#This Row],[Core CPI]]-F691)/F691</f>
        <v>1.381600481705857E-2</v>
      </c>
    </row>
    <row r="704" spans="1:9" x14ac:dyDescent="0.35">
      <c r="A704" s="33">
        <f>IF(Data!A731="",#N/A,Data!A731)</f>
        <v>40087</v>
      </c>
      <c r="B704" s="34">
        <f>VLOOKUP(A704,Data!A:AX,MATCH($B$2,Data!$B$1:$AX$1,0),FALSE)</f>
        <v>91.825530000000001</v>
      </c>
      <c r="C704" s="35">
        <f t="shared" si="42"/>
        <v>7.2505149358637055E-4</v>
      </c>
      <c r="D704" s="35">
        <f t="shared" si="43"/>
        <v>8.7353980931568209E-3</v>
      </c>
      <c r="E704" s="35">
        <f>(Table143454[[#This Row],[JPN]]-B692)/B692</f>
        <v>2.9069662668058907E-3</v>
      </c>
      <c r="F704" s="34">
        <f>VLOOKUP(Table143454[[#This Row],[Date]],'Data Core CPI'!$A:$AX,MATCH($B$2,'Data Core CPI'!$B$1:$AX$1,0),FALSE)</f>
        <v>92.862499999999997</v>
      </c>
      <c r="G704" s="35">
        <f t="shared" si="40"/>
        <v>2.0623411456697216E-3</v>
      </c>
      <c r="H704" s="35">
        <f t="shared" si="41"/>
        <v>2.5030747062350533E-2</v>
      </c>
      <c r="I704" s="35">
        <f>(Table143454[[#This Row],[Core CPI]]-F692)/F692</f>
        <v>1.4612163305549297E-2</v>
      </c>
    </row>
    <row r="705" spans="1:9" x14ac:dyDescent="0.35">
      <c r="A705" s="33">
        <f>IF(Data!A732="",#N/A,Data!A732)</f>
        <v>40118</v>
      </c>
      <c r="B705" s="34">
        <f>VLOOKUP(A705,Data!A:AX,MATCH($B$2,Data!$B$1:$AX$1,0),FALSE)</f>
        <v>91.825530000000001</v>
      </c>
      <c r="C705" s="35">
        <f t="shared" si="42"/>
        <v>0</v>
      </c>
      <c r="D705" s="35">
        <f t="shared" si="43"/>
        <v>0</v>
      </c>
      <c r="E705" s="35">
        <f>(Table143454[[#This Row],[JPN]]-B693)/B693</f>
        <v>6.5645276759526789E-3</v>
      </c>
      <c r="F705" s="34">
        <f>VLOOKUP(Table143454[[#This Row],[Date]],'Data Core CPI'!$A:$AX,MATCH($B$2,'Data Core CPI'!$B$1:$AX$1,0),FALSE)</f>
        <v>92.741150000000005</v>
      </c>
      <c r="G705" s="35">
        <f t="shared" si="40"/>
        <v>-1.3067707632251624E-3</v>
      </c>
      <c r="H705" s="35">
        <f t="shared" si="41"/>
        <v>-1.556903376114982E-2</v>
      </c>
      <c r="I705" s="35">
        <f>(Table143454[[#This Row],[Core CPI]]-F693)/F693</f>
        <v>1.3094139463995371E-2</v>
      </c>
    </row>
    <row r="706" spans="1:9" x14ac:dyDescent="0.35">
      <c r="A706" s="33">
        <f>IF(Data!A733="",#N/A,Data!A733)</f>
        <v>40148</v>
      </c>
      <c r="B706" s="34">
        <f>VLOOKUP(A706,Data!A:AX,MATCH($B$2,Data!$B$1:$AX$1,0),FALSE)</f>
        <v>92.025149999999996</v>
      </c>
      <c r="C706" s="35">
        <f t="shared" si="42"/>
        <v>2.1739052309308615E-3</v>
      </c>
      <c r="D706" s="35">
        <f t="shared" si="43"/>
        <v>2.6401041073530251E-2</v>
      </c>
      <c r="E706" s="35">
        <f>(Table143454[[#This Row],[JPN]]-B694)/B694</f>
        <v>1.0226405612074245E-2</v>
      </c>
      <c r="F706" s="34">
        <f>VLOOKUP(Table143454[[#This Row],[Date]],'Data Core CPI'!$A:$AX,MATCH($B$2,'Data Core CPI'!$B$1:$AX$1,0),FALSE)</f>
        <v>93.033199999999994</v>
      </c>
      <c r="G706" s="35">
        <f t="shared" si="40"/>
        <v>3.1490875409674324E-3</v>
      </c>
      <c r="H706" s="35">
        <f t="shared" si="41"/>
        <v>3.8450475390221506E-2</v>
      </c>
      <c r="I706" s="35">
        <f>(Table143454[[#This Row],[Core CPI]]-F694)/F694</f>
        <v>1.5015006496505312E-2</v>
      </c>
    </row>
    <row r="707" spans="1:9" x14ac:dyDescent="0.35">
      <c r="A707" s="33">
        <f>IF(Data!A734="",#N/A,Data!A734)</f>
        <v>40179</v>
      </c>
      <c r="B707" s="34">
        <f>VLOOKUP(A707,Data!A:AX,MATCH($B$2,Data!$B$1:$AX$1,0),FALSE)</f>
        <v>92.158230000000003</v>
      </c>
      <c r="C707" s="35">
        <f t="shared" si="42"/>
        <v>1.4461264121818918E-3</v>
      </c>
      <c r="D707" s="35">
        <f t="shared" si="43"/>
        <v>1.7492209038326045E-2</v>
      </c>
      <c r="E707" s="35">
        <f>(Table143454[[#This Row],[JPN]]-B695)/B695</f>
        <v>1.3167472345966441E-2</v>
      </c>
      <c r="F707" s="34">
        <f>VLOOKUP(Table143454[[#This Row],[Date]],'Data Core CPI'!$A:$AX,MATCH($B$2,'Data Core CPI'!$B$1:$AX$1,0),FALSE)</f>
        <v>93.132080000000002</v>
      </c>
      <c r="G707" s="35">
        <f t="shared" ref="G707:G770" si="44">(F707/F706)-1</f>
        <v>1.062846381721938E-3</v>
      </c>
      <c r="H707" s="35">
        <f t="shared" ref="H707:H770" si="45">((1+G707)^12)-1</f>
        <v>1.282897775386127E-2</v>
      </c>
      <c r="I707" s="35">
        <f>(Table143454[[#This Row],[Core CPI]]-F695)/F695</f>
        <v>1.5879345942332739E-2</v>
      </c>
    </row>
    <row r="708" spans="1:9" x14ac:dyDescent="0.35">
      <c r="A708" s="33">
        <f>IF(Data!A735="",#N/A,Data!A735)</f>
        <v>40210</v>
      </c>
      <c r="B708" s="34">
        <f>VLOOKUP(A708,Data!A:AX,MATCH($B$2,Data!$B$1:$AX$1,0),FALSE)</f>
        <v>92.224770000000007</v>
      </c>
      <c r="C708" s="35">
        <f t="shared" ref="C708:C771" si="46">(B708/B707)-1</f>
        <v>7.2201907523616882E-4</v>
      </c>
      <c r="D708" s="35">
        <f t="shared" si="43"/>
        <v>8.6987184067979229E-3</v>
      </c>
      <c r="E708" s="35">
        <f>(Table143454[[#This Row],[JPN]]-B696)/B696</f>
        <v>1.1678789839373984E-2</v>
      </c>
      <c r="F708" s="34">
        <f>VLOOKUP(Table143454[[#This Row],[Date]],'Data Core CPI'!$A:$AX,MATCH($B$2,'Data Core CPI'!$B$1:$AX$1,0),FALSE)</f>
        <v>93.199330000000003</v>
      </c>
      <c r="G708" s="35">
        <f t="shared" si="44"/>
        <v>7.220927525724008E-4</v>
      </c>
      <c r="H708" s="35">
        <f t="shared" si="45"/>
        <v>8.6996095825282449E-3</v>
      </c>
      <c r="I708" s="35">
        <f>(Table143454[[#This Row],[Core CPI]]-F696)/F696</f>
        <v>1.4643302413344272E-2</v>
      </c>
    </row>
    <row r="709" spans="1:9" x14ac:dyDescent="0.35">
      <c r="A709" s="33">
        <f>IF(Data!A736="",#N/A,Data!A736)</f>
        <v>40238</v>
      </c>
      <c r="B709" s="34">
        <f>VLOOKUP(A709,Data!A:AX,MATCH($B$2,Data!$B$1:$AX$1,0),FALSE)</f>
        <v>92.490939999999995</v>
      </c>
      <c r="C709" s="35">
        <f t="shared" si="46"/>
        <v>2.8861009900049694E-3</v>
      </c>
      <c r="D709" s="35">
        <f t="shared" si="43"/>
        <v>3.5188287393554063E-2</v>
      </c>
      <c r="E709" s="35">
        <f>(Table143454[[#This Row],[JPN]]-B697)/B697</f>
        <v>1.385855693296704E-2</v>
      </c>
      <c r="F709" s="34">
        <f>VLOOKUP(Table143454[[#This Row],[Date]],'Data Core CPI'!$A:$AX,MATCH($B$2,'Data Core CPI'!$B$1:$AX$1,0),FALSE)</f>
        <v>93.404849999999996</v>
      </c>
      <c r="G709" s="35">
        <f t="shared" si="44"/>
        <v>2.2051660671809081E-3</v>
      </c>
      <c r="H709" s="35">
        <f t="shared" si="45"/>
        <v>2.6785305641149115E-2</v>
      </c>
      <c r="I709" s="35">
        <f>(Table143454[[#This Row],[Core CPI]]-F697)/F697</f>
        <v>1.5922949617188664E-2</v>
      </c>
    </row>
    <row r="710" spans="1:9" x14ac:dyDescent="0.35">
      <c r="A710" s="33">
        <f>IF(Data!A737="",#N/A,Data!A737)</f>
        <v>40269</v>
      </c>
      <c r="B710" s="34">
        <f>VLOOKUP(A710,Data!A:AX,MATCH($B$2,Data!$B$1:$AX$1,0),FALSE)</f>
        <v>92.823629999999994</v>
      </c>
      <c r="C710" s="35">
        <f t="shared" si="46"/>
        <v>3.5970009603103481E-3</v>
      </c>
      <c r="D710" s="35">
        <f t="shared" si="43"/>
        <v>4.4028269005659704E-2</v>
      </c>
      <c r="E710" s="35">
        <f>(Table143454[[#This Row],[JPN]]-B698)/B698</f>
        <v>1.528378762826316E-2</v>
      </c>
      <c r="F710" s="34">
        <f>VLOOKUP(Table143454[[#This Row],[Date]],'Data Core CPI'!$A:$AX,MATCH($B$2,'Data Core CPI'!$B$1:$AX$1,0),FALSE)</f>
        <v>93.708380000000005</v>
      </c>
      <c r="G710" s="35">
        <f t="shared" si="44"/>
        <v>3.2496171237361704E-3</v>
      </c>
      <c r="H710" s="35">
        <f t="shared" si="45"/>
        <v>3.969997124672564E-2</v>
      </c>
      <c r="I710" s="35">
        <f>(Table143454[[#This Row],[Core CPI]]-F698)/F698</f>
        <v>1.6026079935344547E-2</v>
      </c>
    </row>
    <row r="711" spans="1:9" x14ac:dyDescent="0.35">
      <c r="A711" s="33">
        <f>IF(Data!A738="",#N/A,Data!A738)</f>
        <v>40299</v>
      </c>
      <c r="B711" s="34">
        <f>VLOOKUP(A711,Data!A:AX,MATCH($B$2,Data!$B$1:$AX$1,0),FALSE)</f>
        <v>92.890169999999998</v>
      </c>
      <c r="C711" s="35">
        <f t="shared" si="46"/>
        <v>7.1684332965649133E-4</v>
      </c>
      <c r="D711" s="35">
        <f t="shared" si="43"/>
        <v>8.6361161737003034E-3</v>
      </c>
      <c r="E711" s="35">
        <f>(Table143454[[#This Row],[JPN]]-B699)/B699</f>
        <v>1.37980621420294E-2</v>
      </c>
      <c r="F711" s="34">
        <f>VLOOKUP(Table143454[[#This Row],[Date]],'Data Core CPI'!$A:$AX,MATCH($B$2,'Data Core CPI'!$B$1:$AX$1,0),FALSE)</f>
        <v>93.706770000000006</v>
      </c>
      <c r="G711" s="35">
        <f t="shared" si="44"/>
        <v>-1.718096076364084E-5</v>
      </c>
      <c r="H711" s="35">
        <f t="shared" si="45"/>
        <v>-2.0615204804186327E-4</v>
      </c>
      <c r="I711" s="35">
        <f>(Table143454[[#This Row],[Core CPI]]-F699)/F699</f>
        <v>1.3732541287143981E-2</v>
      </c>
    </row>
    <row r="712" spans="1:9" x14ac:dyDescent="0.35">
      <c r="A712" s="33">
        <f>IF(Data!A739="",#N/A,Data!A739)</f>
        <v>40330</v>
      </c>
      <c r="B712" s="34">
        <f>VLOOKUP(A712,Data!A:AX,MATCH($B$2,Data!$B$1:$AX$1,0),FALSE)</f>
        <v>92.890169999999998</v>
      </c>
      <c r="C712" s="35">
        <f t="shared" si="46"/>
        <v>0</v>
      </c>
      <c r="D712" s="35">
        <f t="shared" si="43"/>
        <v>0</v>
      </c>
      <c r="E712" s="35">
        <f>(Table143454[[#This Row],[JPN]]-B700)/B700</f>
        <v>1.3062362277374026E-2</v>
      </c>
      <c r="F712" s="34">
        <f>VLOOKUP(Table143454[[#This Row],[Date]],'Data Core CPI'!$A:$AX,MATCH($B$2,'Data Core CPI'!$B$1:$AX$1,0),FALSE)</f>
        <v>93.74418</v>
      </c>
      <c r="G712" s="35">
        <f t="shared" si="44"/>
        <v>3.9922409021242444E-4</v>
      </c>
      <c r="H712" s="35">
        <f t="shared" si="45"/>
        <v>4.8012221650515219E-3</v>
      </c>
      <c r="I712" s="35">
        <f>(Table143454[[#This Row],[Core CPI]]-F700)/F700</f>
        <v>1.5063942711973102E-2</v>
      </c>
    </row>
    <row r="713" spans="1:9" x14ac:dyDescent="0.35">
      <c r="A713" s="33">
        <f>IF(Data!A740="",#N/A,Data!A740)</f>
        <v>40360</v>
      </c>
      <c r="B713" s="34">
        <f>VLOOKUP(A713,Data!A:AX,MATCH($B$2,Data!$B$1:$AX$1,0),FALSE)</f>
        <v>93.222880000000004</v>
      </c>
      <c r="C713" s="35">
        <f t="shared" si="46"/>
        <v>3.5817568209854933E-3</v>
      </c>
      <c r="D713" s="35">
        <f t="shared" si="43"/>
        <v>4.3837985660740708E-2</v>
      </c>
      <c r="E713" s="35">
        <f>(Table143454[[#This Row],[JPN]]-B701)/B701</f>
        <v>1.669090530354473E-2</v>
      </c>
      <c r="F713" s="34">
        <f>VLOOKUP(Table143454[[#This Row],[Date]],'Data Core CPI'!$A:$AX,MATCH($B$2,'Data Core CPI'!$B$1:$AX$1,0),FALSE)</f>
        <v>94.126339999999999</v>
      </c>
      <c r="G713" s="35">
        <f t="shared" si="44"/>
        <v>4.076626410300932E-3</v>
      </c>
      <c r="H713" s="35">
        <f t="shared" si="45"/>
        <v>5.0031405577889432E-2</v>
      </c>
      <c r="I713" s="35">
        <f>(Table143454[[#This Row],[Core CPI]]-F701)/F701</f>
        <v>1.7104509742074593E-2</v>
      </c>
    </row>
    <row r="714" spans="1:9" x14ac:dyDescent="0.35">
      <c r="A714" s="33">
        <f>IF(Data!A741="",#N/A,Data!A741)</f>
        <v>40391</v>
      </c>
      <c r="B714" s="34">
        <f>VLOOKUP(A714,Data!A:AX,MATCH($B$2,Data!$B$1:$AX$1,0),FALSE)</f>
        <v>93.422499999999999</v>
      </c>
      <c r="C714" s="35">
        <f t="shared" si="46"/>
        <v>2.14131981333332E-3</v>
      </c>
      <c r="D714" s="35">
        <f t="shared" si="43"/>
        <v>2.6000634806044642E-2</v>
      </c>
      <c r="E714" s="35">
        <f>(Table143454[[#This Row],[JPN]]-B702)/B702</f>
        <v>1.5919009650102438E-2</v>
      </c>
      <c r="F714" s="34">
        <f>VLOOKUP(Table143454[[#This Row],[Date]],'Data Core CPI'!$A:$AX,MATCH($B$2,'Data Core CPI'!$B$1:$AX$1,0),FALSE)</f>
        <v>94.432609999999997</v>
      </c>
      <c r="G714" s="35">
        <f t="shared" si="44"/>
        <v>3.2538182192147769E-3</v>
      </c>
      <c r="H714" s="35">
        <f t="shared" si="45"/>
        <v>3.9752217220679453E-2</v>
      </c>
      <c r="I714" s="35">
        <f>(Table143454[[#This Row],[Core CPI]]-F702)/F702</f>
        <v>1.6650406595093585E-2</v>
      </c>
    </row>
    <row r="715" spans="1:9" x14ac:dyDescent="0.35">
      <c r="A715" s="33">
        <f>IF(Data!A742="",#N/A,Data!A742)</f>
        <v>40422</v>
      </c>
      <c r="B715" s="34">
        <f>VLOOKUP(A715,Data!A:AX,MATCH($B$2,Data!$B$1:$AX$1,0),FALSE)</f>
        <v>93.222880000000004</v>
      </c>
      <c r="C715" s="35">
        <f t="shared" si="46"/>
        <v>-2.136744360298648E-3</v>
      </c>
      <c r="D715" s="35">
        <f t="shared" si="43"/>
        <v>-2.5341733644209996E-2</v>
      </c>
      <c r="E715" s="35">
        <f>(Table143454[[#This Row],[JPN]]-B703)/B703</f>
        <v>1.59535304438802E-2</v>
      </c>
      <c r="F715" s="34">
        <f>VLOOKUP(Table143454[[#This Row],[Date]],'Data Core CPI'!$A:$AX,MATCH($B$2,'Data Core CPI'!$B$1:$AX$1,0),FALSE)</f>
        <v>94.129840000000002</v>
      </c>
      <c r="G715" s="35">
        <f t="shared" si="44"/>
        <v>-3.2062017559399969E-3</v>
      </c>
      <c r="H715" s="35">
        <f t="shared" si="45"/>
        <v>-3.7803157825602951E-2</v>
      </c>
      <c r="I715" s="35">
        <f>(Table143454[[#This Row],[Core CPI]]-F703)/F703</f>
        <v>1.5737976492850352E-2</v>
      </c>
    </row>
    <row r="716" spans="1:9" x14ac:dyDescent="0.35">
      <c r="A716" s="33">
        <f>IF(Data!A743="",#N/A,Data!A743)</f>
        <v>40452</v>
      </c>
      <c r="B716" s="34">
        <f>VLOOKUP(A716,Data!A:AX,MATCH($B$2,Data!$B$1:$AX$1,0),FALSE)</f>
        <v>93.422499999999999</v>
      </c>
      <c r="C716" s="35">
        <f t="shared" si="46"/>
        <v>2.14131981333332E-3</v>
      </c>
      <c r="D716" s="35">
        <f t="shared" si="43"/>
        <v>2.6000634806044642E-2</v>
      </c>
      <c r="E716" s="35">
        <f>(Table143454[[#This Row],[JPN]]-B704)/B704</f>
        <v>1.7391350749622669E-2</v>
      </c>
      <c r="F716" s="34">
        <f>VLOOKUP(Table143454[[#This Row],[Date]],'Data Core CPI'!$A:$AX,MATCH($B$2,'Data Core CPI'!$B$1:$AX$1,0),FALSE)</f>
        <v>94.340919999999997</v>
      </c>
      <c r="G716" s="35">
        <f t="shared" si="44"/>
        <v>2.2424344926115225E-3</v>
      </c>
      <c r="H716" s="35">
        <f t="shared" si="45"/>
        <v>2.7243589038995042E-2</v>
      </c>
      <c r="I716" s="35">
        <f>(Table143454[[#This Row],[Core CPI]]-F704)/F704</f>
        <v>1.592052766186566E-2</v>
      </c>
    </row>
    <row r="717" spans="1:9" x14ac:dyDescent="0.35">
      <c r="A717" s="33">
        <f>IF(Data!A744="",#N/A,Data!A744)</f>
        <v>40483</v>
      </c>
      <c r="B717" s="34">
        <f>VLOOKUP(A717,Data!A:AX,MATCH($B$2,Data!$B$1:$AX$1,0),FALSE)</f>
        <v>93.422499999999999</v>
      </c>
      <c r="C717" s="35">
        <f t="shared" si="46"/>
        <v>0</v>
      </c>
      <c r="D717" s="35">
        <f t="shared" si="43"/>
        <v>0</v>
      </c>
      <c r="E717" s="35">
        <f>(Table143454[[#This Row],[JPN]]-B705)/B705</f>
        <v>1.7391350749622669E-2</v>
      </c>
      <c r="F717" s="34">
        <f>VLOOKUP(Table143454[[#This Row],[Date]],'Data Core CPI'!$A:$AX,MATCH($B$2,'Data Core CPI'!$B$1:$AX$1,0),FALSE)</f>
        <v>94.258349999999993</v>
      </c>
      <c r="G717" s="35">
        <f t="shared" si="44"/>
        <v>-8.7522996383759821E-4</v>
      </c>
      <c r="H717" s="35">
        <f t="shared" si="45"/>
        <v>-1.0452348960725777E-2</v>
      </c>
      <c r="I717" s="35">
        <f>(Table143454[[#This Row],[Core CPI]]-F705)/F705</f>
        <v>1.6359512471001151E-2</v>
      </c>
    </row>
    <row r="718" spans="1:9" x14ac:dyDescent="0.35">
      <c r="A718" s="33">
        <f>IF(Data!A745="",#N/A,Data!A745)</f>
        <v>40513</v>
      </c>
      <c r="B718" s="34">
        <f>VLOOKUP(A718,Data!A:AX,MATCH($B$2,Data!$B$1:$AX$1,0),FALSE)</f>
        <v>93.755200000000002</v>
      </c>
      <c r="C718" s="35">
        <f t="shared" si="46"/>
        <v>3.5612406004976727E-3</v>
      </c>
      <c r="D718" s="35">
        <f t="shared" si="43"/>
        <v>4.3581944308177523E-2</v>
      </c>
      <c r="E718" s="35">
        <f>(Table143454[[#This Row],[JPN]]-B706)/B706</f>
        <v>1.8799752024310806E-2</v>
      </c>
      <c r="F718" s="34">
        <f>VLOOKUP(Table143454[[#This Row],[Date]],'Data Core CPI'!$A:$AX,MATCH($B$2,'Data Core CPI'!$B$1:$AX$1,0),FALSE)</f>
        <v>94.49539</v>
      </c>
      <c r="G718" s="35">
        <f t="shared" si="44"/>
        <v>2.514790466839445E-3</v>
      </c>
      <c r="H718" s="35">
        <f t="shared" si="45"/>
        <v>3.0598399643978036E-2</v>
      </c>
      <c r="I718" s="35">
        <f>(Table143454[[#This Row],[Core CPI]]-F706)/F706</f>
        <v>1.5716862367412997E-2</v>
      </c>
    </row>
    <row r="719" spans="1:9" x14ac:dyDescent="0.35">
      <c r="A719" s="33">
        <f>IF(Data!A746="",#N/A,Data!A746)</f>
        <v>40544</v>
      </c>
      <c r="B719" s="34">
        <f>VLOOKUP(A719,Data!A:AX,MATCH($B$2,Data!$B$1:$AX$1,0),FALSE)</f>
        <v>94.139529999999993</v>
      </c>
      <c r="C719" s="35">
        <f t="shared" si="46"/>
        <v>4.0992926259022511E-3</v>
      </c>
      <c r="D719" s="35">
        <f t="shared" si="43"/>
        <v>5.0315884186165061E-2</v>
      </c>
      <c r="E719" s="35">
        <f>(Table143454[[#This Row],[JPN]]-B707)/B707</f>
        <v>2.1498893804709467E-2</v>
      </c>
      <c r="F719" s="34">
        <f>VLOOKUP(Table143454[[#This Row],[Date]],'Data Core CPI'!$A:$AX,MATCH($B$2,'Data Core CPI'!$B$1:$AX$1,0),FALSE)</f>
        <v>94.613619999999997</v>
      </c>
      <c r="G719" s="35">
        <f t="shared" si="44"/>
        <v>1.2511721471279991E-3</v>
      </c>
      <c r="H719" s="35">
        <f t="shared" si="45"/>
        <v>1.5117816373369841E-2</v>
      </c>
      <c r="I719" s="35">
        <f>(Table143454[[#This Row],[Core CPI]]-F707)/F707</f>
        <v>1.5907944931542337E-2</v>
      </c>
    </row>
    <row r="720" spans="1:9" x14ac:dyDescent="0.35">
      <c r="A720" s="33">
        <f>IF(Data!A747="",#N/A,Data!A747)</f>
        <v>40575</v>
      </c>
      <c r="B720" s="34">
        <f>VLOOKUP(A720,Data!A:AX,MATCH($B$2,Data!$B$1:$AX$1,0),FALSE)</f>
        <v>94.418599999999998</v>
      </c>
      <c r="C720" s="35">
        <f t="shared" si="46"/>
        <v>2.9644295016131306E-3</v>
      </c>
      <c r="D720" s="35">
        <f t="shared" si="43"/>
        <v>3.615892122463138E-2</v>
      </c>
      <c r="E720" s="35">
        <f>(Table143454[[#This Row],[JPN]]-B708)/B708</f>
        <v>2.3787860896806696E-2</v>
      </c>
      <c r="F720" s="34">
        <f>VLOOKUP(Table143454[[#This Row],[Date]],'Data Core CPI'!$A:$AX,MATCH($B$2,'Data Core CPI'!$B$1:$AX$1,0),FALSE)</f>
        <v>94.815610000000007</v>
      </c>
      <c r="G720" s="35">
        <f t="shared" si="44"/>
        <v>2.1348934751679316E-3</v>
      </c>
      <c r="H720" s="35">
        <f t="shared" si="45"/>
        <v>2.5921685527742655E-2</v>
      </c>
      <c r="I720" s="35">
        <f>(Table143454[[#This Row],[Core CPI]]-F708)/F708</f>
        <v>1.7342184756049248E-2</v>
      </c>
    </row>
    <row r="721" spans="1:9" x14ac:dyDescent="0.35">
      <c r="A721" s="33">
        <f>IF(Data!A748="",#N/A,Data!A748)</f>
        <v>40603</v>
      </c>
      <c r="B721" s="34">
        <f>VLOOKUP(A721,Data!A:AX,MATCH($B$2,Data!$B$1:$AX$1,0),FALSE)</f>
        <v>94.790700000000001</v>
      </c>
      <c r="C721" s="35">
        <f t="shared" si="46"/>
        <v>3.9409607852689543E-3</v>
      </c>
      <c r="D721" s="35">
        <f t="shared" si="43"/>
        <v>4.8330172630968837E-2</v>
      </c>
      <c r="E721" s="35">
        <f>(Table143454[[#This Row],[JPN]]-B709)/B709</f>
        <v>2.4864705667387597E-2</v>
      </c>
      <c r="F721" s="34">
        <f>VLOOKUP(Table143454[[#This Row],[Date]],'Data Core CPI'!$A:$AX,MATCH($B$2,'Data Core CPI'!$B$1:$AX$1,0),FALSE)</f>
        <v>95.043329999999997</v>
      </c>
      <c r="G721" s="35">
        <f t="shared" si="44"/>
        <v>2.4017142324981311E-3</v>
      </c>
      <c r="H721" s="35">
        <f t="shared" si="45"/>
        <v>2.9204338387613715E-2</v>
      </c>
      <c r="I721" s="35">
        <f>(Table143454[[#This Row],[Core CPI]]-F709)/F709</f>
        <v>1.7541701528346776E-2</v>
      </c>
    </row>
    <row r="722" spans="1:9" x14ac:dyDescent="0.35">
      <c r="A722" s="33">
        <f>IF(Data!A749="",#N/A,Data!A749)</f>
        <v>40634</v>
      </c>
      <c r="B722" s="34">
        <f>VLOOKUP(A722,Data!A:AX,MATCH($B$2,Data!$B$1:$AX$1,0),FALSE)</f>
        <v>95.255809999999997</v>
      </c>
      <c r="C722" s="35">
        <f t="shared" si="46"/>
        <v>4.9067049826616582E-3</v>
      </c>
      <c r="D722" s="35">
        <f t="shared" si="43"/>
        <v>6.0495737906760327E-2</v>
      </c>
      <c r="E722" s="35">
        <f>(Table143454[[#This Row],[JPN]]-B710)/B710</f>
        <v>2.6202164254942439E-2</v>
      </c>
      <c r="F722" s="34">
        <f>VLOOKUP(Table143454[[#This Row],[Date]],'Data Core CPI'!$A:$AX,MATCH($B$2,'Data Core CPI'!$B$1:$AX$1,0),FALSE)</f>
        <v>95.462630000000004</v>
      </c>
      <c r="G722" s="35">
        <f t="shared" si="44"/>
        <v>4.4116720236970774E-3</v>
      </c>
      <c r="H722" s="35">
        <f t="shared" si="45"/>
        <v>5.4243691241387282E-2</v>
      </c>
      <c r="I722" s="35">
        <f>(Table143454[[#This Row],[Core CPI]]-F710)/F710</f>
        <v>1.8720310819587308E-2</v>
      </c>
    </row>
    <row r="723" spans="1:9" x14ac:dyDescent="0.35">
      <c r="A723" s="33">
        <f>IF(Data!A750="",#N/A,Data!A750)</f>
        <v>40664</v>
      </c>
      <c r="B723" s="34">
        <f>VLOOKUP(A723,Data!A:AX,MATCH($B$2,Data!$B$1:$AX$1,0),FALSE)</f>
        <v>95.348839999999996</v>
      </c>
      <c r="C723" s="35">
        <f t="shared" si="46"/>
        <v>9.7663334131525836E-4</v>
      </c>
      <c r="D723" s="35">
        <f t="shared" si="43"/>
        <v>1.1782757119478626E-2</v>
      </c>
      <c r="E723" s="35">
        <f>(Table143454[[#This Row],[JPN]]-B711)/B711</f>
        <v>2.6468570355722226E-2</v>
      </c>
      <c r="F723" s="34">
        <f>VLOOKUP(Table143454[[#This Row],[Date]],'Data Core CPI'!$A:$AX,MATCH($B$2,'Data Core CPI'!$B$1:$AX$1,0),FALSE)</f>
        <v>95.437449999999998</v>
      </c>
      <c r="G723" s="35">
        <f t="shared" si="44"/>
        <v>-2.6376813628548046E-4</v>
      </c>
      <c r="H723" s="35">
        <f t="shared" si="45"/>
        <v>-3.1606298107565989E-3</v>
      </c>
      <c r="I723" s="35">
        <f>(Table143454[[#This Row],[Core CPI]]-F711)/F711</f>
        <v>1.8469103139506275E-2</v>
      </c>
    </row>
    <row r="724" spans="1:9" x14ac:dyDescent="0.35">
      <c r="A724" s="33">
        <f>IF(Data!A751="",#N/A,Data!A751)</f>
        <v>40695</v>
      </c>
      <c r="B724" s="34">
        <f>VLOOKUP(A724,Data!A:AX,MATCH($B$2,Data!$B$1:$AX$1,0),FALSE)</f>
        <v>95.441860000000005</v>
      </c>
      <c r="C724" s="35">
        <f t="shared" si="46"/>
        <v>9.7557558120286991E-4</v>
      </c>
      <c r="D724" s="35">
        <f t="shared" si="43"/>
        <v>1.1769927043086437E-2</v>
      </c>
      <c r="E724" s="35">
        <f>(Table143454[[#This Row],[JPN]]-B712)/B712</f>
        <v>2.7469968027833386E-2</v>
      </c>
      <c r="F724" s="34">
        <f>VLOOKUP(Table143454[[#This Row],[Date]],'Data Core CPI'!$A:$AX,MATCH($B$2,'Data Core CPI'!$B$1:$AX$1,0),FALSE)</f>
        <v>95.636049999999997</v>
      </c>
      <c r="G724" s="35">
        <f t="shared" si="44"/>
        <v>2.0809441157532138E-3</v>
      </c>
      <c r="H724" s="35">
        <f t="shared" si="45"/>
        <v>2.5259122835097569E-2</v>
      </c>
      <c r="I724" s="35">
        <f>(Table143454[[#This Row],[Core CPI]]-F712)/F712</f>
        <v>2.0181199515532561E-2</v>
      </c>
    </row>
    <row r="725" spans="1:9" x14ac:dyDescent="0.35">
      <c r="A725" s="33">
        <f>IF(Data!A752="",#N/A,Data!A752)</f>
        <v>40725</v>
      </c>
      <c r="B725" s="34">
        <f>VLOOKUP(A725,Data!A:AX,MATCH($B$2,Data!$B$1:$AX$1,0),FALSE)</f>
        <v>95.720929999999996</v>
      </c>
      <c r="C725" s="35">
        <f t="shared" si="46"/>
        <v>2.9239790590835923E-3</v>
      </c>
      <c r="D725" s="35">
        <f t="shared" si="43"/>
        <v>3.5657561976908614E-2</v>
      </c>
      <c r="E725" s="35">
        <f>(Table143454[[#This Row],[JPN]]-B713)/B713</f>
        <v>2.6796533211589171E-2</v>
      </c>
      <c r="F725" s="34">
        <f>VLOOKUP(Table143454[[#This Row],[Date]],'Data Core CPI'!$A:$AX,MATCH($B$2,'Data Core CPI'!$B$1:$AX$1,0),FALSE)</f>
        <v>95.954920000000001</v>
      </c>
      <c r="G725" s="35">
        <f t="shared" si="44"/>
        <v>3.3342029496199466E-3</v>
      </c>
      <c r="H725" s="35">
        <f t="shared" si="45"/>
        <v>4.0752367439380821E-2</v>
      </c>
      <c r="I725" s="35">
        <f>(Table143454[[#This Row],[Core CPI]]-F713)/F713</f>
        <v>1.9426868185887205E-2</v>
      </c>
    </row>
    <row r="726" spans="1:9" x14ac:dyDescent="0.35">
      <c r="A726" s="33">
        <f>IF(Data!A753="",#N/A,Data!A753)</f>
        <v>40756</v>
      </c>
      <c r="B726" s="34">
        <f>VLOOKUP(A726,Data!A:AX,MATCH($B$2,Data!$B$1:$AX$1,0),FALSE)</f>
        <v>96</v>
      </c>
      <c r="C726" s="35">
        <f t="shared" si="46"/>
        <v>2.9154543316702863E-3</v>
      </c>
      <c r="D726" s="35">
        <f t="shared" si="43"/>
        <v>3.5551931410246373E-2</v>
      </c>
      <c r="E726" s="35">
        <f>(Table143454[[#This Row],[JPN]]-B714)/B714</f>
        <v>2.7589713398806504E-2</v>
      </c>
      <c r="F726" s="34">
        <f>VLOOKUP(Table143454[[#This Row],[Date]],'Data Core CPI'!$A:$AX,MATCH($B$2,'Data Core CPI'!$B$1:$AX$1,0),FALSE)</f>
        <v>96.286770000000004</v>
      </c>
      <c r="G726" s="35">
        <f t="shared" si="44"/>
        <v>3.4583948379094398E-3</v>
      </c>
      <c r="H726" s="35">
        <f t="shared" si="45"/>
        <v>4.2299302025209373E-2</v>
      </c>
      <c r="I726" s="35">
        <f>(Table143454[[#This Row],[Core CPI]]-F714)/F714</f>
        <v>1.9634742701700264E-2</v>
      </c>
    </row>
    <row r="727" spans="1:9" x14ac:dyDescent="0.35">
      <c r="A727" s="33">
        <f>IF(Data!A754="",#N/A,Data!A754)</f>
        <v>40787</v>
      </c>
      <c r="B727" s="34">
        <f>VLOOKUP(A727,Data!A:AX,MATCH($B$2,Data!$B$1:$AX$1,0),FALSE)</f>
        <v>96</v>
      </c>
      <c r="C727" s="35">
        <f t="shared" si="46"/>
        <v>0</v>
      </c>
      <c r="D727" s="35">
        <f t="shared" si="43"/>
        <v>0</v>
      </c>
      <c r="E727" s="35">
        <f>(Table143454[[#This Row],[JPN]]-B715)/B715</f>
        <v>2.9790111612084891E-2</v>
      </c>
      <c r="F727" s="34">
        <f>VLOOKUP(Table143454[[#This Row],[Date]],'Data Core CPI'!$A:$AX,MATCH($B$2,'Data Core CPI'!$B$1:$AX$1,0),FALSE)</f>
        <v>96.233940000000004</v>
      </c>
      <c r="G727" s="35">
        <f t="shared" si="44"/>
        <v>-5.486735093512829E-4</v>
      </c>
      <c r="H727" s="35">
        <f t="shared" si="45"/>
        <v>-6.5642495927881184E-3</v>
      </c>
      <c r="I727" s="35">
        <f>(Table143454[[#This Row],[Core CPI]]-F715)/F715</f>
        <v>2.2353166647260874E-2</v>
      </c>
    </row>
    <row r="728" spans="1:9" x14ac:dyDescent="0.35">
      <c r="A728" s="33">
        <f>IF(Data!A755="",#N/A,Data!A755)</f>
        <v>40817</v>
      </c>
      <c r="B728" s="34">
        <f>VLOOKUP(A728,Data!A:AX,MATCH($B$2,Data!$B$1:$AX$1,0),FALSE)</f>
        <v>96.558139999999995</v>
      </c>
      <c r="C728" s="35">
        <f t="shared" si="46"/>
        <v>5.8139583333332023E-3</v>
      </c>
      <c r="D728" s="35">
        <f t="shared" si="43"/>
        <v>7.2042245529561733E-2</v>
      </c>
      <c r="E728" s="35">
        <f>(Table143454[[#This Row],[JPN]]-B716)/B716</f>
        <v>3.3564077176269046E-2</v>
      </c>
      <c r="F728" s="34">
        <f>VLOOKUP(Table143454[[#This Row],[Date]],'Data Core CPI'!$A:$AX,MATCH($B$2,'Data Core CPI'!$B$1:$AX$1,0),FALSE)</f>
        <v>96.688239999999993</v>
      </c>
      <c r="G728" s="35">
        <f t="shared" si="44"/>
        <v>4.7207876971471219E-3</v>
      </c>
      <c r="H728" s="35">
        <f t="shared" si="45"/>
        <v>5.8143710761306089E-2</v>
      </c>
      <c r="I728" s="35">
        <f>(Table143454[[#This Row],[Core CPI]]-F716)/F716</f>
        <v>2.4881249833052257E-2</v>
      </c>
    </row>
    <row r="729" spans="1:9" x14ac:dyDescent="0.35">
      <c r="A729" s="33">
        <f>IF(Data!A756="",#N/A,Data!A756)</f>
        <v>40848</v>
      </c>
      <c r="B729" s="34">
        <f>VLOOKUP(A729,Data!A:AX,MATCH($B$2,Data!$B$1:$AX$1,0),FALSE)</f>
        <v>96.465119999999999</v>
      </c>
      <c r="C729" s="35">
        <f t="shared" si="46"/>
        <v>-9.6335741347131076E-4</v>
      </c>
      <c r="D729" s="35">
        <f t="shared" si="43"/>
        <v>-1.1499233431808586E-2</v>
      </c>
      <c r="E729" s="35">
        <f>(Table143454[[#This Row],[JPN]]-B717)/B717</f>
        <v>3.2568385560223706E-2</v>
      </c>
      <c r="F729" s="34">
        <f>VLOOKUP(Table143454[[#This Row],[Date]],'Data Core CPI'!$A:$AX,MATCH($B$2,'Data Core CPI'!$B$1:$AX$1,0),FALSE)</f>
        <v>96.352639999999994</v>
      </c>
      <c r="G729" s="35">
        <f t="shared" si="44"/>
        <v>-3.4709495177489558E-3</v>
      </c>
      <c r="H729" s="35">
        <f t="shared" si="45"/>
        <v>-4.0865387959389321E-2</v>
      </c>
      <c r="I729" s="35">
        <f>(Table143454[[#This Row],[Core CPI]]-F717)/F717</f>
        <v>2.2218615114735205E-2</v>
      </c>
    </row>
    <row r="730" spans="1:9" x14ac:dyDescent="0.35">
      <c r="A730" s="33">
        <f>IF(Data!A757="",#N/A,Data!A757)</f>
        <v>40878</v>
      </c>
      <c r="B730" s="34">
        <f>VLOOKUP(A730,Data!A:AX,MATCH($B$2,Data!$B$1:$AX$1,0),FALSE)</f>
        <v>96.837209999999999</v>
      </c>
      <c r="C730" s="35">
        <f t="shared" si="46"/>
        <v>3.8572491279749155E-3</v>
      </c>
      <c r="D730" s="35">
        <f t="shared" si="43"/>
        <v>4.7281697974514536E-2</v>
      </c>
      <c r="E730" s="35">
        <f>(Table143454[[#This Row],[JPN]]-B718)/B718</f>
        <v>3.2872949980374384E-2</v>
      </c>
      <c r="F730" s="34">
        <f>VLOOKUP(Table143454[[#This Row],[Date]],'Data Core CPI'!$A:$AX,MATCH($B$2,'Data Core CPI'!$B$1:$AX$1,0),FALSE)</f>
        <v>96.653030000000001</v>
      </c>
      <c r="G730" s="35">
        <f t="shared" si="44"/>
        <v>3.1176104775125779E-3</v>
      </c>
      <c r="H730" s="35">
        <f t="shared" si="45"/>
        <v>3.8059525754054357E-2</v>
      </c>
      <c r="I730" s="35">
        <f>(Table143454[[#This Row],[Core CPI]]-F718)/F718</f>
        <v>2.2833283189793711E-2</v>
      </c>
    </row>
    <row r="731" spans="1:9" x14ac:dyDescent="0.35">
      <c r="A731" s="33">
        <f>IF(Data!A758="",#N/A,Data!A758)</f>
        <v>40909</v>
      </c>
      <c r="B731" s="34">
        <f>VLOOKUP(A731,Data!A:AX,MATCH($B$2,Data!$B$1:$AX$1,0),FALSE)</f>
        <v>97.116280000000003</v>
      </c>
      <c r="C731" s="35">
        <f t="shared" si="46"/>
        <v>2.8818467611779752E-3</v>
      </c>
      <c r="D731" s="35">
        <f t="shared" si="43"/>
        <v>3.5135593571956392E-2</v>
      </c>
      <c r="E731" s="35">
        <f>(Table143454[[#This Row],[JPN]]-B719)/B719</f>
        <v>3.162061675897479E-2</v>
      </c>
      <c r="F731" s="34">
        <f>VLOOKUP(Table143454[[#This Row],[Date]],'Data Core CPI'!$A:$AX,MATCH($B$2,'Data Core CPI'!$B$1:$AX$1,0),FALSE)</f>
        <v>96.511619999999994</v>
      </c>
      <c r="G731" s="35">
        <f t="shared" si="44"/>
        <v>-1.4630684625200896E-3</v>
      </c>
      <c r="H731" s="35">
        <f t="shared" si="45"/>
        <v>-1.741623070779974E-2</v>
      </c>
      <c r="I731" s="35">
        <f>(Table143454[[#This Row],[Core CPI]]-F719)/F719</f>
        <v>2.0060536738790845E-2</v>
      </c>
    </row>
    <row r="732" spans="1:9" x14ac:dyDescent="0.35">
      <c r="A732" s="33">
        <f>IF(Data!A759="",#N/A,Data!A759)</f>
        <v>40940</v>
      </c>
      <c r="B732" s="34">
        <f>VLOOKUP(A732,Data!A:AX,MATCH($B$2,Data!$B$1:$AX$1,0),FALSE)</f>
        <v>97.488370000000003</v>
      </c>
      <c r="C732" s="35">
        <f t="shared" si="46"/>
        <v>3.8313864575538759E-3</v>
      </c>
      <c r="D732" s="35">
        <f t="shared" si="43"/>
        <v>4.6957966721516087E-2</v>
      </c>
      <c r="E732" s="35">
        <f>(Table143454[[#This Row],[JPN]]-B720)/B720</f>
        <v>3.251234396612538E-2</v>
      </c>
      <c r="F732" s="34">
        <f>VLOOKUP(Table143454[[#This Row],[Date]],'Data Core CPI'!$A:$AX,MATCH($B$2,'Data Core CPI'!$B$1:$AX$1,0),FALSE)</f>
        <v>96.719440000000006</v>
      </c>
      <c r="G732" s="35">
        <f t="shared" si="44"/>
        <v>2.1533158390669715E-3</v>
      </c>
      <c r="H732" s="35">
        <f t="shared" si="45"/>
        <v>2.6148024082897736E-2</v>
      </c>
      <c r="I732" s="35">
        <f>(Table143454[[#This Row],[Core CPI]]-F720)/F720</f>
        <v>2.0079288631903534E-2</v>
      </c>
    </row>
    <row r="733" spans="1:9" x14ac:dyDescent="0.35">
      <c r="A733" s="33">
        <f>IF(Data!A760="",#N/A,Data!A760)</f>
        <v>40969</v>
      </c>
      <c r="B733" s="34">
        <f>VLOOKUP(A733,Data!A:AX,MATCH($B$2,Data!$B$1:$AX$1,0),FALSE)</f>
        <v>97.953490000000002</v>
      </c>
      <c r="C733" s="35">
        <f t="shared" si="46"/>
        <v>4.771030636782525E-3</v>
      </c>
      <c r="D733" s="35">
        <f t="shared" si="43"/>
        <v>5.8778858864355854E-2</v>
      </c>
      <c r="E733" s="35">
        <f>(Table143454[[#This Row],[JPN]]-B721)/B721</f>
        <v>3.3366036963541797E-2</v>
      </c>
      <c r="F733" s="34">
        <f>VLOOKUP(Table143454[[#This Row],[Date]],'Data Core CPI'!$A:$AX,MATCH($B$2,'Data Core CPI'!$B$1:$AX$1,0),FALSE)</f>
        <v>97.105400000000003</v>
      </c>
      <c r="G733" s="35">
        <f t="shared" si="44"/>
        <v>3.9905111113132108E-3</v>
      </c>
      <c r="H733" s="35">
        <f t="shared" si="45"/>
        <v>4.8951235506974555E-2</v>
      </c>
      <c r="I733" s="35">
        <f>(Table143454[[#This Row],[Core CPI]]-F721)/F721</f>
        <v>2.1696104292642165E-2</v>
      </c>
    </row>
    <row r="734" spans="1:9" x14ac:dyDescent="0.35">
      <c r="A734" s="33">
        <f>IF(Data!A761="",#N/A,Data!A761)</f>
        <v>41000</v>
      </c>
      <c r="B734" s="34">
        <f>VLOOKUP(A734,Data!A:AX,MATCH($B$2,Data!$B$1:$AX$1,0),FALSE)</f>
        <v>98.418599999999998</v>
      </c>
      <c r="C734" s="35">
        <f t="shared" si="46"/>
        <v>4.7482739001949437E-3</v>
      </c>
      <c r="D734" s="35">
        <f t="shared" si="43"/>
        <v>5.8491135396513405E-2</v>
      </c>
      <c r="E734" s="35">
        <f>(Table143454[[#This Row],[JPN]]-B722)/B722</f>
        <v>3.3203119053840401E-2</v>
      </c>
      <c r="F734" s="34">
        <f>VLOOKUP(Table143454[[#This Row],[Date]],'Data Core CPI'!$A:$AX,MATCH($B$2,'Data Core CPI'!$B$1:$AX$1,0),FALSE)</f>
        <v>97.473089999999999</v>
      </c>
      <c r="G734" s="35">
        <f t="shared" si="44"/>
        <v>3.7865041490998674E-3</v>
      </c>
      <c r="H734" s="35">
        <f t="shared" si="45"/>
        <v>4.6396378341855504E-2</v>
      </c>
      <c r="I734" s="35">
        <f>(Table143454[[#This Row],[Core CPI]]-F722)/F722</f>
        <v>2.1060178207954198E-2</v>
      </c>
    </row>
    <row r="735" spans="1:9" x14ac:dyDescent="0.35">
      <c r="A735" s="33">
        <f>IF(Data!A762="",#N/A,Data!A762)</f>
        <v>41030</v>
      </c>
      <c r="B735" s="34">
        <f>VLOOKUP(A735,Data!A:AX,MATCH($B$2,Data!$B$1:$AX$1,0),FALSE)</f>
        <v>98.418599999999998</v>
      </c>
      <c r="C735" s="35">
        <f t="shared" si="46"/>
        <v>0</v>
      </c>
      <c r="D735" s="35">
        <f t="shared" si="43"/>
        <v>0</v>
      </c>
      <c r="E735" s="35">
        <f>(Table143454[[#This Row],[JPN]]-B723)/B723</f>
        <v>3.2195042960145109E-2</v>
      </c>
      <c r="F735" s="34">
        <f>VLOOKUP(Table143454[[#This Row],[Date]],'Data Core CPI'!$A:$AX,MATCH($B$2,'Data Core CPI'!$B$1:$AX$1,0),FALSE)</f>
        <v>97.447199999999995</v>
      </c>
      <c r="G735" s="35">
        <f t="shared" si="44"/>
        <v>-2.6561177038708639E-4</v>
      </c>
      <c r="H735" s="35">
        <f t="shared" si="45"/>
        <v>-3.1826890902904026E-3</v>
      </c>
      <c r="I735" s="35">
        <f>(Table143454[[#This Row],[Core CPI]]-F723)/F723</f>
        <v>2.1058295249925443E-2</v>
      </c>
    </row>
    <row r="736" spans="1:9" x14ac:dyDescent="0.35">
      <c r="A736" s="33">
        <f>IF(Data!A763="",#N/A,Data!A763)</f>
        <v>41061</v>
      </c>
      <c r="B736" s="34">
        <f>VLOOKUP(A736,Data!A:AX,MATCH($B$2,Data!$B$1:$AX$1,0),FALSE)</f>
        <v>98.604650000000007</v>
      </c>
      <c r="C736" s="35">
        <f t="shared" si="46"/>
        <v>1.8903947018145129E-3</v>
      </c>
      <c r="D736" s="35">
        <f t="shared" si="43"/>
        <v>2.2922086052772794E-2</v>
      </c>
      <c r="E736" s="35">
        <f>(Table143454[[#This Row],[JPN]]-B724)/B724</f>
        <v>3.3138394411005828E-2</v>
      </c>
      <c r="F736" s="34">
        <f>VLOOKUP(Table143454[[#This Row],[Date]],'Data Core CPI'!$A:$AX,MATCH($B$2,'Data Core CPI'!$B$1:$AX$1,0),FALSE)</f>
        <v>97.730109999999996</v>
      </c>
      <c r="G736" s="35">
        <f t="shared" si="44"/>
        <v>2.9032132272657218E-3</v>
      </c>
      <c r="H736" s="35">
        <f t="shared" si="45"/>
        <v>3.5400268196872808E-2</v>
      </c>
      <c r="I736" s="35">
        <f>(Table143454[[#This Row],[Core CPI]]-F724)/F724</f>
        <v>2.1896136446455064E-2</v>
      </c>
    </row>
    <row r="737" spans="1:9" x14ac:dyDescent="0.35">
      <c r="A737" s="33">
        <f>IF(Data!A764="",#N/A,Data!A764)</f>
        <v>41091</v>
      </c>
      <c r="B737" s="34">
        <f>VLOOKUP(A737,Data!A:AX,MATCH($B$2,Data!$B$1:$AX$1,0),FALSE)</f>
        <v>98.697680000000005</v>
      </c>
      <c r="C737" s="35">
        <f t="shared" si="46"/>
        <v>9.4346463376715484E-4</v>
      </c>
      <c r="D737" s="35">
        <f t="shared" si="43"/>
        <v>1.1380509038426911E-2</v>
      </c>
      <c r="E737" s="35">
        <f>(Table143454[[#This Row],[JPN]]-B725)/B725</f>
        <v>3.1098214361268847E-2</v>
      </c>
      <c r="F737" s="34">
        <f>VLOOKUP(Table143454[[#This Row],[Date]],'Data Core CPI'!$A:$AX,MATCH($B$2,'Data Core CPI'!$B$1:$AX$1,0),FALSE)</f>
        <v>98.078460000000007</v>
      </c>
      <c r="G737" s="35">
        <f t="shared" si="44"/>
        <v>3.5644081440204811E-3</v>
      </c>
      <c r="H737" s="35">
        <f t="shared" si="45"/>
        <v>4.3621471326307892E-2</v>
      </c>
      <c r="I737" s="35">
        <f>(Table143454[[#This Row],[Core CPI]]-F725)/F725</f>
        <v>2.2130600494482257E-2</v>
      </c>
    </row>
    <row r="738" spans="1:9" x14ac:dyDescent="0.35">
      <c r="A738" s="33">
        <f>IF(Data!A765="",#N/A,Data!A765)</f>
        <v>41122</v>
      </c>
      <c r="B738" s="34">
        <f>VLOOKUP(A738,Data!A:AX,MATCH($B$2,Data!$B$1:$AX$1,0),FALSE)</f>
        <v>99.069770000000005</v>
      </c>
      <c r="C738" s="35">
        <f t="shared" si="46"/>
        <v>3.7699974305374084E-3</v>
      </c>
      <c r="D738" s="35">
        <f t="shared" si="43"/>
        <v>4.6189908041715633E-2</v>
      </c>
      <c r="E738" s="35">
        <f>(Table143454[[#This Row],[JPN]]-B726)/B726</f>
        <v>3.197677083333339E-2</v>
      </c>
      <c r="F738" s="34">
        <f>VLOOKUP(Table143454[[#This Row],[Date]],'Data Core CPI'!$A:$AX,MATCH($B$2,'Data Core CPI'!$B$1:$AX$1,0),FALSE)</f>
        <v>98.361660000000001</v>
      </c>
      <c r="G738" s="35">
        <f t="shared" si="44"/>
        <v>2.8874841631891801E-3</v>
      </c>
      <c r="H738" s="35">
        <f t="shared" si="45"/>
        <v>3.5205420212999661E-2</v>
      </c>
      <c r="I738" s="35">
        <f>(Table143454[[#This Row],[Core CPI]]-F726)/F726</f>
        <v>2.1549066398218533E-2</v>
      </c>
    </row>
    <row r="739" spans="1:9" x14ac:dyDescent="0.35">
      <c r="A739" s="33">
        <f>IF(Data!A766="",#N/A,Data!A766)</f>
        <v>41153</v>
      </c>
      <c r="B739" s="34">
        <f>VLOOKUP(A739,Data!A:AX,MATCH($B$2,Data!$B$1:$AX$1,0),FALSE)</f>
        <v>99.069770000000005</v>
      </c>
      <c r="C739" s="35">
        <f t="shared" si="46"/>
        <v>0</v>
      </c>
      <c r="D739" s="35">
        <f t="shared" si="43"/>
        <v>0</v>
      </c>
      <c r="E739" s="35">
        <f>(Table143454[[#This Row],[JPN]]-B727)/B727</f>
        <v>3.197677083333339E-2</v>
      </c>
      <c r="F739" s="34">
        <f>VLOOKUP(Table143454[[#This Row],[Date]],'Data Core CPI'!$A:$AX,MATCH($B$2,'Data Core CPI'!$B$1:$AX$1,0),FALSE)</f>
        <v>97.986279999999994</v>
      </c>
      <c r="G739" s="35">
        <f t="shared" si="44"/>
        <v>-3.8163243686616388E-3</v>
      </c>
      <c r="H739" s="35">
        <f t="shared" si="45"/>
        <v>-4.4846770258685442E-2</v>
      </c>
      <c r="I739" s="35">
        <f>(Table143454[[#This Row],[Core CPI]]-F727)/F727</f>
        <v>1.8209168199909403E-2</v>
      </c>
    </row>
    <row r="740" spans="1:9" x14ac:dyDescent="0.35">
      <c r="A740" s="33">
        <f>IF(Data!A767="",#N/A,Data!A767)</f>
        <v>41183</v>
      </c>
      <c r="B740" s="34">
        <f>VLOOKUP(A740,Data!A:AX,MATCH($B$2,Data!$B$1:$AX$1,0),FALSE)</f>
        <v>99.069770000000005</v>
      </c>
      <c r="C740" s="35">
        <f t="shared" si="46"/>
        <v>0</v>
      </c>
      <c r="D740" s="35">
        <f t="shared" si="43"/>
        <v>0</v>
      </c>
      <c r="E740" s="35">
        <f>(Table143454[[#This Row],[JPN]]-B728)/B728</f>
        <v>2.6011582244645674E-2</v>
      </c>
      <c r="F740" s="34">
        <f>VLOOKUP(Table143454[[#This Row],[Date]],'Data Core CPI'!$A:$AX,MATCH($B$2,'Data Core CPI'!$B$1:$AX$1,0),FALSE)</f>
        <v>97.942760000000007</v>
      </c>
      <c r="G740" s="35">
        <f t="shared" si="44"/>
        <v>-4.4414381278667925E-4</v>
      </c>
      <c r="H740" s="35">
        <f t="shared" si="45"/>
        <v>-5.3167256032088384E-3</v>
      </c>
      <c r="I740" s="35">
        <f>(Table143454[[#This Row],[Core CPI]]-F728)/F728</f>
        <v>1.29748974642626E-2</v>
      </c>
    </row>
    <row r="741" spans="1:9" x14ac:dyDescent="0.35">
      <c r="A741" s="33">
        <f>IF(Data!A768="",#N/A,Data!A768)</f>
        <v>41214</v>
      </c>
      <c r="B741" s="34">
        <f>VLOOKUP(A741,Data!A:AX,MATCH($B$2,Data!$B$1:$AX$1,0),FALSE)</f>
        <v>98.883719999999997</v>
      </c>
      <c r="C741" s="35">
        <f t="shared" si="46"/>
        <v>-1.8779694350760101E-3</v>
      </c>
      <c r="D741" s="35">
        <f t="shared" si="43"/>
        <v>-2.2304317411619312E-2</v>
      </c>
      <c r="E741" s="35">
        <f>(Table143454[[#This Row],[JPN]]-B729)/B729</f>
        <v>2.5072274828456108E-2</v>
      </c>
      <c r="F741" s="34">
        <f>VLOOKUP(Table143454[[#This Row],[Date]],'Data Core CPI'!$A:$AX,MATCH($B$2,'Data Core CPI'!$B$1:$AX$1,0),FALSE)</f>
        <v>97.770809999999997</v>
      </c>
      <c r="G741" s="35">
        <f t="shared" si="44"/>
        <v>-1.7556172605306397E-3</v>
      </c>
      <c r="H741" s="35">
        <f t="shared" si="45"/>
        <v>-2.0865168220245978E-2</v>
      </c>
      <c r="I741" s="35">
        <f>(Table143454[[#This Row],[Core CPI]]-F729)/F729</f>
        <v>1.4718538070155666E-2</v>
      </c>
    </row>
    <row r="742" spans="1:9" x14ac:dyDescent="0.35">
      <c r="A742" s="33">
        <f>IF(Data!A769="",#N/A,Data!A769)</f>
        <v>41244</v>
      </c>
      <c r="B742" s="34">
        <f>VLOOKUP(A742,Data!A:AX,MATCH($B$2,Data!$B$1:$AX$1,0),FALSE)</f>
        <v>99.069770000000005</v>
      </c>
      <c r="C742" s="35">
        <f t="shared" si="46"/>
        <v>1.8815028399012945E-3</v>
      </c>
      <c r="D742" s="35">
        <f t="shared" si="43"/>
        <v>2.2813149130995525E-2</v>
      </c>
      <c r="E742" s="35">
        <f>(Table143454[[#This Row],[JPN]]-B730)/B730</f>
        <v>2.3054774089422924E-2</v>
      </c>
      <c r="F742" s="34">
        <f>VLOOKUP(Table143454[[#This Row],[Date]],'Data Core CPI'!$A:$AX,MATCH($B$2,'Data Core CPI'!$B$1:$AX$1,0),FALSE)</f>
        <v>98.006190000000004</v>
      </c>
      <c r="G742" s="35">
        <f t="shared" si="44"/>
        <v>2.4074670139277998E-3</v>
      </c>
      <c r="H742" s="35">
        <f t="shared" si="45"/>
        <v>2.9275219844554057E-2</v>
      </c>
      <c r="I742" s="35">
        <f>(Table143454[[#This Row],[Core CPI]]-F730)/F730</f>
        <v>1.4000181887727706E-2</v>
      </c>
    </row>
    <row r="743" spans="1:9" x14ac:dyDescent="0.35">
      <c r="A743" s="33">
        <f>IF(Data!A770="",#N/A,Data!A770)</f>
        <v>41275</v>
      </c>
      <c r="B743" s="34">
        <f>VLOOKUP(A743,Data!A:AX,MATCH($B$2,Data!$B$1:$AX$1,0),FALSE)</f>
        <v>99.255809999999997</v>
      </c>
      <c r="C743" s="35">
        <f t="shared" si="46"/>
        <v>1.877868496111379E-3</v>
      </c>
      <c r="D743" s="35">
        <f t="shared" si="43"/>
        <v>2.2768626734568587E-2</v>
      </c>
      <c r="E743" s="35">
        <f>(Table143454[[#This Row],[JPN]]-B731)/B731</f>
        <v>2.2030600842618698E-2</v>
      </c>
      <c r="F743" s="34">
        <f>VLOOKUP(Table143454[[#This Row],[Date]],'Data Core CPI'!$A:$AX,MATCH($B$2,'Data Core CPI'!$B$1:$AX$1,0),FALSE)</f>
        <v>98.057720000000003</v>
      </c>
      <c r="G743" s="35">
        <f t="shared" si="44"/>
        <v>5.2578311635209651E-4</v>
      </c>
      <c r="H743" s="35">
        <f t="shared" si="45"/>
        <v>6.3276749718848002E-3</v>
      </c>
      <c r="I743" s="35">
        <f>(Table143454[[#This Row],[Core CPI]]-F731)/F731</f>
        <v>1.6019832637769522E-2</v>
      </c>
    </row>
    <row r="744" spans="1:9" x14ac:dyDescent="0.35">
      <c r="A744" s="33">
        <f>IF(Data!A771="",#N/A,Data!A771)</f>
        <v>41306</v>
      </c>
      <c r="B744" s="34">
        <f>VLOOKUP(A744,Data!A:AX,MATCH($B$2,Data!$B$1:$AX$1,0),FALSE)</f>
        <v>99.348839999999996</v>
      </c>
      <c r="C744" s="35">
        <f t="shared" si="46"/>
        <v>9.3727510762331434E-4</v>
      </c>
      <c r="D744" s="35">
        <f t="shared" si="43"/>
        <v>1.1305462803458344E-2</v>
      </c>
      <c r="E744" s="35">
        <f>(Table143454[[#This Row],[JPN]]-B732)/B732</f>
        <v>1.9084019970792333E-2</v>
      </c>
      <c r="F744" s="34">
        <f>VLOOKUP(Table143454[[#This Row],[Date]],'Data Core CPI'!$A:$AX,MATCH($B$2,'Data Core CPI'!$B$1:$AX$1,0),FALSE)</f>
        <v>98.088070000000002</v>
      </c>
      <c r="G744" s="35">
        <f t="shared" si="44"/>
        <v>3.0951158154612912E-4</v>
      </c>
      <c r="H744" s="35">
        <f t="shared" si="45"/>
        <v>3.7204681358502523E-3</v>
      </c>
      <c r="I744" s="35">
        <f>(Table143454[[#This Row],[Core CPI]]-F732)/F732</f>
        <v>1.4150516173377306E-2</v>
      </c>
    </row>
    <row r="745" spans="1:9" x14ac:dyDescent="0.35">
      <c r="A745" s="33">
        <f>IF(Data!A772="",#N/A,Data!A772)</f>
        <v>41334</v>
      </c>
      <c r="B745" s="34">
        <f>VLOOKUP(A745,Data!A:AX,MATCH($B$2,Data!$B$1:$AX$1,0),FALSE)</f>
        <v>99.534880000000001</v>
      </c>
      <c r="C745" s="35">
        <f t="shared" si="46"/>
        <v>1.8725935803578508E-3</v>
      </c>
      <c r="D745" s="35">
        <f t="shared" si="43"/>
        <v>2.2704009731399521E-2</v>
      </c>
      <c r="E745" s="35">
        <f>(Table143454[[#This Row],[JPN]]-B733)/B733</f>
        <v>1.6144294603489869E-2</v>
      </c>
      <c r="F745" s="34">
        <f>VLOOKUP(Table143454[[#This Row],[Date]],'Data Core CPI'!$A:$AX,MATCH($B$2,'Data Core CPI'!$B$1:$AX$1,0),FALSE)</f>
        <v>98.293030000000002</v>
      </c>
      <c r="G745" s="35">
        <f t="shared" si="44"/>
        <v>2.0895507476088593E-3</v>
      </c>
      <c r="H745" s="35">
        <f t="shared" si="45"/>
        <v>2.5364796270620493E-2</v>
      </c>
      <c r="I745" s="35">
        <f>(Table143454[[#This Row],[Core CPI]]-F733)/F733</f>
        <v>1.2230318808222803E-2</v>
      </c>
    </row>
    <row r="746" spans="1:9" x14ac:dyDescent="0.35">
      <c r="A746" s="33">
        <f>IF(Data!A773="",#N/A,Data!A773)</f>
        <v>41365</v>
      </c>
      <c r="B746" s="34">
        <f>VLOOKUP(A746,Data!A:AX,MATCH($B$2,Data!$B$1:$AX$1,0),FALSE)</f>
        <v>99.534880000000001</v>
      </c>
      <c r="C746" s="35">
        <f t="shared" si="46"/>
        <v>0</v>
      </c>
      <c r="D746" s="35">
        <f t="shared" si="43"/>
        <v>0</v>
      </c>
      <c r="E746" s="35">
        <f>(Table143454[[#This Row],[JPN]]-B734)/B734</f>
        <v>1.1342164997266811E-2</v>
      </c>
      <c r="F746" s="34">
        <f>VLOOKUP(Table143454[[#This Row],[Date]],'Data Core CPI'!$A:$AX,MATCH($B$2,'Data Core CPI'!$B$1:$AX$1,0),FALSE)</f>
        <v>98.514859999999999</v>
      </c>
      <c r="G746" s="35">
        <f t="shared" si="44"/>
        <v>2.2568232966264645E-3</v>
      </c>
      <c r="H746" s="35">
        <f t="shared" si="45"/>
        <v>2.7420575843838613E-2</v>
      </c>
      <c r="I746" s="35">
        <f>(Table143454[[#This Row],[Core CPI]]-F734)/F734</f>
        <v>1.0687770337433641E-2</v>
      </c>
    </row>
    <row r="747" spans="1:9" x14ac:dyDescent="0.35">
      <c r="A747" s="33">
        <f>IF(Data!A774="",#N/A,Data!A774)</f>
        <v>41395</v>
      </c>
      <c r="B747" s="34">
        <f>VLOOKUP(A747,Data!A:AX,MATCH($B$2,Data!$B$1:$AX$1,0),FALSE)</f>
        <v>99.534880000000001</v>
      </c>
      <c r="C747" s="35">
        <f t="shared" si="46"/>
        <v>0</v>
      </c>
      <c r="D747" s="35">
        <f t="shared" si="43"/>
        <v>0</v>
      </c>
      <c r="E747" s="35">
        <f>(Table143454[[#This Row],[JPN]]-B735)/B735</f>
        <v>1.1342164997266811E-2</v>
      </c>
      <c r="F747" s="34">
        <f>VLOOKUP(Table143454[[#This Row],[Date]],'Data Core CPI'!$A:$AX,MATCH($B$2,'Data Core CPI'!$B$1:$AX$1,0),FALSE)</f>
        <v>98.57996</v>
      </c>
      <c r="G747" s="35">
        <f t="shared" si="44"/>
        <v>6.6081401323625499E-4</v>
      </c>
      <c r="H747" s="35">
        <f t="shared" si="45"/>
        <v>7.9586522973242868E-3</v>
      </c>
      <c r="I747" s="35">
        <f>(Table143454[[#This Row],[Core CPI]]-F735)/F735</f>
        <v>1.1624346312669884E-2</v>
      </c>
    </row>
    <row r="748" spans="1:9" x14ac:dyDescent="0.35">
      <c r="A748" s="33">
        <f>IF(Data!A775="",#N/A,Data!A775)</f>
        <v>41426</v>
      </c>
      <c r="B748" s="34">
        <f>VLOOKUP(A748,Data!A:AX,MATCH($B$2,Data!$B$1:$AX$1,0),FALSE)</f>
        <v>99.813959999999994</v>
      </c>
      <c r="C748" s="35">
        <f t="shared" si="46"/>
        <v>2.8038412263118317E-3</v>
      </c>
      <c r="D748" s="35">
        <f t="shared" si="43"/>
        <v>3.4169835480607258E-2</v>
      </c>
      <c r="E748" s="35">
        <f>(Table143454[[#This Row],[JPN]]-B736)/B736</f>
        <v>1.2264228918210123E-2</v>
      </c>
      <c r="F748" s="34">
        <f>VLOOKUP(Table143454[[#This Row],[Date]],'Data Core CPI'!$A:$AX,MATCH($B$2,'Data Core CPI'!$B$1:$AX$1,0),FALSE)</f>
        <v>98.800669999999997</v>
      </c>
      <c r="G748" s="35">
        <f t="shared" si="44"/>
        <v>2.2388931786947452E-3</v>
      </c>
      <c r="H748" s="35">
        <f t="shared" si="45"/>
        <v>2.7200034052322408E-2</v>
      </c>
      <c r="I748" s="35">
        <f>(Table143454[[#This Row],[Core CPI]]-F736)/F736</f>
        <v>1.0954249411977542E-2</v>
      </c>
    </row>
    <row r="749" spans="1:9" x14ac:dyDescent="0.35">
      <c r="A749" s="33">
        <f>IF(Data!A776="",#N/A,Data!A776)</f>
        <v>41456</v>
      </c>
      <c r="B749" s="34">
        <f>VLOOKUP(A749,Data!A:AX,MATCH($B$2,Data!$B$1:$AX$1,0),FALSE)</f>
        <v>99.906970000000001</v>
      </c>
      <c r="C749" s="35">
        <f t="shared" si="46"/>
        <v>9.3183358319826048E-4</v>
      </c>
      <c r="D749" s="35">
        <f t="shared" si="43"/>
        <v>1.1239490091994764E-2</v>
      </c>
      <c r="E749" s="35">
        <f>(Table143454[[#This Row],[JPN]]-B737)/B737</f>
        <v>1.2252466319370381E-2</v>
      </c>
      <c r="F749" s="34">
        <f>VLOOKUP(Table143454[[#This Row],[Date]],'Data Core CPI'!$A:$AX,MATCH($B$2,'Data Core CPI'!$B$1:$AX$1,0),FALSE)</f>
        <v>99.035229999999999</v>
      </c>
      <c r="G749" s="35">
        <f t="shared" si="44"/>
        <v>2.3740729693433327E-3</v>
      </c>
      <c r="H749" s="35">
        <f t="shared" si="45"/>
        <v>2.8863825876040083E-2</v>
      </c>
      <c r="I749" s="35">
        <f>(Table143454[[#This Row],[Core CPI]]-F737)/F737</f>
        <v>9.7551490918596356E-3</v>
      </c>
    </row>
    <row r="750" spans="1:9" x14ac:dyDescent="0.35">
      <c r="A750" s="33">
        <f>IF(Data!A777="",#N/A,Data!A777)</f>
        <v>41487</v>
      </c>
      <c r="B750" s="34">
        <f>VLOOKUP(A750,Data!A:AX,MATCH($B$2,Data!$B$1:$AX$1,0),FALSE)</f>
        <v>100.2791</v>
      </c>
      <c r="C750" s="35">
        <f t="shared" si="46"/>
        <v>3.7247651490182054E-3</v>
      </c>
      <c r="D750" s="35">
        <f t="shared" si="43"/>
        <v>4.5624322339804513E-2</v>
      </c>
      <c r="E750" s="35">
        <f>(Table143454[[#This Row],[JPN]]-B738)/B738</f>
        <v>1.2206851797475599E-2</v>
      </c>
      <c r="F750" s="34">
        <f>VLOOKUP(Table143454[[#This Row],[Date]],'Data Core CPI'!$A:$AX,MATCH($B$2,'Data Core CPI'!$B$1:$AX$1,0),FALSE)</f>
        <v>99.534199999999998</v>
      </c>
      <c r="G750" s="35">
        <f t="shared" si="44"/>
        <v>5.038308084910792E-3</v>
      </c>
      <c r="H750" s="35">
        <f t="shared" si="45"/>
        <v>6.216353570136568E-2</v>
      </c>
      <c r="I750" s="35">
        <f>(Table143454[[#This Row],[Core CPI]]-F738)/F738</f>
        <v>1.1920701622969742E-2</v>
      </c>
    </row>
    <row r="751" spans="1:9" x14ac:dyDescent="0.35">
      <c r="A751" s="33">
        <f>IF(Data!A778="",#N/A,Data!A778)</f>
        <v>41518</v>
      </c>
      <c r="B751" s="34">
        <f>VLOOKUP(A751,Data!A:AX,MATCH($B$2,Data!$B$1:$AX$1,0),FALSE)</f>
        <v>100</v>
      </c>
      <c r="C751" s="35">
        <f t="shared" si="46"/>
        <v>-2.7832319994893773E-3</v>
      </c>
      <c r="D751" s="35">
        <f t="shared" si="43"/>
        <v>-3.289223651280393E-2</v>
      </c>
      <c r="E751" s="35">
        <f>(Table143454[[#This Row],[JPN]]-B739)/B739</f>
        <v>9.3896452974504187E-3</v>
      </c>
      <c r="F751" s="34">
        <f>VLOOKUP(Table143454[[#This Row],[Date]],'Data Core CPI'!$A:$AX,MATCH($B$2,'Data Core CPI'!$B$1:$AX$1,0),FALSE)</f>
        <v>99.145120000000006</v>
      </c>
      <c r="G751" s="35">
        <f t="shared" si="44"/>
        <v>-3.9090081600092752E-3</v>
      </c>
      <c r="H751" s="35">
        <f t="shared" si="45"/>
        <v>-4.5912621124544972E-2</v>
      </c>
      <c r="I751" s="35">
        <f>(Table143454[[#This Row],[Core CPI]]-F739)/F739</f>
        <v>1.1826553676698536E-2</v>
      </c>
    </row>
    <row r="752" spans="1:9" x14ac:dyDescent="0.35">
      <c r="A752" s="33">
        <f>IF(Data!A779="",#N/A,Data!A779)</f>
        <v>41548</v>
      </c>
      <c r="B752" s="34">
        <f>VLOOKUP(A752,Data!A:AX,MATCH($B$2,Data!$B$1:$AX$1,0),FALSE)</f>
        <v>99.813959999999994</v>
      </c>
      <c r="C752" s="35">
        <f t="shared" si="46"/>
        <v>-1.8604000000000953E-3</v>
      </c>
      <c r="D752" s="35">
        <f t="shared" si="43"/>
        <v>-2.2097778851234429E-2</v>
      </c>
      <c r="E752" s="35">
        <f>(Table143454[[#This Row],[JPN]]-B740)/B740</f>
        <v>7.5117768013389851E-3</v>
      </c>
      <c r="F752" s="34">
        <f>VLOOKUP(Table143454[[#This Row],[Date]],'Data Core CPI'!$A:$AX,MATCH($B$2,'Data Core CPI'!$B$1:$AX$1,0),FALSE)</f>
        <v>99.084350000000001</v>
      </c>
      <c r="G752" s="35">
        <f t="shared" si="44"/>
        <v>-6.1293990062250003E-4</v>
      </c>
      <c r="H752" s="35">
        <f t="shared" si="45"/>
        <v>-7.3305335077373801E-3</v>
      </c>
      <c r="I752" s="35">
        <f>(Table143454[[#This Row],[Core CPI]]-F740)/F740</f>
        <v>1.1655685422791778E-2</v>
      </c>
    </row>
    <row r="753" spans="1:9" x14ac:dyDescent="0.35">
      <c r="A753" s="33">
        <f>IF(Data!A780="",#N/A,Data!A780)</f>
        <v>41579</v>
      </c>
      <c r="B753" s="34">
        <f>VLOOKUP(A753,Data!A:AX,MATCH($B$2,Data!$B$1:$AX$1,0),FALSE)</f>
        <v>99.534880000000001</v>
      </c>
      <c r="C753" s="35">
        <f t="shared" si="46"/>
        <v>-2.7960016815282707E-3</v>
      </c>
      <c r="D753" s="35">
        <f t="shared" si="43"/>
        <v>-3.3040835565201765E-2</v>
      </c>
      <c r="E753" s="35">
        <f>(Table143454[[#This Row],[JPN]]-B741)/B741</f>
        <v>6.5851082463322013E-3</v>
      </c>
      <c r="F753" s="34">
        <f>VLOOKUP(Table143454[[#This Row],[Date]],'Data Core CPI'!$A:$AX,MATCH($B$2,'Data Core CPI'!$B$1:$AX$1,0),FALSE)</f>
        <v>98.76088</v>
      </c>
      <c r="G753" s="35">
        <f t="shared" si="44"/>
        <v>-3.2645922388349069E-3</v>
      </c>
      <c r="H753" s="35">
        <f t="shared" si="45"/>
        <v>-3.8479306181683604E-2</v>
      </c>
      <c r="I753" s="35">
        <f>(Table143454[[#This Row],[Core CPI]]-F741)/F741</f>
        <v>1.0126437532838307E-2</v>
      </c>
    </row>
    <row r="754" spans="1:9" x14ac:dyDescent="0.35">
      <c r="A754" s="33">
        <f>IF(Data!A781="",#N/A,Data!A781)</f>
        <v>41609</v>
      </c>
      <c r="B754" s="34">
        <f>VLOOKUP(A754,Data!A:AX,MATCH($B$2,Data!$B$1:$AX$1,0),FALSE)</f>
        <v>99.720929999999996</v>
      </c>
      <c r="C754" s="35">
        <f t="shared" si="46"/>
        <v>1.8691939951100967E-3</v>
      </c>
      <c r="D754" s="35">
        <f t="shared" si="43"/>
        <v>2.2662367255884552E-2</v>
      </c>
      <c r="E754" s="35">
        <f>(Table143454[[#This Row],[JPN]]-B742)/B742</f>
        <v>6.572741614318779E-3</v>
      </c>
      <c r="F754" s="34">
        <f>VLOOKUP(Table143454[[#This Row],[Date]],'Data Core CPI'!$A:$AX,MATCH($B$2,'Data Core CPI'!$B$1:$AX$1,0),FALSE)</f>
        <v>98.795019999999994</v>
      </c>
      <c r="G754" s="35">
        <f t="shared" si="44"/>
        <v>3.4568343254925971E-4</v>
      </c>
      <c r="H754" s="35">
        <f t="shared" si="45"/>
        <v>4.1560970898015803E-3</v>
      </c>
      <c r="I754" s="35">
        <f>(Table143454[[#This Row],[Core CPI]]-F742)/F742</f>
        <v>8.0487773272279045E-3</v>
      </c>
    </row>
    <row r="755" spans="1:9" x14ac:dyDescent="0.35">
      <c r="A755" s="33">
        <f>IF(Data!A782="",#N/A,Data!A782)</f>
        <v>41640</v>
      </c>
      <c r="B755" s="34">
        <f>VLOOKUP(A755,Data!A:AX,MATCH($B$2,Data!$B$1:$AX$1,0),FALSE)</f>
        <v>99.906970000000001</v>
      </c>
      <c r="C755" s="35">
        <f t="shared" si="46"/>
        <v>1.8656063476343299E-3</v>
      </c>
      <c r="D755" s="35">
        <f t="shared" si="43"/>
        <v>2.2618422838921015E-2</v>
      </c>
      <c r="E755" s="35">
        <f>(Table143454[[#This Row],[JPN]]-B743)/B743</f>
        <v>6.5604220045154477E-3</v>
      </c>
      <c r="F755" s="34">
        <f>VLOOKUP(Table143454[[#This Row],[Date]],'Data Core CPI'!$A:$AX,MATCH($B$2,'Data Core CPI'!$B$1:$AX$1,0),FALSE)</f>
        <v>98.919880000000006</v>
      </c>
      <c r="G755" s="35">
        <f t="shared" si="44"/>
        <v>1.2638288853021873E-3</v>
      </c>
      <c r="H755" s="35">
        <f t="shared" si="45"/>
        <v>1.5271811383731126E-2</v>
      </c>
      <c r="I755" s="35">
        <f>(Table143454[[#This Row],[Core CPI]]-F743)/F743</f>
        <v>8.7923724924463161E-3</v>
      </c>
    </row>
    <row r="756" spans="1:9" x14ac:dyDescent="0.35">
      <c r="A756" s="33">
        <f>IF(Data!A783="",#N/A,Data!A783)</f>
        <v>41671</v>
      </c>
      <c r="B756" s="34">
        <f>VLOOKUP(A756,Data!A:AX,MATCH($B$2,Data!$B$1:$AX$1,0),FALSE)</f>
        <v>99.813959999999994</v>
      </c>
      <c r="C756" s="35">
        <f t="shared" si="46"/>
        <v>-9.3096607774223461E-4</v>
      </c>
      <c r="D756" s="35">
        <f t="shared" si="43"/>
        <v>-1.1114568014914394E-2</v>
      </c>
      <c r="E756" s="35">
        <f>(Table143454[[#This Row],[JPN]]-B744)/B744</f>
        <v>4.6816852617504031E-3</v>
      </c>
      <c r="F756" s="34">
        <f>VLOOKUP(Table143454[[#This Row],[Date]],'Data Core CPI'!$A:$AX,MATCH($B$2,'Data Core CPI'!$B$1:$AX$1,0),FALSE)</f>
        <v>98.912189999999995</v>
      </c>
      <c r="G756" s="35">
        <f t="shared" si="44"/>
        <v>-7.7739681851762832E-5</v>
      </c>
      <c r="H756" s="35">
        <f t="shared" si="45"/>
        <v>-9.3247741732549461E-4</v>
      </c>
      <c r="I756" s="35">
        <f>(Table143454[[#This Row],[Core CPI]]-F744)/F744</f>
        <v>8.4018372468740946E-3</v>
      </c>
    </row>
    <row r="757" spans="1:9" x14ac:dyDescent="0.35">
      <c r="A757" s="33">
        <f>IF(Data!A784="",#N/A,Data!A784)</f>
        <v>41699</v>
      </c>
      <c r="B757" s="34">
        <f>VLOOKUP(A757,Data!A:AX,MATCH($B$2,Data!$B$1:$AX$1,0),FALSE)</f>
        <v>99.906970000000001</v>
      </c>
      <c r="C757" s="35">
        <f t="shared" si="46"/>
        <v>9.3183358319826048E-4</v>
      </c>
      <c r="D757" s="35">
        <f t="shared" si="43"/>
        <v>1.1239490091994764E-2</v>
      </c>
      <c r="E757" s="35">
        <f>(Table143454[[#This Row],[JPN]]-B745)/B745</f>
        <v>3.7382875229266367E-3</v>
      </c>
      <c r="F757" s="34">
        <f>VLOOKUP(Table143454[[#This Row],[Date]],'Data Core CPI'!$A:$AX,MATCH($B$2,'Data Core CPI'!$B$1:$AX$1,0),FALSE)</f>
        <v>99.124889999999994</v>
      </c>
      <c r="G757" s="35">
        <f t="shared" si="44"/>
        <v>2.1503921811860671E-3</v>
      </c>
      <c r="H757" s="35">
        <f t="shared" si="45"/>
        <v>2.611210074575232E-2</v>
      </c>
      <c r="I757" s="35">
        <f>(Table143454[[#This Row],[Core CPI]]-F745)/F745</f>
        <v>8.4630619281956393E-3</v>
      </c>
    </row>
    <row r="758" spans="1:9" x14ac:dyDescent="0.35">
      <c r="A758" s="33">
        <f>IF(Data!A785="",#N/A,Data!A785)</f>
        <v>41730</v>
      </c>
      <c r="B758" s="34">
        <f>VLOOKUP(A758,Data!A:AX,MATCH($B$2,Data!$B$1:$AX$1,0),FALSE)</f>
        <v>100.093</v>
      </c>
      <c r="C758" s="35">
        <f t="shared" si="46"/>
        <v>1.8620322486009311E-3</v>
      </c>
      <c r="D758" s="35">
        <f t="shared" si="43"/>
        <v>2.2574646095443018E-2</v>
      </c>
      <c r="E758" s="35">
        <f>(Table143454[[#This Row],[JPN]]-B746)/B746</f>
        <v>5.6072805834497651E-3</v>
      </c>
      <c r="F758" s="34">
        <f>VLOOKUP(Table143454[[#This Row],[Date]],'Data Core CPI'!$A:$AX,MATCH($B$2,'Data Core CPI'!$B$1:$AX$1,0),FALSE)</f>
        <v>99.503050000000002</v>
      </c>
      <c r="G758" s="35">
        <f t="shared" si="44"/>
        <v>3.814985318016495E-3</v>
      </c>
      <c r="H758" s="35">
        <f t="shared" si="45"/>
        <v>4.67527159875325E-2</v>
      </c>
      <c r="I758" s="35">
        <f>(Table143454[[#This Row],[Core CPI]]-F746)/F746</f>
        <v>1.0030872499844216E-2</v>
      </c>
    </row>
    <row r="759" spans="1:9" x14ac:dyDescent="0.35">
      <c r="A759" s="33">
        <f>IF(Data!A786="",#N/A,Data!A786)</f>
        <v>41760</v>
      </c>
      <c r="B759" s="34">
        <f>VLOOKUP(A759,Data!A:AX,MATCH($B$2,Data!$B$1:$AX$1,0),FALSE)</f>
        <v>100</v>
      </c>
      <c r="C759" s="35">
        <f t="shared" si="46"/>
        <v>-9.2913590360965692E-4</v>
      </c>
      <c r="D759" s="35">
        <f t="shared" si="43"/>
        <v>-1.1092829567888374E-2</v>
      </c>
      <c r="E759" s="35">
        <f>(Table143454[[#This Row],[JPN]]-B747)/B747</f>
        <v>4.6729347541283909E-3</v>
      </c>
      <c r="F759" s="34">
        <f>VLOOKUP(Table143454[[#This Row],[Date]],'Data Core CPI'!$A:$AX,MATCH($B$2,'Data Core CPI'!$B$1:$AX$1,0),FALSE)</f>
        <v>99.352519999999998</v>
      </c>
      <c r="G759" s="35">
        <f t="shared" si="44"/>
        <v>-1.512817948796541E-3</v>
      </c>
      <c r="H759" s="35">
        <f t="shared" si="45"/>
        <v>-1.8003525699250233E-2</v>
      </c>
      <c r="I759" s="35">
        <f>(Table143454[[#This Row],[Core CPI]]-F747)/F747</f>
        <v>7.836886929148669E-3</v>
      </c>
    </row>
    <row r="760" spans="1:9" x14ac:dyDescent="0.35">
      <c r="A760" s="33">
        <f>IF(Data!A787="",#N/A,Data!A787)</f>
        <v>41791</v>
      </c>
      <c r="B760" s="34">
        <f>VLOOKUP(A760,Data!A:AX,MATCH($B$2,Data!$B$1:$AX$1,0),FALSE)</f>
        <v>100.093</v>
      </c>
      <c r="C760" s="35">
        <f t="shared" si="46"/>
        <v>9.3000000000009742E-4</v>
      </c>
      <c r="D760" s="35">
        <f t="shared" si="43"/>
        <v>1.1217260729378564E-2</v>
      </c>
      <c r="E760" s="35">
        <f>(Table143454[[#This Row],[JPN]]-B748)/B748</f>
        <v>2.7956009359813906E-3</v>
      </c>
      <c r="F760" s="34">
        <f>VLOOKUP(Table143454[[#This Row],[Date]],'Data Core CPI'!$A:$AX,MATCH($B$2,'Data Core CPI'!$B$1:$AX$1,0),FALSE)</f>
        <v>99.451769999999996</v>
      </c>
      <c r="G760" s="35">
        <f t="shared" si="44"/>
        <v>9.9896811877542291E-4</v>
      </c>
      <c r="H760" s="35">
        <f t="shared" si="45"/>
        <v>1.2053701100669167E-2</v>
      </c>
      <c r="I760" s="35">
        <f>(Table143454[[#This Row],[Core CPI]]-F748)/F748</f>
        <v>6.5900362821426171E-3</v>
      </c>
    </row>
    <row r="761" spans="1:9" x14ac:dyDescent="0.35">
      <c r="A761" s="33">
        <f>IF(Data!A788="",#N/A,Data!A788)</f>
        <v>41821</v>
      </c>
      <c r="B761" s="34">
        <f>VLOOKUP(A761,Data!A:AX,MATCH($B$2,Data!$B$1:$AX$1,0),FALSE)</f>
        <v>100</v>
      </c>
      <c r="C761" s="35">
        <f t="shared" si="46"/>
        <v>-9.2913590360965692E-4</v>
      </c>
      <c r="D761" s="35">
        <f t="shared" si="43"/>
        <v>-1.1092829567888374E-2</v>
      </c>
      <c r="E761" s="35">
        <f>(Table143454[[#This Row],[JPN]]-B749)/B749</f>
        <v>9.3116626397536466E-4</v>
      </c>
      <c r="F761" s="34">
        <f>VLOOKUP(Table143454[[#This Row],[Date]],'Data Core CPI'!$A:$AX,MATCH($B$2,'Data Core CPI'!$B$1:$AX$1,0),FALSE)</f>
        <v>99.632450000000006</v>
      </c>
      <c r="G761" s="35">
        <f t="shared" si="44"/>
        <v>1.8167600234768599E-3</v>
      </c>
      <c r="H761" s="35">
        <f t="shared" si="45"/>
        <v>2.2020285625245162E-2</v>
      </c>
      <c r="I761" s="35">
        <f>(Table143454[[#This Row],[Core CPI]]-F749)/F749</f>
        <v>6.0303792902788953E-3</v>
      </c>
    </row>
    <row r="762" spans="1:9" x14ac:dyDescent="0.35">
      <c r="A762" s="33">
        <f>IF(Data!A789="",#N/A,Data!A789)</f>
        <v>41852</v>
      </c>
      <c r="B762" s="34">
        <f>VLOOKUP(A762,Data!A:AX,MATCH($B$2,Data!$B$1:$AX$1,0),FALSE)</f>
        <v>100.18600000000001</v>
      </c>
      <c r="C762" s="35">
        <f t="shared" si="46"/>
        <v>1.8599999999999728E-3</v>
      </c>
      <c r="D762" s="35">
        <f t="shared" si="43"/>
        <v>2.2549755210562017E-2</v>
      </c>
      <c r="E762" s="35">
        <f>(Table143454[[#This Row],[JPN]]-B750)/B750</f>
        <v>-9.2840881100840185E-4</v>
      </c>
      <c r="F762" s="34">
        <f>VLOOKUP(Table143454[[#This Row],[Date]],'Data Core CPI'!$A:$AX,MATCH($B$2,'Data Core CPI'!$B$1:$AX$1,0),FALSE)</f>
        <v>99.936449999999994</v>
      </c>
      <c r="G762" s="35">
        <f t="shared" si="44"/>
        <v>3.051214739775876E-3</v>
      </c>
      <c r="H762" s="35">
        <f t="shared" si="45"/>
        <v>3.7235323581536139E-2</v>
      </c>
      <c r="I762" s="35">
        <f>(Table143454[[#This Row],[Core CPI]]-F750)/F750</f>
        <v>4.0413244894719116E-3</v>
      </c>
    </row>
    <row r="763" spans="1:9" x14ac:dyDescent="0.35">
      <c r="A763" s="33">
        <f>IF(Data!A790="",#N/A,Data!A790)</f>
        <v>41883</v>
      </c>
      <c r="B763" s="34">
        <f>VLOOKUP(A763,Data!A:AX,MATCH($B$2,Data!$B$1:$AX$1,0),FALSE)</f>
        <v>99.813959999999994</v>
      </c>
      <c r="C763" s="35">
        <f t="shared" si="46"/>
        <v>-3.7134929032002217E-3</v>
      </c>
      <c r="D763" s="35">
        <f t="shared" ref="D763:D826" si="47">((1+C763)^12)-1</f>
        <v>-4.3662945332770486E-2</v>
      </c>
      <c r="E763" s="35">
        <f>(Table143454[[#This Row],[JPN]]-B751)/B751</f>
        <v>-1.8604000000000554E-3</v>
      </c>
      <c r="F763" s="34">
        <f>VLOOKUP(Table143454[[#This Row],[Date]],'Data Core CPI'!$A:$AX,MATCH($B$2,'Data Core CPI'!$B$1:$AX$1,0),FALSE)</f>
        <v>99.447980000000001</v>
      </c>
      <c r="G763" s="35">
        <f t="shared" si="44"/>
        <v>-4.8878062008405054E-3</v>
      </c>
      <c r="H763" s="35">
        <f t="shared" si="45"/>
        <v>-5.7102301245337106E-2</v>
      </c>
      <c r="I763" s="35">
        <f>(Table143454[[#This Row],[Core CPI]]-F751)/F751</f>
        <v>3.0547141402420559E-3</v>
      </c>
    </row>
    <row r="764" spans="1:9" x14ac:dyDescent="0.35">
      <c r="A764" s="33">
        <f>IF(Data!A791="",#N/A,Data!A791)</f>
        <v>41913</v>
      </c>
      <c r="B764" s="34">
        <f>VLOOKUP(A764,Data!A:AX,MATCH($B$2,Data!$B$1:$AX$1,0),FALSE)</f>
        <v>99.906970000000001</v>
      </c>
      <c r="C764" s="35">
        <f t="shared" si="46"/>
        <v>9.3183358319826048E-4</v>
      </c>
      <c r="D764" s="35">
        <f t="shared" si="47"/>
        <v>1.1239490091994764E-2</v>
      </c>
      <c r="E764" s="35">
        <f>(Table143454[[#This Row],[JPN]]-B752)/B752</f>
        <v>9.318335831982491E-4</v>
      </c>
      <c r="F764" s="34">
        <f>VLOOKUP(Table143454[[#This Row],[Date]],'Data Core CPI'!$A:$AX,MATCH($B$2,'Data Core CPI'!$B$1:$AX$1,0),FALSE)</f>
        <v>99.466239999999999</v>
      </c>
      <c r="G764" s="35">
        <f t="shared" si="44"/>
        <v>1.8361358370477809E-4</v>
      </c>
      <c r="H764" s="35">
        <f t="shared" si="45"/>
        <v>2.2055894874704052E-3</v>
      </c>
      <c r="I764" s="35">
        <f>(Table143454[[#This Row],[Core CPI]]-F752)/F752</f>
        <v>3.8541908989663705E-3</v>
      </c>
    </row>
    <row r="765" spans="1:9" x14ac:dyDescent="0.35">
      <c r="A765" s="33">
        <f>IF(Data!A792="",#N/A,Data!A792)</f>
        <v>41944</v>
      </c>
      <c r="B765" s="34">
        <f>VLOOKUP(A765,Data!A:AX,MATCH($B$2,Data!$B$1:$AX$1,0),FALSE)</f>
        <v>99.720929999999996</v>
      </c>
      <c r="C765" s="35">
        <f t="shared" si="46"/>
        <v>-1.862132341717504E-3</v>
      </c>
      <c r="D765" s="35">
        <f t="shared" si="47"/>
        <v>-2.2118145276641243E-2</v>
      </c>
      <c r="E765" s="35">
        <f>(Table143454[[#This Row],[JPN]]-B753)/B753</f>
        <v>1.8691939951100006E-3</v>
      </c>
      <c r="F765" s="34">
        <f>VLOOKUP(Table143454[[#This Row],[Date]],'Data Core CPI'!$A:$AX,MATCH($B$2,'Data Core CPI'!$B$1:$AX$1,0),FALSE)</f>
        <v>99.228620000000006</v>
      </c>
      <c r="G765" s="35">
        <f t="shared" si="44"/>
        <v>-2.3889512662788048E-3</v>
      </c>
      <c r="H765" s="35">
        <f t="shared" si="45"/>
        <v>-2.8293730786354887E-2</v>
      </c>
      <c r="I765" s="35">
        <f>(Table143454[[#This Row],[Core CPI]]-F753)/F753</f>
        <v>4.7360857861939495E-3</v>
      </c>
    </row>
    <row r="766" spans="1:9" x14ac:dyDescent="0.35">
      <c r="A766" s="33">
        <f>IF(Data!A793="",#N/A,Data!A793)</f>
        <v>41974</v>
      </c>
      <c r="B766" s="34">
        <f>VLOOKUP(A766,Data!A:AX,MATCH($B$2,Data!$B$1:$AX$1,0),FALSE)</f>
        <v>99.720929999999996</v>
      </c>
      <c r="C766" s="35">
        <f t="shared" si="46"/>
        <v>0</v>
      </c>
      <c r="D766" s="35">
        <f t="shared" si="47"/>
        <v>0</v>
      </c>
      <c r="E766" s="35">
        <f>(Table143454[[#This Row],[JPN]]-B754)/B754</f>
        <v>0</v>
      </c>
      <c r="F766" s="34">
        <f>VLOOKUP(Table143454[[#This Row],[Date]],'Data Core CPI'!$A:$AX,MATCH($B$2,'Data Core CPI'!$B$1:$AX$1,0),FALSE)</f>
        <v>99.430940000000007</v>
      </c>
      <c r="G766" s="35">
        <f t="shared" si="44"/>
        <v>2.0389278818953027E-3</v>
      </c>
      <c r="H766" s="35">
        <f t="shared" si="45"/>
        <v>2.4743384924361012E-2</v>
      </c>
      <c r="I766" s="35">
        <f>(Table143454[[#This Row],[Core CPI]]-F754)/F754</f>
        <v>6.4367616910246386E-3</v>
      </c>
    </row>
    <row r="767" spans="1:9" x14ac:dyDescent="0.35">
      <c r="A767" s="33">
        <f>IF(Data!A794="",#N/A,Data!A794)</f>
        <v>42005</v>
      </c>
      <c r="B767" s="34">
        <f>VLOOKUP(A767,Data!A:AX,MATCH($B$2,Data!$B$1:$AX$1,0),FALSE)</f>
        <v>99.348839999999996</v>
      </c>
      <c r="C767" s="35">
        <f t="shared" si="46"/>
        <v>-3.7313129751196383E-3</v>
      </c>
      <c r="D767" s="35">
        <f t="shared" si="47"/>
        <v>-4.3868191336447371E-2</v>
      </c>
      <c r="E767" s="35">
        <f>(Table143454[[#This Row],[JPN]]-B755)/B755</f>
        <v>-5.5864971182691811E-3</v>
      </c>
      <c r="F767" s="34">
        <f>VLOOKUP(Table143454[[#This Row],[Date]],'Data Core CPI'!$A:$AX,MATCH($B$2,'Data Core CPI'!$B$1:$AX$1,0),FALSE)</f>
        <v>99.24982</v>
      </c>
      <c r="G767" s="35">
        <f t="shared" si="44"/>
        <v>-1.8215658023549297E-3</v>
      </c>
      <c r="H767" s="35">
        <f t="shared" si="45"/>
        <v>-2.1641119175123347E-2</v>
      </c>
      <c r="I767" s="35">
        <f>(Table143454[[#This Row],[Core CPI]]-F755)/F755</f>
        <v>3.3354266098987728E-3</v>
      </c>
    </row>
    <row r="768" spans="1:9" x14ac:dyDescent="0.35">
      <c r="A768" s="33">
        <f>IF(Data!A795="",#N/A,Data!A795)</f>
        <v>42036</v>
      </c>
      <c r="B768" s="34">
        <f>VLOOKUP(A768,Data!A:AX,MATCH($B$2,Data!$B$1:$AX$1,0),FALSE)</f>
        <v>99.720929999999996</v>
      </c>
      <c r="C768" s="35">
        <f t="shared" si="46"/>
        <v>3.7452878161436942E-3</v>
      </c>
      <c r="D768" s="35">
        <f t="shared" si="47"/>
        <v>4.5880903594000211E-2</v>
      </c>
      <c r="E768" s="35">
        <f>(Table143454[[#This Row],[JPN]]-B756)/B756</f>
        <v>-9.3203395597167809E-4</v>
      </c>
      <c r="F768" s="34">
        <f>VLOOKUP(Table143454[[#This Row],[Date]],'Data Core CPI'!$A:$AX,MATCH($B$2,'Data Core CPI'!$B$1:$AX$1,0),FALSE)</f>
        <v>99.583410000000001</v>
      </c>
      <c r="G768" s="35">
        <f t="shared" si="44"/>
        <v>3.3611144080665234E-3</v>
      </c>
      <c r="H768" s="35">
        <f t="shared" si="45"/>
        <v>4.1087397934782777E-2</v>
      </c>
      <c r="I768" s="35">
        <f>(Table143454[[#This Row],[Core CPI]]-F756)/F756</f>
        <v>6.7860189932100919E-3</v>
      </c>
    </row>
    <row r="769" spans="1:9" x14ac:dyDescent="0.35">
      <c r="A769" s="33">
        <f>IF(Data!A796="",#N/A,Data!A796)</f>
        <v>42064</v>
      </c>
      <c r="B769" s="34">
        <f>VLOOKUP(A769,Data!A:AX,MATCH($B$2,Data!$B$1:$AX$1,0),FALSE)</f>
        <v>99.813959999999994</v>
      </c>
      <c r="C769" s="35">
        <f t="shared" si="46"/>
        <v>9.3290345366803251E-4</v>
      </c>
      <c r="D769" s="35">
        <f t="shared" si="47"/>
        <v>1.1252460824973332E-2</v>
      </c>
      <c r="E769" s="35">
        <f>(Table143454[[#This Row],[JPN]]-B757)/B757</f>
        <v>-9.3096607774219048E-4</v>
      </c>
      <c r="F769" s="34">
        <f>VLOOKUP(Table143454[[#This Row],[Date]],'Data Core CPI'!$A:$AX,MATCH($B$2,'Data Core CPI'!$B$1:$AX$1,0),FALSE)</f>
        <v>99.513869999999997</v>
      </c>
      <c r="G769" s="35">
        <f t="shared" si="44"/>
        <v>-6.9830908582069195E-4</v>
      </c>
      <c r="H769" s="35">
        <f t="shared" si="45"/>
        <v>-8.3475998785161876E-3</v>
      </c>
      <c r="I769" s="35">
        <f>(Table143454[[#This Row],[Core CPI]]-F757)/F757</f>
        <v>3.9241405463350696E-3</v>
      </c>
    </row>
    <row r="770" spans="1:9" x14ac:dyDescent="0.35">
      <c r="A770" s="33">
        <f>IF(Data!A797="",#N/A,Data!A797)</f>
        <v>42095</v>
      </c>
      <c r="B770" s="34">
        <f>VLOOKUP(A770,Data!A:AX,MATCH($B$2,Data!$B$1:$AX$1,0),FALSE)</f>
        <v>100</v>
      </c>
      <c r="C770" s="35">
        <f t="shared" si="46"/>
        <v>1.8638675391700055E-3</v>
      </c>
      <c r="D770" s="35">
        <f t="shared" si="47"/>
        <v>2.2597125124918405E-2</v>
      </c>
      <c r="E770" s="35">
        <f>(Table143454[[#This Row],[JPN]]-B758)/B758</f>
        <v>-9.2913590360967817E-4</v>
      </c>
      <c r="F770" s="34">
        <f>VLOOKUP(Table143454[[#This Row],[Date]],'Data Core CPI'!$A:$AX,MATCH($B$2,'Data Core CPI'!$B$1:$AX$1,0),FALSE)</f>
        <v>99.930269999999993</v>
      </c>
      <c r="G770" s="35">
        <f t="shared" si="44"/>
        <v>4.184341338548947E-3</v>
      </c>
      <c r="H770" s="35">
        <f t="shared" si="45"/>
        <v>5.1383941583524217E-2</v>
      </c>
      <c r="I770" s="35">
        <f>(Table143454[[#This Row],[Core CPI]]-F758)/F758</f>
        <v>4.2935367307835419E-3</v>
      </c>
    </row>
    <row r="771" spans="1:9" x14ac:dyDescent="0.35">
      <c r="A771" s="33">
        <f>IF(Data!A798="",#N/A,Data!A798)</f>
        <v>42125</v>
      </c>
      <c r="B771" s="34">
        <f>VLOOKUP(A771,Data!A:AX,MATCH($B$2,Data!$B$1:$AX$1,0),FALSE)</f>
        <v>100.093</v>
      </c>
      <c r="C771" s="35">
        <f t="shared" si="46"/>
        <v>9.3000000000009742E-4</v>
      </c>
      <c r="D771" s="35">
        <f t="shared" si="47"/>
        <v>1.1217260729378564E-2</v>
      </c>
      <c r="E771" s="35">
        <f>(Table143454[[#This Row],[JPN]]-B759)/B759</f>
        <v>9.3000000000003529E-4</v>
      </c>
      <c r="F771" s="34">
        <f>VLOOKUP(Table143454[[#This Row],[Date]],'Data Core CPI'!$A:$AX,MATCH($B$2,'Data Core CPI'!$B$1:$AX$1,0),FALSE)</f>
        <v>99.935199999999995</v>
      </c>
      <c r="G771" s="35">
        <f t="shared" ref="G771:G834" si="48">(F771/F770)-1</f>
        <v>4.933440087784291E-5</v>
      </c>
      <c r="H771" s="35">
        <f t="shared" ref="H771:H834" si="49">((1+G771)^12)-1</f>
        <v>5.9217347323836655E-4</v>
      </c>
      <c r="I771" s="35">
        <f>(Table143454[[#This Row],[Core CPI]]-F759)/F759</f>
        <v>5.8647732337337426E-3</v>
      </c>
    </row>
    <row r="772" spans="1:9" x14ac:dyDescent="0.35">
      <c r="A772" s="33">
        <f>IF(Data!A799="",#N/A,Data!A799)</f>
        <v>42156</v>
      </c>
      <c r="B772" s="34">
        <f>VLOOKUP(A772,Data!A:AX,MATCH($B$2,Data!$B$1:$AX$1,0),FALSE)</f>
        <v>100.2791</v>
      </c>
      <c r="C772" s="35">
        <f t="shared" ref="C772:C835" si="50">(B772/B771)-1</f>
        <v>1.8592708780833522E-3</v>
      </c>
      <c r="D772" s="35">
        <f t="shared" si="47"/>
        <v>2.2540825095139327E-2</v>
      </c>
      <c r="E772" s="35">
        <f>(Table143454[[#This Row],[JPN]]-B760)/B760</f>
        <v>1.859270878083344E-3</v>
      </c>
      <c r="F772" s="34">
        <f>VLOOKUP(Table143454[[#This Row],[Date]],'Data Core CPI'!$A:$AX,MATCH($B$2,'Data Core CPI'!$B$1:$AX$1,0),FALSE)</f>
        <v>100.1649</v>
      </c>
      <c r="G772" s="35">
        <f t="shared" si="48"/>
        <v>2.2984894211450779E-3</v>
      </c>
      <c r="H772" s="35">
        <f t="shared" si="49"/>
        <v>2.793323992874952E-2</v>
      </c>
      <c r="I772" s="35">
        <f>(Table143454[[#This Row],[Core CPI]]-F760)/F760</f>
        <v>7.1706114431146547E-3</v>
      </c>
    </row>
    <row r="773" spans="1:9" x14ac:dyDescent="0.35">
      <c r="A773" s="33">
        <f>IF(Data!A800="",#N/A,Data!A800)</f>
        <v>42186</v>
      </c>
      <c r="B773" s="34">
        <f>VLOOKUP(A773,Data!A:AX,MATCH($B$2,Data!$B$1:$AX$1,0),FALSE)</f>
        <v>100.18600000000001</v>
      </c>
      <c r="C773" s="35">
        <f t="shared" si="50"/>
        <v>-9.2840881100841877E-4</v>
      </c>
      <c r="D773" s="35">
        <f t="shared" si="47"/>
        <v>-1.1084193183933277E-2</v>
      </c>
      <c r="E773" s="35">
        <f>(Table143454[[#This Row],[JPN]]-B761)/B761</f>
        <v>1.8600000000000706E-3</v>
      </c>
      <c r="F773" s="34">
        <f>VLOOKUP(Table143454[[#This Row],[Date]],'Data Core CPI'!$A:$AX,MATCH($B$2,'Data Core CPI'!$B$1:$AX$1,0),FALSE)</f>
        <v>100.35380000000001</v>
      </c>
      <c r="G773" s="35">
        <f t="shared" si="48"/>
        <v>1.8858901671143791E-3</v>
      </c>
      <c r="H773" s="35">
        <f t="shared" si="49"/>
        <v>2.2866898290327731E-2</v>
      </c>
      <c r="I773" s="35">
        <f>(Table143454[[#This Row],[Core CPI]]-F761)/F761</f>
        <v>7.240111028083732E-3</v>
      </c>
    </row>
    <row r="774" spans="1:9" x14ac:dyDescent="0.35">
      <c r="A774" s="33">
        <f>IF(Data!A801="",#N/A,Data!A801)</f>
        <v>42217</v>
      </c>
      <c r="B774" s="34">
        <f>VLOOKUP(A774,Data!A:AX,MATCH($B$2,Data!$B$1:$AX$1,0),FALSE)</f>
        <v>100.3721</v>
      </c>
      <c r="C774" s="35">
        <f t="shared" si="50"/>
        <v>1.8575449663624788E-3</v>
      </c>
      <c r="D774" s="35">
        <f t="shared" si="47"/>
        <v>2.2519686815241746E-2</v>
      </c>
      <c r="E774" s="35">
        <f>(Table143454[[#This Row],[JPN]]-B762)/B762</f>
        <v>1.8575449663625271E-3</v>
      </c>
      <c r="F774" s="34">
        <f>VLOOKUP(Table143454[[#This Row],[Date]],'Data Core CPI'!$A:$AX,MATCH($B$2,'Data Core CPI'!$B$1:$AX$1,0),FALSE)</f>
        <v>100.7632</v>
      </c>
      <c r="G774" s="35">
        <f t="shared" si="48"/>
        <v>4.0795664937449683E-3</v>
      </c>
      <c r="H774" s="35">
        <f t="shared" si="49"/>
        <v>5.0068301921323055E-2</v>
      </c>
      <c r="I774" s="35">
        <f>(Table143454[[#This Row],[Core CPI]]-F762)/F762</f>
        <v>8.2727573372878872E-3</v>
      </c>
    </row>
    <row r="775" spans="1:9" x14ac:dyDescent="0.35">
      <c r="A775" s="33">
        <f>IF(Data!A802="",#N/A,Data!A802)</f>
        <v>42248</v>
      </c>
      <c r="B775" s="34">
        <f>VLOOKUP(A775,Data!A:AX,MATCH($B$2,Data!$B$1:$AX$1,0),FALSE)</f>
        <v>100</v>
      </c>
      <c r="C775" s="35">
        <f t="shared" si="50"/>
        <v>-3.7072054883777739E-3</v>
      </c>
      <c r="D775" s="35">
        <f t="shared" si="47"/>
        <v>-4.3590519221128998E-2</v>
      </c>
      <c r="E775" s="35">
        <f>(Table143454[[#This Row],[JPN]]-B763)/B763</f>
        <v>1.8638675391699272E-3</v>
      </c>
      <c r="F775" s="34">
        <f>VLOOKUP(Table143454[[#This Row],[Date]],'Data Core CPI'!$A:$AX,MATCH($B$2,'Data Core CPI'!$B$1:$AX$1,0),FALSE)</f>
        <v>100.312</v>
      </c>
      <c r="G775" s="35">
        <f t="shared" si="48"/>
        <v>-4.4778252377851713E-3</v>
      </c>
      <c r="H775" s="35">
        <f t="shared" si="49"/>
        <v>-5.2430097209875681E-2</v>
      </c>
      <c r="I775" s="35">
        <f>(Table143454[[#This Row],[Core CPI]]-F763)/F763</f>
        <v>8.6881603829459027E-3</v>
      </c>
    </row>
    <row r="776" spans="1:9" x14ac:dyDescent="0.35">
      <c r="A776" s="33">
        <f>IF(Data!A803="",#N/A,Data!A803)</f>
        <v>42278</v>
      </c>
      <c r="B776" s="34">
        <f>VLOOKUP(A776,Data!A:AX,MATCH($B$2,Data!$B$1:$AX$1,0),FALSE)</f>
        <v>100.18600000000001</v>
      </c>
      <c r="C776" s="35">
        <f t="shared" si="50"/>
        <v>1.8599999999999728E-3</v>
      </c>
      <c r="D776" s="35">
        <f t="shared" si="47"/>
        <v>2.2549755210562017E-2</v>
      </c>
      <c r="E776" s="35">
        <f>(Table143454[[#This Row],[JPN]]-B764)/B764</f>
        <v>2.7928982332264293E-3</v>
      </c>
      <c r="F776" s="34">
        <f>VLOOKUP(Table143454[[#This Row],[Date]],'Data Core CPI'!$A:$AX,MATCH($B$2,'Data Core CPI'!$B$1:$AX$1,0),FALSE)</f>
        <v>100.37949999999999</v>
      </c>
      <c r="G776" s="35">
        <f t="shared" si="48"/>
        <v>6.7290055028301765E-4</v>
      </c>
      <c r="H776" s="35">
        <f t="shared" si="49"/>
        <v>8.1047582158728648E-3</v>
      </c>
      <c r="I776" s="35">
        <f>(Table143454[[#This Row],[Core CPI]]-F764)/F764</f>
        <v>9.1816077495237985E-3</v>
      </c>
    </row>
    <row r="777" spans="1:9" x14ac:dyDescent="0.35">
      <c r="A777" s="33">
        <f>IF(Data!A804="",#N/A,Data!A804)</f>
        <v>42309</v>
      </c>
      <c r="B777" s="34">
        <f>VLOOKUP(A777,Data!A:AX,MATCH($B$2,Data!$B$1:$AX$1,0),FALSE)</f>
        <v>99.813959999999994</v>
      </c>
      <c r="C777" s="35">
        <f t="shared" si="50"/>
        <v>-3.7134929032002217E-3</v>
      </c>
      <c r="D777" s="35">
        <f t="shared" si="47"/>
        <v>-4.3662945332770486E-2</v>
      </c>
      <c r="E777" s="35">
        <f>(Table143454[[#This Row],[JPN]]-B765)/B765</f>
        <v>9.3290345366814006E-4</v>
      </c>
      <c r="F777" s="34">
        <f>VLOOKUP(Table143454[[#This Row],[Date]],'Data Core CPI'!$A:$AX,MATCH($B$2,'Data Core CPI'!$B$1:$AX$1,0),FALSE)</f>
        <v>99.849850000000004</v>
      </c>
      <c r="G777" s="35">
        <f t="shared" si="48"/>
        <v>-5.276475774435907E-3</v>
      </c>
      <c r="H777" s="35">
        <f t="shared" si="49"/>
        <v>-6.1512128594563231E-2</v>
      </c>
      <c r="I777" s="35">
        <f>(Table143454[[#This Row],[Core CPI]]-F765)/F765</f>
        <v>6.2605929619901704E-3</v>
      </c>
    </row>
    <row r="778" spans="1:9" x14ac:dyDescent="0.35">
      <c r="A778" s="33">
        <f>IF(Data!A805="",#N/A,Data!A805)</f>
        <v>42339</v>
      </c>
      <c r="B778" s="34">
        <f>VLOOKUP(A778,Data!A:AX,MATCH($B$2,Data!$B$1:$AX$1,0),FALSE)</f>
        <v>99.813959999999994</v>
      </c>
      <c r="C778" s="35">
        <f t="shared" si="50"/>
        <v>0</v>
      </c>
      <c r="D778" s="35">
        <f t="shared" si="47"/>
        <v>0</v>
      </c>
      <c r="E778" s="35">
        <f>(Table143454[[#This Row],[JPN]]-B766)/B766</f>
        <v>9.3290345366814006E-4</v>
      </c>
      <c r="F778" s="34">
        <f>VLOOKUP(Table143454[[#This Row],[Date]],'Data Core CPI'!$A:$AX,MATCH($B$2,'Data Core CPI'!$B$1:$AX$1,0),FALSE)</f>
        <v>99.964250000000007</v>
      </c>
      <c r="G778" s="35">
        <f t="shared" si="48"/>
        <v>1.1457202990290405E-3</v>
      </c>
      <c r="H778" s="35">
        <f t="shared" si="49"/>
        <v>1.3835611863942221E-2</v>
      </c>
      <c r="I778" s="35">
        <f>(Table143454[[#This Row],[Core CPI]]-F766)/F766</f>
        <v>5.3636222286543821E-3</v>
      </c>
    </row>
    <row r="779" spans="1:9" x14ac:dyDescent="0.35">
      <c r="A779" s="33">
        <f>IF(Data!A806="",#N/A,Data!A806)</f>
        <v>42370</v>
      </c>
      <c r="B779" s="34">
        <f>VLOOKUP(A779,Data!A:AX,MATCH($B$2,Data!$B$1:$AX$1,0),FALSE)</f>
        <v>99.6</v>
      </c>
      <c r="C779" s="35">
        <f t="shared" si="50"/>
        <v>-2.14358793098679E-3</v>
      </c>
      <c r="D779" s="35">
        <f t="shared" si="47"/>
        <v>-2.5421943726438134E-2</v>
      </c>
      <c r="E779" s="35">
        <f>(Table143454[[#This Row],[JPN]]-B767)/B767</f>
        <v>2.5280617267398262E-3</v>
      </c>
      <c r="F779" s="34">
        <f>VLOOKUP(Table143454[[#This Row],[Date]],'Data Core CPI'!$A:$AX,MATCH($B$2,'Data Core CPI'!$B$1:$AX$1,0),FALSE)</f>
        <v>100.00620000000001</v>
      </c>
      <c r="G779" s="35">
        <f t="shared" si="48"/>
        <v>4.1965002488386638E-4</v>
      </c>
      <c r="H779" s="35">
        <f t="shared" si="49"/>
        <v>5.0474395780806258E-3</v>
      </c>
      <c r="I779" s="35">
        <f>(Table143454[[#This Row],[Core CPI]]-F767)/F767</f>
        <v>7.6209710002497454E-3</v>
      </c>
    </row>
    <row r="780" spans="1:9" x14ac:dyDescent="0.35">
      <c r="A780" s="33">
        <f>IF(Data!A807="",#N/A,Data!A807)</f>
        <v>42401</v>
      </c>
      <c r="B780" s="34">
        <f>VLOOKUP(A780,Data!A:AX,MATCH($B$2,Data!$B$1:$AX$1,0),FALSE)</f>
        <v>99.4</v>
      </c>
      <c r="C780" s="35">
        <f t="shared" si="50"/>
        <v>-2.0080321285139702E-3</v>
      </c>
      <c r="D780" s="35">
        <f t="shared" si="47"/>
        <v>-2.3832034070136565E-2</v>
      </c>
      <c r="E780" s="35">
        <f>(Table143454[[#This Row],[JPN]]-B768)/B768</f>
        <v>-3.2182812575052193E-3</v>
      </c>
      <c r="F780" s="34">
        <f>VLOOKUP(Table143454[[#This Row],[Date]],'Data Core CPI'!$A:$AX,MATCH($B$2,'Data Core CPI'!$B$1:$AX$1,0),FALSE)</f>
        <v>99.889290000000003</v>
      </c>
      <c r="G780" s="35">
        <f t="shared" si="48"/>
        <v>-1.1690275202937972E-3</v>
      </c>
      <c r="H780" s="35">
        <f t="shared" si="49"/>
        <v>-1.3938483525086642E-2</v>
      </c>
      <c r="I780" s="35">
        <f>(Table143454[[#This Row],[Core CPI]]-F768)/F768</f>
        <v>3.0715959616165176E-3</v>
      </c>
    </row>
    <row r="781" spans="1:9" x14ac:dyDescent="0.35">
      <c r="A781" s="33">
        <f>IF(Data!A808="",#N/A,Data!A808)</f>
        <v>42430</v>
      </c>
      <c r="B781" s="34">
        <f>VLOOKUP(A781,Data!A:AX,MATCH($B$2,Data!$B$1:$AX$1,0),FALSE)</f>
        <v>99.6</v>
      </c>
      <c r="C781" s="35">
        <f t="shared" si="50"/>
        <v>2.012072434607548E-3</v>
      </c>
      <c r="D781" s="35">
        <f t="shared" si="47"/>
        <v>2.4413866160251541E-2</v>
      </c>
      <c r="E781" s="35">
        <f>(Table143454[[#This Row],[JPN]]-B769)/B769</f>
        <v>-2.1435879309868095E-3</v>
      </c>
      <c r="F781" s="34">
        <f>VLOOKUP(Table143454[[#This Row],[Date]],'Data Core CPI'!$A:$AX,MATCH($B$2,'Data Core CPI'!$B$1:$AX$1,0),FALSE)</f>
        <v>100.16670000000001</v>
      </c>
      <c r="G781" s="35">
        <f t="shared" si="48"/>
        <v>2.777174610010702E-3</v>
      </c>
      <c r="H781" s="35">
        <f t="shared" si="49"/>
        <v>3.3839875311073797E-2</v>
      </c>
      <c r="I781" s="35">
        <f>(Table143454[[#This Row],[Core CPI]]-F769)/F769</f>
        <v>6.560191056784433E-3</v>
      </c>
    </row>
    <row r="782" spans="1:9" x14ac:dyDescent="0.35">
      <c r="A782" s="33">
        <f>IF(Data!A809="",#N/A,Data!A809)</f>
        <v>42461</v>
      </c>
      <c r="B782" s="34">
        <f>VLOOKUP(A782,Data!A:AX,MATCH($B$2,Data!$B$1:$AX$1,0),FALSE)</f>
        <v>99.5</v>
      </c>
      <c r="C782" s="35">
        <f t="shared" si="50"/>
        <v>-1.0040160642569296E-3</v>
      </c>
      <c r="D782" s="35">
        <f t="shared" si="47"/>
        <v>-1.1981883745171062E-2</v>
      </c>
      <c r="E782" s="35">
        <f>(Table143454[[#This Row],[JPN]]-B770)/B770</f>
        <v>-5.0000000000000001E-3</v>
      </c>
      <c r="F782" s="34">
        <f>VLOOKUP(Table143454[[#This Row],[Date]],'Data Core CPI'!$A:$AX,MATCH($B$2,'Data Core CPI'!$B$1:$AX$1,0),FALSE)</f>
        <v>100.28060000000001</v>
      </c>
      <c r="G782" s="35">
        <f t="shared" si="48"/>
        <v>1.1371044468870828E-3</v>
      </c>
      <c r="H782" s="35">
        <f t="shared" si="49"/>
        <v>1.3730916084616185E-2</v>
      </c>
      <c r="I782" s="35">
        <f>(Table143454[[#This Row],[Core CPI]]-F770)/F770</f>
        <v>3.5057445556788132E-3</v>
      </c>
    </row>
    <row r="783" spans="1:9" x14ac:dyDescent="0.35">
      <c r="A783" s="33">
        <f>IF(Data!A810="",#N/A,Data!A810)</f>
        <v>42491</v>
      </c>
      <c r="B783" s="34">
        <f>VLOOKUP(A783,Data!A:AX,MATCH($B$2,Data!$B$1:$AX$1,0),FALSE)</f>
        <v>99.8</v>
      </c>
      <c r="C783" s="35">
        <f t="shared" si="50"/>
        <v>3.0150753768845018E-3</v>
      </c>
      <c r="D783" s="35">
        <f t="shared" si="47"/>
        <v>3.67869604750235E-2</v>
      </c>
      <c r="E783" s="35">
        <f>(Table143454[[#This Row],[JPN]]-B771)/B771</f>
        <v>-2.9272776318024873E-3</v>
      </c>
      <c r="F783" s="34">
        <f>VLOOKUP(Table143454[[#This Row],[Date]],'Data Core CPI'!$A:$AX,MATCH($B$2,'Data Core CPI'!$B$1:$AX$1,0),FALSE)</f>
        <v>100.52670000000001</v>
      </c>
      <c r="G783" s="35">
        <f t="shared" si="48"/>
        <v>2.4541137567983817E-3</v>
      </c>
      <c r="H783" s="35">
        <f t="shared" si="49"/>
        <v>2.985013128523506E-2</v>
      </c>
      <c r="I783" s="35">
        <f>(Table143454[[#This Row],[Core CPI]]-F771)/F771</f>
        <v>5.9188354053427679E-3</v>
      </c>
    </row>
    <row r="784" spans="1:9" x14ac:dyDescent="0.35">
      <c r="A784" s="33">
        <f>IF(Data!A811="",#N/A,Data!A811)</f>
        <v>42522</v>
      </c>
      <c r="B784" s="34">
        <f>VLOOKUP(A784,Data!A:AX,MATCH($B$2,Data!$B$1:$AX$1,0),FALSE)</f>
        <v>99.9</v>
      </c>
      <c r="C784" s="35">
        <f t="shared" si="50"/>
        <v>1.0020040080160886E-3</v>
      </c>
      <c r="D784" s="35">
        <f t="shared" si="47"/>
        <v>1.2090534715389678E-2</v>
      </c>
      <c r="E784" s="35">
        <f>(Table143454[[#This Row],[JPN]]-B772)/B772</f>
        <v>-3.7804487674898755E-3</v>
      </c>
      <c r="F784" s="34">
        <f>VLOOKUP(Table143454[[#This Row],[Date]],'Data Core CPI'!$A:$AX,MATCH($B$2,'Data Core CPI'!$B$1:$AX$1,0),FALSE)</f>
        <v>100.52290000000001</v>
      </c>
      <c r="G784" s="35">
        <f t="shared" si="48"/>
        <v>-3.7800902645712675E-5</v>
      </c>
      <c r="H784" s="35">
        <f t="shared" si="49"/>
        <v>-4.535165356869264E-4</v>
      </c>
      <c r="I784" s="35">
        <f>(Table143454[[#This Row],[Core CPI]]-F772)/F772</f>
        <v>3.5741062987134625E-3</v>
      </c>
    </row>
    <row r="785" spans="1:9" x14ac:dyDescent="0.35">
      <c r="A785" s="33">
        <f>IF(Data!A812="",#N/A,Data!A812)</f>
        <v>42552</v>
      </c>
      <c r="B785" s="34">
        <f>VLOOKUP(A785,Data!A:AX,MATCH($B$2,Data!$B$1:$AX$1,0),FALSE)</f>
        <v>100.1</v>
      </c>
      <c r="C785" s="35">
        <f t="shared" si="50"/>
        <v>2.0020020020019569E-3</v>
      </c>
      <c r="D785" s="35">
        <f t="shared" si="47"/>
        <v>2.4290326084948966E-2</v>
      </c>
      <c r="E785" s="35">
        <f>(Table143454[[#This Row],[JPN]]-B773)/B773</f>
        <v>-8.58403369732425E-4</v>
      </c>
      <c r="F785" s="34">
        <f>VLOOKUP(Table143454[[#This Row],[Date]],'Data Core CPI'!$A:$AX,MATCH($B$2,'Data Core CPI'!$B$1:$AX$1,0),FALSE)</f>
        <v>100.9569</v>
      </c>
      <c r="G785" s="35">
        <f t="shared" si="48"/>
        <v>4.3174241889161191E-3</v>
      </c>
      <c r="H785" s="35">
        <f t="shared" si="49"/>
        <v>5.3057218495958125E-2</v>
      </c>
      <c r="I785" s="35">
        <f>(Table143454[[#This Row],[Core CPI]]-F773)/F773</f>
        <v>6.0097375485531962E-3</v>
      </c>
    </row>
    <row r="786" spans="1:9" x14ac:dyDescent="0.35">
      <c r="A786" s="33">
        <f>IF(Data!A813="",#N/A,Data!A813)</f>
        <v>42583</v>
      </c>
      <c r="B786" s="34">
        <f>VLOOKUP(A786,Data!A:AX,MATCH($B$2,Data!$B$1:$AX$1,0),FALSE)</f>
        <v>100.3</v>
      </c>
      <c r="C786" s="35">
        <f t="shared" si="50"/>
        <v>1.9980019980019303E-3</v>
      </c>
      <c r="D786" s="35">
        <f t="shared" si="47"/>
        <v>2.4241259411187155E-2</v>
      </c>
      <c r="E786" s="35">
        <f>(Table143454[[#This Row],[JPN]]-B774)/B774</f>
        <v>-7.1832710484293983E-4</v>
      </c>
      <c r="F786" s="34">
        <f>VLOOKUP(Table143454[[#This Row],[Date]],'Data Core CPI'!$A:$AX,MATCH($B$2,'Data Core CPI'!$B$1:$AX$1,0),FALSE)</f>
        <v>101.2396</v>
      </c>
      <c r="G786" s="35">
        <f t="shared" si="48"/>
        <v>2.8002048398869661E-3</v>
      </c>
      <c r="H786" s="35">
        <f t="shared" si="49"/>
        <v>3.4124834861415598E-2</v>
      </c>
      <c r="I786" s="35">
        <f>(Table143454[[#This Row],[Core CPI]]-F774)/F774</f>
        <v>4.7279165409593801E-3</v>
      </c>
    </row>
    <row r="787" spans="1:9" x14ac:dyDescent="0.35">
      <c r="A787" s="33">
        <f>IF(Data!A814="",#N/A,Data!A814)</f>
        <v>42614</v>
      </c>
      <c r="B787" s="34">
        <f>VLOOKUP(A787,Data!A:AX,MATCH($B$2,Data!$B$1:$AX$1,0),FALSE)</f>
        <v>100.1</v>
      </c>
      <c r="C787" s="35">
        <f t="shared" si="50"/>
        <v>-1.9940179461614971E-3</v>
      </c>
      <c r="D787" s="35">
        <f t="shared" si="47"/>
        <v>-2.3667528708151031E-2</v>
      </c>
      <c r="E787" s="35">
        <f>(Table143454[[#This Row],[JPN]]-B775)/B775</f>
        <v>9.9999999999994321E-4</v>
      </c>
      <c r="F787" s="34">
        <f>VLOOKUP(Table143454[[#This Row],[Date]],'Data Core CPI'!$A:$AX,MATCH($B$2,'Data Core CPI'!$B$1:$AX$1,0),FALSE)</f>
        <v>100.8128</v>
      </c>
      <c r="G787" s="35">
        <f t="shared" si="48"/>
        <v>-4.2157416663044511E-3</v>
      </c>
      <c r="H787" s="35">
        <f t="shared" si="49"/>
        <v>-4.943224447785699E-2</v>
      </c>
      <c r="I787" s="35">
        <f>(Table143454[[#This Row],[Core CPI]]-F775)/F775</f>
        <v>4.9924236382486459E-3</v>
      </c>
    </row>
    <row r="788" spans="1:9" x14ac:dyDescent="0.35">
      <c r="A788" s="33">
        <f>IF(Data!A815="",#N/A,Data!A815)</f>
        <v>42644</v>
      </c>
      <c r="B788" s="34">
        <f>VLOOKUP(A788,Data!A:AX,MATCH($B$2,Data!$B$1:$AX$1,0),FALSE)</f>
        <v>100</v>
      </c>
      <c r="C788" s="35">
        <f t="shared" si="50"/>
        <v>-9.9900099900096517E-4</v>
      </c>
      <c r="D788" s="35">
        <f t="shared" si="47"/>
        <v>-1.19223626393552E-2</v>
      </c>
      <c r="E788" s="35">
        <f>(Table143454[[#This Row],[JPN]]-B776)/B776</f>
        <v>-1.8565468229094588E-3</v>
      </c>
      <c r="F788" s="34">
        <f>VLOOKUP(Table143454[[#This Row],[Date]],'Data Core CPI'!$A:$AX,MATCH($B$2,'Data Core CPI'!$B$1:$AX$1,0),FALSE)</f>
        <v>100.59569999999999</v>
      </c>
      <c r="G788" s="35">
        <f t="shared" si="48"/>
        <v>-2.1534963814119346E-3</v>
      </c>
      <c r="H788" s="35">
        <f t="shared" si="49"/>
        <v>-2.5538065014564792E-2</v>
      </c>
      <c r="I788" s="35">
        <f>(Table143454[[#This Row],[Core CPI]]-F776)/F776</f>
        <v>2.1538262294592088E-3</v>
      </c>
    </row>
    <row r="789" spans="1:9" x14ac:dyDescent="0.35">
      <c r="A789" s="33">
        <f>IF(Data!A816="",#N/A,Data!A816)</f>
        <v>42675</v>
      </c>
      <c r="B789" s="34">
        <f>VLOOKUP(A789,Data!A:AX,MATCH($B$2,Data!$B$1:$AX$1,0),FALSE)</f>
        <v>99.9</v>
      </c>
      <c r="C789" s="35">
        <f t="shared" si="50"/>
        <v>-9.9999999999988987E-4</v>
      </c>
      <c r="D789" s="35">
        <f t="shared" si="47"/>
        <v>-1.1934219505789656E-2</v>
      </c>
      <c r="E789" s="35">
        <f>(Table143454[[#This Row],[JPN]]-B777)/B777</f>
        <v>8.6200367163081419E-4</v>
      </c>
      <c r="F789" s="34">
        <f>VLOOKUP(Table143454[[#This Row],[Date]],'Data Core CPI'!$A:$AX,MATCH($B$2,'Data Core CPI'!$B$1:$AX$1,0),FALSE)</f>
        <v>100.3113</v>
      </c>
      <c r="G789" s="35">
        <f t="shared" si="48"/>
        <v>-2.8271586161237039E-3</v>
      </c>
      <c r="H789" s="35">
        <f t="shared" si="49"/>
        <v>-3.3403316744383349E-2</v>
      </c>
      <c r="I789" s="35">
        <f>(Table143454[[#This Row],[Core CPI]]-F777)/F777</f>
        <v>4.6214390907948211E-3</v>
      </c>
    </row>
    <row r="790" spans="1:9" x14ac:dyDescent="0.35">
      <c r="A790" s="33">
        <f>IF(Data!A817="",#N/A,Data!A817)</f>
        <v>42705</v>
      </c>
      <c r="B790" s="34">
        <f>VLOOKUP(A790,Data!A:AX,MATCH($B$2,Data!$B$1:$AX$1,0),FALSE)</f>
        <v>100.3</v>
      </c>
      <c r="C790" s="35">
        <f t="shared" si="50"/>
        <v>4.0040040040039138E-3</v>
      </c>
      <c r="D790" s="35">
        <f t="shared" si="47"/>
        <v>4.912041359194208E-2</v>
      </c>
      <c r="E790" s="35">
        <f>(Table143454[[#This Row],[JPN]]-B778)/B778</f>
        <v>4.8694591417874087E-3</v>
      </c>
      <c r="F790" s="34">
        <f>VLOOKUP(Table143454[[#This Row],[Date]],'Data Core CPI'!$A:$AX,MATCH($B$2,'Data Core CPI'!$B$1:$AX$1,0),FALSE)</f>
        <v>100.6673</v>
      </c>
      <c r="G790" s="35">
        <f t="shared" si="48"/>
        <v>3.5489521120750656E-3</v>
      </c>
      <c r="H790" s="35">
        <f t="shared" si="49"/>
        <v>4.3428612188543658E-2</v>
      </c>
      <c r="I790" s="35">
        <f>(Table143454[[#This Row],[Core CPI]]-F778)/F778</f>
        <v>7.033014302613088E-3</v>
      </c>
    </row>
    <row r="791" spans="1:9" x14ac:dyDescent="0.35">
      <c r="A791" s="33">
        <f>IF(Data!A818="",#N/A,Data!A818)</f>
        <v>42736</v>
      </c>
      <c r="B791" s="34">
        <f>VLOOKUP(A791,Data!A:AX,MATCH($B$2,Data!$B$1:$AX$1,0),FALSE)</f>
        <v>100.6</v>
      </c>
      <c r="C791" s="35">
        <f t="shared" si="50"/>
        <v>2.9910269192421346E-3</v>
      </c>
      <c r="D791" s="35">
        <f t="shared" si="47"/>
        <v>3.6488701671862023E-2</v>
      </c>
      <c r="E791" s="35">
        <f>(Table143454[[#This Row],[JPN]]-B779)/B779</f>
        <v>1.0040160642570281E-2</v>
      </c>
      <c r="F791" s="34">
        <f>VLOOKUP(Table143454[[#This Row],[Date]],'Data Core CPI'!$A:$AX,MATCH($B$2,'Data Core CPI'!$B$1:$AX$1,0),FALSE)</f>
        <v>100.5359</v>
      </c>
      <c r="G791" s="35">
        <f t="shared" si="48"/>
        <v>-1.3052898011568503E-3</v>
      </c>
      <c r="H791" s="35">
        <f t="shared" si="49"/>
        <v>-1.5551515867552324E-2</v>
      </c>
      <c r="I791" s="35">
        <f>(Table143454[[#This Row],[Core CPI]]-F779)/F779</f>
        <v>5.2966716063603172E-3</v>
      </c>
    </row>
    <row r="792" spans="1:9" x14ac:dyDescent="0.35">
      <c r="A792" s="33">
        <f>IF(Data!A819="",#N/A,Data!A819)</f>
        <v>42767</v>
      </c>
      <c r="B792" s="34">
        <f>VLOOKUP(A792,Data!A:AX,MATCH($B$2,Data!$B$1:$AX$1,0),FALSE)</f>
        <v>101</v>
      </c>
      <c r="C792" s="35">
        <f t="shared" si="50"/>
        <v>3.9761431411531323E-3</v>
      </c>
      <c r="D792" s="35">
        <f t="shared" si="47"/>
        <v>4.8771112921956572E-2</v>
      </c>
      <c r="E792" s="35">
        <f>(Table143454[[#This Row],[JPN]]-B780)/B780</f>
        <v>1.6096579476861109E-2</v>
      </c>
      <c r="F792" s="34">
        <f>VLOOKUP(Table143454[[#This Row],[Date]],'Data Core CPI'!$A:$AX,MATCH($B$2,'Data Core CPI'!$B$1:$AX$1,0),FALSE)</f>
        <v>100.6614</v>
      </c>
      <c r="G792" s="35">
        <f t="shared" si="48"/>
        <v>1.2483103050751065E-3</v>
      </c>
      <c r="H792" s="35">
        <f t="shared" si="49"/>
        <v>1.5082999201408764E-2</v>
      </c>
      <c r="I792" s="35">
        <f>(Table143454[[#This Row],[Core CPI]]-F780)/F780</f>
        <v>7.7296575038224603E-3</v>
      </c>
    </row>
    <row r="793" spans="1:9" x14ac:dyDescent="0.35">
      <c r="A793" s="33">
        <f>IF(Data!A820="",#N/A,Data!A820)</f>
        <v>42795</v>
      </c>
      <c r="B793" s="34">
        <f>VLOOKUP(A793,Data!A:AX,MATCH($B$2,Data!$B$1:$AX$1,0),FALSE)</f>
        <v>101</v>
      </c>
      <c r="C793" s="35">
        <f t="shared" si="50"/>
        <v>0</v>
      </c>
      <c r="D793" s="35">
        <f t="shared" si="47"/>
        <v>0</v>
      </c>
      <c r="E793" s="35">
        <f>(Table143454[[#This Row],[JPN]]-B781)/B781</f>
        <v>1.4056224899598452E-2</v>
      </c>
      <c r="F793" s="34">
        <f>VLOOKUP(Table143454[[#This Row],[Date]],'Data Core CPI'!$A:$AX,MATCH($B$2,'Data Core CPI'!$B$1:$AX$1,0),FALSE)</f>
        <v>100.9057</v>
      </c>
      <c r="G793" s="35">
        <f t="shared" si="48"/>
        <v>2.4269481648377944E-3</v>
      </c>
      <c r="H793" s="35">
        <f t="shared" si="49"/>
        <v>2.9515285206780595E-2</v>
      </c>
      <c r="I793" s="35">
        <f>(Table143454[[#This Row],[Core CPI]]-F781)/F781</f>
        <v>7.3777013718130885E-3</v>
      </c>
    </row>
    <row r="794" spans="1:9" x14ac:dyDescent="0.35">
      <c r="A794" s="33">
        <f>IF(Data!A821="",#N/A,Data!A821)</f>
        <v>42826</v>
      </c>
      <c r="B794" s="34">
        <f>VLOOKUP(A794,Data!A:AX,MATCH($B$2,Data!$B$1:$AX$1,0),FALSE)</f>
        <v>101.4</v>
      </c>
      <c r="C794" s="35">
        <f t="shared" si="50"/>
        <v>3.9603960396039639E-3</v>
      </c>
      <c r="D794" s="35">
        <f t="shared" si="47"/>
        <v>4.8573733563356924E-2</v>
      </c>
      <c r="E794" s="35">
        <f>(Table143454[[#This Row],[JPN]]-B782)/B782</f>
        <v>1.909547738693473E-2</v>
      </c>
      <c r="F794" s="34">
        <f>VLOOKUP(Table143454[[#This Row],[Date]],'Data Core CPI'!$A:$AX,MATCH($B$2,'Data Core CPI'!$B$1:$AX$1,0),FALSE)</f>
        <v>101.52209999999999</v>
      </c>
      <c r="G794" s="35">
        <f t="shared" si="48"/>
        <v>6.1086737419193682E-3</v>
      </c>
      <c r="H794" s="35">
        <f t="shared" si="49"/>
        <v>7.5817779164235599E-2</v>
      </c>
      <c r="I794" s="35">
        <f>(Table143454[[#This Row],[Core CPI]]-F782)/F782</f>
        <v>1.2380260987668481E-2</v>
      </c>
    </row>
    <row r="795" spans="1:9" x14ac:dyDescent="0.35">
      <c r="A795" s="33">
        <f>IF(Data!A822="",#N/A,Data!A822)</f>
        <v>42856</v>
      </c>
      <c r="B795" s="34">
        <f>VLOOKUP(A795,Data!A:AX,MATCH($B$2,Data!$B$1:$AX$1,0),FALSE)</f>
        <v>101.2</v>
      </c>
      <c r="C795" s="35">
        <f t="shared" si="50"/>
        <v>-1.9723865877712132E-3</v>
      </c>
      <c r="D795" s="35">
        <f t="shared" si="47"/>
        <v>-2.3413559303516851E-2</v>
      </c>
      <c r="E795" s="35">
        <f>(Table143454[[#This Row],[JPN]]-B783)/B783</f>
        <v>1.4028056112224506E-2</v>
      </c>
      <c r="F795" s="34">
        <f>VLOOKUP(Table143454[[#This Row],[Date]],'Data Core CPI'!$A:$AX,MATCH($B$2,'Data Core CPI'!$B$1:$AX$1,0),FALSE)</f>
        <v>101.2722</v>
      </c>
      <c r="G795" s="35">
        <f t="shared" si="48"/>
        <v>-2.4615330061139584E-3</v>
      </c>
      <c r="H795" s="35">
        <f t="shared" si="49"/>
        <v>-2.9141755671481251E-2</v>
      </c>
      <c r="I795" s="35">
        <f>(Table143454[[#This Row],[Core CPI]]-F783)/F783</f>
        <v>7.4159402427414079E-3</v>
      </c>
    </row>
    <row r="796" spans="1:9" x14ac:dyDescent="0.35">
      <c r="A796" s="33">
        <f>IF(Data!A823="",#N/A,Data!A823)</f>
        <v>42887</v>
      </c>
      <c r="B796" s="34">
        <f>VLOOKUP(A796,Data!A:AX,MATCH($B$2,Data!$B$1:$AX$1,0),FALSE)</f>
        <v>101.1</v>
      </c>
      <c r="C796" s="35">
        <f t="shared" si="50"/>
        <v>-9.8814229249022389E-4</v>
      </c>
      <c r="D796" s="35">
        <f t="shared" si="47"/>
        <v>-1.1793475242483642E-2</v>
      </c>
      <c r="E796" s="35">
        <f>(Table143454[[#This Row],[JPN]]-B784)/B784</f>
        <v>1.2012012012011897E-2</v>
      </c>
      <c r="F796" s="34">
        <f>VLOOKUP(Table143454[[#This Row],[Date]],'Data Core CPI'!$A:$AX,MATCH($B$2,'Data Core CPI'!$B$1:$AX$1,0),FALSE)</f>
        <v>101.398</v>
      </c>
      <c r="G796" s="35">
        <f t="shared" si="48"/>
        <v>1.2421967726581329E-3</v>
      </c>
      <c r="H796" s="35">
        <f t="shared" si="49"/>
        <v>1.500862562964822E-2</v>
      </c>
      <c r="I796" s="35">
        <f>(Table143454[[#This Row],[Core CPI]]-F784)/F784</f>
        <v>8.7054790500471942E-3</v>
      </c>
    </row>
    <row r="797" spans="1:9" x14ac:dyDescent="0.35">
      <c r="A797" s="33">
        <f>IF(Data!A824="",#N/A,Data!A824)</f>
        <v>42917</v>
      </c>
      <c r="B797" s="34">
        <f>VLOOKUP(A797,Data!A:AX,MATCH($B$2,Data!$B$1:$AX$1,0),FALSE)</f>
        <v>101.2</v>
      </c>
      <c r="C797" s="35">
        <f t="shared" si="50"/>
        <v>9.8911968348169843E-4</v>
      </c>
      <c r="D797" s="35">
        <f t="shared" si="47"/>
        <v>1.1934221184560778E-2</v>
      </c>
      <c r="E797" s="35">
        <f>(Table143454[[#This Row],[JPN]]-B785)/B785</f>
        <v>1.0989010989011075E-2</v>
      </c>
      <c r="F797" s="34">
        <f>VLOOKUP(Table143454[[#This Row],[Date]],'Data Core CPI'!$A:$AX,MATCH($B$2,'Data Core CPI'!$B$1:$AX$1,0),FALSE)</f>
        <v>101.83029999999999</v>
      </c>
      <c r="G797" s="35">
        <f t="shared" si="48"/>
        <v>4.2633977001518275E-3</v>
      </c>
      <c r="H797" s="35">
        <f t="shared" si="49"/>
        <v>5.2377638680242367E-2</v>
      </c>
      <c r="I797" s="35">
        <f>(Table143454[[#This Row],[Core CPI]]-F785)/F785</f>
        <v>8.6512165092231391E-3</v>
      </c>
    </row>
    <row r="798" spans="1:9" x14ac:dyDescent="0.35">
      <c r="A798" s="33">
        <f>IF(Data!A825="",#N/A,Data!A825)</f>
        <v>42948</v>
      </c>
      <c r="B798" s="34">
        <f>VLOOKUP(A798,Data!A:AX,MATCH($B$2,Data!$B$1:$AX$1,0),FALSE)</f>
        <v>101.5</v>
      </c>
      <c r="C798" s="35">
        <f t="shared" si="50"/>
        <v>2.9644268774702276E-3</v>
      </c>
      <c r="D798" s="35">
        <f t="shared" si="47"/>
        <v>3.6158888692721547E-2</v>
      </c>
      <c r="E798" s="35">
        <f>(Table143454[[#This Row],[JPN]]-B786)/B786</f>
        <v>1.1964107676969121E-2</v>
      </c>
      <c r="F798" s="34">
        <f>VLOOKUP(Table143454[[#This Row],[Date]],'Data Core CPI'!$A:$AX,MATCH($B$2,'Data Core CPI'!$B$1:$AX$1,0),FALSE)</f>
        <v>102.1572</v>
      </c>
      <c r="G798" s="35">
        <f t="shared" si="48"/>
        <v>3.210242923766371E-3</v>
      </c>
      <c r="H798" s="35">
        <f t="shared" si="49"/>
        <v>3.9210419871670732E-2</v>
      </c>
      <c r="I798" s="35">
        <f>(Table143454[[#This Row],[Core CPI]]-F786)/F786</f>
        <v>9.0636470313988533E-3</v>
      </c>
    </row>
    <row r="799" spans="1:9" x14ac:dyDescent="0.35">
      <c r="A799" s="33">
        <f>IF(Data!A826="",#N/A,Data!A826)</f>
        <v>42979</v>
      </c>
      <c r="B799" s="34">
        <f>VLOOKUP(A799,Data!A:AX,MATCH($B$2,Data!$B$1:$AX$1,0),FALSE)</f>
        <v>101.2</v>
      </c>
      <c r="C799" s="35">
        <f t="shared" si="50"/>
        <v>-2.9556650246305161E-3</v>
      </c>
      <c r="D799" s="35">
        <f t="shared" si="47"/>
        <v>-3.4897050140970998E-2</v>
      </c>
      <c r="E799" s="35">
        <f>(Table143454[[#This Row],[JPN]]-B787)/B787</f>
        <v>1.0989010989011075E-2</v>
      </c>
      <c r="F799" s="34">
        <f>VLOOKUP(Table143454[[#This Row],[Date]],'Data Core CPI'!$A:$AX,MATCH($B$2,'Data Core CPI'!$B$1:$AX$1,0),FALSE)</f>
        <v>101.5873</v>
      </c>
      <c r="G799" s="35">
        <f t="shared" si="48"/>
        <v>-5.5786572067363371E-3</v>
      </c>
      <c r="H799" s="35">
        <f t="shared" si="49"/>
        <v>-6.4927593289512142E-2</v>
      </c>
      <c r="I799" s="35">
        <f>(Table143454[[#This Row],[Core CPI]]-F787)/F787</f>
        <v>7.6825561833418305E-3</v>
      </c>
    </row>
    <row r="800" spans="1:9" x14ac:dyDescent="0.35">
      <c r="A800" s="33">
        <f>IF(Data!A827="",#N/A,Data!A827)</f>
        <v>43009</v>
      </c>
      <c r="B800" s="34">
        <f>VLOOKUP(A800,Data!A:AX,MATCH($B$2,Data!$B$1:$AX$1,0),FALSE)</f>
        <v>101</v>
      </c>
      <c r="C800" s="35">
        <f t="shared" si="50"/>
        <v>-1.9762845849802257E-3</v>
      </c>
      <c r="D800" s="35">
        <f t="shared" si="47"/>
        <v>-2.3459329373158533E-2</v>
      </c>
      <c r="E800" s="35">
        <f>(Table143454[[#This Row],[JPN]]-B788)/B788</f>
        <v>0.01</v>
      </c>
      <c r="F800" s="34">
        <f>VLOOKUP(Table143454[[#This Row],[Date]],'Data Core CPI'!$A:$AX,MATCH($B$2,'Data Core CPI'!$B$1:$AX$1,0),FALSE)</f>
        <v>101.0125</v>
      </c>
      <c r="G800" s="35">
        <f t="shared" si="48"/>
        <v>-5.6581875884091914E-3</v>
      </c>
      <c r="H800" s="35">
        <f t="shared" si="49"/>
        <v>-6.5824604958658384E-2</v>
      </c>
      <c r="I800" s="35">
        <f>(Table143454[[#This Row],[Core CPI]]-F788)/F788</f>
        <v>4.1433182531659821E-3</v>
      </c>
    </row>
    <row r="801" spans="1:9" x14ac:dyDescent="0.35">
      <c r="A801" s="33">
        <f>IF(Data!A828="",#N/A,Data!A828)</f>
        <v>43040</v>
      </c>
      <c r="B801" s="34">
        <f>VLOOKUP(A801,Data!A:AX,MATCH($B$2,Data!$B$1:$AX$1,0),FALSE)</f>
        <v>100.8</v>
      </c>
      <c r="C801" s="35">
        <f t="shared" si="50"/>
        <v>-1.980198019801982E-3</v>
      </c>
      <c r="D801" s="35">
        <f t="shared" si="47"/>
        <v>-2.3505278732334434E-2</v>
      </c>
      <c r="E801" s="35">
        <f>(Table143454[[#This Row],[JPN]]-B789)/B789</f>
        <v>9.0090090090089239E-3</v>
      </c>
      <c r="F801" s="34">
        <f>VLOOKUP(Table143454[[#This Row],[Date]],'Data Core CPI'!$A:$AX,MATCH($B$2,'Data Core CPI'!$B$1:$AX$1,0),FALSE)</f>
        <v>100.599</v>
      </c>
      <c r="G801" s="35">
        <f t="shared" si="48"/>
        <v>-4.093552778121512E-3</v>
      </c>
      <c r="H801" s="35">
        <f t="shared" si="49"/>
        <v>-4.8031612942236346E-2</v>
      </c>
      <c r="I801" s="35">
        <f>(Table143454[[#This Row],[Core CPI]]-F789)/F789</f>
        <v>2.8680716928202602E-3</v>
      </c>
    </row>
    <row r="802" spans="1:9" x14ac:dyDescent="0.35">
      <c r="A802" s="33">
        <f>IF(Data!A829="",#N/A,Data!A829)</f>
        <v>43070</v>
      </c>
      <c r="B802" s="34">
        <f>VLOOKUP(A802,Data!A:AX,MATCH($B$2,Data!$B$1:$AX$1,0),FALSE)</f>
        <v>101.2</v>
      </c>
      <c r="C802" s="35">
        <f t="shared" si="50"/>
        <v>3.9682539682539542E-3</v>
      </c>
      <c r="D802" s="35">
        <f t="shared" si="47"/>
        <v>4.8672223172999463E-2</v>
      </c>
      <c r="E802" s="35">
        <f>(Table143454[[#This Row],[JPN]]-B790)/B790</f>
        <v>8.9730807577268756E-3</v>
      </c>
      <c r="F802" s="34">
        <f>VLOOKUP(Table143454[[#This Row],[Date]],'Data Core CPI'!$A:$AX,MATCH($B$2,'Data Core CPI'!$B$1:$AX$1,0),FALSE)</f>
        <v>101.08029999999999</v>
      </c>
      <c r="G802" s="35">
        <f t="shared" si="48"/>
        <v>4.7843417926618503E-3</v>
      </c>
      <c r="H802" s="35">
        <f t="shared" si="49"/>
        <v>5.8947190915630943E-2</v>
      </c>
      <c r="I802" s="35">
        <f>(Table143454[[#This Row],[Core CPI]]-F790)/F790</f>
        <v>4.1026231954169497E-3</v>
      </c>
    </row>
    <row r="803" spans="1:9" x14ac:dyDescent="0.35">
      <c r="A803" s="33">
        <f>IF(Data!A830="",#N/A,Data!A830)</f>
        <v>43101</v>
      </c>
      <c r="B803" s="34">
        <f>VLOOKUP(A803,Data!A:AX,MATCH($B$2,Data!$B$1:$AX$1,0),FALSE)</f>
        <v>101.5</v>
      </c>
      <c r="C803" s="35">
        <f t="shared" si="50"/>
        <v>2.9644268774702276E-3</v>
      </c>
      <c r="D803" s="35">
        <f t="shared" si="47"/>
        <v>3.6158888692721547E-2</v>
      </c>
      <c r="E803" s="35">
        <f>(Table143454[[#This Row],[JPN]]-B791)/B791</f>
        <v>8.9463220675944904E-3</v>
      </c>
      <c r="F803" s="34">
        <f>VLOOKUP(Table143454[[#This Row],[Date]],'Data Core CPI'!$A:$AX,MATCH($B$2,'Data Core CPI'!$B$1:$AX$1,0),FALSE)</f>
        <v>100.9319</v>
      </c>
      <c r="G803" s="35">
        <f t="shared" si="48"/>
        <v>-1.4681396869616892E-3</v>
      </c>
      <c r="H803" s="35">
        <f t="shared" si="49"/>
        <v>-1.74761114811951E-2</v>
      </c>
      <c r="I803" s="35">
        <f>(Table143454[[#This Row],[Core CPI]]-F791)/F791</f>
        <v>3.9388914805557097E-3</v>
      </c>
    </row>
    <row r="804" spans="1:9" x14ac:dyDescent="0.35">
      <c r="A804" s="33">
        <f>IF(Data!A831="",#N/A,Data!A831)</f>
        <v>43132</v>
      </c>
      <c r="B804" s="34">
        <f>VLOOKUP(A804,Data!A:AX,MATCH($B$2,Data!$B$1:$AX$1,0),FALSE)</f>
        <v>101.5</v>
      </c>
      <c r="C804" s="35">
        <f t="shared" si="50"/>
        <v>0</v>
      </c>
      <c r="D804" s="35">
        <f t="shared" si="47"/>
        <v>0</v>
      </c>
      <c r="E804" s="35">
        <f>(Table143454[[#This Row],[JPN]]-B792)/B792</f>
        <v>4.9504950495049506E-3</v>
      </c>
      <c r="F804" s="34">
        <f>VLOOKUP(Table143454[[#This Row],[Date]],'Data Core CPI'!$A:$AX,MATCH($B$2,'Data Core CPI'!$B$1:$AX$1,0),FALSE)</f>
        <v>101.0737</v>
      </c>
      <c r="G804" s="35">
        <f t="shared" si="48"/>
        <v>1.4049076654656378E-3</v>
      </c>
      <c r="H804" s="35">
        <f t="shared" si="49"/>
        <v>1.6989772495362931E-2</v>
      </c>
      <c r="I804" s="35">
        <f>(Table143454[[#This Row],[Core CPI]]-F792)/F792</f>
        <v>4.09590965355143E-3</v>
      </c>
    </row>
    <row r="805" spans="1:9" x14ac:dyDescent="0.35">
      <c r="A805" s="33">
        <f>IF(Data!A832="",#N/A,Data!A832)</f>
        <v>43160</v>
      </c>
      <c r="B805" s="34">
        <f>VLOOKUP(A805,Data!A:AX,MATCH($B$2,Data!$B$1:$AX$1,0),FALSE)</f>
        <v>101.8</v>
      </c>
      <c r="C805" s="35">
        <f t="shared" si="50"/>
        <v>2.9556650246305161E-3</v>
      </c>
      <c r="D805" s="35">
        <f t="shared" si="47"/>
        <v>3.6050271853349747E-2</v>
      </c>
      <c r="E805" s="35">
        <f>(Table143454[[#This Row],[JPN]]-B793)/B793</f>
        <v>7.9207920792078931E-3</v>
      </c>
      <c r="F805" s="34">
        <f>VLOOKUP(Table143454[[#This Row],[Date]],'Data Core CPI'!$A:$AX,MATCH($B$2,'Data Core CPI'!$B$1:$AX$1,0),FALSE)</f>
        <v>101.5009</v>
      </c>
      <c r="G805" s="35">
        <f t="shared" si="48"/>
        <v>4.2266187940087629E-3</v>
      </c>
      <c r="H805" s="35">
        <f t="shared" si="49"/>
        <v>5.1915240032037513E-2</v>
      </c>
      <c r="I805" s="35">
        <f>(Table143454[[#This Row],[Core CPI]]-F793)/F793</f>
        <v>5.8985765918080496E-3</v>
      </c>
    </row>
    <row r="806" spans="1:9" x14ac:dyDescent="0.35">
      <c r="A806" s="33">
        <f>IF(Data!A833="",#N/A,Data!A833)</f>
        <v>43191</v>
      </c>
      <c r="B806" s="34">
        <f>VLOOKUP(A806,Data!A:AX,MATCH($B$2,Data!$B$1:$AX$1,0),FALSE)</f>
        <v>101.9</v>
      </c>
      <c r="C806" s="35">
        <f t="shared" si="50"/>
        <v>9.8231827111994185E-4</v>
      </c>
      <c r="D806" s="35">
        <f t="shared" si="47"/>
        <v>1.1851714896520038E-2</v>
      </c>
      <c r="E806" s="35">
        <f>(Table143454[[#This Row],[JPN]]-B794)/B794</f>
        <v>4.9309664694280079E-3</v>
      </c>
      <c r="F806" s="34">
        <f>VLOOKUP(Table143454[[#This Row],[Date]],'Data Core CPI'!$A:$AX,MATCH($B$2,'Data Core CPI'!$B$1:$AX$1,0),FALSE)</f>
        <v>101.8411</v>
      </c>
      <c r="G806" s="35">
        <f t="shared" si="48"/>
        <v>3.3516944184730502E-3</v>
      </c>
      <c r="H806" s="35">
        <f t="shared" si="49"/>
        <v>4.0970113827239363E-2</v>
      </c>
      <c r="I806" s="35">
        <f>(Table143454[[#This Row],[Core CPI]]-F794)/F794</f>
        <v>3.1421729849954111E-3</v>
      </c>
    </row>
    <row r="807" spans="1:9" x14ac:dyDescent="0.35">
      <c r="A807" s="33">
        <f>IF(Data!A834="",#N/A,Data!A834)</f>
        <v>43221</v>
      </c>
      <c r="B807" s="34">
        <f>VLOOKUP(A807,Data!A:AX,MATCH($B$2,Data!$B$1:$AX$1,0),FALSE)</f>
        <v>102.2</v>
      </c>
      <c r="C807" s="35">
        <f t="shared" si="50"/>
        <v>2.9440628066732533E-3</v>
      </c>
      <c r="D807" s="35">
        <f t="shared" si="47"/>
        <v>3.5906460316415201E-2</v>
      </c>
      <c r="E807" s="35">
        <f>(Table143454[[#This Row],[JPN]]-B795)/B795</f>
        <v>9.881422924901186E-3</v>
      </c>
      <c r="F807" s="34">
        <f>VLOOKUP(Table143454[[#This Row],[Date]],'Data Core CPI'!$A:$AX,MATCH($B$2,'Data Core CPI'!$B$1:$AX$1,0),FALSE)</f>
        <v>101.9453</v>
      </c>
      <c r="G807" s="35">
        <f t="shared" si="48"/>
        <v>1.0231625542143075E-3</v>
      </c>
      <c r="H807" s="35">
        <f t="shared" si="49"/>
        <v>1.2347279704467695E-2</v>
      </c>
      <c r="I807" s="35">
        <f>(Table143454[[#This Row],[Core CPI]]-F795)/F795</f>
        <v>6.6464439401929176E-3</v>
      </c>
    </row>
    <row r="808" spans="1:9" x14ac:dyDescent="0.35">
      <c r="A808" s="33">
        <f>IF(Data!A835="",#N/A,Data!A835)</f>
        <v>43252</v>
      </c>
      <c r="B808" s="34">
        <f>VLOOKUP(A808,Data!A:AX,MATCH($B$2,Data!$B$1:$AX$1,0),FALSE)</f>
        <v>102.4</v>
      </c>
      <c r="C808" s="35">
        <f t="shared" si="50"/>
        <v>1.9569471624265589E-3</v>
      </c>
      <c r="D808" s="35">
        <f t="shared" si="47"/>
        <v>2.3737778386256236E-2</v>
      </c>
      <c r="E808" s="35">
        <f>(Table143454[[#This Row],[JPN]]-B796)/B796</f>
        <v>1.2858555885262231E-2</v>
      </c>
      <c r="F808" s="34">
        <f>VLOOKUP(Table143454[[#This Row],[Date]],'Data Core CPI'!$A:$AX,MATCH($B$2,'Data Core CPI'!$B$1:$AX$1,0),FALSE)</f>
        <v>102.12609999999999</v>
      </c>
      <c r="G808" s="35">
        <f t="shared" si="48"/>
        <v>1.7735001025058761E-3</v>
      </c>
      <c r="H808" s="35">
        <f t="shared" si="49"/>
        <v>2.1490823316284047E-2</v>
      </c>
      <c r="I808" s="35">
        <f>(Table143454[[#This Row],[Core CPI]]-F796)/F796</f>
        <v>7.1806150022682676E-3</v>
      </c>
    </row>
    <row r="809" spans="1:9" x14ac:dyDescent="0.35">
      <c r="A809" s="33">
        <f>IF(Data!A836="",#N/A,Data!A836)</f>
        <v>43282</v>
      </c>
      <c r="B809" s="34">
        <f>VLOOKUP(A809,Data!A:AX,MATCH($B$2,Data!$B$1:$AX$1,0),FALSE)</f>
        <v>102.7</v>
      </c>
      <c r="C809" s="35">
        <f t="shared" si="50"/>
        <v>2.9296875E-3</v>
      </c>
      <c r="D809" s="35">
        <f t="shared" si="47"/>
        <v>3.5728301237749616E-2</v>
      </c>
      <c r="E809" s="35">
        <f>(Table143454[[#This Row],[JPN]]-B797)/B797</f>
        <v>1.4822134387351778E-2</v>
      </c>
      <c r="F809" s="34">
        <f>VLOOKUP(Table143454[[#This Row],[Date]],'Data Core CPI'!$A:$AX,MATCH($B$2,'Data Core CPI'!$B$1:$AX$1,0),FALSE)</f>
        <v>102.3901</v>
      </c>
      <c r="G809" s="35">
        <f t="shared" si="48"/>
        <v>2.585039475706985E-3</v>
      </c>
      <c r="H809" s="35">
        <f t="shared" si="49"/>
        <v>3.1465336579801439E-2</v>
      </c>
      <c r="I809" s="35">
        <f>(Table143454[[#This Row],[Core CPI]]-F797)/F797</f>
        <v>5.4973814277283865E-3</v>
      </c>
    </row>
    <row r="810" spans="1:9" x14ac:dyDescent="0.35">
      <c r="A810" s="33">
        <f>IF(Data!A837="",#N/A,Data!A837)</f>
        <v>43313</v>
      </c>
      <c r="B810" s="34">
        <f>VLOOKUP(A810,Data!A:AX,MATCH($B$2,Data!$B$1:$AX$1,0),FALSE)</f>
        <v>103.1</v>
      </c>
      <c r="C810" s="35">
        <f t="shared" si="50"/>
        <v>3.894839337877265E-3</v>
      </c>
      <c r="D810" s="35">
        <f t="shared" si="47"/>
        <v>4.7752390169605974E-2</v>
      </c>
      <c r="E810" s="35">
        <f>(Table143454[[#This Row],[JPN]]-B798)/B798</f>
        <v>1.57635467980295E-2</v>
      </c>
      <c r="F810" s="34">
        <f>VLOOKUP(Table143454[[#This Row],[Date]],'Data Core CPI'!$A:$AX,MATCH($B$2,'Data Core CPI'!$B$1:$AX$1,0),FALSE)</f>
        <v>102.9298</v>
      </c>
      <c r="G810" s="35">
        <f t="shared" si="48"/>
        <v>5.2710174128163256E-3</v>
      </c>
      <c r="H810" s="35">
        <f t="shared" si="49"/>
        <v>6.5118532076007485E-2</v>
      </c>
      <c r="I810" s="35">
        <f>(Table143454[[#This Row],[Core CPI]]-F798)/F798</f>
        <v>7.5628541111149973E-3</v>
      </c>
    </row>
    <row r="811" spans="1:9" x14ac:dyDescent="0.35">
      <c r="A811" s="33">
        <f>IF(Data!A838="",#N/A,Data!A838)</f>
        <v>43344</v>
      </c>
      <c r="B811" s="34">
        <f>VLOOKUP(A811,Data!A:AX,MATCH($B$2,Data!$B$1:$AX$1,0),FALSE)</f>
        <v>102.6</v>
      </c>
      <c r="C811" s="35">
        <f t="shared" si="50"/>
        <v>-4.8496605237633439E-3</v>
      </c>
      <c r="D811" s="35">
        <f t="shared" si="47"/>
        <v>-5.6668480149655642E-2</v>
      </c>
      <c r="E811" s="35">
        <f>(Table143454[[#This Row],[JPN]]-B799)/B799</f>
        <v>1.3833992094861575E-2</v>
      </c>
      <c r="F811" s="34">
        <f>VLOOKUP(Table143454[[#This Row],[Date]],'Data Core CPI'!$A:$AX,MATCH($B$2,'Data Core CPI'!$B$1:$AX$1,0),FALSE)</f>
        <v>102.2501</v>
      </c>
      <c r="G811" s="35">
        <f t="shared" si="48"/>
        <v>-6.6035297843772822E-3</v>
      </c>
      <c r="H811" s="35">
        <f t="shared" si="49"/>
        <v>-7.6426740704723439E-2</v>
      </c>
      <c r="I811" s="35">
        <f>(Table143454[[#This Row],[Core CPI]]-F799)/F799</f>
        <v>6.5244376019443799E-3</v>
      </c>
    </row>
    <row r="812" spans="1:9" x14ac:dyDescent="0.35">
      <c r="A812" s="33">
        <f>IF(Data!A839="",#N/A,Data!A839)</f>
        <v>43374</v>
      </c>
      <c r="B812" s="34">
        <f>VLOOKUP(A812,Data!A:AX,MATCH($B$2,Data!$B$1:$AX$1,0),FALSE)</f>
        <v>102.6</v>
      </c>
      <c r="C812" s="35">
        <f t="shared" si="50"/>
        <v>0</v>
      </c>
      <c r="D812" s="35">
        <f t="shared" si="47"/>
        <v>0</v>
      </c>
      <c r="E812" s="35">
        <f>(Table143454[[#This Row],[JPN]]-B800)/B800</f>
        <v>1.5841584158415786E-2</v>
      </c>
      <c r="F812" s="34">
        <f>VLOOKUP(Table143454[[#This Row],[Date]],'Data Core CPI'!$A:$AX,MATCH($B$2,'Data Core CPI'!$B$1:$AX$1,0),FALSE)</f>
        <v>101.8008</v>
      </c>
      <c r="G812" s="35">
        <f t="shared" si="48"/>
        <v>-4.3941277319045069E-3</v>
      </c>
      <c r="H812" s="35">
        <f t="shared" si="49"/>
        <v>-5.1473663415380511E-2</v>
      </c>
      <c r="I812" s="35">
        <f>(Table143454[[#This Row],[Core CPI]]-F800)/F800</f>
        <v>7.8039846553643599E-3</v>
      </c>
    </row>
    <row r="813" spans="1:9" x14ac:dyDescent="0.35">
      <c r="A813" s="33">
        <f>IF(Data!A840="",#N/A,Data!A840)</f>
        <v>43405</v>
      </c>
      <c r="B813" s="34">
        <f>VLOOKUP(A813,Data!A:AX,MATCH($B$2,Data!$B$1:$AX$1,0),FALSE)</f>
        <v>102.4</v>
      </c>
      <c r="C813" s="35">
        <f t="shared" si="50"/>
        <v>-1.9493177387913674E-3</v>
      </c>
      <c r="D813" s="35">
        <f t="shared" si="47"/>
        <v>-2.3142645884716373E-2</v>
      </c>
      <c r="E813" s="35">
        <f>(Table143454[[#This Row],[JPN]]-B801)/B801</f>
        <v>1.5873015873015959E-2</v>
      </c>
      <c r="F813" s="34">
        <f>VLOOKUP(Table143454[[#This Row],[Date]],'Data Core CPI'!$A:$AX,MATCH($B$2,'Data Core CPI'!$B$1:$AX$1,0),FALSE)</f>
        <v>101.43899999999999</v>
      </c>
      <c r="G813" s="35">
        <f t="shared" si="48"/>
        <v>-3.5539995756418419E-3</v>
      </c>
      <c r="H813" s="35">
        <f t="shared" si="49"/>
        <v>-4.1824151982775115E-2</v>
      </c>
      <c r="I813" s="35">
        <f>(Table143454[[#This Row],[Core CPI]]-F801)/F801</f>
        <v>8.3499835982463952E-3</v>
      </c>
    </row>
    <row r="814" spans="1:9" x14ac:dyDescent="0.35">
      <c r="A814" s="33">
        <f>IF(Data!A841="",#N/A,Data!A841)</f>
        <v>43435</v>
      </c>
      <c r="B814" s="34">
        <f>VLOOKUP(A814,Data!A:AX,MATCH($B$2,Data!$B$1:$AX$1,0),FALSE)</f>
        <v>102.3</v>
      </c>
      <c r="C814" s="35">
        <f t="shared" si="50"/>
        <v>-9.7656250000011102E-4</v>
      </c>
      <c r="D814" s="35">
        <f t="shared" si="47"/>
        <v>-1.1656011936587718E-2</v>
      </c>
      <c r="E814" s="35">
        <f>(Table143454[[#This Row],[JPN]]-B802)/B802</f>
        <v>1.0869565217391249E-2</v>
      </c>
      <c r="F814" s="34">
        <f>VLOOKUP(Table143454[[#This Row],[Date]],'Data Core CPI'!$A:$AX,MATCH($B$2,'Data Core CPI'!$B$1:$AX$1,0),FALSE)</f>
        <v>101.5925</v>
      </c>
      <c r="G814" s="35">
        <f t="shared" si="48"/>
        <v>1.5132246966158558E-3</v>
      </c>
      <c r="H814" s="35">
        <f t="shared" si="49"/>
        <v>1.8310591306341273E-2</v>
      </c>
      <c r="I814" s="35">
        <f>(Table143454[[#This Row],[Core CPI]]-F802)/F802</f>
        <v>5.0672584074246624E-3</v>
      </c>
    </row>
    <row r="815" spans="1:9" x14ac:dyDescent="0.35">
      <c r="A815" s="33">
        <f>IF(Data!A842="",#N/A,Data!A842)</f>
        <v>43466</v>
      </c>
      <c r="B815" s="34">
        <f>VLOOKUP(A815,Data!A:AX,MATCH($B$2,Data!$B$1:$AX$1,0),FALSE)</f>
        <v>102.4</v>
      </c>
      <c r="C815" s="35">
        <f t="shared" si="50"/>
        <v>9.7751710654936375E-4</v>
      </c>
      <c r="D815" s="35">
        <f t="shared" si="47"/>
        <v>1.1793476843447115E-2</v>
      </c>
      <c r="E815" s="35">
        <f>(Table143454[[#This Row],[JPN]]-B803)/B803</f>
        <v>8.8669950738916817E-3</v>
      </c>
      <c r="F815" s="34">
        <f>VLOOKUP(Table143454[[#This Row],[Date]],'Data Core CPI'!$A:$AX,MATCH($B$2,'Data Core CPI'!$B$1:$AX$1,0),FALSE)</f>
        <v>101.51900000000001</v>
      </c>
      <c r="G815" s="35">
        <f t="shared" si="48"/>
        <v>-7.2347860324328828E-4</v>
      </c>
      <c r="H815" s="35">
        <f t="shared" si="49"/>
        <v>-8.6472806088672138E-3</v>
      </c>
      <c r="I815" s="35">
        <f>(Table143454[[#This Row],[Core CPI]]-F803)/F803</f>
        <v>5.8167933032074754E-3</v>
      </c>
    </row>
    <row r="816" spans="1:9" x14ac:dyDescent="0.35">
      <c r="A816" s="33">
        <f>IF(Data!A843="",#N/A,Data!A843)</f>
        <v>43497</v>
      </c>
      <c r="B816" s="34">
        <f>VLOOKUP(A816,Data!A:AX,MATCH($B$2,Data!$B$1:$AX$1,0),FALSE)</f>
        <v>102.5</v>
      </c>
      <c r="C816" s="35">
        <f t="shared" si="50"/>
        <v>9.765625E-4</v>
      </c>
      <c r="D816" s="35">
        <f t="shared" si="47"/>
        <v>1.1781897846753431E-2</v>
      </c>
      <c r="E816" s="35">
        <f>(Table143454[[#This Row],[JPN]]-B804)/B804</f>
        <v>9.852216748768473E-3</v>
      </c>
      <c r="F816" s="34">
        <f>VLOOKUP(Table143454[[#This Row],[Date]],'Data Core CPI'!$A:$AX,MATCH($B$2,'Data Core CPI'!$B$1:$AX$1,0),FALSE)</f>
        <v>101.5219</v>
      </c>
      <c r="G816" s="35">
        <f t="shared" si="48"/>
        <v>2.8566081226033546E-5</v>
      </c>
      <c r="H816" s="35">
        <f t="shared" si="49"/>
        <v>3.4284683722685116E-4</v>
      </c>
      <c r="I816" s="35">
        <f>(Table143454[[#This Row],[Core CPI]]-F804)/F804</f>
        <v>4.4343879762984827E-3</v>
      </c>
    </row>
    <row r="817" spans="1:9" x14ac:dyDescent="0.35">
      <c r="A817" s="33">
        <f>IF(Data!A844="",#N/A,Data!A844)</f>
        <v>43525</v>
      </c>
      <c r="B817" s="34">
        <f>VLOOKUP(A817,Data!A:AX,MATCH($B$2,Data!$B$1:$AX$1,0),FALSE)</f>
        <v>102.8</v>
      </c>
      <c r="C817" s="35">
        <f t="shared" si="50"/>
        <v>2.9268292682926855E-3</v>
      </c>
      <c r="D817" s="35">
        <f t="shared" si="47"/>
        <v>3.5692881346127914E-2</v>
      </c>
      <c r="E817" s="35">
        <f>(Table143454[[#This Row],[JPN]]-B805)/B805</f>
        <v>9.823182711198428E-3</v>
      </c>
      <c r="F817" s="34">
        <f>VLOOKUP(Table143454[[#This Row],[Date]],'Data Core CPI'!$A:$AX,MATCH($B$2,'Data Core CPI'!$B$1:$AX$1,0),FALSE)</f>
        <v>101.9395</v>
      </c>
      <c r="G817" s="35">
        <f t="shared" si="48"/>
        <v>4.1133981929022401E-3</v>
      </c>
      <c r="H817" s="35">
        <f t="shared" si="49"/>
        <v>5.0492955668148154E-2</v>
      </c>
      <c r="I817" s="35">
        <f>(Table143454[[#This Row],[Core CPI]]-F805)/F805</f>
        <v>4.3211439504476697E-3</v>
      </c>
    </row>
    <row r="818" spans="1:9" x14ac:dyDescent="0.35">
      <c r="A818" s="33">
        <f>IF(Data!A845="",#N/A,Data!A845)</f>
        <v>43556</v>
      </c>
      <c r="B818" s="34">
        <f>VLOOKUP(A818,Data!A:AX,MATCH($B$2,Data!$B$1:$AX$1,0),FALSE)</f>
        <v>103</v>
      </c>
      <c r="C818" s="35">
        <f t="shared" si="50"/>
        <v>1.9455252918287869E-3</v>
      </c>
      <c r="D818" s="35">
        <f t="shared" si="47"/>
        <v>2.3597745215743871E-2</v>
      </c>
      <c r="E818" s="35">
        <f>(Table143454[[#This Row],[JPN]]-B806)/B806</f>
        <v>1.0794896957801709E-2</v>
      </c>
      <c r="F818" s="34">
        <f>VLOOKUP(Table143454[[#This Row],[Date]],'Data Core CPI'!$A:$AX,MATCH($B$2,'Data Core CPI'!$B$1:$AX$1,0),FALSE)</f>
        <v>102.6108</v>
      </c>
      <c r="G818" s="35">
        <f t="shared" si="48"/>
        <v>6.585278523045579E-3</v>
      </c>
      <c r="H818" s="35">
        <f t="shared" si="49"/>
        <v>8.1949258837710204E-2</v>
      </c>
      <c r="I818" s="35">
        <f>(Table143454[[#This Row],[Core CPI]]-F806)/F806</f>
        <v>7.5578523798348635E-3</v>
      </c>
    </row>
    <row r="819" spans="1:9" x14ac:dyDescent="0.35">
      <c r="A819" s="33">
        <f>IF(Data!A846="",#N/A,Data!A846)</f>
        <v>43586</v>
      </c>
      <c r="B819" s="34">
        <f>VLOOKUP(A819,Data!A:AX,MATCH($B$2,Data!$B$1:$AX$1,0),FALSE)</f>
        <v>103</v>
      </c>
      <c r="C819" s="35">
        <f t="shared" si="50"/>
        <v>0</v>
      </c>
      <c r="D819" s="35">
        <f t="shared" si="47"/>
        <v>0</v>
      </c>
      <c r="E819" s="35">
        <f>(Table143454[[#This Row],[JPN]]-B807)/B807</f>
        <v>7.8277886497064297E-3</v>
      </c>
      <c r="F819" s="34">
        <f>VLOOKUP(Table143454[[#This Row],[Date]],'Data Core CPI'!$A:$AX,MATCH($B$2,'Data Core CPI'!$B$1:$AX$1,0),FALSE)</f>
        <v>102.3762</v>
      </c>
      <c r="G819" s="35">
        <f t="shared" si="48"/>
        <v>-2.2863090434924738E-3</v>
      </c>
      <c r="H819" s="35">
        <f t="shared" si="49"/>
        <v>-2.7093328472587608E-2</v>
      </c>
      <c r="I819" s="35">
        <f>(Table143454[[#This Row],[Core CPI]]-F807)/F807</f>
        <v>4.226776516425907E-3</v>
      </c>
    </row>
    <row r="820" spans="1:9" x14ac:dyDescent="0.35">
      <c r="A820" s="33">
        <f>IF(Data!A847="",#N/A,Data!A847)</f>
        <v>43617</v>
      </c>
      <c r="B820" s="34">
        <f>VLOOKUP(A820,Data!A:AX,MATCH($B$2,Data!$B$1:$AX$1,0),FALSE)</f>
        <v>103.1</v>
      </c>
      <c r="C820" s="35">
        <f t="shared" si="50"/>
        <v>9.7087378640781097E-4</v>
      </c>
      <c r="D820" s="35">
        <f t="shared" si="47"/>
        <v>1.1712898538546179E-2</v>
      </c>
      <c r="E820" s="35">
        <f>(Table143454[[#This Row],[JPN]]-B808)/B808</f>
        <v>6.835937499999889E-3</v>
      </c>
      <c r="F820" s="34">
        <f>VLOOKUP(Table143454[[#This Row],[Date]],'Data Core CPI'!$A:$AX,MATCH($B$2,'Data Core CPI'!$B$1:$AX$1,0),FALSE)</f>
        <v>102.6564</v>
      </c>
      <c r="G820" s="35">
        <f t="shared" si="48"/>
        <v>2.7369642553640716E-3</v>
      </c>
      <c r="H820" s="35">
        <f t="shared" si="49"/>
        <v>3.3342513759060166E-2</v>
      </c>
      <c r="I820" s="35">
        <f>(Table143454[[#This Row],[Core CPI]]-F808)/F808</f>
        <v>5.1926001286645741E-3</v>
      </c>
    </row>
    <row r="821" spans="1:9" s="26" customFormat="1" x14ac:dyDescent="0.35">
      <c r="A821" s="33">
        <f>IF(Data!A848="",#N/A,Data!A848)</f>
        <v>43647</v>
      </c>
      <c r="B821" s="34">
        <f>VLOOKUP(A821,Data!A:AX,MATCH($B$2,Data!$B$1:$AX$1,0),FALSE)</f>
        <v>103.1</v>
      </c>
      <c r="C821" s="35">
        <f t="shared" si="50"/>
        <v>0</v>
      </c>
      <c r="D821" s="35">
        <f t="shared" si="47"/>
        <v>0</v>
      </c>
      <c r="E821" s="35">
        <f>(Table143454[[#This Row],[JPN]]-B809)/B809</f>
        <v>3.8948393378772294E-3</v>
      </c>
      <c r="F821" s="34">
        <f>VLOOKUP(Table143454[[#This Row],[Date]],'Data Core CPI'!$A:$AX,MATCH($B$2,'Data Core CPI'!$B$1:$AX$1,0),FALSE)</f>
        <v>102.94499999999999</v>
      </c>
      <c r="G821" s="35">
        <f t="shared" si="48"/>
        <v>2.8113200930481863E-3</v>
      </c>
      <c r="H821" s="35">
        <f t="shared" si="49"/>
        <v>3.4262392792357765E-2</v>
      </c>
      <c r="I821" s="35">
        <f>(Table143454[[#This Row],[Core CPI]]-F809)/F809</f>
        <v>5.4194692650948607E-3</v>
      </c>
    </row>
    <row r="822" spans="1:9" s="26" customFormat="1" x14ac:dyDescent="0.35">
      <c r="A822" s="33">
        <f>IF(Data!A849="",#N/A,Data!A849)</f>
        <v>43678</v>
      </c>
      <c r="B822" s="34">
        <f>VLOOKUP(A822,Data!A:AX,MATCH($B$2,Data!$B$1:$AX$1,0),FALSE)</f>
        <v>103.5</v>
      </c>
      <c r="C822" s="35">
        <f t="shared" si="50"/>
        <v>3.8797284190106307E-3</v>
      </c>
      <c r="D822" s="35">
        <f t="shared" si="47"/>
        <v>4.7563152929958941E-2</v>
      </c>
      <c r="E822" s="35">
        <f>(Table143454[[#This Row],[JPN]]-B810)/B810</f>
        <v>3.8797284190107248E-3</v>
      </c>
      <c r="F822" s="34">
        <f>VLOOKUP(Table143454[[#This Row],[Date]],'Data Core CPI'!$A:$AX,MATCH($B$2,'Data Core CPI'!$B$1:$AX$1,0),FALSE)</f>
        <v>103.4774</v>
      </c>
      <c r="G822" s="35">
        <f t="shared" si="48"/>
        <v>5.1716936228083377E-3</v>
      </c>
      <c r="H822" s="35">
        <f t="shared" si="49"/>
        <v>6.385637525333987E-2</v>
      </c>
      <c r="I822" s="35">
        <f>(Table143454[[#This Row],[Core CPI]]-F810)/F810</f>
        <v>5.3201308075989922E-3</v>
      </c>
    </row>
    <row r="823" spans="1:9" s="26" customFormat="1" x14ac:dyDescent="0.35">
      <c r="A823" s="33">
        <f>IF(Data!A850="",#N/A,Data!A850)</f>
        <v>43709</v>
      </c>
      <c r="B823" s="34">
        <f>VLOOKUP(A823,Data!A:AX,MATCH($B$2,Data!$B$1:$AX$1,0),FALSE)</f>
        <v>102.9</v>
      </c>
      <c r="C823" s="35">
        <f t="shared" si="50"/>
        <v>-5.7971014492752548E-3</v>
      </c>
      <c r="D823" s="35">
        <f t="shared" si="47"/>
        <v>-6.7389502387460665E-2</v>
      </c>
      <c r="E823" s="35">
        <f>(Table143454[[#This Row],[JPN]]-B811)/B811</f>
        <v>2.9239766081872454E-3</v>
      </c>
      <c r="F823" s="34">
        <f>VLOOKUP(Table143454[[#This Row],[Date]],'Data Core CPI'!$A:$AX,MATCH($B$2,'Data Core CPI'!$B$1:$AX$1,0),FALSE)</f>
        <v>102.8181</v>
      </c>
      <c r="G823" s="35">
        <f t="shared" si="48"/>
        <v>-6.3714395607157304E-3</v>
      </c>
      <c r="H823" s="35">
        <f t="shared" si="49"/>
        <v>-7.3834084287998314E-2</v>
      </c>
      <c r="I823" s="35">
        <f>(Table143454[[#This Row],[Core CPI]]-F811)/F811</f>
        <v>5.5550067921693747E-3</v>
      </c>
    </row>
    <row r="824" spans="1:9" s="26" customFormat="1" x14ac:dyDescent="0.35">
      <c r="A824" s="33">
        <f>IF(Data!A851="",#N/A,Data!A851)</f>
        <v>43739</v>
      </c>
      <c r="B824" s="34">
        <f>VLOOKUP(A824,Data!A:AX,MATCH($B$2,Data!$B$1:$AX$1,0),FALSE)</f>
        <v>102.8</v>
      </c>
      <c r="C824" s="35">
        <f t="shared" si="50"/>
        <v>-9.7181729834794339E-4</v>
      </c>
      <c r="D824" s="35">
        <f t="shared" si="47"/>
        <v>-1.1599676753204724E-2</v>
      </c>
      <c r="E824" s="35">
        <f>(Table143454[[#This Row],[JPN]]-B812)/B812</f>
        <v>1.9493177387914509E-3</v>
      </c>
      <c r="F824" s="34">
        <f>VLOOKUP(Table143454[[#This Row],[Date]],'Data Core CPI'!$A:$AX,MATCH($B$2,'Data Core CPI'!$B$1:$AX$1,0),FALSE)</f>
        <v>102.4834</v>
      </c>
      <c r="G824" s="35">
        <f t="shared" si="48"/>
        <v>-3.2552634215181619E-3</v>
      </c>
      <c r="H824" s="35">
        <f t="shared" si="49"/>
        <v>-3.8371309865946168E-2</v>
      </c>
      <c r="I824" s="35">
        <f>(Table143454[[#This Row],[Core CPI]]-F812)/F812</f>
        <v>6.7052518251330823E-3</v>
      </c>
    </row>
    <row r="825" spans="1:9" s="26" customFormat="1" x14ac:dyDescent="0.35">
      <c r="A825" s="33">
        <f>IF(Data!A852="",#N/A,Data!A852)</f>
        <v>43770</v>
      </c>
      <c r="B825" s="34">
        <f>VLOOKUP(A825,Data!A:AX,MATCH($B$2,Data!$B$1:$AX$1,0),FALSE)</f>
        <v>102.6</v>
      </c>
      <c r="C825" s="35">
        <f t="shared" si="50"/>
        <v>-1.9455252918287869E-3</v>
      </c>
      <c r="D825" s="35">
        <f t="shared" si="47"/>
        <v>-2.3098101968895057E-2</v>
      </c>
      <c r="E825" s="35">
        <f>(Table143454[[#This Row],[JPN]]-B813)/B813</f>
        <v>1.953124999999889E-3</v>
      </c>
      <c r="F825" s="34">
        <f>VLOOKUP(Table143454[[#This Row],[Date]],'Data Core CPI'!$A:$AX,MATCH($B$2,'Data Core CPI'!$B$1:$AX$1,0),FALSE)</f>
        <v>102.1182</v>
      </c>
      <c r="G825" s="35">
        <f t="shared" si="48"/>
        <v>-3.5635039430775839E-3</v>
      </c>
      <c r="H825" s="35">
        <f t="shared" si="49"/>
        <v>-4.19338182678205E-2</v>
      </c>
      <c r="I825" s="35">
        <f>(Table143454[[#This Row],[Core CPI]]-F813)/F813</f>
        <v>6.6956496022240828E-3</v>
      </c>
    </row>
    <row r="826" spans="1:9" s="26" customFormat="1" x14ac:dyDescent="0.35">
      <c r="A826" s="33">
        <f>IF(Data!A853="",#N/A,Data!A853)</f>
        <v>43800</v>
      </c>
      <c r="B826" s="34">
        <f>VLOOKUP(A826,Data!A:AX,MATCH($B$2,Data!$B$1:$AX$1,0),FALSE)</f>
        <v>102.8</v>
      </c>
      <c r="C826" s="35">
        <f t="shared" si="50"/>
        <v>1.9493177387914784E-3</v>
      </c>
      <c r="D826" s="35">
        <f t="shared" si="47"/>
        <v>2.36442390125855E-2</v>
      </c>
      <c r="E826" s="35">
        <f>(Table143454[[#This Row],[JPN]]-B814)/B814</f>
        <v>4.8875855327468231E-3</v>
      </c>
      <c r="F826" s="34">
        <f>VLOOKUP(Table143454[[#This Row],[Date]],'Data Core CPI'!$A:$AX,MATCH($B$2,'Data Core CPI'!$B$1:$AX$1,0),FALSE)</f>
        <v>102.3511</v>
      </c>
      <c r="G826" s="35">
        <f t="shared" si="48"/>
        <v>2.2806904156165153E-3</v>
      </c>
      <c r="H826" s="35">
        <f t="shared" si="49"/>
        <v>2.7714210535053629E-2</v>
      </c>
      <c r="I826" s="35">
        <f>(Table143454[[#This Row],[Core CPI]]-F814)/F814</f>
        <v>7.4670866451755913E-3</v>
      </c>
    </row>
    <row r="827" spans="1:9" s="26" customFormat="1" x14ac:dyDescent="0.35">
      <c r="A827" s="33">
        <f>IF(Data!A854="",#N/A,Data!A854)</f>
        <v>43831</v>
      </c>
      <c r="B827" s="34">
        <f>VLOOKUP(A827,Data!A:AX,MATCH($B$2,Data!$B$1:$AX$1,0),FALSE)</f>
        <v>102.9</v>
      </c>
      <c r="C827" s="35">
        <f t="shared" si="50"/>
        <v>9.7276264591439343E-4</v>
      </c>
      <c r="D827" s="35">
        <f t="shared" ref="D827:D890" si="51">((1+C827)^12)-1</f>
        <v>1.1735808336343467E-2</v>
      </c>
      <c r="E827" s="35">
        <f>(Table143454[[#This Row],[JPN]]-B815)/B815</f>
        <v>4.8828125E-3</v>
      </c>
      <c r="F827" s="34">
        <f>VLOOKUP(Table143454[[#This Row],[Date]],'Data Core CPI'!$A:$AX,MATCH($B$2,'Data Core CPI'!$B$1:$AX$1,0),FALSE)</f>
        <v>102.3069</v>
      </c>
      <c r="G827" s="35">
        <f t="shared" si="48"/>
        <v>-4.3184684873931456E-4</v>
      </c>
      <c r="H827" s="35">
        <f t="shared" si="49"/>
        <v>-5.1698714333052731E-3</v>
      </c>
      <c r="I827" s="35">
        <f>(Table143454[[#This Row],[Core CPI]]-F815)/F815</f>
        <v>7.7611087579664232E-3</v>
      </c>
    </row>
    <row r="828" spans="1:9" s="26" customFormat="1" x14ac:dyDescent="0.35">
      <c r="A828" s="33">
        <f>IF(Data!A855="",#N/A,Data!A855)</f>
        <v>43862</v>
      </c>
      <c r="B828" s="34">
        <f>VLOOKUP(A828,Data!A:AX,MATCH($B$2,Data!$B$1:$AX$1,0),FALSE)</f>
        <v>102.8</v>
      </c>
      <c r="C828" s="35">
        <f t="shared" si="50"/>
        <v>-9.7181729834794339E-4</v>
      </c>
      <c r="D828" s="35">
        <f t="shared" si="51"/>
        <v>-1.1599676753204724E-2</v>
      </c>
      <c r="E828" s="35">
        <f>(Table143454[[#This Row],[JPN]]-B816)/B816</f>
        <v>2.9268292682926552E-3</v>
      </c>
      <c r="F828" s="34">
        <f>VLOOKUP(Table143454[[#This Row],[Date]],'Data Core CPI'!$A:$AX,MATCH($B$2,'Data Core CPI'!$B$1:$AX$1,0),FALSE)</f>
        <v>102.2578</v>
      </c>
      <c r="G828" s="35">
        <f t="shared" si="48"/>
        <v>-4.7992852876976855E-4</v>
      </c>
      <c r="H828" s="35">
        <f t="shared" si="49"/>
        <v>-5.7439647664498938E-3</v>
      </c>
      <c r="I828" s="35">
        <f>(Table143454[[#This Row],[Core CPI]]-F816)/F816</f>
        <v>7.2486823040152012E-3</v>
      </c>
    </row>
    <row r="829" spans="1:9" s="26" customFormat="1" x14ac:dyDescent="0.35">
      <c r="A829" s="33">
        <f>IF(Data!A856="",#N/A,Data!A856)</f>
        <v>43891</v>
      </c>
      <c r="B829" s="34">
        <f>VLOOKUP(A829,Data!A:AX,MATCH($B$2,Data!$B$1:$AX$1,0),FALSE)</f>
        <v>102.9</v>
      </c>
      <c r="C829" s="35">
        <f t="shared" si="50"/>
        <v>9.7276264591439343E-4</v>
      </c>
      <c r="D829" s="35">
        <f t="shared" si="51"/>
        <v>1.1735808336343467E-2</v>
      </c>
      <c r="E829" s="35">
        <f>(Table143454[[#This Row],[JPN]]-B817)/B817</f>
        <v>9.7276264591447984E-4</v>
      </c>
      <c r="F829" s="34">
        <f>VLOOKUP(Table143454[[#This Row],[Date]],'Data Core CPI'!$A:$AX,MATCH($B$2,'Data Core CPI'!$B$1:$AX$1,0),FALSE)</f>
        <v>102.5227</v>
      </c>
      <c r="G829" s="35">
        <f t="shared" si="48"/>
        <v>2.5905114328685919E-3</v>
      </c>
      <c r="H829" s="35">
        <f t="shared" si="49"/>
        <v>3.153289358505762E-2</v>
      </c>
      <c r="I829" s="35">
        <f>(Table143454[[#This Row],[Core CPI]]-F817)/F817</f>
        <v>5.7210404210340949E-3</v>
      </c>
    </row>
    <row r="830" spans="1:9" s="26" customFormat="1" x14ac:dyDescent="0.35">
      <c r="A830" s="33">
        <f>IF(Data!A857="",#N/A,Data!A857)</f>
        <v>43922</v>
      </c>
      <c r="B830" s="34">
        <f>VLOOKUP(A830,Data!A:AX,MATCH($B$2,Data!$B$1:$AX$1,0),FALSE)</f>
        <v>103</v>
      </c>
      <c r="C830" s="35">
        <f t="shared" si="50"/>
        <v>9.7181729834794339E-4</v>
      </c>
      <c r="D830" s="35">
        <f t="shared" si="51"/>
        <v>1.1724342245932773E-2</v>
      </c>
      <c r="E830" s="35">
        <f>(Table143454[[#This Row],[JPN]]-B818)/B818</f>
        <v>0</v>
      </c>
      <c r="F830" s="34">
        <f>VLOOKUP(Table143454[[#This Row],[Date]],'Data Core CPI'!$A:$AX,MATCH($B$2,'Data Core CPI'!$B$1:$AX$1,0),FALSE)</f>
        <v>103.15900000000001</v>
      </c>
      <c r="G830" s="35">
        <f t="shared" si="48"/>
        <v>6.206430380784056E-3</v>
      </c>
      <c r="H830" s="35">
        <f t="shared" si="49"/>
        <v>7.7072807207077654E-2</v>
      </c>
      <c r="I830" s="35">
        <f>(Table143454[[#This Row],[Core CPI]]-F818)/F818</f>
        <v>5.3425175517587669E-3</v>
      </c>
    </row>
    <row r="831" spans="1:9" s="26" customFormat="1" x14ac:dyDescent="0.35">
      <c r="A831" s="33">
        <f>IF(Data!A858="",#N/A,Data!A858)</f>
        <v>43952</v>
      </c>
      <c r="B831" s="34">
        <f>VLOOKUP(A831,Data!A:AX,MATCH($B$2,Data!$B$1:$AX$1,0),FALSE)</f>
        <v>102.8</v>
      </c>
      <c r="C831" s="35">
        <f t="shared" si="50"/>
        <v>-1.9417475728155109E-3</v>
      </c>
      <c r="D831" s="35">
        <f t="shared" si="51"/>
        <v>-2.3053729188090455E-2</v>
      </c>
      <c r="E831" s="35">
        <f>(Table143454[[#This Row],[JPN]]-B819)/B819</f>
        <v>-1.9417475728155617E-3</v>
      </c>
      <c r="F831" s="34">
        <f>VLOOKUP(Table143454[[#This Row],[Date]],'Data Core CPI'!$A:$AX,MATCH($B$2,'Data Core CPI'!$B$1:$AX$1,0),FALSE)</f>
        <v>103.0849</v>
      </c>
      <c r="G831" s="35">
        <f t="shared" si="48"/>
        <v>-7.1830863036670412E-4</v>
      </c>
      <c r="H831" s="35">
        <f t="shared" si="49"/>
        <v>-8.5857311289599947E-3</v>
      </c>
      <c r="I831" s="35">
        <f>(Table143454[[#This Row],[Core CPI]]-F819)/F819</f>
        <v>6.9225073796449514E-3</v>
      </c>
    </row>
    <row r="832" spans="1:9" s="26" customFormat="1" x14ac:dyDescent="0.35">
      <c r="A832" s="33">
        <f>IF(Data!A859="",#N/A,Data!A859)</f>
        <v>43983</v>
      </c>
      <c r="B832" s="34">
        <f>VLOOKUP(A832,Data!A:AX,MATCH($B$2,Data!$B$1:$AX$1,0),FALSE)</f>
        <v>102.9</v>
      </c>
      <c r="C832" s="35">
        <f t="shared" si="50"/>
        <v>9.7276264591439343E-4</v>
      </c>
      <c r="D832" s="35">
        <f t="shared" si="51"/>
        <v>1.1735808336343467E-2</v>
      </c>
      <c r="E832" s="35">
        <f>(Table143454[[#This Row],[JPN]]-B820)/B820</f>
        <v>-1.9398642095052245E-3</v>
      </c>
      <c r="F832" s="34">
        <f>VLOOKUP(Table143454[[#This Row],[Date]],'Data Core CPI'!$A:$AX,MATCH($B$2,'Data Core CPI'!$B$1:$AX$1,0),FALSE)</f>
        <v>103.3159</v>
      </c>
      <c r="G832" s="35">
        <f t="shared" si="48"/>
        <v>2.24087135943285E-3</v>
      </c>
      <c r="H832" s="35">
        <f t="shared" si="49"/>
        <v>2.7224363693418407E-2</v>
      </c>
      <c r="I832" s="35">
        <f>(Table143454[[#This Row],[Core CPI]]-F820)/F820</f>
        <v>6.4243437330745497E-3</v>
      </c>
    </row>
    <row r="833" spans="1:9" s="26" customFormat="1" x14ac:dyDescent="0.35">
      <c r="A833" s="33">
        <f>IF(Data!A860="",#N/A,Data!A860)</f>
        <v>44013</v>
      </c>
      <c r="B833" s="34">
        <f>VLOOKUP(A833,Data!A:AX,MATCH($B$2,Data!$B$1:$AX$1,0),FALSE)</f>
        <v>102.7</v>
      </c>
      <c r="C833" s="35">
        <f t="shared" si="50"/>
        <v>-1.9436345966958868E-3</v>
      </c>
      <c r="D833" s="35">
        <f t="shared" si="51"/>
        <v>-2.3075894248312689E-2</v>
      </c>
      <c r="E833" s="35">
        <f>(Table143454[[#This Row],[JPN]]-B821)/B821</f>
        <v>-3.8797284190105869E-3</v>
      </c>
      <c r="F833" s="34">
        <f>VLOOKUP(Table143454[[#This Row],[Date]],'Data Core CPI'!$A:$AX,MATCH($B$2,'Data Core CPI'!$B$1:$AX$1,0),FALSE)</f>
        <v>103.309</v>
      </c>
      <c r="G833" s="35">
        <f t="shared" si="48"/>
        <v>-6.6785460901996885E-5</v>
      </c>
      <c r="H833" s="35">
        <f t="shared" si="49"/>
        <v>-8.0113121669456167E-4</v>
      </c>
      <c r="I833" s="35">
        <f>(Table143454[[#This Row],[Core CPI]]-F821)/F821</f>
        <v>3.5358686677352405E-3</v>
      </c>
    </row>
    <row r="834" spans="1:9" s="26" customFormat="1" x14ac:dyDescent="0.35">
      <c r="A834" s="33">
        <f>IF(Data!A861="",#N/A,Data!A861)</f>
        <v>44044</v>
      </c>
      <c r="B834" s="34">
        <f>VLOOKUP(A834,Data!A:AX,MATCH($B$2,Data!$B$1:$AX$1,0),FALSE)</f>
        <v>103</v>
      </c>
      <c r="C834" s="35">
        <f t="shared" si="50"/>
        <v>2.9211295034079487E-3</v>
      </c>
      <c r="D834" s="35">
        <f t="shared" si="51"/>
        <v>3.5622251809896088E-2</v>
      </c>
      <c r="E834" s="35">
        <f>(Table143454[[#This Row],[JPN]]-B822)/B822</f>
        <v>-4.830917874396135E-3</v>
      </c>
      <c r="F834" s="34">
        <f>VLOOKUP(Table143454[[#This Row],[Date]],'Data Core CPI'!$A:$AX,MATCH($B$2,'Data Core CPI'!$B$1:$AX$1,0),FALSE)</f>
        <v>103.76049999999999</v>
      </c>
      <c r="G834" s="35">
        <f t="shared" si="48"/>
        <v>4.3703839936499733E-3</v>
      </c>
      <c r="H834" s="35">
        <f t="shared" si="49"/>
        <v>5.3723771291377176E-2</v>
      </c>
      <c r="I834" s="35">
        <f>(Table143454[[#This Row],[Core CPI]]-F822)/F822</f>
        <v>2.7358630966760893E-3</v>
      </c>
    </row>
    <row r="835" spans="1:9" s="26" customFormat="1" x14ac:dyDescent="0.35">
      <c r="A835" s="33">
        <f>IF(Data!A862="",#N/A,Data!A862)</f>
        <v>44075</v>
      </c>
      <c r="B835" s="34">
        <f>VLOOKUP(A835,Data!A:AX,MATCH($B$2,Data!$B$1:$AX$1,0),FALSE)</f>
        <v>102.3</v>
      </c>
      <c r="C835" s="35">
        <f t="shared" si="50"/>
        <v>-6.7961165048543437E-3</v>
      </c>
      <c r="D835" s="35">
        <f t="shared" si="51"/>
        <v>-7.8573054907111528E-2</v>
      </c>
      <c r="E835" s="35">
        <f>(Table143454[[#This Row],[JPN]]-B823)/B823</f>
        <v>-5.8309037900875459E-3</v>
      </c>
      <c r="F835" s="34">
        <f>VLOOKUP(Table143454[[#This Row],[Date]],'Data Core CPI'!$A:$AX,MATCH($B$2,'Data Core CPI'!$B$1:$AX$1,0),FALSE)</f>
        <v>102.92489999999999</v>
      </c>
      <c r="G835" s="35">
        <f t="shared" ref="G835:G898" si="52">(F835/F834)-1</f>
        <v>-8.0531608849224723E-3</v>
      </c>
      <c r="H835" s="35">
        <f t="shared" ref="H835:H898" si="53">((1+G835)^12)-1</f>
        <v>-9.2470451297681722E-2</v>
      </c>
      <c r="I835" s="35">
        <f>(Table143454[[#This Row],[Core CPI]]-F823)/F823</f>
        <v>1.0387276170245577E-3</v>
      </c>
    </row>
    <row r="836" spans="1:9" s="26" customFormat="1" x14ac:dyDescent="0.35">
      <c r="A836" s="33">
        <f>IF(Data!A863="",#N/A,Data!A863)</f>
        <v>44105</v>
      </c>
      <c r="B836" s="34">
        <f>VLOOKUP(A836,Data!A:AX,MATCH($B$2,Data!$B$1:$AX$1,0),FALSE)</f>
        <v>102.5</v>
      </c>
      <c r="C836" s="35">
        <f t="shared" ref="C836:C899" si="54">(B836/B835)-1</f>
        <v>1.9550342130987275E-3</v>
      </c>
      <c r="D836" s="35">
        <f t="shared" si="51"/>
        <v>2.3714324229628048E-2</v>
      </c>
      <c r="E836" s="35">
        <f>(Table143454[[#This Row],[JPN]]-B824)/B824</f>
        <v>-2.9182879377431629E-3</v>
      </c>
      <c r="F836" s="34">
        <f>VLOOKUP(Table143454[[#This Row],[Date]],'Data Core CPI'!$A:$AX,MATCH($B$2,'Data Core CPI'!$B$1:$AX$1,0),FALSE)</f>
        <v>102.819</v>
      </c>
      <c r="G836" s="35">
        <f t="shared" si="52"/>
        <v>-1.0289055418075677E-3</v>
      </c>
      <c r="H836" s="35">
        <f t="shared" si="53"/>
        <v>-1.2277234905739842E-2</v>
      </c>
      <c r="I836" s="35">
        <f>(Table143454[[#This Row],[Core CPI]]-F824)/F824</f>
        <v>3.2746766793451372E-3</v>
      </c>
    </row>
    <row r="837" spans="1:9" s="26" customFormat="1" x14ac:dyDescent="0.35">
      <c r="A837" s="33">
        <f>IF(Data!A864="",#N/A,Data!A864)</f>
        <v>44136</v>
      </c>
      <c r="B837" s="34">
        <f>VLOOKUP(A837,Data!A:AX,MATCH($B$2,Data!$B$1:$AX$1,0),FALSE)</f>
        <v>102.4</v>
      </c>
      <c r="C837" s="35">
        <f t="shared" si="54"/>
        <v>-9.7560975609745082E-4</v>
      </c>
      <c r="D837" s="35">
        <f t="shared" si="51"/>
        <v>-1.1644701167144667E-2</v>
      </c>
      <c r="E837" s="35">
        <f>(Table143454[[#This Row],[JPN]]-B825)/B825</f>
        <v>-1.9493177387913123E-3</v>
      </c>
      <c r="F837" s="34">
        <f>VLOOKUP(Table143454[[#This Row],[Date]],'Data Core CPI'!$A:$AX,MATCH($B$2,'Data Core CPI'!$B$1:$AX$1,0),FALSE)</f>
        <v>102.5703</v>
      </c>
      <c r="G837" s="35">
        <f t="shared" si="52"/>
        <v>-2.4188136433928031E-3</v>
      </c>
      <c r="H837" s="35">
        <f t="shared" si="53"/>
        <v>-2.8642716683083713E-2</v>
      </c>
      <c r="I837" s="35">
        <f>(Table143454[[#This Row],[Core CPI]]-F825)/F825</f>
        <v>4.4272225714906991E-3</v>
      </c>
    </row>
    <row r="838" spans="1:9" s="26" customFormat="1" x14ac:dyDescent="0.35">
      <c r="A838" s="33">
        <f>IF(Data!A865="",#N/A,Data!A865)</f>
        <v>44166</v>
      </c>
      <c r="B838" s="34">
        <f>VLOOKUP(A838,Data!A:AX,MATCH($B$2,Data!$B$1:$AX$1,0),FALSE)</f>
        <v>102.6</v>
      </c>
      <c r="C838" s="35">
        <f t="shared" si="54"/>
        <v>1.953124999999778E-3</v>
      </c>
      <c r="D838" s="35">
        <f t="shared" si="51"/>
        <v>2.3690916373019233E-2</v>
      </c>
      <c r="E838" s="35">
        <f>(Table143454[[#This Row],[JPN]]-B826)/B826</f>
        <v>-1.9455252918288216E-3</v>
      </c>
      <c r="F838" s="34">
        <f>VLOOKUP(Table143454[[#This Row],[Date]],'Data Core CPI'!$A:$AX,MATCH($B$2,'Data Core CPI'!$B$1:$AX$1,0),FALSE)</f>
        <v>102.8343</v>
      </c>
      <c r="G838" s="35">
        <f t="shared" si="52"/>
        <v>2.5738444754475065E-3</v>
      </c>
      <c r="H838" s="35">
        <f t="shared" si="53"/>
        <v>3.1327135288672148E-2</v>
      </c>
      <c r="I838" s="35">
        <f>(Table143454[[#This Row],[Core CPI]]-F826)/F826</f>
        <v>4.7210044640457844E-3</v>
      </c>
    </row>
    <row r="839" spans="1:9" s="26" customFormat="1" x14ac:dyDescent="0.35">
      <c r="A839" s="33">
        <f>IF(Data!A866="",#N/A,Data!A866)</f>
        <v>44197</v>
      </c>
      <c r="B839" s="34">
        <f>VLOOKUP(A839,Data!A:AX,MATCH($B$2,Data!$B$1:$AX$1,0),FALSE)</f>
        <v>103.3</v>
      </c>
      <c r="C839" s="35">
        <f t="shared" si="54"/>
        <v>6.8226120857699524E-3</v>
      </c>
      <c r="D839" s="35">
        <f t="shared" si="51"/>
        <v>8.5014467133456728E-2</v>
      </c>
      <c r="E839" s="35">
        <f>(Table143454[[#This Row],[JPN]]-B827)/B827</f>
        <v>3.8872691933915593E-3</v>
      </c>
      <c r="F839" s="34">
        <f>VLOOKUP(Table143454[[#This Row],[Date]],'Data Core CPI'!$A:$AX,MATCH($B$2,'Data Core CPI'!$B$1:$AX$1,0),FALSE)</f>
        <v>103.24420000000001</v>
      </c>
      <c r="G839" s="35">
        <f t="shared" si="52"/>
        <v>3.9860241184119793E-3</v>
      </c>
      <c r="H839" s="35">
        <f t="shared" si="53"/>
        <v>4.8894981735575715E-2</v>
      </c>
      <c r="I839" s="35">
        <f>(Table143454[[#This Row],[Core CPI]]-F827)/F827</f>
        <v>9.1616498984917697E-3</v>
      </c>
    </row>
    <row r="840" spans="1:9" s="26" customFormat="1" x14ac:dyDescent="0.35">
      <c r="A840" s="33">
        <f>IF(Data!A867="",#N/A,Data!A867)</f>
        <v>44228</v>
      </c>
      <c r="B840" s="34">
        <f>VLOOKUP(A840,Data!A:AX,MATCH($B$2,Data!$B$1:$AX$1,0),FALSE)</f>
        <v>103.4</v>
      </c>
      <c r="C840" s="35">
        <f t="shared" si="54"/>
        <v>9.6805421103596245E-4</v>
      </c>
      <c r="D840" s="35">
        <f t="shared" si="51"/>
        <v>1.1678701061042629E-2</v>
      </c>
      <c r="E840" s="35">
        <f>(Table143454[[#This Row],[JPN]]-B828)/B828</f>
        <v>5.8365758754864647E-3</v>
      </c>
      <c r="F840" s="34">
        <f>VLOOKUP(Table143454[[#This Row],[Date]],'Data Core CPI'!$A:$AX,MATCH($B$2,'Data Core CPI'!$B$1:$AX$1,0),FALSE)</f>
        <v>103.32210000000001</v>
      </c>
      <c r="G840" s="35">
        <f t="shared" si="52"/>
        <v>7.5452180364621313E-4</v>
      </c>
      <c r="H840" s="35">
        <f t="shared" si="53"/>
        <v>9.0919303137855234E-3</v>
      </c>
      <c r="I840" s="35">
        <f>(Table143454[[#This Row],[Core CPI]]-F828)/F828</f>
        <v>1.0408007995478124E-2</v>
      </c>
    </row>
    <row r="841" spans="1:9" s="26" customFormat="1" x14ac:dyDescent="0.35">
      <c r="A841" s="33">
        <f>IF(Data!A868="",#N/A,Data!A868)</f>
        <v>44256</v>
      </c>
      <c r="B841" s="34">
        <f>VLOOKUP(A841,Data!A:AX,MATCH($B$2,Data!$B$1:$AX$1,0),FALSE)</f>
        <v>103.7</v>
      </c>
      <c r="C841" s="35">
        <f t="shared" si="54"/>
        <v>2.9013539651836506E-3</v>
      </c>
      <c r="D841" s="35">
        <f t="shared" si="51"/>
        <v>3.5377234339115438E-2</v>
      </c>
      <c r="E841" s="35">
        <f>(Table143454[[#This Row],[JPN]]-B829)/B829</f>
        <v>7.7745383867832566E-3</v>
      </c>
      <c r="F841" s="34">
        <f>VLOOKUP(Table143454[[#This Row],[Date]],'Data Core CPI'!$A:$AX,MATCH($B$2,'Data Core CPI'!$B$1:$AX$1,0),FALSE)</f>
        <v>103.48439999999999</v>
      </c>
      <c r="G841" s="35">
        <f t="shared" si="52"/>
        <v>1.5708159241825115E-3</v>
      </c>
      <c r="H841" s="35">
        <f t="shared" si="53"/>
        <v>1.9013499352112495E-2</v>
      </c>
      <c r="I841" s="35">
        <f>(Table143454[[#This Row],[Core CPI]]-F829)/F829</f>
        <v>9.3803616174758693E-3</v>
      </c>
    </row>
    <row r="842" spans="1:9" s="26" customFormat="1" x14ac:dyDescent="0.35">
      <c r="A842" s="33">
        <f>IF(Data!A869="",#N/A,Data!A869)</f>
        <v>44287</v>
      </c>
      <c r="B842" s="34">
        <f>VLOOKUP(A842,Data!A:AX,MATCH($B$2,Data!$B$1:$AX$1,0),FALSE)</f>
        <v>104.1</v>
      </c>
      <c r="C842" s="35">
        <f t="shared" si="54"/>
        <v>3.8572806171648377E-3</v>
      </c>
      <c r="D842" s="35">
        <f t="shared" si="51"/>
        <v>4.7282092190619407E-2</v>
      </c>
      <c r="E842" s="35">
        <f>(Table143454[[#This Row],[JPN]]-B830)/B830</f>
        <v>1.0679611650485381E-2</v>
      </c>
      <c r="F842" s="34">
        <f>VLOOKUP(Table143454[[#This Row],[Date]],'Data Core CPI'!$A:$AX,MATCH($B$2,'Data Core CPI'!$B$1:$AX$1,0),FALSE)</f>
        <v>103.61499999999999</v>
      </c>
      <c r="G842" s="35">
        <f t="shared" si="52"/>
        <v>1.262025967198932E-3</v>
      </c>
      <c r="H842" s="35">
        <f t="shared" si="53"/>
        <v>1.5249873903344868E-2</v>
      </c>
      <c r="I842" s="35">
        <f>(Table143454[[#This Row],[Core CPI]]-F830)/F830</f>
        <v>4.4203608022566022E-3</v>
      </c>
    </row>
    <row r="843" spans="1:9" s="26" customFormat="1" x14ac:dyDescent="0.35">
      <c r="A843" s="33">
        <f>IF(Data!A870="",#N/A,Data!A870)</f>
        <v>44317</v>
      </c>
      <c r="B843" s="34">
        <f>VLOOKUP(A843,Data!A:AX,MATCH($B$2,Data!$B$1:$AX$1,0),FALSE)</f>
        <v>104.1</v>
      </c>
      <c r="C843" s="35">
        <f t="shared" si="54"/>
        <v>0</v>
      </c>
      <c r="D843" s="35">
        <f t="shared" si="51"/>
        <v>0</v>
      </c>
      <c r="E843" s="35">
        <f>(Table143454[[#This Row],[JPN]]-B831)/B831</f>
        <v>1.2645914396887132E-2</v>
      </c>
      <c r="F843" s="34">
        <f>VLOOKUP(Table143454[[#This Row],[Date]],'Data Core CPI'!$A:$AX,MATCH($B$2,'Data Core CPI'!$B$1:$AX$1,0),FALSE)</f>
        <v>103.4447</v>
      </c>
      <c r="G843" s="35">
        <f t="shared" si="52"/>
        <v>-1.6435844231047492E-3</v>
      </c>
      <c r="H843" s="35">
        <f t="shared" si="53"/>
        <v>-1.9545695855073375E-2</v>
      </c>
      <c r="I843" s="35">
        <f>(Table143454[[#This Row],[Core CPI]]-F831)/F831</f>
        <v>3.4903269052983781E-3</v>
      </c>
    </row>
    <row r="844" spans="1:9" s="26" customFormat="1" x14ac:dyDescent="0.35">
      <c r="A844" s="33">
        <f>IF(Data!A871="",#N/A,Data!A871)</f>
        <v>44348</v>
      </c>
      <c r="B844" s="34">
        <f>VLOOKUP(A844,Data!A:AX,MATCH($B$2,Data!$B$1:$AX$1,0),FALSE)</f>
        <v>104.2</v>
      </c>
      <c r="C844" s="35">
        <f t="shared" si="54"/>
        <v>9.6061479346798428E-4</v>
      </c>
      <c r="D844" s="35">
        <f t="shared" si="51"/>
        <v>1.1588476491454447E-2</v>
      </c>
      <c r="E844" s="35">
        <f>(Table143454[[#This Row],[JPN]]-B832)/B832</f>
        <v>1.263362487852281E-2</v>
      </c>
      <c r="F844" s="34">
        <f>VLOOKUP(Table143454[[#This Row],[Date]],'Data Core CPI'!$A:$AX,MATCH($B$2,'Data Core CPI'!$B$1:$AX$1,0),FALSE)</f>
        <v>103.63679999999999</v>
      </c>
      <c r="G844" s="35">
        <f t="shared" si="52"/>
        <v>1.8570308580332373E-3</v>
      </c>
      <c r="H844" s="35">
        <f t="shared" si="53"/>
        <v>2.2513390298456448E-2</v>
      </c>
      <c r="I844" s="35">
        <f>(Table143454[[#This Row],[Core CPI]]-F832)/F832</f>
        <v>3.1060078845559554E-3</v>
      </c>
    </row>
    <row r="845" spans="1:9" s="26" customFormat="1" x14ac:dyDescent="0.35">
      <c r="A845" s="33">
        <f>IF(Data!A872="",#N/A,Data!A872)</f>
        <v>44378</v>
      </c>
      <c r="B845" s="34">
        <f>VLOOKUP(A845,Data!A:AX,MATCH($B$2,Data!$B$1:$AX$1,0),FALSE)</f>
        <v>104.7</v>
      </c>
      <c r="C845" s="35">
        <f t="shared" si="54"/>
        <v>4.7984644913627861E-3</v>
      </c>
      <c r="D845" s="35">
        <f t="shared" si="51"/>
        <v>5.9125812508271869E-2</v>
      </c>
      <c r="E845" s="35">
        <f>(Table143454[[#This Row],[JPN]]-B833)/B833</f>
        <v>1.9474196689386561E-2</v>
      </c>
      <c r="F845" s="34">
        <f>VLOOKUP(Table143454[[#This Row],[Date]],'Data Core CPI'!$A:$AX,MATCH($B$2,'Data Core CPI'!$B$1:$AX$1,0),FALSE)</f>
        <v>103.9568</v>
      </c>
      <c r="G845" s="35">
        <f t="shared" si="52"/>
        <v>3.0877062973770908E-3</v>
      </c>
      <c r="H845" s="35">
        <f t="shared" si="53"/>
        <v>3.7688236531624453E-2</v>
      </c>
      <c r="I845" s="35">
        <f>(Table143454[[#This Row],[Core CPI]]-F833)/F833</f>
        <v>6.2705088617642582E-3</v>
      </c>
    </row>
    <row r="846" spans="1:9" s="26" customFormat="1" x14ac:dyDescent="0.35">
      <c r="A846" s="33">
        <f>IF(Data!A873="",#N/A,Data!A873)</f>
        <v>44409</v>
      </c>
      <c r="B846" s="34">
        <f>VLOOKUP(A846,Data!A:AX,MATCH($B$2,Data!$B$1:$AX$1,0),FALSE)</f>
        <v>105.1</v>
      </c>
      <c r="C846" s="35">
        <f t="shared" si="54"/>
        <v>3.8204393505252288E-3</v>
      </c>
      <c r="D846" s="35">
        <f t="shared" si="51"/>
        <v>4.6820965942337978E-2</v>
      </c>
      <c r="E846" s="35">
        <f>(Table143454[[#This Row],[JPN]]-B834)/B834</f>
        <v>2.0388349514563052E-2</v>
      </c>
      <c r="F846" s="34">
        <f>VLOOKUP(Table143454[[#This Row],[Date]],'Data Core CPI'!$A:$AX,MATCH($B$2,'Data Core CPI'!$B$1:$AX$1,0),FALSE)</f>
        <v>104.2621</v>
      </c>
      <c r="G846" s="35">
        <f t="shared" si="52"/>
        <v>2.9367968232958397E-3</v>
      </c>
      <c r="H846" s="35">
        <f t="shared" si="53"/>
        <v>3.5816406489949992E-2</v>
      </c>
      <c r="I846" s="35">
        <f>(Table143454[[#This Row],[Core CPI]]-F834)/F834</f>
        <v>4.8342095498769815E-3</v>
      </c>
    </row>
    <row r="847" spans="1:9" s="26" customFormat="1" x14ac:dyDescent="0.35">
      <c r="A847" s="33">
        <f>IF(Data!A874="",#N/A,Data!A874)</f>
        <v>44440</v>
      </c>
      <c r="B847" s="34">
        <f>VLOOKUP(A847,Data!A:AX,MATCH($B$2,Data!$B$1:$AX$1,0),FALSE)</f>
        <v>104.9</v>
      </c>
      <c r="C847" s="35">
        <f t="shared" si="54"/>
        <v>-1.9029495718362321E-3</v>
      </c>
      <c r="D847" s="35">
        <f t="shared" si="51"/>
        <v>-2.2597904082464093E-2</v>
      </c>
      <c r="E847" s="35">
        <f>(Table143454[[#This Row],[JPN]]-B835)/B835</f>
        <v>2.5415444770283565E-2</v>
      </c>
      <c r="F847" s="34">
        <f>VLOOKUP(Table143454[[#This Row],[Date]],'Data Core CPI'!$A:$AX,MATCH($B$2,'Data Core CPI'!$B$1:$AX$1,0),FALSE)</f>
        <v>103.9464</v>
      </c>
      <c r="G847" s="35">
        <f t="shared" si="52"/>
        <v>-3.0279459170686751E-3</v>
      </c>
      <c r="H847" s="35">
        <f t="shared" si="53"/>
        <v>-3.5736299018124251E-2</v>
      </c>
      <c r="I847" s="35">
        <f>(Table143454[[#This Row],[Core CPI]]-F835)/F835</f>
        <v>9.9247120959068524E-3</v>
      </c>
    </row>
    <row r="848" spans="1:9" s="26" customFormat="1" x14ac:dyDescent="0.35">
      <c r="A848" s="33">
        <f>IF(Data!A875="",#N/A,Data!A875)</f>
        <v>44470</v>
      </c>
      <c r="B848" s="34">
        <f>VLOOKUP(A848,Data!A:AX,MATCH($B$2,Data!$B$1:$AX$1,0),FALSE)</f>
        <v>105.6</v>
      </c>
      <c r="C848" s="35">
        <f t="shared" si="54"/>
        <v>6.673021925643452E-3</v>
      </c>
      <c r="D848" s="35">
        <f t="shared" si="51"/>
        <v>8.3081555591554501E-2</v>
      </c>
      <c r="E848" s="35">
        <f>(Table143454[[#This Row],[JPN]]-B836)/B836</f>
        <v>3.0243902439024334E-2</v>
      </c>
      <c r="F848" s="34">
        <f>VLOOKUP(Table143454[[#This Row],[Date]],'Data Core CPI'!$A:$AX,MATCH($B$2,'Data Core CPI'!$B$1:$AX$1,0),FALSE)</f>
        <v>103.86669999999999</v>
      </c>
      <c r="G848" s="35">
        <f t="shared" si="52"/>
        <v>-7.6674132052678701E-4</v>
      </c>
      <c r="H848" s="35">
        <f t="shared" si="53"/>
        <v>-9.1621939542605446E-3</v>
      </c>
      <c r="I848" s="35">
        <f>(Table143454[[#This Row],[Core CPI]]-F836)/F836</f>
        <v>1.0189750921522207E-2</v>
      </c>
    </row>
    <row r="849" spans="1:9" s="26" customFormat="1" x14ac:dyDescent="0.35">
      <c r="A849" s="33">
        <f>IF(Data!A876="",#N/A,Data!A876)</f>
        <v>44501</v>
      </c>
      <c r="B849" s="34">
        <f>VLOOKUP(A849,Data!A:AX,MATCH($B$2,Data!$B$1:$AX$1,0),FALSE)</f>
        <v>106.2</v>
      </c>
      <c r="C849" s="35">
        <f t="shared" si="54"/>
        <v>5.6818181818183433E-3</v>
      </c>
      <c r="D849" s="35">
        <f t="shared" si="51"/>
        <v>7.0353374430369708E-2</v>
      </c>
      <c r="E849" s="35">
        <f>(Table143454[[#This Row],[JPN]]-B837)/B837</f>
        <v>3.7109374999999972E-2</v>
      </c>
      <c r="F849" s="34">
        <f>VLOOKUP(Table143454[[#This Row],[Date]],'Data Core CPI'!$A:$AX,MATCH($B$2,'Data Core CPI'!$B$1:$AX$1,0),FALSE)</f>
        <v>103.7881</v>
      </c>
      <c r="G849" s="35">
        <f t="shared" si="52"/>
        <v>-7.5673916664331653E-4</v>
      </c>
      <c r="H849" s="35">
        <f t="shared" si="53"/>
        <v>-9.0431699995757731E-3</v>
      </c>
      <c r="I849" s="35">
        <f>(Table143454[[#This Row],[Core CPI]]-F837)/F837</f>
        <v>1.1872832584091076E-2</v>
      </c>
    </row>
    <row r="850" spans="1:9" s="26" customFormat="1" x14ac:dyDescent="0.35">
      <c r="A850" s="33">
        <f>IF(Data!A877="",#N/A,Data!A877)</f>
        <v>44531</v>
      </c>
      <c r="B850" s="34">
        <f>VLOOKUP(A850,Data!A:AX,MATCH($B$2,Data!$B$1:$AX$1,0),FALSE)</f>
        <v>106.6</v>
      </c>
      <c r="C850" s="35">
        <f t="shared" si="54"/>
        <v>3.7664783427493465E-3</v>
      </c>
      <c r="D850" s="35">
        <f t="shared" si="51"/>
        <v>4.6145895212290178E-2</v>
      </c>
      <c r="E850" s="35">
        <f>(Table143454[[#This Row],[JPN]]-B838)/B838</f>
        <v>3.8986354775828465E-2</v>
      </c>
      <c r="F850" s="34">
        <f>VLOOKUP(Table143454[[#This Row],[Date]],'Data Core CPI'!$A:$AX,MATCH($B$2,'Data Core CPI'!$B$1:$AX$1,0),FALSE)</f>
        <v>104.13549999999999</v>
      </c>
      <c r="G850" s="35">
        <f t="shared" si="52"/>
        <v>3.3472045446443222E-3</v>
      </c>
      <c r="H850" s="35">
        <f t="shared" si="53"/>
        <v>4.0914216664156733E-2</v>
      </c>
      <c r="I850" s="35">
        <f>(Table143454[[#This Row],[Core CPI]]-F838)/F838</f>
        <v>1.2653365657178532E-2</v>
      </c>
    </row>
    <row r="851" spans="1:9" s="26" customFormat="1" x14ac:dyDescent="0.35">
      <c r="A851" s="33">
        <f>IF(Data!A878="",#N/A,Data!A878)</f>
        <v>44562</v>
      </c>
      <c r="B851" s="34">
        <f>VLOOKUP(A851,Data!A:AX,MATCH($B$2,Data!$B$1:$AX$1,0),FALSE)</f>
        <v>108.3</v>
      </c>
      <c r="C851" s="35">
        <f t="shared" si="54"/>
        <v>1.5947467166979479E-2</v>
      </c>
      <c r="D851" s="35">
        <f t="shared" si="51"/>
        <v>0.20907996066883006</v>
      </c>
      <c r="E851" s="35">
        <f>(Table143454[[#This Row],[JPN]]-B839)/B839</f>
        <v>4.8402710551790899E-2</v>
      </c>
      <c r="F851" s="34">
        <f>VLOOKUP(Table143454[[#This Row],[Date]],'Data Core CPI'!$A:$AX,MATCH($B$2,'Data Core CPI'!$B$1:$AX$1,0),FALSE)</f>
        <v>104.6298</v>
      </c>
      <c r="G851" s="35">
        <f t="shared" si="52"/>
        <v>4.7467002127037361E-3</v>
      </c>
      <c r="H851" s="35">
        <f t="shared" si="53"/>
        <v>5.8471241220588777E-2</v>
      </c>
      <c r="I851" s="35">
        <f>(Table143454[[#This Row],[Core CPI]]-F839)/F839</f>
        <v>1.3420608615302327E-2</v>
      </c>
    </row>
    <row r="852" spans="1:9" s="26" customFormat="1" x14ac:dyDescent="0.35">
      <c r="A852" s="33">
        <f>IF(Data!A879="",#N/A,Data!A879)</f>
        <v>44593</v>
      </c>
      <c r="B852" s="34">
        <f>VLOOKUP(A852,Data!A:AX,MATCH($B$2,Data!$B$1:$AX$1,0),FALSE)</f>
        <v>109.3</v>
      </c>
      <c r="C852" s="35">
        <f t="shared" si="54"/>
        <v>9.2336103416434945E-3</v>
      </c>
      <c r="D852" s="35">
        <f t="shared" si="51"/>
        <v>0.11660730282510379</v>
      </c>
      <c r="E852" s="35">
        <f>(Table143454[[#This Row],[JPN]]-B840)/B840</f>
        <v>5.7059961315280378E-2</v>
      </c>
      <c r="F852" s="34">
        <f>VLOOKUP(Table143454[[#This Row],[Date]],'Data Core CPI'!$A:$AX,MATCH($B$2,'Data Core CPI'!$B$1:$AX$1,0),FALSE)</f>
        <v>104.7805</v>
      </c>
      <c r="G852" s="35">
        <f t="shared" si="52"/>
        <v>1.4403162387770507E-3</v>
      </c>
      <c r="H852" s="35">
        <f t="shared" si="53"/>
        <v>1.7421372067161434E-2</v>
      </c>
      <c r="I852" s="35">
        <f>(Table143454[[#This Row],[Core CPI]]-F840)/F840</f>
        <v>1.4115082833198293E-2</v>
      </c>
    </row>
    <row r="853" spans="1:9" s="26" customFormat="1" x14ac:dyDescent="0.35">
      <c r="A853" s="33">
        <f>IF(Data!A880="",#N/A,Data!A880)</f>
        <v>44621</v>
      </c>
      <c r="B853" s="34">
        <f>VLOOKUP(A853,Data!A:AX,MATCH($B$2,Data!$B$1:$AX$1,0),FALSE)</f>
        <v>110.4</v>
      </c>
      <c r="C853" s="35">
        <f t="shared" si="54"/>
        <v>1.0064043915828158E-2</v>
      </c>
      <c r="D853" s="35">
        <f t="shared" si="51"/>
        <v>0.12768275046049893</v>
      </c>
      <c r="E853" s="35">
        <f>(Table143454[[#This Row],[JPN]]-B841)/B841</f>
        <v>6.4609450337512087E-2</v>
      </c>
      <c r="F853" s="34">
        <f>VLOOKUP(Table143454[[#This Row],[Date]],'Data Core CPI'!$A:$AX,MATCH($B$2,'Data Core CPI'!$B$1:$AX$1,0),FALSE)</f>
        <v>105.1593</v>
      </c>
      <c r="G853" s="35">
        <f t="shared" si="52"/>
        <v>3.6151764879914783E-3</v>
      </c>
      <c r="H853" s="35">
        <f t="shared" si="53"/>
        <v>4.4255184649135026E-2</v>
      </c>
      <c r="I853" s="35">
        <f>(Table143454[[#This Row],[Core CPI]]-F841)/F841</f>
        <v>1.6185048181175211E-2</v>
      </c>
    </row>
    <row r="854" spans="1:9" s="26" customFormat="1" x14ac:dyDescent="0.35">
      <c r="A854" s="33">
        <f>IF(Data!A881="",#N/A,Data!A881)</f>
        <v>44652</v>
      </c>
      <c r="B854" s="34">
        <f>VLOOKUP(A854,Data!A:AX,MATCH($B$2,Data!$B$1:$AX$1,0),FALSE)</f>
        <v>110.3</v>
      </c>
      <c r="C854" s="35">
        <f t="shared" si="54"/>
        <v>-9.057971014493349E-4</v>
      </c>
      <c r="D854" s="35">
        <f t="shared" si="51"/>
        <v>-1.0815577470117743E-2</v>
      </c>
      <c r="E854" s="35">
        <f>(Table143454[[#This Row],[JPN]]-B842)/B842</f>
        <v>5.9558117195004832E-2</v>
      </c>
      <c r="F854" s="34">
        <f>VLOOKUP(Table143454[[#This Row],[Date]],'Data Core CPI'!$A:$AX,MATCH($B$2,'Data Core CPI'!$B$1:$AX$1,0),FALSE)</f>
        <v>105.6519</v>
      </c>
      <c r="G854" s="35">
        <f t="shared" si="52"/>
        <v>4.6843217860901287E-3</v>
      </c>
      <c r="H854" s="35">
        <f t="shared" si="53"/>
        <v>5.7682944268541814E-2</v>
      </c>
      <c r="I854" s="35">
        <f>(Table143454[[#This Row],[Core CPI]]-F842)/F842</f>
        <v>1.9658350624909549E-2</v>
      </c>
    </row>
    <row r="855" spans="1:9" s="26" customFormat="1" x14ac:dyDescent="0.35">
      <c r="A855" s="33">
        <f>IF(Data!A882="",#N/A,Data!A882)</f>
        <v>44682</v>
      </c>
      <c r="B855" s="34">
        <f>VLOOKUP(A855,Data!A:AX,MATCH($B$2,Data!$B$1:$AX$1,0),FALSE)</f>
        <v>111.2</v>
      </c>
      <c r="C855" s="35">
        <f t="shared" si="54"/>
        <v>8.1595648232095641E-3</v>
      </c>
      <c r="D855" s="35">
        <f t="shared" si="51"/>
        <v>0.10243069720411513</v>
      </c>
      <c r="E855" s="35">
        <f>(Table143454[[#This Row],[JPN]]-B843)/B843</f>
        <v>6.8203650336215269E-2</v>
      </c>
      <c r="F855" s="34">
        <f>VLOOKUP(Table143454[[#This Row],[Date]],'Data Core CPI'!$A:$AX,MATCH($B$2,'Data Core CPI'!$B$1:$AX$1,0),FALSE)</f>
        <v>106.0748</v>
      </c>
      <c r="G855" s="35">
        <f t="shared" si="52"/>
        <v>4.0027675791916018E-3</v>
      </c>
      <c r="H855" s="35">
        <f t="shared" si="53"/>
        <v>4.9104909872203617E-2</v>
      </c>
      <c r="I855" s="35">
        <f>(Table143454[[#This Row],[Core CPI]]-F843)/F843</f>
        <v>2.5425178863682708E-2</v>
      </c>
    </row>
    <row r="856" spans="1:9" s="26" customFormat="1" x14ac:dyDescent="0.35">
      <c r="A856" s="33">
        <f>IF(Data!A883="",#N/A,Data!A883)</f>
        <v>44713</v>
      </c>
      <c r="B856" s="34">
        <f>VLOOKUP(A856,Data!A:AX,MATCH($B$2,Data!$B$1:$AX$1,0),FALSE)</f>
        <v>112.5</v>
      </c>
      <c r="C856" s="35">
        <f t="shared" si="54"/>
        <v>1.1690647482014427E-2</v>
      </c>
      <c r="D856" s="35">
        <f t="shared" si="51"/>
        <v>0.14966900353820933</v>
      </c>
      <c r="E856" s="35">
        <f>(Table143454[[#This Row],[JPN]]-B844)/B844</f>
        <v>7.9654510556621858E-2</v>
      </c>
      <c r="F856" s="34">
        <f>VLOOKUP(Table143454[[#This Row],[Date]],'Data Core CPI'!$A:$AX,MATCH($B$2,'Data Core CPI'!$B$1:$AX$1,0),FALSE)</f>
        <v>106.74209999999999</v>
      </c>
      <c r="G856" s="35">
        <f t="shared" si="52"/>
        <v>6.2908438196442873E-3</v>
      </c>
      <c r="H856" s="35">
        <f t="shared" si="53"/>
        <v>7.8157611036918651E-2</v>
      </c>
      <c r="I856" s="35">
        <f>(Table143454[[#This Row],[Core CPI]]-F844)/F844</f>
        <v>2.9963294891389929E-2</v>
      </c>
    </row>
    <row r="857" spans="1:9" s="26" customFormat="1" x14ac:dyDescent="0.35">
      <c r="A857" s="33">
        <f>IF(Data!A884="",#N/A,Data!A884)</f>
        <v>44743</v>
      </c>
      <c r="B857" s="34">
        <f>VLOOKUP(A857,Data!A:AX,MATCH($B$2,Data!$B$1:$AX$1,0),FALSE)</f>
        <v>113</v>
      </c>
      <c r="C857" s="35">
        <f t="shared" si="54"/>
        <v>4.4444444444444731E-3</v>
      </c>
      <c r="D857" s="35">
        <f t="shared" si="51"/>
        <v>5.4656545687867819E-2</v>
      </c>
      <c r="E857" s="35">
        <f>(Table143454[[#This Row],[JPN]]-B845)/B845</f>
        <v>7.9274116523400162E-2</v>
      </c>
      <c r="F857" s="34">
        <f>VLOOKUP(Table143454[[#This Row],[Date]],'Data Core CPI'!$A:$AX,MATCH($B$2,'Data Core CPI'!$B$1:$AX$1,0),FALSE)</f>
        <v>107.3325</v>
      </c>
      <c r="G857" s="35">
        <f t="shared" si="52"/>
        <v>5.5310884833632556E-3</v>
      </c>
      <c r="H857" s="35">
        <f t="shared" si="53"/>
        <v>6.8429889935296861E-2</v>
      </c>
      <c r="I857" s="35">
        <f>(Table143454[[#This Row],[Core CPI]]-F845)/F845</f>
        <v>3.2472142274483196E-2</v>
      </c>
    </row>
    <row r="858" spans="1:9" s="26" customFormat="1" x14ac:dyDescent="0.35">
      <c r="A858" s="33">
        <f>IF(Data!A885="",#N/A,Data!A885)</f>
        <v>44774</v>
      </c>
      <c r="B858" s="34">
        <f>VLOOKUP(A858,Data!A:AX,MATCH($B$2,Data!$B$1:$AX$1,0),FALSE)</f>
        <v>113.9</v>
      </c>
      <c r="C858" s="35">
        <f t="shared" si="54"/>
        <v>7.964601769911539E-3</v>
      </c>
      <c r="D858" s="35">
        <f t="shared" si="51"/>
        <v>9.9875092286075384E-2</v>
      </c>
      <c r="E858" s="35">
        <f>(Table143454[[#This Row],[JPN]]-B846)/B846</f>
        <v>8.3729781160799349E-2</v>
      </c>
      <c r="F858" s="34">
        <f>VLOOKUP(Table143454[[#This Row],[Date]],'Data Core CPI'!$A:$AX,MATCH($B$2,'Data Core CPI'!$B$1:$AX$1,0),FALSE)</f>
        <v>107.8918</v>
      </c>
      <c r="G858" s="35">
        <f t="shared" si="52"/>
        <v>5.2109100225934402E-3</v>
      </c>
      <c r="H858" s="35">
        <f t="shared" si="53"/>
        <v>6.4354553673412696E-2</v>
      </c>
      <c r="I858" s="35">
        <f>(Table143454[[#This Row],[Core CPI]]-F846)/F846</f>
        <v>3.4813225515311887E-2</v>
      </c>
    </row>
    <row r="859" spans="1:9" s="26" customFormat="1" x14ac:dyDescent="0.35">
      <c r="A859" s="33">
        <f>IF(Data!A886="",#N/A,Data!A886)</f>
        <v>44805</v>
      </c>
      <c r="B859" s="34">
        <f>VLOOKUP(A859,Data!A:AX,MATCH($B$2,Data!$B$1:$AX$1,0),FALSE)</f>
        <v>114.2</v>
      </c>
      <c r="C859" s="35">
        <f t="shared" si="54"/>
        <v>2.6338893766462146E-3</v>
      </c>
      <c r="D859" s="35">
        <f t="shared" si="51"/>
        <v>3.2068582978005411E-2</v>
      </c>
      <c r="E859" s="35">
        <f>(Table143454[[#This Row],[JPN]]-B847)/B847</f>
        <v>8.8655862726406062E-2</v>
      </c>
      <c r="F859" s="34">
        <f>VLOOKUP(Table143454[[#This Row],[Date]],'Data Core CPI'!$A:$AX,MATCH($B$2,'Data Core CPI'!$B$1:$AX$1,0),FALSE)</f>
        <v>107.983</v>
      </c>
      <c r="G859" s="35">
        <f t="shared" si="52"/>
        <v>8.4529130109989303E-4</v>
      </c>
      <c r="H859" s="35">
        <f t="shared" si="53"/>
        <v>1.0190786888153447E-2</v>
      </c>
      <c r="I859" s="35">
        <f>(Table143454[[#This Row],[Core CPI]]-F847)/F847</f>
        <v>3.8833475714406727E-2</v>
      </c>
    </row>
    <row r="860" spans="1:9" s="26" customFormat="1" x14ac:dyDescent="0.35">
      <c r="A860" s="33">
        <f>IF(Data!A887="",#N/A,Data!A887)</f>
        <v>44835</v>
      </c>
      <c r="B860" s="34">
        <f>VLOOKUP(A860,Data!A:AX,MATCH($B$2,Data!$B$1:$AX$1,0),FALSE)</f>
        <v>118.1</v>
      </c>
      <c r="C860" s="35">
        <f t="shared" si="54"/>
        <v>3.4150612959719773E-2</v>
      </c>
      <c r="D860" s="35">
        <f t="shared" si="51"/>
        <v>0.49625468908552461</v>
      </c>
      <c r="E860" s="35">
        <f>(Table143454[[#This Row],[JPN]]-B848)/B848</f>
        <v>0.11837121212121213</v>
      </c>
      <c r="F860" s="34">
        <f>VLOOKUP(Table143454[[#This Row],[Date]],'Data Core CPI'!$A:$AX,MATCH($B$2,'Data Core CPI'!$B$1:$AX$1,0),FALSE)</f>
        <v>108.0873</v>
      </c>
      <c r="G860" s="35">
        <f t="shared" si="52"/>
        <v>9.6589277941894203E-4</v>
      </c>
      <c r="H860" s="35">
        <f t="shared" si="53"/>
        <v>1.1652486657671268E-2</v>
      </c>
      <c r="I860" s="35">
        <f>(Table143454[[#This Row],[Core CPI]]-F848)/F848</f>
        <v>4.0634775149301985E-2</v>
      </c>
    </row>
    <row r="861" spans="1:9" s="26" customFormat="1" x14ac:dyDescent="0.35">
      <c r="A861" s="33">
        <f>IF(Data!A888="",#N/A,Data!A888)</f>
        <v>44866</v>
      </c>
      <c r="B861" s="34">
        <f>VLOOKUP(A861,Data!A:AX,MATCH($B$2,Data!$B$1:$AX$1,0),FALSE)</f>
        <v>118.7</v>
      </c>
      <c r="C861" s="35">
        <f t="shared" si="54"/>
        <v>5.0804403048265723E-3</v>
      </c>
      <c r="D861" s="35">
        <f t="shared" si="51"/>
        <v>6.2697982520330431E-2</v>
      </c>
      <c r="E861" s="35">
        <f>(Table143454[[#This Row],[JPN]]-B849)/B849</f>
        <v>0.11770244821092278</v>
      </c>
      <c r="F861" s="34">
        <f>VLOOKUP(Table143454[[#This Row],[Date]],'Data Core CPI'!$A:$AX,MATCH($B$2,'Data Core CPI'!$B$1:$AX$1,0),FALSE)</f>
        <v>108.08580000000001</v>
      </c>
      <c r="G861" s="35">
        <f t="shared" si="52"/>
        <v>-1.3877671104722822E-5</v>
      </c>
      <c r="H861" s="35">
        <f t="shared" si="53"/>
        <v>-1.6651934292100101E-4</v>
      </c>
      <c r="I861" s="35">
        <f>(Table143454[[#This Row],[Core CPI]]-F849)/F849</f>
        <v>4.1408408093028065E-2</v>
      </c>
    </row>
    <row r="862" spans="1:9" s="26" customFormat="1" x14ac:dyDescent="0.35">
      <c r="A862" s="33">
        <f>IF(Data!A889="",#N/A,Data!A889)</f>
        <v>44896</v>
      </c>
      <c r="B862" s="34">
        <f>VLOOKUP(A862,Data!A:AX,MATCH($B$2,Data!$B$1:$AX$1,0),FALSE)</f>
        <v>119</v>
      </c>
      <c r="C862" s="35">
        <f t="shared" si="54"/>
        <v>2.5273799494522908E-3</v>
      </c>
      <c r="D862" s="35">
        <f t="shared" si="51"/>
        <v>3.075371621709988E-2</v>
      </c>
      <c r="E862" s="35">
        <f>(Table143454[[#This Row],[JPN]]-B850)/B850</f>
        <v>0.11632270168855541</v>
      </c>
      <c r="F862" s="34">
        <f>VLOOKUP(Table143454[[#This Row],[Date]],'Data Core CPI'!$A:$AX,MATCH($B$2,'Data Core CPI'!$B$1:$AX$1,0),FALSE)</f>
        <v>108.7898</v>
      </c>
      <c r="G862" s="35">
        <f t="shared" si="52"/>
        <v>6.5133440285403132E-3</v>
      </c>
      <c r="H862" s="35">
        <f t="shared" si="53"/>
        <v>8.1021779873174937E-2</v>
      </c>
      <c r="I862" s="35">
        <f>(Table143454[[#This Row],[Core CPI]]-F850)/F850</f>
        <v>4.4694652640069971E-2</v>
      </c>
    </row>
    <row r="863" spans="1:9" s="26" customFormat="1" x14ac:dyDescent="0.35">
      <c r="A863" s="31"/>
      <c r="B863" s="29"/>
      <c r="C863" s="30"/>
      <c r="D863" s="30"/>
      <c r="E863" s="30"/>
      <c r="F863" s="31"/>
      <c r="G863" s="31"/>
      <c r="H863" s="31"/>
      <c r="I863" s="31"/>
    </row>
    <row r="864" spans="1:9" s="26" customFormat="1" x14ac:dyDescent="0.35">
      <c r="A864" s="31"/>
      <c r="B864" s="29"/>
      <c r="C864" s="30"/>
      <c r="D864" s="30"/>
      <c r="E864" s="30"/>
      <c r="F864" s="31"/>
      <c r="G864" s="31"/>
      <c r="H864" s="31"/>
      <c r="I864" s="31"/>
    </row>
    <row r="865" spans="1:9" s="26" customFormat="1" x14ac:dyDescent="0.35">
      <c r="A865" s="31"/>
      <c r="B865" s="29"/>
      <c r="C865" s="30"/>
      <c r="D865" s="30"/>
      <c r="E865" s="30"/>
      <c r="F865" s="31"/>
      <c r="G865" s="31"/>
      <c r="H865" s="31"/>
      <c r="I865" s="31"/>
    </row>
    <row r="866" spans="1:9" s="26" customFormat="1" x14ac:dyDescent="0.35">
      <c r="A866" s="31"/>
      <c r="B866" s="29"/>
      <c r="C866" s="30"/>
      <c r="D866" s="30"/>
      <c r="E866" s="30"/>
      <c r="F866" s="31"/>
      <c r="G866" s="31"/>
      <c r="H866" s="31"/>
      <c r="I866" s="31"/>
    </row>
    <row r="867" spans="1:9" s="26" customFormat="1" x14ac:dyDescent="0.35">
      <c r="A867" s="31"/>
      <c r="B867" s="29"/>
      <c r="C867" s="30"/>
      <c r="D867" s="30"/>
      <c r="E867" s="30"/>
      <c r="F867" s="31"/>
      <c r="G867" s="31"/>
      <c r="H867" s="31"/>
      <c r="I867" s="31"/>
    </row>
    <row r="868" spans="1:9" s="26" customFormat="1" x14ac:dyDescent="0.35">
      <c r="A868" s="31"/>
      <c r="B868" s="29"/>
      <c r="C868" s="30"/>
      <c r="D868" s="30"/>
      <c r="E868" s="30"/>
      <c r="F868" s="31"/>
      <c r="G868" s="31"/>
      <c r="H868" s="31"/>
      <c r="I868" s="31"/>
    </row>
    <row r="869" spans="1:9" s="26" customFormat="1" x14ac:dyDescent="0.35">
      <c r="A869" s="31"/>
      <c r="B869" s="29"/>
      <c r="C869" s="30"/>
      <c r="D869" s="30"/>
      <c r="E869" s="30"/>
      <c r="F869" s="31"/>
      <c r="G869" s="31"/>
      <c r="H869" s="31"/>
      <c r="I869" s="31"/>
    </row>
    <row r="870" spans="1:9" s="26" customFormat="1" x14ac:dyDescent="0.35">
      <c r="A870" s="31"/>
      <c r="B870" s="29"/>
      <c r="C870" s="30"/>
      <c r="D870" s="30"/>
      <c r="E870" s="30"/>
      <c r="F870" s="31"/>
      <c r="G870" s="31"/>
      <c r="H870" s="31"/>
      <c r="I870" s="31"/>
    </row>
    <row r="871" spans="1:9" s="26" customFormat="1" x14ac:dyDescent="0.35">
      <c r="A871" s="31"/>
      <c r="B871" s="29"/>
      <c r="C871" s="30"/>
      <c r="D871" s="30"/>
      <c r="E871" s="30"/>
      <c r="F871" s="31"/>
      <c r="G871" s="31"/>
      <c r="H871" s="31"/>
      <c r="I871" s="31"/>
    </row>
    <row r="872" spans="1:9" s="26" customFormat="1" x14ac:dyDescent="0.35">
      <c r="A872" s="31"/>
      <c r="B872" s="29"/>
      <c r="C872" s="30"/>
      <c r="D872" s="30"/>
      <c r="E872" s="30"/>
      <c r="F872" s="31"/>
      <c r="G872" s="31"/>
      <c r="H872" s="31"/>
      <c r="I872" s="31"/>
    </row>
    <row r="873" spans="1:9" s="26" customFormat="1" x14ac:dyDescent="0.35">
      <c r="A873" s="31"/>
      <c r="B873" s="29"/>
      <c r="C873" s="30"/>
      <c r="D873" s="30"/>
      <c r="E873" s="30"/>
      <c r="F873" s="31"/>
      <c r="G873" s="31"/>
      <c r="H873" s="31"/>
      <c r="I873" s="31"/>
    </row>
    <row r="874" spans="1:9" s="26" customFormat="1" x14ac:dyDescent="0.35">
      <c r="A874" s="31"/>
      <c r="B874" s="29"/>
      <c r="C874" s="30"/>
      <c r="D874" s="30"/>
      <c r="E874" s="30"/>
      <c r="F874" s="31"/>
      <c r="G874" s="31"/>
      <c r="H874" s="31"/>
      <c r="I874" s="31"/>
    </row>
    <row r="875" spans="1:9" s="26" customFormat="1" x14ac:dyDescent="0.35">
      <c r="A875" s="31"/>
      <c r="B875" s="29"/>
      <c r="C875" s="30"/>
      <c r="D875" s="30"/>
      <c r="E875" s="30"/>
      <c r="F875" s="31"/>
      <c r="G875" s="31"/>
      <c r="H875" s="31"/>
      <c r="I875" s="31"/>
    </row>
    <row r="876" spans="1:9" s="26" customFormat="1" x14ac:dyDescent="0.35">
      <c r="A876" s="31"/>
      <c r="B876" s="29"/>
      <c r="C876" s="30"/>
      <c r="D876" s="30"/>
      <c r="E876" s="30"/>
      <c r="F876" s="31"/>
      <c r="G876" s="31"/>
      <c r="H876" s="31"/>
      <c r="I876" s="31"/>
    </row>
    <row r="877" spans="1:9" s="26" customFormat="1" x14ac:dyDescent="0.35">
      <c r="A877" s="31"/>
      <c r="B877" s="29"/>
      <c r="C877" s="30"/>
      <c r="D877" s="30"/>
      <c r="E877" s="30"/>
      <c r="F877" s="31"/>
      <c r="G877" s="31"/>
      <c r="H877" s="31"/>
      <c r="I877" s="31"/>
    </row>
    <row r="878" spans="1:9" s="26" customFormat="1" x14ac:dyDescent="0.35">
      <c r="A878" s="31"/>
      <c r="B878" s="29"/>
      <c r="C878" s="30"/>
      <c r="D878" s="30"/>
      <c r="E878" s="30"/>
      <c r="F878" s="31"/>
      <c r="G878" s="31"/>
      <c r="H878" s="31"/>
      <c r="I878" s="31"/>
    </row>
    <row r="879" spans="1:9" s="26" customFormat="1" x14ac:dyDescent="0.35">
      <c r="A879" s="31"/>
      <c r="B879" s="29"/>
      <c r="C879" s="30"/>
      <c r="D879" s="30"/>
      <c r="E879" s="30"/>
      <c r="F879" s="31"/>
      <c r="G879" s="31"/>
      <c r="H879" s="31"/>
      <c r="I879" s="31"/>
    </row>
    <row r="880" spans="1:9" s="26" customFormat="1" x14ac:dyDescent="0.35">
      <c r="A880" s="31"/>
      <c r="B880" s="29"/>
      <c r="C880" s="30"/>
      <c r="D880" s="30"/>
      <c r="E880" s="30"/>
      <c r="F880" s="31"/>
      <c r="G880" s="31"/>
      <c r="H880" s="31"/>
      <c r="I880" s="31"/>
    </row>
    <row r="881" spans="1:9" s="26" customFormat="1" x14ac:dyDescent="0.35">
      <c r="A881" s="31"/>
      <c r="B881" s="29"/>
      <c r="C881" s="30"/>
      <c r="D881" s="30"/>
      <c r="E881" s="30"/>
      <c r="F881" s="31"/>
      <c r="G881" s="31"/>
      <c r="H881" s="31"/>
      <c r="I881" s="31"/>
    </row>
    <row r="882" spans="1:9" s="26" customFormat="1" x14ac:dyDescent="0.35">
      <c r="A882" s="31"/>
      <c r="B882" s="29"/>
      <c r="C882" s="30"/>
      <c r="D882" s="30"/>
      <c r="E882" s="30"/>
      <c r="F882" s="31"/>
      <c r="G882" s="31"/>
      <c r="H882" s="31"/>
      <c r="I882" s="31"/>
    </row>
    <row r="883" spans="1:9" s="26" customFormat="1" x14ac:dyDescent="0.35">
      <c r="A883" s="31"/>
      <c r="B883" s="29"/>
      <c r="C883" s="30"/>
      <c r="D883" s="30"/>
      <c r="E883" s="30"/>
      <c r="F883" s="31"/>
      <c r="G883" s="31"/>
      <c r="H883" s="31"/>
      <c r="I883" s="31"/>
    </row>
    <row r="884" spans="1:9" s="26" customFormat="1" x14ac:dyDescent="0.35">
      <c r="A884" s="31"/>
      <c r="B884" s="29"/>
      <c r="C884" s="30"/>
      <c r="D884" s="30"/>
      <c r="E884" s="30"/>
      <c r="F884" s="31"/>
      <c r="G884" s="31"/>
      <c r="H884" s="31"/>
      <c r="I884" s="31"/>
    </row>
    <row r="885" spans="1:9" s="26" customFormat="1" x14ac:dyDescent="0.35">
      <c r="A885" s="31"/>
      <c r="B885" s="29"/>
      <c r="C885" s="30"/>
      <c r="D885" s="30"/>
      <c r="E885" s="30"/>
      <c r="F885" s="31"/>
      <c r="G885" s="31"/>
      <c r="H885" s="31"/>
      <c r="I885" s="31"/>
    </row>
    <row r="886" spans="1:9" s="26" customFormat="1" x14ac:dyDescent="0.35">
      <c r="A886" s="31"/>
      <c r="B886" s="29"/>
      <c r="C886" s="30"/>
      <c r="D886" s="30"/>
      <c r="E886" s="30"/>
      <c r="F886" s="31"/>
      <c r="G886" s="31"/>
      <c r="H886" s="31"/>
      <c r="I886" s="31"/>
    </row>
    <row r="887" spans="1:9" s="26" customFormat="1" x14ac:dyDescent="0.35">
      <c r="A887" s="31"/>
      <c r="B887" s="29"/>
      <c r="C887" s="30"/>
      <c r="D887" s="30"/>
      <c r="E887" s="30"/>
      <c r="F887" s="31"/>
      <c r="G887" s="31"/>
      <c r="H887" s="31"/>
      <c r="I887" s="31"/>
    </row>
    <row r="888" spans="1:9" s="26" customFormat="1" x14ac:dyDescent="0.35">
      <c r="A888" s="31"/>
      <c r="B888" s="29"/>
      <c r="C888" s="30"/>
      <c r="D888" s="30"/>
      <c r="E888" s="30"/>
      <c r="F888" s="31"/>
      <c r="G888" s="31"/>
      <c r="H888" s="31"/>
      <c r="I888" s="31"/>
    </row>
    <row r="889" spans="1:9" s="26" customFormat="1" x14ac:dyDescent="0.35">
      <c r="A889" s="31"/>
      <c r="B889" s="29"/>
      <c r="C889" s="30"/>
      <c r="D889" s="30"/>
      <c r="E889" s="30"/>
      <c r="F889" s="31"/>
      <c r="G889" s="31"/>
      <c r="H889" s="31"/>
      <c r="I889" s="31"/>
    </row>
    <row r="890" spans="1:9" s="26" customFormat="1" x14ac:dyDescent="0.35">
      <c r="A890" s="31"/>
      <c r="B890" s="29"/>
      <c r="C890" s="30"/>
      <c r="D890" s="30"/>
      <c r="E890" s="30"/>
      <c r="F890" s="31"/>
      <c r="G890" s="31"/>
      <c r="H890" s="31"/>
      <c r="I890" s="31"/>
    </row>
    <row r="891" spans="1:9" s="26" customFormat="1" x14ac:dyDescent="0.35">
      <c r="A891" s="31"/>
      <c r="B891" s="29"/>
      <c r="C891" s="30"/>
      <c r="D891" s="30"/>
      <c r="E891" s="30"/>
      <c r="F891" s="31"/>
      <c r="G891" s="31"/>
      <c r="H891" s="31"/>
      <c r="I891" s="31"/>
    </row>
    <row r="892" spans="1:9" s="26" customFormat="1" x14ac:dyDescent="0.35">
      <c r="A892" s="31"/>
      <c r="B892" s="29"/>
      <c r="C892" s="30"/>
      <c r="D892" s="30"/>
      <c r="E892" s="30"/>
      <c r="F892" s="31"/>
      <c r="G892" s="31"/>
      <c r="H892" s="31"/>
      <c r="I892" s="31"/>
    </row>
    <row r="893" spans="1:9" s="26" customFormat="1" x14ac:dyDescent="0.35">
      <c r="A893" s="31"/>
      <c r="B893" s="29"/>
      <c r="C893" s="30"/>
      <c r="D893" s="30"/>
      <c r="E893" s="30"/>
      <c r="F893" s="31"/>
      <c r="G893" s="31"/>
      <c r="H893" s="31"/>
      <c r="I893" s="31"/>
    </row>
    <row r="894" spans="1:9" s="26" customFormat="1" x14ac:dyDescent="0.35">
      <c r="A894" s="31"/>
      <c r="B894" s="29"/>
      <c r="C894" s="30"/>
      <c r="D894" s="30"/>
      <c r="E894" s="30"/>
      <c r="F894" s="31"/>
      <c r="G894" s="31"/>
      <c r="H894" s="31"/>
      <c r="I894" s="31"/>
    </row>
    <row r="895" spans="1:9" s="26" customFormat="1" x14ac:dyDescent="0.35">
      <c r="A895" s="31"/>
      <c r="B895" s="29"/>
      <c r="C895" s="30"/>
      <c r="D895" s="30"/>
      <c r="E895" s="30"/>
      <c r="F895" s="31"/>
      <c r="G895" s="31"/>
      <c r="H895" s="31"/>
      <c r="I895" s="31"/>
    </row>
    <row r="896" spans="1:9" s="26" customFormat="1" x14ac:dyDescent="0.35">
      <c r="A896" s="31"/>
      <c r="B896" s="29"/>
      <c r="C896" s="30"/>
      <c r="D896" s="30"/>
      <c r="E896" s="30"/>
      <c r="F896" s="31"/>
      <c r="G896" s="31"/>
      <c r="H896" s="31"/>
      <c r="I896" s="31"/>
    </row>
    <row r="897" spans="1:9" s="26" customFormat="1" x14ac:dyDescent="0.35">
      <c r="A897" s="31"/>
      <c r="B897" s="29"/>
      <c r="C897" s="30"/>
      <c r="D897" s="30"/>
      <c r="E897" s="30"/>
      <c r="F897" s="31"/>
      <c r="G897" s="31"/>
      <c r="H897" s="31"/>
      <c r="I897" s="31"/>
    </row>
    <row r="898" spans="1:9" s="26" customFormat="1" x14ac:dyDescent="0.35">
      <c r="A898" s="31"/>
      <c r="B898" s="29"/>
      <c r="C898" s="30"/>
      <c r="D898" s="30"/>
      <c r="E898" s="30"/>
      <c r="F898" s="31"/>
      <c r="G898" s="31"/>
      <c r="H898" s="31"/>
      <c r="I898" s="31"/>
    </row>
    <row r="899" spans="1:9" s="26" customFormat="1" x14ac:dyDescent="0.35">
      <c r="A899" s="31"/>
      <c r="B899" s="29"/>
      <c r="C899" s="30"/>
      <c r="D899" s="30"/>
      <c r="E899" s="30"/>
      <c r="F899" s="31"/>
      <c r="G899" s="31"/>
      <c r="H899" s="31"/>
      <c r="I899" s="31"/>
    </row>
    <row r="900" spans="1:9" s="26" customFormat="1" x14ac:dyDescent="0.35">
      <c r="A900" s="31"/>
      <c r="B900" s="29"/>
      <c r="C900" s="30"/>
      <c r="D900" s="30"/>
      <c r="E900" s="30"/>
      <c r="F900" s="31"/>
      <c r="G900" s="31"/>
      <c r="H900" s="31"/>
      <c r="I900" s="31"/>
    </row>
    <row r="901" spans="1:9" s="26" customFormat="1" x14ac:dyDescent="0.35">
      <c r="A901" s="31"/>
      <c r="B901" s="29"/>
      <c r="C901" s="30"/>
      <c r="D901" s="30"/>
      <c r="E901" s="30"/>
      <c r="F901" s="31"/>
      <c r="G901" s="31"/>
      <c r="H901" s="31"/>
      <c r="I901" s="31"/>
    </row>
    <row r="902" spans="1:9" s="26" customFormat="1" x14ac:dyDescent="0.35">
      <c r="A902" s="31"/>
      <c r="B902" s="29"/>
      <c r="C902" s="30"/>
      <c r="D902" s="30"/>
      <c r="E902" s="30"/>
      <c r="F902" s="31"/>
      <c r="G902" s="31"/>
      <c r="H902" s="31"/>
      <c r="I902" s="31"/>
    </row>
    <row r="903" spans="1:9" s="26" customFormat="1" x14ac:dyDescent="0.35">
      <c r="A903" s="31"/>
      <c r="B903" s="29"/>
      <c r="C903" s="30"/>
      <c r="D903" s="30"/>
      <c r="E903" s="30"/>
      <c r="F903" s="31"/>
      <c r="G903" s="31"/>
      <c r="H903" s="31"/>
      <c r="I903" s="31"/>
    </row>
    <row r="904" spans="1:9" s="26" customFormat="1" x14ac:dyDescent="0.35">
      <c r="A904" s="31"/>
      <c r="B904" s="29"/>
      <c r="C904" s="30"/>
      <c r="D904" s="30"/>
      <c r="E904" s="30"/>
      <c r="F904" s="31"/>
      <c r="G904" s="31"/>
      <c r="H904" s="31"/>
      <c r="I904" s="31"/>
    </row>
    <row r="905" spans="1:9" s="26" customFormat="1" x14ac:dyDescent="0.35">
      <c r="A905" s="31"/>
      <c r="B905" s="29"/>
      <c r="C905" s="30"/>
      <c r="D905" s="30"/>
      <c r="E905" s="30"/>
      <c r="F905" s="31"/>
      <c r="G905" s="31"/>
      <c r="H905" s="31"/>
      <c r="I905" s="31"/>
    </row>
    <row r="906" spans="1:9" s="26" customFormat="1" x14ac:dyDescent="0.35">
      <c r="A906" s="31"/>
      <c r="B906" s="29"/>
      <c r="C906" s="30"/>
      <c r="D906" s="30"/>
      <c r="E906" s="30"/>
      <c r="F906" s="31"/>
      <c r="G906" s="31"/>
      <c r="H906" s="31"/>
      <c r="I906" s="31"/>
    </row>
    <row r="907" spans="1:9" s="26" customFormat="1" x14ac:dyDescent="0.35">
      <c r="A907" s="31"/>
      <c r="B907" s="29"/>
      <c r="C907" s="30"/>
      <c r="D907" s="30"/>
      <c r="E907" s="30"/>
      <c r="F907" s="31"/>
      <c r="G907" s="31"/>
      <c r="H907" s="31"/>
      <c r="I907" s="31"/>
    </row>
    <row r="908" spans="1:9" s="26" customFormat="1" x14ac:dyDescent="0.35">
      <c r="A908" s="31"/>
      <c r="B908" s="29"/>
      <c r="C908" s="30"/>
      <c r="D908" s="30"/>
      <c r="E908" s="30"/>
      <c r="F908" s="31"/>
      <c r="G908" s="31"/>
      <c r="H908" s="31"/>
      <c r="I908" s="31"/>
    </row>
    <row r="909" spans="1:9" s="26" customFormat="1" x14ac:dyDescent="0.35">
      <c r="A909" s="31"/>
      <c r="B909" s="29"/>
      <c r="C909" s="30"/>
      <c r="D909" s="30"/>
      <c r="E909" s="30"/>
      <c r="F909" s="31"/>
      <c r="G909" s="31"/>
      <c r="H909" s="31"/>
      <c r="I909" s="31"/>
    </row>
    <row r="910" spans="1:9" s="26" customFormat="1" x14ac:dyDescent="0.35">
      <c r="A910" s="31"/>
      <c r="B910" s="29"/>
      <c r="C910" s="30"/>
      <c r="D910" s="30"/>
      <c r="E910" s="30"/>
      <c r="F910" s="31"/>
      <c r="G910" s="31"/>
      <c r="H910" s="31"/>
      <c r="I910" s="31"/>
    </row>
    <row r="911" spans="1:9" s="26" customFormat="1" x14ac:dyDescent="0.35">
      <c r="A911" s="31"/>
      <c r="B911" s="29"/>
      <c r="C911" s="30"/>
      <c r="D911" s="30"/>
      <c r="E911" s="30"/>
      <c r="F911" s="31"/>
      <c r="G911" s="31"/>
      <c r="H911" s="31"/>
      <c r="I911" s="31"/>
    </row>
    <row r="912" spans="1:9" s="26" customFormat="1" x14ac:dyDescent="0.35">
      <c r="A912" s="31"/>
      <c r="B912" s="29"/>
      <c r="C912" s="30"/>
      <c r="D912" s="30"/>
      <c r="E912" s="30"/>
      <c r="F912" s="31"/>
      <c r="G912" s="31"/>
      <c r="H912" s="31"/>
      <c r="I912" s="31"/>
    </row>
    <row r="913" spans="1:9" s="26" customFormat="1" x14ac:dyDescent="0.35">
      <c r="A913" s="31"/>
      <c r="B913" s="29"/>
      <c r="C913" s="30"/>
      <c r="D913" s="30"/>
      <c r="E913" s="30"/>
      <c r="F913" s="31"/>
      <c r="G913" s="31"/>
      <c r="H913" s="31"/>
      <c r="I913" s="31"/>
    </row>
    <row r="914" spans="1:9" s="26" customFormat="1" x14ac:dyDescent="0.35">
      <c r="A914" s="31"/>
      <c r="B914" s="29"/>
      <c r="C914" s="30"/>
      <c r="D914" s="30"/>
      <c r="E914" s="30"/>
      <c r="F914" s="31"/>
      <c r="G914" s="31"/>
      <c r="H914" s="31"/>
      <c r="I914" s="31"/>
    </row>
    <row r="915" spans="1:9" s="26" customFormat="1" x14ac:dyDescent="0.35">
      <c r="A915" s="31"/>
      <c r="B915" s="29"/>
      <c r="C915" s="30"/>
      <c r="D915" s="30"/>
      <c r="E915" s="30"/>
      <c r="F915" s="31"/>
      <c r="G915" s="31"/>
      <c r="H915" s="31"/>
      <c r="I915" s="31"/>
    </row>
    <row r="916" spans="1:9" s="26" customFormat="1" x14ac:dyDescent="0.35">
      <c r="A916" s="31"/>
      <c r="B916" s="29"/>
      <c r="C916" s="30"/>
      <c r="D916" s="30"/>
      <c r="E916" s="30"/>
      <c r="F916" s="31"/>
      <c r="G916" s="31"/>
      <c r="H916" s="31"/>
      <c r="I916" s="31"/>
    </row>
    <row r="917" spans="1:9" s="26" customFormat="1" x14ac:dyDescent="0.35">
      <c r="A917" s="31"/>
      <c r="B917" s="29"/>
      <c r="C917" s="30"/>
      <c r="D917" s="30"/>
      <c r="E917" s="30"/>
      <c r="F917" s="31"/>
      <c r="G917" s="31"/>
      <c r="H917" s="31"/>
      <c r="I917" s="31"/>
    </row>
    <row r="918" spans="1:9" s="26" customFormat="1" x14ac:dyDescent="0.35">
      <c r="A918" s="31"/>
      <c r="B918" s="29"/>
      <c r="C918" s="30"/>
      <c r="D918" s="30"/>
      <c r="E918" s="30"/>
      <c r="F918" s="31"/>
      <c r="G918" s="31"/>
      <c r="H918" s="31"/>
      <c r="I918" s="31"/>
    </row>
    <row r="919" spans="1:9" s="26" customFormat="1" x14ac:dyDescent="0.35">
      <c r="A919" s="31"/>
      <c r="B919" s="29"/>
      <c r="C919" s="30"/>
      <c r="D919" s="30"/>
      <c r="E919" s="30"/>
      <c r="F919" s="31"/>
      <c r="G919" s="31"/>
      <c r="H919" s="31"/>
      <c r="I919" s="31"/>
    </row>
    <row r="920" spans="1:9" s="26" customFormat="1" x14ac:dyDescent="0.35">
      <c r="A920" s="31"/>
      <c r="B920" s="29"/>
      <c r="C920" s="30"/>
      <c r="D920" s="30"/>
      <c r="E920" s="30"/>
      <c r="F920" s="31"/>
      <c r="G920" s="31"/>
      <c r="H920" s="31"/>
      <c r="I920" s="31"/>
    </row>
    <row r="921" spans="1:9" s="26" customFormat="1" x14ac:dyDescent="0.35">
      <c r="A921" s="31"/>
      <c r="B921" s="29"/>
      <c r="C921" s="30"/>
      <c r="D921" s="30"/>
      <c r="E921" s="30"/>
      <c r="F921" s="31"/>
      <c r="G921" s="31"/>
      <c r="H921" s="31"/>
      <c r="I921" s="31"/>
    </row>
    <row r="922" spans="1:9" s="26" customFormat="1" x14ac:dyDescent="0.35">
      <c r="A922" s="31"/>
      <c r="B922" s="29"/>
      <c r="C922" s="30"/>
      <c r="D922" s="30"/>
      <c r="E922" s="30"/>
      <c r="F922" s="31"/>
      <c r="G922" s="31"/>
      <c r="H922" s="31"/>
      <c r="I922" s="31"/>
    </row>
    <row r="923" spans="1:9" s="26" customFormat="1" x14ac:dyDescent="0.35">
      <c r="A923" s="31"/>
      <c r="B923" s="29"/>
      <c r="C923" s="30"/>
      <c r="D923" s="30"/>
      <c r="E923" s="30"/>
      <c r="F923" s="31"/>
      <c r="G923" s="31"/>
      <c r="H923" s="31"/>
      <c r="I923" s="31"/>
    </row>
    <row r="924" spans="1:9" s="26" customFormat="1" x14ac:dyDescent="0.35">
      <c r="A924" s="31"/>
      <c r="B924" s="29"/>
      <c r="C924" s="30"/>
      <c r="D924" s="30"/>
      <c r="E924" s="30"/>
      <c r="F924" s="31"/>
      <c r="G924" s="31"/>
      <c r="H924" s="31"/>
      <c r="I924" s="31"/>
    </row>
    <row r="925" spans="1:9" s="26" customFormat="1" x14ac:dyDescent="0.35">
      <c r="A925" s="31"/>
      <c r="B925" s="29"/>
      <c r="C925" s="30"/>
      <c r="D925" s="30"/>
      <c r="E925" s="30"/>
      <c r="F925" s="31"/>
      <c r="G925" s="31"/>
      <c r="H925" s="31"/>
      <c r="I925" s="31"/>
    </row>
    <row r="926" spans="1:9" s="26" customFormat="1" x14ac:dyDescent="0.35">
      <c r="A926" s="31"/>
      <c r="B926" s="29"/>
      <c r="C926" s="30"/>
      <c r="D926" s="30"/>
      <c r="E926" s="30"/>
      <c r="F926" s="31"/>
      <c r="G926" s="31"/>
      <c r="H926" s="31"/>
      <c r="I926" s="31"/>
    </row>
    <row r="927" spans="1:9" s="26" customFormat="1" x14ac:dyDescent="0.35">
      <c r="A927" s="31"/>
      <c r="B927" s="29"/>
      <c r="C927" s="30"/>
      <c r="D927" s="30"/>
      <c r="E927" s="30"/>
      <c r="F927" s="31"/>
      <c r="G927" s="31"/>
      <c r="H927" s="31"/>
      <c r="I927" s="31"/>
    </row>
    <row r="928" spans="1:9" s="26" customFormat="1" x14ac:dyDescent="0.35">
      <c r="A928" s="31"/>
      <c r="B928" s="29"/>
      <c r="C928" s="30"/>
      <c r="D928" s="30"/>
      <c r="E928" s="30"/>
      <c r="F928" s="31"/>
      <c r="G928" s="31"/>
      <c r="H928" s="31"/>
      <c r="I928" s="31"/>
    </row>
    <row r="929" spans="1:9" s="26" customFormat="1" x14ac:dyDescent="0.35">
      <c r="A929" s="31"/>
      <c r="B929" s="29"/>
      <c r="C929" s="30"/>
      <c r="D929" s="30"/>
      <c r="E929" s="30"/>
      <c r="F929" s="31"/>
      <c r="G929" s="31"/>
      <c r="H929" s="31"/>
      <c r="I929" s="31"/>
    </row>
    <row r="930" spans="1:9" s="26" customFormat="1" x14ac:dyDescent="0.35">
      <c r="A930" s="31"/>
      <c r="B930" s="29"/>
      <c r="C930" s="30"/>
      <c r="D930" s="30"/>
      <c r="E930" s="30"/>
      <c r="F930" s="31"/>
      <c r="G930" s="31"/>
      <c r="H930" s="31"/>
      <c r="I930" s="31"/>
    </row>
    <row r="931" spans="1:9" s="26" customFormat="1" x14ac:dyDescent="0.35">
      <c r="A931" s="31"/>
      <c r="B931" s="29"/>
      <c r="C931" s="30"/>
      <c r="D931" s="30"/>
      <c r="E931" s="30"/>
      <c r="F931" s="31"/>
      <c r="G931" s="31"/>
      <c r="H931" s="31"/>
      <c r="I931" s="31"/>
    </row>
    <row r="932" spans="1:9" s="26" customFormat="1" x14ac:dyDescent="0.35">
      <c r="A932" s="31"/>
      <c r="B932" s="29"/>
      <c r="C932" s="30"/>
      <c r="D932" s="30"/>
      <c r="E932" s="30"/>
      <c r="F932" s="31"/>
      <c r="G932" s="31"/>
      <c r="H932" s="31"/>
      <c r="I932" s="31"/>
    </row>
    <row r="933" spans="1:9" s="26" customFormat="1" x14ac:dyDescent="0.35">
      <c r="A933" s="31"/>
      <c r="B933" s="29"/>
      <c r="C933" s="30"/>
      <c r="D933" s="30"/>
      <c r="E933" s="30"/>
      <c r="F933" s="31"/>
      <c r="G933" s="31"/>
      <c r="H933" s="31"/>
      <c r="I933" s="31"/>
    </row>
    <row r="934" spans="1:9" s="26" customFormat="1" x14ac:dyDescent="0.35">
      <c r="A934" s="31"/>
      <c r="B934" s="29"/>
      <c r="C934" s="30"/>
      <c r="D934" s="30"/>
      <c r="E934" s="30"/>
      <c r="F934" s="31"/>
      <c r="G934" s="31"/>
      <c r="H934" s="31"/>
      <c r="I934" s="31"/>
    </row>
    <row r="935" spans="1:9" s="26" customFormat="1" x14ac:dyDescent="0.35">
      <c r="A935" s="31"/>
      <c r="B935" s="29"/>
      <c r="C935" s="30"/>
      <c r="D935" s="30"/>
      <c r="E935" s="30"/>
      <c r="F935" s="31"/>
      <c r="G935" s="31"/>
      <c r="H935" s="31"/>
      <c r="I935" s="31"/>
    </row>
    <row r="936" spans="1:9" s="26" customFormat="1" x14ac:dyDescent="0.35">
      <c r="A936" s="31"/>
      <c r="B936" s="29"/>
      <c r="C936" s="30"/>
      <c r="D936" s="30"/>
      <c r="E936" s="30"/>
      <c r="F936" s="31"/>
      <c r="G936" s="31"/>
      <c r="H936" s="31"/>
      <c r="I936" s="31"/>
    </row>
    <row r="937" spans="1:9" s="26" customFormat="1" x14ac:dyDescent="0.35">
      <c r="A937" s="31"/>
      <c r="B937" s="29"/>
      <c r="C937" s="30"/>
      <c r="D937" s="30"/>
      <c r="E937" s="30"/>
      <c r="F937" s="31"/>
      <c r="G937" s="31"/>
      <c r="H937" s="31"/>
      <c r="I937" s="31"/>
    </row>
    <row r="938" spans="1:9" s="26" customFormat="1" x14ac:dyDescent="0.35">
      <c r="A938" s="31"/>
      <c r="B938" s="29"/>
      <c r="C938" s="30"/>
      <c r="D938" s="30"/>
      <c r="E938" s="30"/>
      <c r="F938" s="31"/>
      <c r="G938" s="31"/>
      <c r="H938" s="31"/>
      <c r="I938" s="31"/>
    </row>
    <row r="939" spans="1:9" s="26" customFormat="1" x14ac:dyDescent="0.35">
      <c r="A939" s="31"/>
      <c r="B939" s="29"/>
      <c r="C939" s="30"/>
      <c r="D939" s="30"/>
      <c r="E939" s="30"/>
      <c r="F939" s="31"/>
      <c r="G939" s="31"/>
      <c r="H939" s="31"/>
      <c r="I939" s="31"/>
    </row>
    <row r="940" spans="1:9" s="26" customFormat="1" x14ac:dyDescent="0.35">
      <c r="A940" s="31"/>
      <c r="B940" s="29"/>
      <c r="C940" s="30"/>
      <c r="D940" s="30"/>
      <c r="E940" s="30"/>
      <c r="F940" s="31"/>
      <c r="G940" s="31"/>
      <c r="H940" s="31"/>
      <c r="I940" s="31"/>
    </row>
    <row r="941" spans="1:9" s="26" customFormat="1" x14ac:dyDescent="0.35">
      <c r="A941" s="31"/>
      <c r="B941" s="29"/>
      <c r="C941" s="30"/>
      <c r="D941" s="30"/>
      <c r="E941" s="30"/>
      <c r="F941" s="31"/>
      <c r="G941" s="31"/>
      <c r="H941" s="31"/>
      <c r="I941" s="31"/>
    </row>
    <row r="942" spans="1:9" s="26" customFormat="1" x14ac:dyDescent="0.35">
      <c r="A942" s="31"/>
      <c r="B942" s="29"/>
      <c r="C942" s="30"/>
      <c r="D942" s="30"/>
      <c r="E942" s="30"/>
      <c r="F942" s="31"/>
      <c r="G942" s="31"/>
      <c r="H942" s="31"/>
      <c r="I942" s="31"/>
    </row>
    <row r="943" spans="1:9" s="26" customFormat="1" x14ac:dyDescent="0.35">
      <c r="A943" s="31"/>
      <c r="B943" s="29"/>
      <c r="C943" s="30"/>
      <c r="D943" s="30"/>
      <c r="E943" s="30"/>
      <c r="F943" s="31"/>
      <c r="G943" s="31"/>
      <c r="H943" s="31"/>
      <c r="I943" s="31"/>
    </row>
    <row r="944" spans="1:9" s="26" customFormat="1" x14ac:dyDescent="0.35">
      <c r="A944" s="31"/>
      <c r="B944" s="29"/>
      <c r="C944" s="30"/>
      <c r="D944" s="30"/>
      <c r="E944" s="30"/>
      <c r="F944" s="31"/>
      <c r="G944" s="31"/>
      <c r="H944" s="31"/>
      <c r="I944" s="31"/>
    </row>
    <row r="945" spans="1:9" s="26" customFormat="1" x14ac:dyDescent="0.35">
      <c r="A945" s="31"/>
      <c r="B945" s="29"/>
      <c r="C945" s="30"/>
      <c r="D945" s="30"/>
      <c r="E945" s="30"/>
      <c r="F945" s="31"/>
      <c r="G945" s="31"/>
      <c r="H945" s="31"/>
      <c r="I945" s="31"/>
    </row>
    <row r="946" spans="1:9" s="26" customFormat="1" x14ac:dyDescent="0.35">
      <c r="A946" s="31"/>
      <c r="B946" s="29"/>
      <c r="C946" s="30"/>
      <c r="D946" s="30"/>
      <c r="E946" s="30"/>
      <c r="F946" s="31"/>
      <c r="G946" s="31"/>
      <c r="H946" s="31"/>
      <c r="I946" s="31"/>
    </row>
    <row r="947" spans="1:9" s="26" customFormat="1" x14ac:dyDescent="0.35">
      <c r="A947" s="31"/>
      <c r="B947" s="29"/>
      <c r="C947" s="30"/>
      <c r="D947" s="30"/>
      <c r="E947" s="30"/>
      <c r="F947" s="31"/>
      <c r="G947" s="31"/>
      <c r="H947" s="31"/>
      <c r="I947" s="31"/>
    </row>
    <row r="948" spans="1:9" s="26" customFormat="1" x14ac:dyDescent="0.35">
      <c r="A948" s="31"/>
      <c r="B948" s="29"/>
      <c r="C948" s="30"/>
      <c r="D948" s="30"/>
      <c r="E948" s="30"/>
      <c r="F948" s="31"/>
      <c r="G948" s="31"/>
      <c r="H948" s="31"/>
      <c r="I948" s="31"/>
    </row>
    <row r="949" spans="1:9" s="26" customFormat="1" x14ac:dyDescent="0.35">
      <c r="A949" s="31"/>
      <c r="B949" s="29"/>
      <c r="C949" s="30"/>
      <c r="D949" s="30"/>
      <c r="E949" s="30"/>
      <c r="F949" s="31"/>
      <c r="G949" s="31"/>
      <c r="H949" s="31"/>
      <c r="I949" s="31"/>
    </row>
    <row r="950" spans="1:9" s="26" customFormat="1" x14ac:dyDescent="0.35">
      <c r="A950" s="31"/>
      <c r="B950" s="29"/>
      <c r="C950" s="30"/>
      <c r="D950" s="30"/>
      <c r="E950" s="30"/>
      <c r="F950" s="31"/>
      <c r="G950" s="31"/>
      <c r="H950" s="31"/>
      <c r="I950" s="31"/>
    </row>
    <row r="951" spans="1:9" s="26" customFormat="1" x14ac:dyDescent="0.35">
      <c r="A951" s="31"/>
      <c r="B951" s="29"/>
      <c r="C951" s="30"/>
      <c r="D951" s="30"/>
      <c r="E951" s="30"/>
      <c r="F951" s="31"/>
      <c r="G951" s="31"/>
      <c r="H951" s="31"/>
      <c r="I951" s="31"/>
    </row>
    <row r="952" spans="1:9" s="26" customFormat="1" x14ac:dyDescent="0.35">
      <c r="A952" s="31"/>
      <c r="B952" s="29"/>
      <c r="C952" s="30"/>
      <c r="D952" s="30"/>
      <c r="E952" s="30"/>
      <c r="F952" s="31"/>
      <c r="G952" s="31"/>
      <c r="H952" s="31"/>
      <c r="I952" s="31"/>
    </row>
    <row r="953" spans="1:9" s="26" customFormat="1" x14ac:dyDescent="0.35">
      <c r="A953" s="31"/>
      <c r="B953" s="29"/>
      <c r="C953" s="30"/>
      <c r="D953" s="30"/>
      <c r="E953" s="30"/>
      <c r="F953" s="31"/>
      <c r="G953" s="31"/>
      <c r="H953" s="31"/>
      <c r="I953" s="31"/>
    </row>
    <row r="954" spans="1:9" s="26" customFormat="1" x14ac:dyDescent="0.35">
      <c r="A954" s="31"/>
      <c r="B954" s="29"/>
      <c r="C954" s="30"/>
      <c r="D954" s="30"/>
      <c r="E954" s="30"/>
      <c r="F954" s="31"/>
      <c r="G954" s="31"/>
      <c r="H954" s="31"/>
      <c r="I954" s="31"/>
    </row>
    <row r="955" spans="1:9" s="26" customFormat="1" x14ac:dyDescent="0.35">
      <c r="A955" s="31"/>
      <c r="B955" s="29"/>
      <c r="C955" s="30"/>
      <c r="D955" s="30"/>
      <c r="E955" s="30"/>
      <c r="F955" s="31"/>
      <c r="G955" s="31"/>
      <c r="H955" s="31"/>
      <c r="I955" s="31"/>
    </row>
    <row r="956" spans="1:9" s="26" customFormat="1" x14ac:dyDescent="0.35">
      <c r="A956" s="31"/>
      <c r="B956" s="29"/>
      <c r="C956" s="30"/>
      <c r="D956" s="30"/>
      <c r="E956" s="30"/>
      <c r="F956" s="31"/>
      <c r="G956" s="31"/>
      <c r="H956" s="31"/>
      <c r="I956" s="31"/>
    </row>
    <row r="957" spans="1:9" s="26" customFormat="1" x14ac:dyDescent="0.35">
      <c r="A957" s="31"/>
      <c r="B957" s="29"/>
      <c r="C957" s="30"/>
      <c r="D957" s="30"/>
      <c r="E957" s="30"/>
      <c r="F957" s="31"/>
      <c r="G957" s="31"/>
      <c r="H957" s="31"/>
      <c r="I957" s="31"/>
    </row>
    <row r="958" spans="1:9" s="26" customFormat="1" x14ac:dyDescent="0.35">
      <c r="A958" s="31"/>
      <c r="B958" s="29"/>
      <c r="C958" s="30"/>
      <c r="D958" s="30"/>
      <c r="E958" s="30"/>
      <c r="F958" s="31"/>
      <c r="G958" s="31"/>
      <c r="H958" s="31"/>
      <c r="I958" s="31"/>
    </row>
    <row r="959" spans="1:9" s="26" customFormat="1" x14ac:dyDescent="0.35">
      <c r="A959" s="31"/>
      <c r="B959" s="29"/>
      <c r="C959" s="30"/>
      <c r="D959" s="30"/>
      <c r="E959" s="30"/>
      <c r="F959" s="31"/>
      <c r="G959" s="31"/>
      <c r="H959" s="31"/>
      <c r="I959" s="31"/>
    </row>
    <row r="960" spans="1:9" s="26" customFormat="1" x14ac:dyDescent="0.35">
      <c r="A960" s="31"/>
      <c r="B960" s="29"/>
      <c r="C960" s="30"/>
      <c r="D960" s="30"/>
      <c r="E960" s="30"/>
      <c r="F960" s="31"/>
      <c r="G960" s="31"/>
      <c r="H960" s="31"/>
      <c r="I960" s="31"/>
    </row>
    <row r="961" spans="1:9" s="26" customFormat="1" x14ac:dyDescent="0.35">
      <c r="A961" s="31"/>
      <c r="B961" s="29"/>
      <c r="C961" s="30"/>
      <c r="D961" s="30"/>
      <c r="E961" s="30"/>
      <c r="F961" s="31"/>
      <c r="G961" s="31"/>
      <c r="H961" s="31"/>
      <c r="I961" s="31"/>
    </row>
    <row r="962" spans="1:9" s="26" customFormat="1" x14ac:dyDescent="0.35">
      <c r="A962" s="31"/>
      <c r="B962" s="29"/>
      <c r="C962" s="30"/>
      <c r="D962" s="30"/>
      <c r="E962" s="30"/>
      <c r="F962" s="31"/>
      <c r="G962" s="31"/>
      <c r="H962" s="31"/>
      <c r="I962" s="31"/>
    </row>
    <row r="963" spans="1:9" s="26" customFormat="1" x14ac:dyDescent="0.35">
      <c r="A963" s="31"/>
      <c r="B963" s="29"/>
      <c r="C963" s="30"/>
      <c r="D963" s="30"/>
      <c r="E963" s="30"/>
      <c r="F963" s="31"/>
      <c r="G963" s="31"/>
      <c r="H963" s="31"/>
      <c r="I963" s="31"/>
    </row>
    <row r="964" spans="1:9" s="26" customFormat="1" x14ac:dyDescent="0.35">
      <c r="A964" s="31"/>
      <c r="B964" s="29"/>
      <c r="C964" s="30"/>
      <c r="D964" s="30"/>
      <c r="E964" s="30"/>
      <c r="F964" s="31"/>
      <c r="G964" s="31"/>
      <c r="H964" s="31"/>
      <c r="I964" s="31"/>
    </row>
    <row r="965" spans="1:9" s="26" customFormat="1" x14ac:dyDescent="0.35">
      <c r="A965" s="31"/>
      <c r="B965" s="29"/>
      <c r="C965" s="30"/>
      <c r="D965" s="30"/>
      <c r="E965" s="30"/>
      <c r="F965" s="31"/>
      <c r="G965" s="31"/>
      <c r="H965" s="31"/>
      <c r="I965" s="31"/>
    </row>
    <row r="966" spans="1:9" s="26" customFormat="1" x14ac:dyDescent="0.35">
      <c r="A966" s="31"/>
      <c r="B966" s="29"/>
      <c r="C966" s="30"/>
      <c r="D966" s="30"/>
      <c r="E966" s="30"/>
      <c r="F966" s="31"/>
      <c r="G966" s="31"/>
      <c r="H966" s="31"/>
      <c r="I966" s="31"/>
    </row>
    <row r="967" spans="1:9" s="26" customFormat="1" x14ac:dyDescent="0.35">
      <c r="A967" s="31"/>
      <c r="B967" s="29"/>
      <c r="C967" s="30"/>
      <c r="D967" s="30"/>
      <c r="E967" s="30"/>
      <c r="F967" s="31"/>
      <c r="G967" s="31"/>
      <c r="H967" s="31"/>
      <c r="I967" s="31"/>
    </row>
    <row r="968" spans="1:9" s="26" customFormat="1" x14ac:dyDescent="0.35">
      <c r="A968" s="31"/>
      <c r="B968" s="29"/>
      <c r="C968" s="30"/>
      <c r="D968" s="30"/>
      <c r="E968" s="30"/>
      <c r="F968" s="31"/>
      <c r="G968" s="31"/>
      <c r="H968" s="31"/>
      <c r="I968" s="31"/>
    </row>
    <row r="969" spans="1:9" s="26" customFormat="1" x14ac:dyDescent="0.35">
      <c r="A969" s="31"/>
      <c r="B969" s="29"/>
      <c r="C969" s="30"/>
      <c r="D969" s="30"/>
      <c r="E969" s="30"/>
      <c r="F969" s="31"/>
      <c r="G969" s="31"/>
      <c r="H969" s="31"/>
      <c r="I969" s="31"/>
    </row>
    <row r="970" spans="1:9" s="26" customFormat="1" x14ac:dyDescent="0.35">
      <c r="A970" s="31"/>
      <c r="B970" s="29"/>
      <c r="C970" s="30"/>
      <c r="D970" s="30"/>
      <c r="E970" s="30"/>
      <c r="F970" s="31"/>
      <c r="G970" s="31"/>
      <c r="H970" s="31"/>
      <c r="I970" s="31"/>
    </row>
    <row r="971" spans="1:9" s="26" customFormat="1" x14ac:dyDescent="0.35">
      <c r="A971" s="31"/>
      <c r="B971" s="29"/>
      <c r="C971" s="30"/>
      <c r="D971" s="30"/>
      <c r="E971" s="30"/>
      <c r="F971" s="31"/>
      <c r="G971" s="31"/>
      <c r="H971" s="31"/>
      <c r="I971" s="31"/>
    </row>
    <row r="972" spans="1:9" s="26" customFormat="1" x14ac:dyDescent="0.35">
      <c r="A972" s="31"/>
      <c r="B972" s="29"/>
      <c r="C972" s="30"/>
      <c r="D972" s="30"/>
      <c r="E972" s="30"/>
      <c r="F972" s="31"/>
      <c r="G972" s="31"/>
      <c r="H972" s="31"/>
      <c r="I972" s="31"/>
    </row>
    <row r="973" spans="1:9" s="26" customFormat="1" x14ac:dyDescent="0.35">
      <c r="A973" s="31"/>
      <c r="B973" s="29"/>
      <c r="C973" s="30"/>
      <c r="D973" s="30"/>
      <c r="E973" s="30"/>
      <c r="F973" s="31"/>
      <c r="G973" s="31"/>
      <c r="H973" s="31"/>
      <c r="I973" s="31"/>
    </row>
    <row r="974" spans="1:9" s="26" customFormat="1" x14ac:dyDescent="0.35">
      <c r="A974" s="31"/>
      <c r="B974" s="29"/>
      <c r="C974" s="30"/>
      <c r="D974" s="30"/>
      <c r="E974" s="30"/>
      <c r="F974" s="31"/>
      <c r="G974" s="31"/>
      <c r="H974" s="31"/>
      <c r="I974" s="31"/>
    </row>
    <row r="975" spans="1:9" s="26" customFormat="1" x14ac:dyDescent="0.35">
      <c r="A975" s="31"/>
      <c r="B975" s="29"/>
      <c r="C975" s="30"/>
      <c r="D975" s="30"/>
      <c r="E975" s="30"/>
      <c r="F975" s="31"/>
      <c r="G975" s="31"/>
      <c r="H975" s="31"/>
      <c r="I975" s="31"/>
    </row>
    <row r="976" spans="1:9" s="26" customFormat="1" x14ac:dyDescent="0.35">
      <c r="A976" s="31"/>
      <c r="B976" s="29"/>
      <c r="C976" s="30"/>
      <c r="D976" s="30"/>
      <c r="E976" s="30"/>
      <c r="F976" s="31"/>
      <c r="G976" s="31"/>
      <c r="H976" s="31"/>
      <c r="I976" s="31"/>
    </row>
    <row r="977" spans="1:9" s="26" customFormat="1" x14ac:dyDescent="0.35">
      <c r="A977" s="31"/>
      <c r="B977" s="29"/>
      <c r="C977" s="30"/>
      <c r="D977" s="30"/>
      <c r="E977" s="30"/>
      <c r="F977" s="31"/>
      <c r="G977" s="31"/>
      <c r="H977" s="31"/>
      <c r="I977" s="31"/>
    </row>
    <row r="978" spans="1:9" s="26" customFormat="1" x14ac:dyDescent="0.35">
      <c r="A978" s="31"/>
      <c r="B978" s="29"/>
      <c r="C978" s="30"/>
      <c r="D978" s="30"/>
      <c r="E978" s="30"/>
      <c r="F978" s="31"/>
      <c r="G978" s="31"/>
      <c r="H978" s="31"/>
      <c r="I978" s="31"/>
    </row>
    <row r="979" spans="1:9" s="26" customFormat="1" x14ac:dyDescent="0.35">
      <c r="A979" s="31"/>
      <c r="B979" s="29"/>
      <c r="C979" s="30"/>
      <c r="D979" s="30"/>
      <c r="E979" s="30"/>
      <c r="F979" s="31"/>
      <c r="G979" s="31"/>
      <c r="H979" s="31"/>
      <c r="I979" s="31"/>
    </row>
    <row r="980" spans="1:9" s="26" customFormat="1" x14ac:dyDescent="0.35">
      <c r="A980" s="31"/>
      <c r="B980" s="29"/>
      <c r="C980" s="30"/>
      <c r="D980" s="30"/>
      <c r="E980" s="30"/>
      <c r="F980" s="31"/>
      <c r="G980" s="31"/>
      <c r="H980" s="31"/>
      <c r="I980" s="31"/>
    </row>
    <row r="981" spans="1:9" s="26" customFormat="1" x14ac:dyDescent="0.35">
      <c r="A981" s="31"/>
      <c r="B981" s="29"/>
      <c r="C981" s="30"/>
      <c r="D981" s="30"/>
      <c r="E981" s="30"/>
      <c r="F981" s="31"/>
      <c r="G981" s="31"/>
      <c r="H981" s="31"/>
      <c r="I981" s="31"/>
    </row>
    <row r="982" spans="1:9" s="26" customFormat="1" x14ac:dyDescent="0.35">
      <c r="A982" s="31"/>
      <c r="B982" s="29"/>
      <c r="C982" s="30"/>
      <c r="D982" s="30"/>
      <c r="E982" s="30"/>
      <c r="F982" s="31"/>
      <c r="G982" s="31"/>
      <c r="H982" s="31"/>
      <c r="I982" s="31"/>
    </row>
    <row r="983" spans="1:9" s="26" customFormat="1" x14ac:dyDescent="0.35">
      <c r="A983" s="31"/>
      <c r="B983" s="29"/>
      <c r="C983" s="30"/>
      <c r="D983" s="30"/>
      <c r="E983" s="30"/>
      <c r="F983" s="31"/>
      <c r="G983" s="31"/>
      <c r="H983" s="31"/>
      <c r="I983" s="31"/>
    </row>
    <row r="984" spans="1:9" s="26" customFormat="1" x14ac:dyDescent="0.35">
      <c r="A984" s="31"/>
      <c r="B984" s="29"/>
      <c r="C984" s="30"/>
      <c r="D984" s="30"/>
      <c r="E984" s="30"/>
      <c r="F984" s="31"/>
      <c r="G984" s="31"/>
      <c r="H984" s="31"/>
      <c r="I984" s="31"/>
    </row>
    <row r="985" spans="1:9" s="26" customFormat="1" x14ac:dyDescent="0.35">
      <c r="A985" s="31"/>
      <c r="B985" s="29"/>
      <c r="C985" s="30"/>
      <c r="D985" s="30"/>
      <c r="E985" s="30"/>
      <c r="F985" s="31"/>
      <c r="G985" s="31"/>
      <c r="H985" s="31"/>
      <c r="I985" s="31"/>
    </row>
    <row r="986" spans="1:9" s="26" customFormat="1" x14ac:dyDescent="0.35">
      <c r="A986" s="31"/>
      <c r="B986" s="29"/>
      <c r="C986" s="30"/>
      <c r="D986" s="30"/>
      <c r="E986" s="30"/>
      <c r="F986" s="31"/>
      <c r="G986" s="31"/>
      <c r="H986" s="31"/>
      <c r="I986" s="31"/>
    </row>
    <row r="987" spans="1:9" s="26" customFormat="1" x14ac:dyDescent="0.35">
      <c r="A987" s="31"/>
      <c r="B987" s="29"/>
      <c r="C987" s="30"/>
      <c r="D987" s="30"/>
      <c r="E987" s="30"/>
      <c r="F987" s="31"/>
      <c r="G987" s="31"/>
      <c r="H987" s="31"/>
      <c r="I987" s="31"/>
    </row>
    <row r="988" spans="1:9" s="26" customFormat="1" x14ac:dyDescent="0.35">
      <c r="A988" s="31"/>
      <c r="B988" s="29"/>
      <c r="C988" s="30"/>
      <c r="D988" s="30"/>
      <c r="E988" s="30"/>
      <c r="F988" s="31"/>
      <c r="G988" s="31"/>
      <c r="H988" s="31"/>
      <c r="I988" s="31"/>
    </row>
    <row r="989" spans="1:9" s="26" customFormat="1" x14ac:dyDescent="0.35">
      <c r="A989" s="31"/>
      <c r="B989" s="29"/>
      <c r="C989" s="30"/>
      <c r="D989" s="30"/>
      <c r="E989" s="30"/>
      <c r="F989" s="31"/>
      <c r="G989" s="31"/>
      <c r="H989" s="31"/>
      <c r="I989" s="31"/>
    </row>
    <row r="990" spans="1:9" s="26" customFormat="1" x14ac:dyDescent="0.35">
      <c r="A990" s="31"/>
      <c r="B990" s="29"/>
      <c r="C990" s="30"/>
      <c r="D990" s="30"/>
      <c r="E990" s="30"/>
      <c r="F990" s="31"/>
      <c r="G990" s="31"/>
      <c r="H990" s="31"/>
      <c r="I990" s="31"/>
    </row>
    <row r="991" spans="1:9" s="26" customFormat="1" x14ac:dyDescent="0.35">
      <c r="A991" s="31"/>
      <c r="B991" s="29"/>
      <c r="C991" s="30"/>
      <c r="D991" s="30"/>
      <c r="E991" s="30"/>
      <c r="F991" s="31"/>
      <c r="G991" s="31"/>
      <c r="H991" s="31"/>
      <c r="I991" s="31"/>
    </row>
    <row r="992" spans="1:9" s="26" customFormat="1" x14ac:dyDescent="0.35">
      <c r="A992" s="31"/>
      <c r="B992" s="29"/>
      <c r="C992" s="30"/>
      <c r="D992" s="30"/>
      <c r="E992" s="30"/>
      <c r="F992" s="31"/>
      <c r="G992" s="31"/>
      <c r="H992" s="31"/>
      <c r="I992" s="31"/>
    </row>
    <row r="993" spans="1:9" s="26" customFormat="1" x14ac:dyDescent="0.35">
      <c r="A993" s="31"/>
      <c r="B993" s="29"/>
      <c r="C993" s="30"/>
      <c r="D993" s="30"/>
      <c r="E993" s="30"/>
      <c r="F993" s="31"/>
      <c r="G993" s="31"/>
      <c r="H993" s="31"/>
      <c r="I993" s="31"/>
    </row>
    <row r="994" spans="1:9" s="26" customFormat="1" x14ac:dyDescent="0.35">
      <c r="A994" s="31"/>
      <c r="B994" s="29"/>
      <c r="C994" s="30"/>
      <c r="D994" s="30"/>
      <c r="E994" s="30"/>
      <c r="F994" s="31"/>
      <c r="G994" s="31"/>
      <c r="H994" s="31"/>
      <c r="I994" s="31"/>
    </row>
    <row r="995" spans="1:9" s="26" customFormat="1" x14ac:dyDescent="0.35">
      <c r="A995" s="31"/>
      <c r="B995" s="29"/>
      <c r="C995" s="30"/>
      <c r="D995" s="30"/>
      <c r="E995" s="30"/>
      <c r="F995" s="31"/>
      <c r="G995" s="31"/>
      <c r="H995" s="31"/>
      <c r="I995" s="31"/>
    </row>
    <row r="996" spans="1:9" s="26" customFormat="1" x14ac:dyDescent="0.35">
      <c r="A996" s="31"/>
      <c r="B996" s="29"/>
      <c r="C996" s="30"/>
      <c r="D996" s="30"/>
      <c r="E996" s="30"/>
      <c r="F996" s="31"/>
      <c r="G996" s="31"/>
      <c r="H996" s="31"/>
      <c r="I996" s="31"/>
    </row>
    <row r="997" spans="1:9" s="26" customFormat="1" x14ac:dyDescent="0.35">
      <c r="A997" s="31"/>
      <c r="B997" s="29"/>
      <c r="C997" s="30"/>
      <c r="D997" s="30"/>
      <c r="E997" s="30"/>
      <c r="F997" s="31"/>
      <c r="G997" s="31"/>
      <c r="H997" s="31"/>
      <c r="I997" s="31"/>
    </row>
    <row r="998" spans="1:9" s="26" customFormat="1" x14ac:dyDescent="0.35">
      <c r="A998" s="31"/>
      <c r="B998" s="29"/>
      <c r="C998" s="30"/>
      <c r="D998" s="30"/>
      <c r="E998" s="30"/>
      <c r="F998" s="31"/>
      <c r="G998" s="31"/>
      <c r="H998" s="31"/>
      <c r="I998" s="31"/>
    </row>
    <row r="999" spans="1:9" s="26" customFormat="1" x14ac:dyDescent="0.35">
      <c r="A999" s="31"/>
      <c r="B999" s="29"/>
      <c r="C999" s="30"/>
      <c r="D999" s="30"/>
      <c r="E999" s="30"/>
      <c r="F999" s="31"/>
      <c r="G999" s="31"/>
      <c r="H999" s="31"/>
      <c r="I999" s="31"/>
    </row>
    <row r="1000" spans="1:9" s="26" customFormat="1" x14ac:dyDescent="0.35">
      <c r="A1000" s="31"/>
      <c r="B1000" s="29"/>
      <c r="C1000" s="30"/>
      <c r="D1000" s="30"/>
      <c r="E1000" s="30"/>
      <c r="F1000" s="31"/>
      <c r="G1000" s="31"/>
      <c r="H1000" s="31"/>
      <c r="I1000" s="31"/>
    </row>
    <row r="1001" spans="1:9" s="26" customFormat="1" x14ac:dyDescent="0.35">
      <c r="A1001" s="31"/>
      <c r="B1001" s="29"/>
      <c r="C1001" s="30"/>
      <c r="D1001" s="30"/>
      <c r="E1001" s="30"/>
      <c r="F1001" s="31"/>
      <c r="G1001" s="31"/>
      <c r="H1001" s="31"/>
      <c r="I1001" s="31"/>
    </row>
    <row r="1002" spans="1:9" s="26" customFormat="1" x14ac:dyDescent="0.35">
      <c r="A1002" s="31"/>
      <c r="B1002" s="29"/>
      <c r="C1002" s="30"/>
      <c r="D1002" s="30"/>
      <c r="E1002" s="30"/>
      <c r="F1002" s="31"/>
      <c r="G1002" s="31"/>
      <c r="H1002" s="31"/>
      <c r="I1002" s="31"/>
    </row>
    <row r="1003" spans="1:9" s="26" customFormat="1" x14ac:dyDescent="0.35">
      <c r="A1003" s="31"/>
      <c r="B1003" s="29"/>
      <c r="C1003" s="30"/>
      <c r="D1003" s="30"/>
      <c r="E1003" s="30"/>
      <c r="F1003" s="31"/>
      <c r="G1003" s="31"/>
      <c r="H1003" s="31"/>
      <c r="I1003" s="31"/>
    </row>
    <row r="1004" spans="1:9" s="26" customFormat="1" x14ac:dyDescent="0.35">
      <c r="A1004" s="31"/>
      <c r="B1004" s="29"/>
      <c r="C1004" s="30"/>
      <c r="D1004" s="30"/>
      <c r="E1004" s="30"/>
      <c r="F1004" s="31"/>
      <c r="G1004" s="31"/>
      <c r="H1004" s="31"/>
      <c r="I1004" s="31"/>
    </row>
    <row r="1005" spans="1:9" s="26" customFormat="1" x14ac:dyDescent="0.35">
      <c r="A1005" s="31"/>
      <c r="B1005" s="29"/>
      <c r="C1005" s="30"/>
      <c r="D1005" s="30"/>
      <c r="E1005" s="30"/>
      <c r="F1005" s="31"/>
      <c r="G1005" s="31"/>
      <c r="H1005" s="31"/>
      <c r="I1005" s="31"/>
    </row>
    <row r="1006" spans="1:9" s="26" customFormat="1" x14ac:dyDescent="0.35">
      <c r="A1006" s="31"/>
      <c r="B1006" s="29"/>
      <c r="C1006" s="30"/>
      <c r="D1006" s="30"/>
      <c r="E1006" s="30"/>
      <c r="F1006" s="31"/>
      <c r="G1006" s="31"/>
      <c r="H1006" s="31"/>
      <c r="I1006" s="31"/>
    </row>
    <row r="1007" spans="1:9" s="26" customFormat="1" x14ac:dyDescent="0.35">
      <c r="A1007" s="31"/>
      <c r="B1007" s="29"/>
      <c r="C1007" s="30"/>
      <c r="D1007" s="30"/>
      <c r="E1007" s="30"/>
      <c r="F1007" s="31"/>
      <c r="G1007" s="31"/>
      <c r="H1007" s="31"/>
      <c r="I1007" s="31"/>
    </row>
    <row r="1008" spans="1:9" s="26" customFormat="1" x14ac:dyDescent="0.35">
      <c r="A1008" s="31"/>
      <c r="B1008" s="29"/>
      <c r="C1008" s="30"/>
      <c r="D1008" s="30"/>
      <c r="E1008" s="30"/>
      <c r="F1008" s="31"/>
      <c r="G1008" s="31"/>
      <c r="H1008" s="31"/>
      <c r="I1008" s="31"/>
    </row>
    <row r="1009" spans="1:9" s="26" customFormat="1" x14ac:dyDescent="0.35">
      <c r="A1009" s="31"/>
      <c r="B1009" s="29"/>
      <c r="C1009" s="30"/>
      <c r="D1009" s="30"/>
      <c r="E1009" s="30"/>
      <c r="F1009" s="31"/>
      <c r="G1009" s="31"/>
      <c r="H1009" s="31"/>
      <c r="I1009" s="31"/>
    </row>
    <row r="1010" spans="1:9" s="26" customFormat="1" x14ac:dyDescent="0.35">
      <c r="A1010" s="31"/>
      <c r="B1010" s="29"/>
      <c r="C1010" s="30"/>
      <c r="D1010" s="30"/>
      <c r="E1010" s="30"/>
      <c r="F1010" s="31"/>
      <c r="G1010" s="31"/>
      <c r="H1010" s="31"/>
      <c r="I1010" s="31"/>
    </row>
    <row r="1011" spans="1:9" s="26" customFormat="1" x14ac:dyDescent="0.35">
      <c r="A1011" s="31"/>
      <c r="B1011" s="29"/>
      <c r="C1011" s="30"/>
      <c r="D1011" s="30"/>
      <c r="E1011" s="30"/>
      <c r="F1011" s="31"/>
      <c r="G1011" s="31"/>
      <c r="H1011" s="31"/>
      <c r="I1011" s="31"/>
    </row>
    <row r="1012" spans="1:9" s="26" customFormat="1" x14ac:dyDescent="0.35">
      <c r="A1012" s="31"/>
      <c r="B1012" s="29"/>
      <c r="C1012" s="30"/>
      <c r="D1012" s="30"/>
      <c r="E1012" s="30"/>
      <c r="F1012" s="31"/>
      <c r="G1012" s="31"/>
      <c r="H1012" s="31"/>
      <c r="I1012" s="31"/>
    </row>
    <row r="1013" spans="1:9" s="26" customFormat="1" x14ac:dyDescent="0.35">
      <c r="A1013" s="31"/>
      <c r="B1013" s="29"/>
      <c r="C1013" s="30"/>
      <c r="D1013" s="30"/>
      <c r="E1013" s="30"/>
      <c r="F1013" s="31"/>
      <c r="G1013" s="31"/>
      <c r="H1013" s="31"/>
      <c r="I1013" s="31"/>
    </row>
    <row r="1014" spans="1:9" s="26" customFormat="1" x14ac:dyDescent="0.35">
      <c r="A1014" s="31"/>
      <c r="B1014" s="29"/>
      <c r="C1014" s="30"/>
      <c r="D1014" s="30"/>
      <c r="E1014" s="30"/>
      <c r="F1014" s="31"/>
      <c r="G1014" s="31"/>
      <c r="H1014" s="31"/>
      <c r="I1014" s="31"/>
    </row>
    <row r="1015" spans="1:9" s="26" customFormat="1" x14ac:dyDescent="0.35">
      <c r="A1015" s="31"/>
      <c r="B1015" s="29"/>
      <c r="C1015" s="30"/>
      <c r="D1015" s="30"/>
      <c r="E1015" s="30"/>
      <c r="F1015" s="31"/>
      <c r="G1015" s="31"/>
      <c r="H1015" s="31"/>
      <c r="I1015" s="31"/>
    </row>
    <row r="1016" spans="1:9" s="26" customFormat="1" x14ac:dyDescent="0.35">
      <c r="A1016" s="31"/>
      <c r="B1016" s="29"/>
      <c r="C1016" s="30"/>
      <c r="D1016" s="30"/>
      <c r="E1016" s="30"/>
      <c r="F1016" s="31"/>
      <c r="G1016" s="31"/>
      <c r="H1016" s="31"/>
      <c r="I1016" s="31"/>
    </row>
    <row r="1017" spans="1:9" s="26" customFormat="1" x14ac:dyDescent="0.35">
      <c r="A1017" s="31"/>
      <c r="B1017" s="29"/>
      <c r="C1017" s="30"/>
      <c r="D1017" s="30"/>
      <c r="E1017" s="30"/>
      <c r="F1017" s="31"/>
      <c r="G1017" s="31"/>
      <c r="H1017" s="31"/>
      <c r="I1017" s="31"/>
    </row>
    <row r="1018" spans="1:9" s="26" customFormat="1" x14ac:dyDescent="0.35">
      <c r="A1018" s="31"/>
      <c r="B1018" s="29"/>
      <c r="C1018" s="30"/>
      <c r="D1018" s="30"/>
      <c r="E1018" s="30"/>
      <c r="F1018" s="31"/>
      <c r="G1018" s="31"/>
      <c r="H1018" s="31"/>
      <c r="I1018" s="31"/>
    </row>
    <row r="1019" spans="1:9" s="26" customFormat="1" x14ac:dyDescent="0.35">
      <c r="A1019" s="31"/>
      <c r="B1019" s="29"/>
      <c r="C1019" s="30"/>
      <c r="D1019" s="30"/>
      <c r="E1019" s="30"/>
      <c r="F1019" s="31"/>
      <c r="G1019" s="31"/>
      <c r="H1019" s="31"/>
      <c r="I1019" s="31"/>
    </row>
    <row r="1020" spans="1:9" s="26" customFormat="1" x14ac:dyDescent="0.35">
      <c r="A1020" s="31"/>
      <c r="B1020" s="29"/>
      <c r="C1020" s="30"/>
      <c r="D1020" s="30"/>
      <c r="E1020" s="30"/>
      <c r="F1020" s="31"/>
      <c r="G1020" s="31"/>
      <c r="H1020" s="31"/>
      <c r="I1020" s="31"/>
    </row>
    <row r="1021" spans="1:9" s="26" customFormat="1" x14ac:dyDescent="0.35">
      <c r="A1021" s="31"/>
      <c r="B1021" s="29"/>
      <c r="C1021" s="30"/>
      <c r="D1021" s="30"/>
      <c r="E1021" s="30"/>
      <c r="F1021" s="31"/>
      <c r="G1021" s="31"/>
      <c r="H1021" s="31"/>
      <c r="I1021" s="31"/>
    </row>
    <row r="1022" spans="1:9" s="26" customFormat="1" x14ac:dyDescent="0.35">
      <c r="A1022" s="31"/>
      <c r="B1022" s="29"/>
      <c r="C1022" s="30"/>
      <c r="D1022" s="30"/>
      <c r="E1022" s="30"/>
      <c r="F1022" s="31"/>
      <c r="G1022" s="31"/>
      <c r="H1022" s="31"/>
      <c r="I1022" s="31"/>
    </row>
    <row r="1023" spans="1:9" s="26" customFormat="1" x14ac:dyDescent="0.35">
      <c r="A1023" s="31"/>
      <c r="B1023" s="29"/>
      <c r="C1023" s="30"/>
      <c r="D1023" s="30"/>
      <c r="E1023" s="30"/>
      <c r="F1023" s="31"/>
      <c r="G1023" s="31"/>
      <c r="H1023" s="31"/>
      <c r="I1023" s="31"/>
    </row>
    <row r="1024" spans="1:9" s="26" customFormat="1" x14ac:dyDescent="0.35">
      <c r="A1024" s="31"/>
      <c r="B1024" s="29"/>
      <c r="C1024" s="30"/>
      <c r="D1024" s="30"/>
      <c r="E1024" s="30"/>
      <c r="F1024" s="31"/>
      <c r="G1024" s="31"/>
      <c r="H1024" s="31"/>
      <c r="I1024" s="31"/>
    </row>
    <row r="1025" spans="1:9" s="26" customFormat="1" x14ac:dyDescent="0.35">
      <c r="A1025" s="31"/>
      <c r="B1025" s="29"/>
      <c r="C1025" s="30"/>
      <c r="D1025" s="30"/>
      <c r="E1025" s="30"/>
      <c r="F1025" s="31"/>
      <c r="G1025" s="31"/>
      <c r="H1025" s="31"/>
      <c r="I1025" s="31"/>
    </row>
    <row r="1026" spans="1:9" s="26" customFormat="1" x14ac:dyDescent="0.35">
      <c r="A1026" s="31"/>
      <c r="B1026" s="29"/>
      <c r="C1026" s="30"/>
      <c r="D1026" s="30"/>
      <c r="E1026" s="30"/>
      <c r="F1026" s="31"/>
      <c r="G1026" s="31"/>
      <c r="H1026" s="31"/>
      <c r="I1026" s="31"/>
    </row>
    <row r="1027" spans="1:9" s="26" customFormat="1" x14ac:dyDescent="0.35">
      <c r="A1027" s="31"/>
      <c r="B1027" s="29"/>
      <c r="C1027" s="30"/>
      <c r="D1027" s="30"/>
      <c r="E1027" s="30"/>
      <c r="F1027" s="31"/>
      <c r="G1027" s="31"/>
      <c r="H1027" s="31"/>
      <c r="I1027" s="31"/>
    </row>
    <row r="1028" spans="1:9" s="26" customFormat="1" x14ac:dyDescent="0.35">
      <c r="A1028" s="31"/>
      <c r="B1028" s="29"/>
      <c r="C1028" s="30"/>
      <c r="D1028" s="30"/>
      <c r="E1028" s="30"/>
      <c r="F1028" s="31"/>
      <c r="G1028" s="31"/>
      <c r="H1028" s="31"/>
      <c r="I1028" s="31"/>
    </row>
    <row r="1029" spans="1:9" s="26" customFormat="1" x14ac:dyDescent="0.35">
      <c r="A1029" s="31"/>
      <c r="B1029" s="29"/>
      <c r="C1029" s="30"/>
      <c r="D1029" s="30"/>
      <c r="E1029" s="30"/>
      <c r="F1029" s="31"/>
      <c r="G1029" s="31"/>
      <c r="H1029" s="31"/>
      <c r="I1029" s="31"/>
    </row>
    <row r="1030" spans="1:9" s="26" customFormat="1" x14ac:dyDescent="0.35">
      <c r="A1030" s="31"/>
      <c r="B1030" s="29"/>
      <c r="C1030" s="30"/>
      <c r="D1030" s="30"/>
      <c r="E1030" s="30"/>
      <c r="F1030" s="31"/>
      <c r="G1030" s="31"/>
      <c r="H1030" s="31"/>
      <c r="I1030" s="31"/>
    </row>
    <row r="1031" spans="1:9" s="26" customFormat="1" x14ac:dyDescent="0.35">
      <c r="A1031" s="31"/>
      <c r="B1031" s="29"/>
      <c r="C1031" s="30"/>
      <c r="D1031" s="30"/>
      <c r="E1031" s="30"/>
      <c r="F1031" s="31"/>
      <c r="G1031" s="31"/>
      <c r="H1031" s="31"/>
      <c r="I1031" s="31"/>
    </row>
    <row r="1032" spans="1:9" s="26" customFormat="1" x14ac:dyDescent="0.35">
      <c r="A1032" s="31"/>
      <c r="B1032" s="29"/>
      <c r="C1032" s="30"/>
      <c r="D1032" s="30"/>
      <c r="E1032" s="30"/>
      <c r="F1032" s="31"/>
      <c r="G1032" s="31"/>
      <c r="H1032" s="31"/>
      <c r="I1032" s="31"/>
    </row>
    <row r="1033" spans="1:9" s="26" customFormat="1" x14ac:dyDescent="0.35">
      <c r="A1033" s="31"/>
      <c r="B1033" s="29"/>
      <c r="C1033" s="30"/>
      <c r="D1033" s="30"/>
      <c r="E1033" s="30"/>
      <c r="F1033" s="31"/>
      <c r="G1033" s="31"/>
      <c r="H1033" s="31"/>
      <c r="I1033" s="31"/>
    </row>
    <row r="1034" spans="1:9" s="26" customFormat="1" x14ac:dyDescent="0.35">
      <c r="A1034" s="31"/>
      <c r="B1034" s="29"/>
      <c r="C1034" s="30"/>
      <c r="D1034" s="30"/>
      <c r="E1034" s="30"/>
      <c r="F1034" s="31"/>
      <c r="G1034" s="31"/>
      <c r="H1034" s="31"/>
      <c r="I1034" s="31"/>
    </row>
    <row r="1035" spans="1:9" s="26" customFormat="1" x14ac:dyDescent="0.35">
      <c r="A1035" s="31"/>
      <c r="B1035" s="29"/>
      <c r="C1035" s="30"/>
      <c r="D1035" s="30"/>
      <c r="E1035" s="30"/>
      <c r="F1035" s="31"/>
      <c r="G1035" s="31"/>
      <c r="H1035" s="31"/>
      <c r="I1035" s="31"/>
    </row>
    <row r="1036" spans="1:9" s="26" customFormat="1" x14ac:dyDescent="0.35">
      <c r="A1036" s="31"/>
      <c r="B1036" s="29"/>
      <c r="C1036" s="30"/>
      <c r="D1036" s="30"/>
      <c r="E1036" s="30"/>
      <c r="F1036" s="31"/>
      <c r="G1036" s="31"/>
      <c r="H1036" s="31"/>
      <c r="I1036" s="31"/>
    </row>
    <row r="1037" spans="1:9" s="26" customFormat="1" x14ac:dyDescent="0.35">
      <c r="A1037" s="31"/>
      <c r="B1037" s="29"/>
      <c r="C1037" s="30"/>
      <c r="D1037" s="30"/>
      <c r="E1037" s="30"/>
      <c r="F1037" s="31"/>
      <c r="G1037" s="31"/>
      <c r="H1037" s="31"/>
      <c r="I1037" s="31"/>
    </row>
    <row r="1038" spans="1:9" s="26" customFormat="1" x14ac:dyDescent="0.35">
      <c r="A1038" s="31"/>
      <c r="B1038" s="29"/>
      <c r="C1038" s="30"/>
      <c r="D1038" s="30"/>
      <c r="E1038" s="30"/>
      <c r="F1038" s="31"/>
      <c r="G1038" s="31"/>
      <c r="H1038" s="31"/>
      <c r="I1038" s="31"/>
    </row>
    <row r="1039" spans="1:9" s="26" customFormat="1" x14ac:dyDescent="0.35">
      <c r="A1039" s="31"/>
      <c r="B1039" s="29"/>
      <c r="C1039" s="30"/>
      <c r="D1039" s="30"/>
      <c r="E1039" s="30"/>
      <c r="F1039" s="31"/>
      <c r="G1039" s="31"/>
      <c r="H1039" s="31"/>
      <c r="I1039" s="31"/>
    </row>
    <row r="1040" spans="1:9" s="26" customFormat="1" x14ac:dyDescent="0.35">
      <c r="A1040" s="31"/>
      <c r="B1040" s="29"/>
      <c r="C1040" s="30"/>
      <c r="D1040" s="30"/>
      <c r="E1040" s="30"/>
      <c r="F1040" s="31"/>
      <c r="G1040" s="31"/>
      <c r="H1040" s="31"/>
      <c r="I1040" s="31"/>
    </row>
    <row r="1041" spans="1:9" s="26" customFormat="1" x14ac:dyDescent="0.35">
      <c r="A1041" s="31"/>
      <c r="B1041" s="29"/>
      <c r="C1041" s="30"/>
      <c r="D1041" s="30"/>
      <c r="E1041" s="30"/>
      <c r="F1041" s="31"/>
      <c r="G1041" s="31"/>
      <c r="H1041" s="31"/>
      <c r="I1041" s="31"/>
    </row>
    <row r="1042" spans="1:9" s="26" customFormat="1" x14ac:dyDescent="0.35">
      <c r="A1042" s="31"/>
      <c r="B1042" s="29"/>
      <c r="C1042" s="30"/>
      <c r="D1042" s="30"/>
      <c r="E1042" s="30"/>
      <c r="F1042" s="31"/>
      <c r="G1042" s="31"/>
      <c r="H1042" s="31"/>
      <c r="I1042" s="31"/>
    </row>
    <row r="1043" spans="1:9" s="26" customFormat="1" x14ac:dyDescent="0.35">
      <c r="A1043" s="31"/>
      <c r="B1043" s="29"/>
      <c r="C1043" s="30"/>
      <c r="D1043" s="30"/>
      <c r="E1043" s="30"/>
      <c r="F1043" s="31"/>
      <c r="G1043" s="31"/>
      <c r="H1043" s="31"/>
      <c r="I1043" s="31"/>
    </row>
    <row r="1044" spans="1:9" s="26" customFormat="1" x14ac:dyDescent="0.35">
      <c r="A1044" s="31"/>
      <c r="B1044" s="29"/>
      <c r="C1044" s="30"/>
      <c r="D1044" s="30"/>
      <c r="E1044" s="30"/>
      <c r="F1044" s="31"/>
      <c r="G1044" s="31"/>
      <c r="H1044" s="31"/>
      <c r="I1044" s="31"/>
    </row>
    <row r="1045" spans="1:9" s="26" customFormat="1" x14ac:dyDescent="0.35">
      <c r="A1045" s="31"/>
      <c r="B1045" s="29"/>
      <c r="C1045" s="30"/>
      <c r="D1045" s="30"/>
      <c r="E1045" s="30"/>
      <c r="F1045" s="31"/>
      <c r="G1045" s="31"/>
      <c r="H1045" s="31"/>
      <c r="I1045" s="31"/>
    </row>
    <row r="1046" spans="1:9" s="26" customFormat="1" x14ac:dyDescent="0.35">
      <c r="A1046" s="31"/>
      <c r="B1046" s="29"/>
      <c r="C1046" s="30"/>
      <c r="D1046" s="30"/>
      <c r="E1046" s="30"/>
      <c r="F1046" s="31"/>
      <c r="G1046" s="31"/>
      <c r="H1046" s="31"/>
      <c r="I1046" s="31"/>
    </row>
    <row r="1047" spans="1:9" s="26" customFormat="1" x14ac:dyDescent="0.35">
      <c r="A1047" s="31"/>
      <c r="B1047" s="29"/>
      <c r="C1047" s="30"/>
      <c r="D1047" s="30"/>
      <c r="E1047" s="30"/>
      <c r="F1047" s="31"/>
      <c r="G1047" s="31"/>
      <c r="H1047" s="31"/>
      <c r="I1047" s="31"/>
    </row>
    <row r="1048" spans="1:9" s="26" customFormat="1" x14ac:dyDescent="0.35">
      <c r="A1048" s="31"/>
      <c r="B1048" s="29"/>
      <c r="C1048" s="30"/>
      <c r="D1048" s="30"/>
      <c r="E1048" s="30"/>
      <c r="F1048" s="31"/>
      <c r="G1048" s="31"/>
      <c r="H1048" s="31"/>
      <c r="I1048" s="31"/>
    </row>
    <row r="1049" spans="1:9" s="26" customFormat="1" x14ac:dyDescent="0.35">
      <c r="A1049" s="31"/>
      <c r="B1049" s="29"/>
      <c r="C1049" s="30"/>
      <c r="D1049" s="30"/>
      <c r="E1049" s="30"/>
      <c r="F1049" s="31"/>
      <c r="G1049" s="31"/>
      <c r="H1049" s="31"/>
      <c r="I1049" s="31"/>
    </row>
    <row r="1050" spans="1:9" s="26" customFormat="1" x14ac:dyDescent="0.35">
      <c r="A1050" s="31"/>
      <c r="B1050" s="29"/>
      <c r="C1050" s="30"/>
      <c r="D1050" s="30"/>
      <c r="E1050" s="30"/>
      <c r="F1050" s="31"/>
      <c r="G1050" s="31"/>
      <c r="H1050" s="31"/>
      <c r="I1050" s="31"/>
    </row>
    <row r="1051" spans="1:9" s="26" customFormat="1" x14ac:dyDescent="0.35">
      <c r="A1051" s="31"/>
      <c r="B1051" s="29"/>
      <c r="C1051" s="30"/>
      <c r="D1051" s="30"/>
      <c r="E1051" s="30"/>
      <c r="F1051" s="31"/>
      <c r="G1051" s="31"/>
      <c r="H1051" s="31"/>
      <c r="I1051" s="31"/>
    </row>
    <row r="1052" spans="1:9" s="26" customFormat="1" x14ac:dyDescent="0.35">
      <c r="A1052" s="31"/>
      <c r="B1052" s="29"/>
      <c r="C1052" s="30"/>
      <c r="D1052" s="30"/>
      <c r="E1052" s="30"/>
      <c r="F1052" s="31"/>
      <c r="G1052" s="31"/>
      <c r="H1052" s="31"/>
      <c r="I1052" s="31"/>
    </row>
    <row r="1053" spans="1:9" s="26" customFormat="1" x14ac:dyDescent="0.35">
      <c r="A1053" s="31"/>
      <c r="B1053" s="29"/>
      <c r="C1053" s="30"/>
      <c r="D1053" s="30"/>
      <c r="E1053" s="30"/>
      <c r="F1053" s="31"/>
      <c r="G1053" s="31"/>
      <c r="H1053" s="31"/>
      <c r="I1053" s="31"/>
    </row>
    <row r="1054" spans="1:9" s="26" customFormat="1" x14ac:dyDescent="0.35">
      <c r="A1054" s="31"/>
      <c r="B1054" s="29"/>
      <c r="C1054" s="30"/>
      <c r="D1054" s="30"/>
      <c r="E1054" s="30"/>
      <c r="F1054" s="31"/>
      <c r="G1054" s="31"/>
      <c r="H1054" s="31"/>
      <c r="I1054" s="31"/>
    </row>
    <row r="1055" spans="1:9" s="26" customFormat="1" x14ac:dyDescent="0.35">
      <c r="A1055" s="31"/>
      <c r="B1055" s="29"/>
      <c r="C1055" s="30"/>
      <c r="D1055" s="30"/>
      <c r="E1055" s="30"/>
      <c r="F1055" s="31"/>
      <c r="G1055" s="31"/>
      <c r="H1055" s="31"/>
      <c r="I1055" s="31"/>
    </row>
    <row r="1056" spans="1:9" s="26" customFormat="1" x14ac:dyDescent="0.35">
      <c r="A1056" s="31"/>
      <c r="B1056" s="29"/>
      <c r="C1056" s="30"/>
      <c r="D1056" s="30"/>
      <c r="E1056" s="30"/>
      <c r="F1056" s="31"/>
      <c r="G1056" s="31"/>
      <c r="H1056" s="31"/>
      <c r="I1056" s="31"/>
    </row>
    <row r="1057" spans="1:9" s="26" customFormat="1" x14ac:dyDescent="0.35">
      <c r="A1057" s="31"/>
      <c r="B1057" s="29"/>
      <c r="C1057" s="30"/>
      <c r="D1057" s="30"/>
      <c r="E1057" s="30"/>
      <c r="F1057" s="31"/>
      <c r="G1057" s="31"/>
      <c r="H1057" s="31"/>
      <c r="I1057" s="31"/>
    </row>
    <row r="1058" spans="1:9" s="26" customFormat="1" x14ac:dyDescent="0.35">
      <c r="A1058" s="31"/>
      <c r="B1058" s="29"/>
      <c r="C1058" s="30"/>
      <c r="D1058" s="30"/>
      <c r="E1058" s="30"/>
      <c r="F1058" s="31"/>
      <c r="G1058" s="31"/>
      <c r="H1058" s="31"/>
      <c r="I1058" s="31"/>
    </row>
    <row r="1059" spans="1:9" s="26" customFormat="1" x14ac:dyDescent="0.35">
      <c r="A1059" s="31"/>
      <c r="B1059" s="29"/>
      <c r="C1059" s="30"/>
      <c r="D1059" s="30"/>
      <c r="E1059" s="30"/>
      <c r="F1059" s="31"/>
      <c r="G1059" s="31"/>
      <c r="H1059" s="31"/>
      <c r="I1059" s="31"/>
    </row>
    <row r="1060" spans="1:9" s="26" customFormat="1" x14ac:dyDescent="0.35">
      <c r="A1060" s="31"/>
      <c r="B1060" s="29"/>
      <c r="C1060" s="30"/>
      <c r="D1060" s="30"/>
      <c r="E1060" s="30"/>
      <c r="F1060" s="31"/>
      <c r="G1060" s="31"/>
      <c r="H1060" s="31"/>
      <c r="I1060" s="31"/>
    </row>
    <row r="1061" spans="1:9" s="26" customFormat="1" x14ac:dyDescent="0.35">
      <c r="A1061" s="31"/>
      <c r="B1061" s="29"/>
      <c r="C1061" s="30"/>
      <c r="D1061" s="30"/>
      <c r="E1061" s="30"/>
      <c r="F1061" s="31"/>
      <c r="G1061" s="31"/>
      <c r="H1061" s="31"/>
      <c r="I1061" s="31"/>
    </row>
    <row r="1062" spans="1:9" s="26" customFormat="1" x14ac:dyDescent="0.35">
      <c r="A1062" s="31"/>
      <c r="B1062" s="29"/>
      <c r="C1062" s="30"/>
      <c r="D1062" s="30"/>
      <c r="E1062" s="30"/>
      <c r="F1062" s="31"/>
      <c r="G1062" s="31"/>
      <c r="H1062" s="31"/>
      <c r="I1062" s="31"/>
    </row>
    <row r="1063" spans="1:9" s="26" customFormat="1" x14ac:dyDescent="0.35">
      <c r="A1063" s="31"/>
      <c r="B1063" s="29"/>
      <c r="C1063" s="30"/>
      <c r="D1063" s="30"/>
      <c r="E1063" s="30"/>
      <c r="F1063" s="31"/>
      <c r="G1063" s="31"/>
      <c r="H1063" s="31"/>
      <c r="I1063" s="31"/>
    </row>
    <row r="1064" spans="1:9" s="26" customFormat="1" x14ac:dyDescent="0.35">
      <c r="A1064" s="31"/>
      <c r="B1064" s="29"/>
      <c r="C1064" s="30"/>
      <c r="D1064" s="30"/>
      <c r="E1064" s="30"/>
      <c r="F1064" s="31"/>
      <c r="G1064" s="31"/>
      <c r="H1064" s="31"/>
      <c r="I1064" s="31"/>
    </row>
    <row r="1065" spans="1:9" s="26" customFormat="1" x14ac:dyDescent="0.35">
      <c r="A1065" s="31"/>
      <c r="B1065" s="29"/>
      <c r="C1065" s="30"/>
      <c r="D1065" s="30"/>
      <c r="E1065" s="30"/>
      <c r="F1065" s="31"/>
      <c r="G1065" s="31"/>
      <c r="H1065" s="31"/>
      <c r="I1065" s="31"/>
    </row>
    <row r="1066" spans="1:9" s="26" customFormat="1" x14ac:dyDescent="0.35">
      <c r="A1066" s="31"/>
      <c r="B1066" s="29"/>
      <c r="C1066" s="30"/>
      <c r="D1066" s="30"/>
      <c r="E1066" s="30"/>
      <c r="F1066" s="31"/>
      <c r="G1066" s="31"/>
      <c r="H1066" s="31"/>
      <c r="I1066" s="31"/>
    </row>
    <row r="1067" spans="1:9" s="26" customFormat="1" x14ac:dyDescent="0.35">
      <c r="A1067" s="31"/>
      <c r="B1067" s="29"/>
      <c r="C1067" s="30"/>
      <c r="D1067" s="30"/>
      <c r="E1067" s="30"/>
      <c r="F1067" s="31"/>
      <c r="G1067" s="31"/>
      <c r="H1067" s="31"/>
      <c r="I1067" s="31"/>
    </row>
    <row r="1068" spans="1:9" s="26" customFormat="1" x14ac:dyDescent="0.35">
      <c r="A1068" s="31"/>
      <c r="B1068" s="29"/>
      <c r="C1068" s="30"/>
      <c r="D1068" s="30"/>
      <c r="E1068" s="30"/>
      <c r="F1068" s="31"/>
      <c r="G1068" s="31"/>
      <c r="H1068" s="31"/>
      <c r="I1068" s="31"/>
    </row>
    <row r="1069" spans="1:9" s="26" customFormat="1" x14ac:dyDescent="0.35">
      <c r="A1069" s="31"/>
      <c r="B1069" s="29"/>
      <c r="C1069" s="30"/>
      <c r="D1069" s="30"/>
      <c r="E1069" s="30"/>
      <c r="F1069" s="31"/>
      <c r="G1069" s="31"/>
      <c r="H1069" s="31"/>
      <c r="I1069" s="31"/>
    </row>
    <row r="1070" spans="1:9" s="26" customFormat="1" x14ac:dyDescent="0.35">
      <c r="A1070" s="31"/>
      <c r="B1070" s="29"/>
      <c r="C1070" s="30"/>
      <c r="D1070" s="30"/>
      <c r="E1070" s="30"/>
      <c r="F1070" s="31"/>
      <c r="G1070" s="31"/>
      <c r="H1070" s="31"/>
      <c r="I1070" s="31"/>
    </row>
    <row r="1071" spans="1:9" s="26" customFormat="1" x14ac:dyDescent="0.35">
      <c r="A1071" s="31"/>
      <c r="B1071" s="29"/>
      <c r="C1071" s="30"/>
      <c r="D1071" s="30"/>
      <c r="E1071" s="30"/>
      <c r="F1071" s="31"/>
      <c r="G1071" s="31"/>
      <c r="H1071" s="31"/>
      <c r="I1071" s="31"/>
    </row>
    <row r="1072" spans="1:9" s="26" customFormat="1" x14ac:dyDescent="0.35">
      <c r="A1072" s="31"/>
      <c r="B1072" s="29"/>
      <c r="C1072" s="30"/>
      <c r="D1072" s="30"/>
      <c r="E1072" s="30"/>
      <c r="F1072" s="31"/>
      <c r="G1072" s="31"/>
      <c r="H1072" s="31"/>
      <c r="I1072" s="31"/>
    </row>
    <row r="1073" spans="1:9" s="26" customFormat="1" x14ac:dyDescent="0.35">
      <c r="A1073" s="31"/>
      <c r="B1073" s="29"/>
      <c r="C1073" s="30"/>
      <c r="D1073" s="30"/>
      <c r="E1073" s="30"/>
      <c r="F1073" s="31"/>
      <c r="G1073" s="31"/>
      <c r="H1073" s="31"/>
      <c r="I1073" s="31"/>
    </row>
    <row r="1074" spans="1:9" s="26" customFormat="1" x14ac:dyDescent="0.35">
      <c r="A1074" s="31"/>
      <c r="B1074" s="29"/>
      <c r="C1074" s="30"/>
      <c r="D1074" s="30"/>
      <c r="E1074" s="30"/>
      <c r="F1074" s="31"/>
      <c r="G1074" s="31"/>
      <c r="H1074" s="31"/>
      <c r="I1074" s="31"/>
    </row>
    <row r="1075" spans="1:9" s="26" customFormat="1" x14ac:dyDescent="0.35">
      <c r="A1075" s="31"/>
      <c r="B1075" s="29"/>
      <c r="C1075" s="30"/>
      <c r="D1075" s="30"/>
      <c r="E1075" s="30"/>
      <c r="F1075" s="31"/>
      <c r="G1075" s="31"/>
      <c r="H1075" s="31"/>
      <c r="I1075" s="31"/>
    </row>
    <row r="1076" spans="1:9" s="26" customFormat="1" x14ac:dyDescent="0.35">
      <c r="A1076" s="31"/>
      <c r="B1076" s="29"/>
      <c r="C1076" s="30"/>
      <c r="D1076" s="30"/>
      <c r="E1076" s="30"/>
      <c r="F1076" s="31"/>
      <c r="G1076" s="31"/>
      <c r="H1076" s="31"/>
      <c r="I1076" s="31"/>
    </row>
    <row r="1077" spans="1:9" s="26" customFormat="1" x14ac:dyDescent="0.35">
      <c r="A1077" s="31"/>
      <c r="B1077" s="29"/>
      <c r="C1077" s="30"/>
      <c r="D1077" s="30"/>
      <c r="E1077" s="30"/>
      <c r="F1077" s="31"/>
      <c r="G1077" s="31"/>
      <c r="H1077" s="31"/>
      <c r="I1077" s="31"/>
    </row>
    <row r="1078" spans="1:9" s="26" customFormat="1" x14ac:dyDescent="0.35">
      <c r="A1078" s="31"/>
      <c r="B1078" s="29"/>
      <c r="C1078" s="30"/>
      <c r="D1078" s="30"/>
      <c r="E1078" s="30"/>
      <c r="F1078" s="31"/>
      <c r="G1078" s="31"/>
      <c r="H1078" s="31"/>
      <c r="I1078" s="31"/>
    </row>
    <row r="1079" spans="1:9" s="26" customFormat="1" x14ac:dyDescent="0.35">
      <c r="A1079" s="31"/>
      <c r="B1079" s="29"/>
      <c r="C1079" s="30"/>
      <c r="D1079" s="30"/>
      <c r="E1079" s="30"/>
      <c r="F1079" s="31"/>
      <c r="G1079" s="31"/>
      <c r="H1079" s="31"/>
      <c r="I1079" s="31"/>
    </row>
    <row r="1080" spans="1:9" s="26" customFormat="1" x14ac:dyDescent="0.35">
      <c r="A1080" s="31"/>
      <c r="B1080" s="29"/>
      <c r="C1080" s="30"/>
      <c r="D1080" s="30"/>
      <c r="E1080" s="30"/>
      <c r="F1080" s="31"/>
      <c r="G1080" s="31"/>
      <c r="H1080" s="31"/>
      <c r="I1080" s="31"/>
    </row>
    <row r="1081" spans="1:9" s="26" customFormat="1" x14ac:dyDescent="0.35">
      <c r="A1081" s="31"/>
      <c r="B1081" s="29"/>
      <c r="C1081" s="30"/>
      <c r="D1081" s="30"/>
      <c r="E1081" s="30"/>
      <c r="F1081" s="31"/>
      <c r="G1081" s="31"/>
      <c r="H1081" s="31"/>
      <c r="I1081" s="31"/>
    </row>
    <row r="1082" spans="1:9" s="26" customFormat="1" x14ac:dyDescent="0.35">
      <c r="A1082" s="31"/>
      <c r="B1082" s="29"/>
      <c r="C1082" s="30"/>
      <c r="D1082" s="30"/>
      <c r="E1082" s="30"/>
      <c r="F1082" s="31"/>
      <c r="G1082" s="31"/>
      <c r="H1082" s="31"/>
      <c r="I1082" s="31"/>
    </row>
    <row r="1083" spans="1:9" s="26" customFormat="1" x14ac:dyDescent="0.35">
      <c r="A1083" s="31"/>
      <c r="B1083" s="29"/>
      <c r="C1083" s="30"/>
      <c r="D1083" s="30"/>
      <c r="E1083" s="30"/>
      <c r="F1083" s="31"/>
      <c r="G1083" s="31"/>
      <c r="H1083" s="31"/>
      <c r="I1083" s="31"/>
    </row>
    <row r="1084" spans="1:9" s="26" customFormat="1" x14ac:dyDescent="0.35">
      <c r="A1084" s="31"/>
      <c r="B1084" s="29"/>
      <c r="C1084" s="30"/>
      <c r="D1084" s="30"/>
      <c r="E1084" s="30"/>
      <c r="F1084" s="31"/>
      <c r="G1084" s="31"/>
      <c r="H1084" s="31"/>
      <c r="I1084" s="31"/>
    </row>
    <row r="1085" spans="1:9" s="26" customFormat="1" x14ac:dyDescent="0.35">
      <c r="A1085" s="31"/>
      <c r="B1085" s="29"/>
      <c r="C1085" s="30"/>
      <c r="D1085" s="30"/>
      <c r="E1085" s="30"/>
      <c r="F1085" s="31"/>
      <c r="G1085" s="31"/>
      <c r="H1085" s="31"/>
      <c r="I1085" s="31"/>
    </row>
    <row r="1086" spans="1:9" s="26" customFormat="1" x14ac:dyDescent="0.35">
      <c r="A1086" s="31"/>
      <c r="B1086" s="29"/>
      <c r="C1086" s="30"/>
      <c r="D1086" s="30"/>
      <c r="E1086" s="30"/>
      <c r="F1086" s="31"/>
      <c r="G1086" s="31"/>
      <c r="H1086" s="31"/>
      <c r="I1086" s="31"/>
    </row>
    <row r="1087" spans="1:9" s="26" customFormat="1" x14ac:dyDescent="0.35">
      <c r="A1087" s="31"/>
      <c r="B1087" s="29"/>
      <c r="C1087" s="30"/>
      <c r="D1087" s="30"/>
      <c r="E1087" s="30"/>
      <c r="F1087" s="31"/>
      <c r="G1087" s="31"/>
      <c r="H1087" s="31"/>
      <c r="I1087" s="31"/>
    </row>
    <row r="1088" spans="1:9" s="26" customFormat="1" x14ac:dyDescent="0.35">
      <c r="A1088" s="31"/>
      <c r="B1088" s="29"/>
      <c r="C1088" s="30"/>
      <c r="D1088" s="30"/>
      <c r="E1088" s="30"/>
      <c r="F1088" s="31"/>
      <c r="G1088" s="31"/>
      <c r="H1088" s="31"/>
      <c r="I1088" s="31"/>
    </row>
    <row r="1089" spans="1:9" s="26" customFormat="1" x14ac:dyDescent="0.35">
      <c r="A1089" s="31"/>
      <c r="B1089" s="29"/>
      <c r="C1089" s="30"/>
      <c r="D1089" s="30"/>
      <c r="E1089" s="30"/>
      <c r="F1089" s="31"/>
      <c r="G1089" s="31"/>
      <c r="H1089" s="31"/>
      <c r="I1089" s="31"/>
    </row>
    <row r="1090" spans="1:9" s="26" customFormat="1" x14ac:dyDescent="0.35">
      <c r="A1090" s="31"/>
      <c r="B1090" s="29"/>
      <c r="C1090" s="30"/>
      <c r="D1090" s="30"/>
      <c r="E1090" s="30"/>
      <c r="F1090" s="31"/>
      <c r="G1090" s="31"/>
      <c r="H1090" s="31"/>
      <c r="I1090" s="31"/>
    </row>
    <row r="1091" spans="1:9" s="26" customFormat="1" x14ac:dyDescent="0.35">
      <c r="A1091" s="31"/>
      <c r="B1091" s="29"/>
      <c r="C1091" s="30"/>
      <c r="D1091" s="30"/>
      <c r="E1091" s="30"/>
      <c r="F1091" s="31"/>
      <c r="G1091" s="31"/>
      <c r="H1091" s="31"/>
      <c r="I1091" s="31"/>
    </row>
    <row r="1092" spans="1:9" s="26" customFormat="1" x14ac:dyDescent="0.35">
      <c r="A1092" s="31"/>
      <c r="B1092" s="29"/>
      <c r="C1092" s="30"/>
      <c r="D1092" s="30"/>
      <c r="E1092" s="30"/>
      <c r="F1092" s="31"/>
      <c r="G1092" s="31"/>
      <c r="H1092" s="31"/>
      <c r="I1092" s="31"/>
    </row>
    <row r="1093" spans="1:9" s="26" customFormat="1" x14ac:dyDescent="0.35">
      <c r="A1093" s="31"/>
      <c r="B1093" s="29"/>
      <c r="C1093" s="30"/>
      <c r="D1093" s="30"/>
      <c r="E1093" s="30"/>
      <c r="F1093" s="31"/>
      <c r="G1093" s="31"/>
      <c r="H1093" s="31"/>
      <c r="I1093" s="31"/>
    </row>
    <row r="1094" spans="1:9" s="26" customFormat="1" x14ac:dyDescent="0.35">
      <c r="A1094" s="31"/>
      <c r="B1094" s="29"/>
      <c r="C1094" s="30"/>
      <c r="D1094" s="30"/>
      <c r="E1094" s="30"/>
      <c r="F1094" s="31"/>
      <c r="G1094" s="31"/>
      <c r="H1094" s="31"/>
      <c r="I1094" s="31"/>
    </row>
    <row r="1095" spans="1:9" s="26" customFormat="1" x14ac:dyDescent="0.35">
      <c r="A1095" s="31"/>
      <c r="B1095" s="29"/>
      <c r="C1095" s="30"/>
      <c r="D1095" s="30"/>
      <c r="E1095" s="30"/>
      <c r="F1095" s="31"/>
      <c r="G1095" s="31"/>
      <c r="H1095" s="31"/>
      <c r="I1095" s="31"/>
    </row>
    <row r="1096" spans="1:9" s="26" customFormat="1" x14ac:dyDescent="0.35">
      <c r="A1096" s="31"/>
      <c r="B1096" s="29"/>
      <c r="C1096" s="30"/>
      <c r="D1096" s="30"/>
      <c r="E1096" s="30"/>
      <c r="F1096" s="31"/>
      <c r="G1096" s="31"/>
      <c r="H1096" s="31"/>
      <c r="I1096" s="31"/>
    </row>
    <row r="1097" spans="1:9" s="26" customFormat="1" x14ac:dyDescent="0.35">
      <c r="A1097" s="31"/>
      <c r="B1097" s="29"/>
      <c r="C1097" s="30"/>
      <c r="D1097" s="30"/>
      <c r="E1097" s="30"/>
      <c r="F1097" s="31"/>
      <c r="G1097" s="31"/>
      <c r="H1097" s="31"/>
      <c r="I1097" s="31"/>
    </row>
    <row r="1098" spans="1:9" s="26" customFormat="1" x14ac:dyDescent="0.35">
      <c r="A1098" s="31"/>
      <c r="B1098" s="29"/>
      <c r="C1098" s="30"/>
      <c r="D1098" s="30"/>
      <c r="E1098" s="30"/>
      <c r="F1098" s="31"/>
      <c r="G1098" s="31"/>
      <c r="H1098" s="31"/>
      <c r="I1098" s="31"/>
    </row>
    <row r="1099" spans="1:9" s="26" customFormat="1" x14ac:dyDescent="0.35">
      <c r="A1099" s="31"/>
      <c r="B1099" s="29"/>
      <c r="C1099" s="30"/>
      <c r="D1099" s="30"/>
      <c r="E1099" s="30"/>
      <c r="F1099" s="31"/>
      <c r="G1099" s="31"/>
      <c r="H1099" s="31"/>
      <c r="I1099" s="31"/>
    </row>
    <row r="1100" spans="1:9" s="26" customFormat="1" x14ac:dyDescent="0.35">
      <c r="A1100" s="31"/>
      <c r="B1100" s="29"/>
      <c r="C1100" s="30"/>
      <c r="D1100" s="30"/>
      <c r="E1100" s="30"/>
      <c r="F1100" s="31"/>
      <c r="G1100" s="31"/>
      <c r="H1100" s="31"/>
      <c r="I1100" s="31"/>
    </row>
    <row r="1101" spans="1:9" s="26" customFormat="1" x14ac:dyDescent="0.35">
      <c r="A1101" s="31"/>
      <c r="B1101" s="29"/>
      <c r="C1101" s="30"/>
      <c r="D1101" s="30"/>
      <c r="E1101" s="30"/>
      <c r="F1101" s="31"/>
      <c r="G1101" s="31"/>
      <c r="H1101" s="31"/>
      <c r="I1101" s="31"/>
    </row>
    <row r="1102" spans="1:9" s="26" customFormat="1" x14ac:dyDescent="0.35">
      <c r="A1102" s="31"/>
      <c r="B1102" s="29"/>
      <c r="C1102" s="30"/>
      <c r="D1102" s="30"/>
      <c r="E1102" s="30"/>
      <c r="F1102" s="31"/>
      <c r="G1102" s="31"/>
      <c r="H1102" s="31"/>
      <c r="I1102" s="31"/>
    </row>
    <row r="1103" spans="1:9" s="26" customFormat="1" x14ac:dyDescent="0.35">
      <c r="A1103" s="31"/>
      <c r="B1103" s="29"/>
      <c r="C1103" s="30"/>
      <c r="D1103" s="30"/>
      <c r="E1103" s="30"/>
      <c r="F1103" s="31"/>
      <c r="G1103" s="31"/>
      <c r="H1103" s="31"/>
      <c r="I1103" s="31"/>
    </row>
    <row r="1104" spans="1:9" s="26" customFormat="1" x14ac:dyDescent="0.35">
      <c r="A1104" s="31"/>
      <c r="B1104" s="29"/>
      <c r="C1104" s="30"/>
      <c r="D1104" s="30"/>
      <c r="E1104" s="30"/>
      <c r="F1104" s="31"/>
      <c r="G1104" s="31"/>
      <c r="H1104" s="31"/>
      <c r="I1104" s="31"/>
    </row>
    <row r="1105" spans="1:9" s="26" customFormat="1" x14ac:dyDescent="0.35">
      <c r="A1105" s="31"/>
      <c r="B1105" s="29"/>
      <c r="C1105" s="30"/>
      <c r="D1105" s="30"/>
      <c r="E1105" s="30"/>
      <c r="F1105" s="31"/>
      <c r="G1105" s="31"/>
      <c r="H1105" s="31"/>
      <c r="I1105" s="31"/>
    </row>
    <row r="1106" spans="1:9" s="26" customFormat="1" x14ac:dyDescent="0.35">
      <c r="A1106" s="31"/>
      <c r="B1106" s="29"/>
      <c r="C1106" s="30"/>
      <c r="D1106" s="30"/>
      <c r="E1106" s="30"/>
      <c r="F1106" s="31"/>
      <c r="G1106" s="31"/>
      <c r="H1106" s="31"/>
      <c r="I1106" s="31"/>
    </row>
    <row r="1107" spans="1:9" s="26" customFormat="1" x14ac:dyDescent="0.35">
      <c r="A1107" s="31"/>
      <c r="B1107" s="29"/>
      <c r="C1107" s="30"/>
      <c r="D1107" s="30"/>
      <c r="E1107" s="30"/>
      <c r="F1107" s="31"/>
      <c r="G1107" s="31"/>
      <c r="H1107" s="31"/>
      <c r="I1107" s="31"/>
    </row>
    <row r="1108" spans="1:9" s="26" customFormat="1" x14ac:dyDescent="0.35">
      <c r="A1108" s="31"/>
      <c r="B1108" s="29"/>
      <c r="C1108" s="30"/>
      <c r="D1108" s="30"/>
      <c r="E1108" s="30"/>
      <c r="F1108" s="31"/>
      <c r="G1108" s="31"/>
      <c r="H1108" s="31"/>
      <c r="I1108" s="31"/>
    </row>
    <row r="1109" spans="1:9" s="26" customFormat="1" x14ac:dyDescent="0.35">
      <c r="A1109" s="31"/>
      <c r="B1109" s="29"/>
      <c r="C1109" s="30"/>
      <c r="D1109" s="30"/>
      <c r="E1109" s="30"/>
      <c r="F1109" s="31"/>
      <c r="G1109" s="31"/>
      <c r="H1109" s="31"/>
      <c r="I1109" s="31"/>
    </row>
    <row r="1110" spans="1:9" s="26" customFormat="1" x14ac:dyDescent="0.35">
      <c r="A1110" s="31"/>
      <c r="B1110" s="29"/>
      <c r="C1110" s="30"/>
      <c r="D1110" s="30"/>
      <c r="E1110" s="30"/>
      <c r="F1110" s="31"/>
      <c r="G1110" s="31"/>
      <c r="H1110" s="31"/>
      <c r="I1110" s="31"/>
    </row>
    <row r="1111" spans="1:9" s="26" customFormat="1" x14ac:dyDescent="0.35">
      <c r="A1111" s="31"/>
      <c r="B1111" s="29"/>
      <c r="C1111" s="30"/>
      <c r="D1111" s="30"/>
      <c r="E1111" s="30"/>
      <c r="F1111" s="31"/>
      <c r="G1111" s="31"/>
      <c r="H1111" s="31"/>
      <c r="I1111" s="31"/>
    </row>
    <row r="1112" spans="1:9" s="26" customFormat="1" x14ac:dyDescent="0.35">
      <c r="A1112" s="31"/>
      <c r="B1112" s="29"/>
      <c r="C1112" s="30"/>
      <c r="D1112" s="30"/>
      <c r="E1112" s="30"/>
      <c r="F1112" s="31"/>
      <c r="G1112" s="31"/>
      <c r="H1112" s="31"/>
      <c r="I1112" s="31"/>
    </row>
    <row r="1113" spans="1:9" s="26" customFormat="1" x14ac:dyDescent="0.35">
      <c r="A1113" s="31"/>
      <c r="B1113" s="29"/>
      <c r="C1113" s="30"/>
      <c r="D1113" s="30"/>
      <c r="E1113" s="30"/>
      <c r="F1113" s="31"/>
      <c r="G1113" s="31"/>
      <c r="H1113" s="31"/>
      <c r="I1113" s="31"/>
    </row>
    <row r="1114" spans="1:9" s="26" customFormat="1" x14ac:dyDescent="0.35">
      <c r="A1114" s="31"/>
      <c r="B1114" s="29"/>
      <c r="C1114" s="30"/>
      <c r="D1114" s="30"/>
      <c r="E1114" s="30"/>
      <c r="F1114" s="31"/>
      <c r="G1114" s="31"/>
      <c r="H1114" s="31"/>
      <c r="I1114" s="31"/>
    </row>
    <row r="1115" spans="1:9" s="26" customFormat="1" x14ac:dyDescent="0.35">
      <c r="A1115" s="31"/>
      <c r="B1115" s="29"/>
      <c r="C1115" s="30"/>
      <c r="D1115" s="30"/>
      <c r="E1115" s="30"/>
      <c r="F1115" s="31"/>
      <c r="G1115" s="31"/>
      <c r="H1115" s="31"/>
      <c r="I1115" s="31"/>
    </row>
    <row r="1116" spans="1:9" s="26" customFormat="1" x14ac:dyDescent="0.35">
      <c r="A1116" s="31"/>
      <c r="B1116" s="29"/>
      <c r="C1116" s="30"/>
      <c r="D1116" s="30"/>
      <c r="E1116" s="30"/>
      <c r="F1116" s="31"/>
      <c r="G1116" s="31"/>
      <c r="H1116" s="31"/>
      <c r="I1116" s="31"/>
    </row>
    <row r="1117" spans="1:9" s="26" customFormat="1" x14ac:dyDescent="0.35">
      <c r="A1117" s="31"/>
      <c r="B1117" s="29"/>
      <c r="C1117" s="30"/>
      <c r="D1117" s="30"/>
      <c r="E1117" s="30"/>
      <c r="F1117" s="31"/>
      <c r="G1117" s="31"/>
      <c r="H1117" s="31"/>
      <c r="I1117" s="31"/>
    </row>
    <row r="1118" spans="1:9" s="26" customFormat="1" x14ac:dyDescent="0.35">
      <c r="A1118" s="31"/>
      <c r="B1118" s="29"/>
      <c r="C1118" s="30"/>
      <c r="D1118" s="30"/>
      <c r="E1118" s="30"/>
      <c r="F1118" s="31"/>
      <c r="G1118" s="31"/>
      <c r="H1118" s="31"/>
      <c r="I1118" s="31"/>
    </row>
    <row r="1119" spans="1:9" s="26" customFormat="1" x14ac:dyDescent="0.35">
      <c r="A1119" s="31"/>
      <c r="B1119" s="29"/>
      <c r="C1119" s="30"/>
      <c r="D1119" s="30"/>
      <c r="E1119" s="30"/>
      <c r="F1119" s="31"/>
      <c r="G1119" s="31"/>
      <c r="H1119" s="31"/>
      <c r="I1119" s="31"/>
    </row>
    <row r="1120" spans="1:9" s="26" customFormat="1" x14ac:dyDescent="0.35">
      <c r="A1120" s="31"/>
      <c r="B1120" s="29"/>
      <c r="C1120" s="30"/>
      <c r="D1120" s="30"/>
      <c r="E1120" s="30"/>
      <c r="F1120" s="31"/>
      <c r="G1120" s="31"/>
      <c r="H1120" s="31"/>
      <c r="I1120" s="31"/>
    </row>
    <row r="1121" spans="1:9" s="26" customFormat="1" x14ac:dyDescent="0.35">
      <c r="A1121" s="31"/>
      <c r="B1121" s="29"/>
      <c r="C1121" s="30"/>
      <c r="D1121" s="30"/>
      <c r="E1121" s="30"/>
      <c r="F1121" s="31"/>
      <c r="G1121" s="31"/>
      <c r="H1121" s="31"/>
      <c r="I1121" s="31"/>
    </row>
    <row r="1122" spans="1:9" s="26" customFormat="1" x14ac:dyDescent="0.35">
      <c r="A1122" s="31"/>
      <c r="B1122" s="29"/>
      <c r="C1122" s="30"/>
      <c r="D1122" s="30"/>
      <c r="E1122" s="30"/>
      <c r="F1122" s="31"/>
      <c r="G1122" s="31"/>
      <c r="H1122" s="31"/>
      <c r="I1122" s="31"/>
    </row>
    <row r="1123" spans="1:9" s="26" customFormat="1" x14ac:dyDescent="0.35">
      <c r="A1123" s="31"/>
      <c r="B1123" s="29"/>
      <c r="C1123" s="30"/>
      <c r="D1123" s="30"/>
      <c r="E1123" s="30"/>
      <c r="F1123" s="31"/>
      <c r="G1123" s="31"/>
      <c r="H1123" s="31"/>
      <c r="I1123" s="31"/>
    </row>
    <row r="1124" spans="1:9" s="26" customFormat="1" x14ac:dyDescent="0.35">
      <c r="A1124" s="31"/>
      <c r="B1124" s="29"/>
      <c r="C1124" s="30"/>
      <c r="D1124" s="30"/>
      <c r="E1124" s="30"/>
      <c r="F1124" s="31"/>
      <c r="G1124" s="31"/>
      <c r="H1124" s="31"/>
      <c r="I1124" s="31"/>
    </row>
    <row r="1125" spans="1:9" s="26" customFormat="1" x14ac:dyDescent="0.35">
      <c r="A1125" s="31"/>
      <c r="B1125" s="29"/>
      <c r="C1125" s="30"/>
      <c r="D1125" s="30"/>
      <c r="E1125" s="30"/>
      <c r="F1125" s="31"/>
      <c r="G1125" s="31"/>
      <c r="H1125" s="31"/>
      <c r="I1125" s="31"/>
    </row>
    <row r="1126" spans="1:9" s="26" customFormat="1" x14ac:dyDescent="0.35">
      <c r="A1126" s="31"/>
      <c r="B1126" s="29"/>
      <c r="C1126" s="30"/>
      <c r="D1126" s="30"/>
      <c r="E1126" s="30"/>
      <c r="F1126" s="31"/>
      <c r="G1126" s="31"/>
      <c r="H1126" s="31"/>
      <c r="I1126" s="31"/>
    </row>
    <row r="1127" spans="1:9" s="26" customFormat="1" x14ac:dyDescent="0.35">
      <c r="A1127" s="31"/>
      <c r="B1127" s="29"/>
      <c r="C1127" s="30"/>
      <c r="D1127" s="30"/>
      <c r="E1127" s="30"/>
      <c r="F1127" s="31"/>
      <c r="G1127" s="31"/>
      <c r="H1127" s="31"/>
      <c r="I1127" s="31"/>
    </row>
    <row r="1128" spans="1:9" s="26" customFormat="1" x14ac:dyDescent="0.35">
      <c r="A1128" s="31"/>
      <c r="B1128" s="29"/>
      <c r="C1128" s="30"/>
      <c r="D1128" s="30"/>
      <c r="E1128" s="30"/>
      <c r="F1128" s="31"/>
      <c r="G1128" s="31"/>
      <c r="H1128" s="31"/>
      <c r="I1128" s="31"/>
    </row>
    <row r="1129" spans="1:9" s="26" customFormat="1" x14ac:dyDescent="0.35">
      <c r="A1129" s="31"/>
      <c r="B1129" s="29"/>
      <c r="C1129" s="30"/>
      <c r="D1129" s="30"/>
      <c r="E1129" s="30"/>
      <c r="F1129" s="31"/>
      <c r="G1129" s="31"/>
      <c r="H1129" s="31"/>
      <c r="I1129" s="31"/>
    </row>
    <row r="1130" spans="1:9" s="26" customFormat="1" x14ac:dyDescent="0.35">
      <c r="A1130" s="31"/>
      <c r="B1130" s="29"/>
      <c r="C1130" s="30"/>
      <c r="D1130" s="30"/>
      <c r="E1130" s="30"/>
      <c r="F1130" s="31"/>
      <c r="G1130" s="31"/>
      <c r="H1130" s="31"/>
      <c r="I1130" s="31"/>
    </row>
    <row r="1131" spans="1:9" s="26" customFormat="1" x14ac:dyDescent="0.35">
      <c r="A1131" s="31"/>
      <c r="B1131" s="29"/>
      <c r="C1131" s="30"/>
      <c r="D1131" s="30"/>
      <c r="E1131" s="30"/>
      <c r="F1131" s="31"/>
      <c r="G1131" s="31"/>
      <c r="H1131" s="31"/>
      <c r="I1131" s="31"/>
    </row>
    <row r="1132" spans="1:9" s="26" customFormat="1" x14ac:dyDescent="0.35">
      <c r="A1132" s="31"/>
      <c r="B1132" s="29"/>
      <c r="C1132" s="30"/>
      <c r="D1132" s="30"/>
      <c r="E1132" s="30"/>
      <c r="F1132" s="31"/>
      <c r="G1132" s="31"/>
      <c r="H1132" s="31"/>
      <c r="I1132" s="31"/>
    </row>
    <row r="1133" spans="1:9" s="26" customFormat="1" x14ac:dyDescent="0.35">
      <c r="A1133" s="31"/>
      <c r="B1133" s="29"/>
      <c r="C1133" s="30"/>
      <c r="D1133" s="30"/>
      <c r="E1133" s="30"/>
      <c r="F1133" s="31"/>
      <c r="G1133" s="31"/>
      <c r="H1133" s="31"/>
      <c r="I1133" s="31"/>
    </row>
    <row r="1134" spans="1:9" s="26" customFormat="1" x14ac:dyDescent="0.35">
      <c r="A1134" s="31"/>
      <c r="B1134" s="29"/>
      <c r="C1134" s="30"/>
      <c r="D1134" s="30"/>
      <c r="E1134" s="30"/>
      <c r="F1134" s="31"/>
      <c r="G1134" s="31"/>
      <c r="H1134" s="31"/>
      <c r="I1134" s="31"/>
    </row>
    <row r="1135" spans="1:9" s="26" customFormat="1" x14ac:dyDescent="0.35">
      <c r="A1135" s="31"/>
      <c r="B1135" s="29"/>
      <c r="C1135" s="30"/>
      <c r="D1135" s="30"/>
      <c r="E1135" s="30"/>
      <c r="F1135" s="31"/>
      <c r="G1135" s="31"/>
      <c r="H1135" s="31"/>
      <c r="I1135" s="31"/>
    </row>
    <row r="1136" spans="1:9" s="26" customFormat="1" x14ac:dyDescent="0.35">
      <c r="A1136" s="31"/>
      <c r="B1136" s="29"/>
      <c r="C1136" s="30"/>
      <c r="D1136" s="30"/>
      <c r="E1136" s="30"/>
      <c r="F1136" s="31"/>
      <c r="G1136" s="31"/>
      <c r="H1136" s="31"/>
      <c r="I1136" s="31"/>
    </row>
    <row r="1137" spans="1:9" s="26" customFormat="1" x14ac:dyDescent="0.35">
      <c r="A1137" s="31"/>
      <c r="B1137" s="29"/>
      <c r="C1137" s="30"/>
      <c r="D1137" s="30"/>
      <c r="E1137" s="30"/>
      <c r="F1137" s="31"/>
      <c r="G1137" s="31"/>
      <c r="H1137" s="31"/>
      <c r="I1137" s="31"/>
    </row>
    <row r="1138" spans="1:9" s="26" customFormat="1" x14ac:dyDescent="0.35">
      <c r="A1138" s="31"/>
      <c r="B1138" s="29"/>
      <c r="C1138" s="30"/>
      <c r="D1138" s="30"/>
      <c r="E1138" s="30"/>
      <c r="F1138" s="31"/>
      <c r="G1138" s="31"/>
      <c r="H1138" s="31"/>
      <c r="I1138" s="31"/>
    </row>
    <row r="1139" spans="1:9" s="26" customFormat="1" x14ac:dyDescent="0.35">
      <c r="A1139" s="31"/>
      <c r="B1139" s="29"/>
      <c r="C1139" s="30"/>
      <c r="D1139" s="30"/>
      <c r="E1139" s="30"/>
      <c r="F1139" s="31"/>
      <c r="G1139" s="31"/>
      <c r="H1139" s="31"/>
      <c r="I1139" s="31"/>
    </row>
    <row r="1140" spans="1:9" s="26" customFormat="1" x14ac:dyDescent="0.35">
      <c r="A1140" s="31"/>
      <c r="B1140" s="29"/>
      <c r="C1140" s="30"/>
      <c r="D1140" s="30"/>
      <c r="E1140" s="30"/>
      <c r="F1140" s="31"/>
      <c r="G1140" s="31"/>
      <c r="H1140" s="31"/>
      <c r="I1140" s="31"/>
    </row>
    <row r="1141" spans="1:9" s="26" customFormat="1" x14ac:dyDescent="0.35">
      <c r="A1141" s="31"/>
      <c r="B1141" s="29"/>
      <c r="C1141" s="30"/>
      <c r="D1141" s="30"/>
      <c r="E1141" s="30"/>
      <c r="F1141" s="31"/>
      <c r="G1141" s="31"/>
      <c r="H1141" s="31"/>
      <c r="I1141" s="31"/>
    </row>
    <row r="1142" spans="1:9" s="26" customFormat="1" x14ac:dyDescent="0.35">
      <c r="A1142" s="31"/>
      <c r="B1142" s="29"/>
      <c r="C1142" s="30"/>
      <c r="D1142" s="30"/>
      <c r="E1142" s="30"/>
      <c r="F1142" s="31"/>
      <c r="G1142" s="31"/>
      <c r="H1142" s="31"/>
      <c r="I1142" s="31"/>
    </row>
    <row r="1143" spans="1:9" s="26" customFormat="1" x14ac:dyDescent="0.35">
      <c r="A1143" s="31"/>
      <c r="B1143" s="29"/>
      <c r="C1143" s="30"/>
      <c r="D1143" s="30"/>
      <c r="E1143" s="30"/>
      <c r="F1143" s="31"/>
      <c r="G1143" s="31"/>
      <c r="H1143" s="31"/>
      <c r="I1143" s="31"/>
    </row>
    <row r="1144" spans="1:9" s="26" customFormat="1" x14ac:dyDescent="0.35">
      <c r="A1144" s="31"/>
      <c r="B1144" s="29"/>
      <c r="C1144" s="30"/>
      <c r="D1144" s="30"/>
      <c r="E1144" s="30"/>
      <c r="F1144" s="31"/>
      <c r="G1144" s="31"/>
      <c r="H1144" s="31"/>
      <c r="I1144" s="31"/>
    </row>
    <row r="1145" spans="1:9" s="26" customFormat="1" x14ac:dyDescent="0.35">
      <c r="A1145" s="31"/>
      <c r="B1145" s="29"/>
      <c r="C1145" s="30"/>
      <c r="D1145" s="30"/>
      <c r="E1145" s="30"/>
      <c r="F1145" s="31"/>
      <c r="G1145" s="31"/>
      <c r="H1145" s="31"/>
      <c r="I1145" s="31"/>
    </row>
    <row r="1146" spans="1:9" s="26" customFormat="1" x14ac:dyDescent="0.35">
      <c r="A1146" s="31"/>
      <c r="B1146" s="29"/>
      <c r="C1146" s="30"/>
      <c r="D1146" s="30"/>
      <c r="E1146" s="30"/>
      <c r="F1146" s="31"/>
      <c r="G1146" s="31"/>
      <c r="H1146" s="31"/>
      <c r="I1146" s="31"/>
    </row>
    <row r="1147" spans="1:9" s="26" customFormat="1" x14ac:dyDescent="0.35">
      <c r="A1147" s="31"/>
      <c r="B1147" s="29"/>
      <c r="C1147" s="30"/>
      <c r="D1147" s="30"/>
      <c r="E1147" s="30"/>
      <c r="F1147" s="31"/>
      <c r="G1147" s="31"/>
      <c r="H1147" s="31"/>
      <c r="I1147" s="31"/>
    </row>
    <row r="1148" spans="1:9" s="26" customFormat="1" x14ac:dyDescent="0.35">
      <c r="A1148" s="31"/>
      <c r="B1148" s="29"/>
      <c r="C1148" s="30"/>
      <c r="D1148" s="30"/>
      <c r="E1148" s="30"/>
      <c r="F1148" s="31"/>
      <c r="G1148" s="31"/>
      <c r="H1148" s="31"/>
      <c r="I1148" s="31"/>
    </row>
    <row r="1149" spans="1:9" s="26" customFormat="1" x14ac:dyDescent="0.35">
      <c r="A1149" s="31"/>
      <c r="B1149" s="29"/>
      <c r="C1149" s="30"/>
      <c r="D1149" s="30"/>
      <c r="E1149" s="30"/>
      <c r="F1149" s="31"/>
      <c r="G1149" s="31"/>
      <c r="H1149" s="31"/>
      <c r="I1149" s="31"/>
    </row>
    <row r="1150" spans="1:9" s="26" customFormat="1" x14ac:dyDescent="0.35">
      <c r="A1150" s="31"/>
      <c r="B1150" s="29"/>
      <c r="C1150" s="30"/>
      <c r="D1150" s="30"/>
      <c r="E1150" s="30"/>
      <c r="F1150" s="31"/>
      <c r="G1150" s="31"/>
      <c r="H1150" s="31"/>
      <c r="I1150" s="31"/>
    </row>
    <row r="1151" spans="1:9" s="26" customFormat="1" x14ac:dyDescent="0.35">
      <c r="A1151" s="31"/>
      <c r="B1151" s="29"/>
      <c r="C1151" s="30"/>
      <c r="D1151" s="30"/>
      <c r="E1151" s="30"/>
      <c r="F1151" s="31"/>
      <c r="G1151" s="31"/>
      <c r="H1151" s="31"/>
      <c r="I1151" s="31"/>
    </row>
    <row r="1152" spans="1:9" s="26" customFormat="1" x14ac:dyDescent="0.35">
      <c r="A1152" s="31"/>
      <c r="B1152" s="29"/>
      <c r="C1152" s="30"/>
      <c r="D1152" s="30"/>
      <c r="E1152" s="30"/>
      <c r="F1152" s="31"/>
      <c r="G1152" s="31"/>
      <c r="H1152" s="31"/>
      <c r="I1152" s="31"/>
    </row>
    <row r="1153" spans="1:9" s="26" customFormat="1" x14ac:dyDescent="0.35">
      <c r="A1153" s="31"/>
      <c r="B1153" s="29"/>
      <c r="C1153" s="30"/>
      <c r="D1153" s="30"/>
      <c r="E1153" s="30"/>
      <c r="F1153" s="31"/>
      <c r="G1153" s="31"/>
      <c r="H1153" s="31"/>
      <c r="I1153" s="31"/>
    </row>
    <row r="1154" spans="1:9" s="26" customFormat="1" x14ac:dyDescent="0.35">
      <c r="A1154" s="31"/>
      <c r="B1154" s="29"/>
      <c r="C1154" s="30"/>
      <c r="D1154" s="30"/>
      <c r="E1154" s="30"/>
      <c r="F1154" s="31"/>
      <c r="G1154" s="31"/>
      <c r="H1154" s="31"/>
      <c r="I1154" s="31"/>
    </row>
    <row r="1155" spans="1:9" s="26" customFormat="1" x14ac:dyDescent="0.35">
      <c r="A1155" s="31"/>
      <c r="B1155" s="29"/>
      <c r="C1155" s="30"/>
      <c r="D1155" s="30"/>
      <c r="E1155" s="30"/>
      <c r="F1155" s="31"/>
      <c r="G1155" s="31"/>
      <c r="H1155" s="31"/>
      <c r="I1155" s="31"/>
    </row>
    <row r="1156" spans="1:9" s="26" customFormat="1" x14ac:dyDescent="0.35">
      <c r="A1156" s="31"/>
      <c r="B1156" s="29"/>
      <c r="C1156" s="30"/>
      <c r="D1156" s="30"/>
      <c r="E1156" s="30"/>
      <c r="F1156" s="31"/>
      <c r="G1156" s="31"/>
      <c r="H1156" s="31"/>
      <c r="I1156" s="31"/>
    </row>
    <row r="1157" spans="1:9" s="26" customFormat="1" x14ac:dyDescent="0.35">
      <c r="A1157" s="31"/>
      <c r="B1157" s="29"/>
      <c r="C1157" s="30"/>
      <c r="D1157" s="30"/>
      <c r="E1157" s="30"/>
      <c r="F1157" s="31"/>
      <c r="G1157" s="31"/>
      <c r="H1157" s="31"/>
      <c r="I1157" s="31"/>
    </row>
    <row r="1158" spans="1:9" s="26" customFormat="1" x14ac:dyDescent="0.35">
      <c r="A1158" s="31"/>
      <c r="B1158" s="29"/>
      <c r="C1158" s="30"/>
      <c r="D1158" s="30"/>
      <c r="E1158" s="30"/>
      <c r="F1158" s="31"/>
      <c r="G1158" s="31"/>
      <c r="H1158" s="31"/>
      <c r="I1158" s="31"/>
    </row>
    <row r="1159" spans="1:9" s="26" customFormat="1" x14ac:dyDescent="0.35">
      <c r="A1159" s="31"/>
      <c r="B1159" s="29"/>
      <c r="C1159" s="30"/>
      <c r="D1159" s="30"/>
      <c r="E1159" s="30"/>
      <c r="F1159" s="31"/>
      <c r="G1159" s="31"/>
      <c r="H1159" s="31"/>
      <c r="I1159" s="31"/>
    </row>
    <row r="1160" spans="1:9" s="26" customFormat="1" x14ac:dyDescent="0.35">
      <c r="A1160" s="31"/>
      <c r="B1160" s="29"/>
      <c r="C1160" s="30"/>
      <c r="D1160" s="30"/>
      <c r="E1160" s="30"/>
      <c r="F1160" s="31"/>
      <c r="G1160" s="31"/>
      <c r="H1160" s="31"/>
      <c r="I1160" s="31"/>
    </row>
    <row r="1161" spans="1:9" s="26" customFormat="1" x14ac:dyDescent="0.35">
      <c r="A1161" s="31"/>
      <c r="B1161" s="29"/>
      <c r="C1161" s="30"/>
      <c r="D1161" s="30"/>
      <c r="E1161" s="30"/>
      <c r="F1161" s="31"/>
      <c r="G1161" s="31"/>
      <c r="H1161" s="31"/>
      <c r="I1161" s="31"/>
    </row>
    <row r="1162" spans="1:9" s="26" customFormat="1" x14ac:dyDescent="0.35">
      <c r="A1162" s="31"/>
      <c r="B1162" s="29"/>
      <c r="C1162" s="30"/>
      <c r="D1162" s="30"/>
      <c r="E1162" s="30"/>
      <c r="F1162" s="31"/>
      <c r="G1162" s="31"/>
      <c r="H1162" s="31"/>
      <c r="I1162" s="31"/>
    </row>
    <row r="1163" spans="1:9" s="26" customFormat="1" x14ac:dyDescent="0.35">
      <c r="A1163" s="31"/>
      <c r="B1163" s="29"/>
      <c r="C1163" s="30"/>
      <c r="D1163" s="30"/>
      <c r="E1163" s="30"/>
      <c r="F1163" s="31"/>
      <c r="G1163" s="31"/>
      <c r="H1163" s="31"/>
      <c r="I1163" s="31"/>
    </row>
    <row r="1164" spans="1:9" s="26" customFormat="1" x14ac:dyDescent="0.35">
      <c r="A1164" s="31"/>
      <c r="B1164" s="29"/>
      <c r="C1164" s="30"/>
      <c r="D1164" s="30"/>
      <c r="E1164" s="30"/>
      <c r="F1164" s="31"/>
      <c r="G1164" s="31"/>
      <c r="H1164" s="31"/>
      <c r="I1164" s="31"/>
    </row>
    <row r="1165" spans="1:9" s="26" customFormat="1" x14ac:dyDescent="0.35">
      <c r="A1165" s="31"/>
      <c r="B1165" s="29"/>
      <c r="C1165" s="30"/>
      <c r="D1165" s="30"/>
      <c r="E1165" s="30"/>
      <c r="F1165" s="31"/>
      <c r="G1165" s="31"/>
      <c r="H1165" s="31"/>
      <c r="I1165" s="31"/>
    </row>
    <row r="1166" spans="1:9" s="26" customFormat="1" x14ac:dyDescent="0.35">
      <c r="A1166" s="31"/>
      <c r="B1166" s="29"/>
      <c r="C1166" s="30"/>
      <c r="D1166" s="30"/>
      <c r="E1166" s="30"/>
      <c r="F1166" s="31"/>
      <c r="G1166" s="31"/>
      <c r="H1166" s="31"/>
      <c r="I1166" s="31"/>
    </row>
    <row r="1167" spans="1:9" s="26" customFormat="1" x14ac:dyDescent="0.35">
      <c r="A1167" s="31"/>
      <c r="B1167" s="29"/>
      <c r="C1167" s="30"/>
      <c r="D1167" s="30"/>
      <c r="E1167" s="30"/>
      <c r="F1167" s="31"/>
      <c r="G1167" s="31"/>
      <c r="H1167" s="31"/>
      <c r="I1167" s="31"/>
    </row>
    <row r="1168" spans="1:9" s="26" customFormat="1" x14ac:dyDescent="0.35">
      <c r="A1168" s="31"/>
      <c r="B1168" s="29"/>
      <c r="C1168" s="30"/>
      <c r="D1168" s="30"/>
      <c r="E1168" s="30"/>
      <c r="F1168" s="31"/>
      <c r="G1168" s="31"/>
      <c r="H1168" s="31"/>
      <c r="I1168" s="31"/>
    </row>
    <row r="1169" spans="1:9" s="26" customFormat="1" x14ac:dyDescent="0.35">
      <c r="A1169" s="31"/>
      <c r="B1169" s="29"/>
      <c r="C1169" s="30"/>
      <c r="D1169" s="30"/>
      <c r="E1169" s="30"/>
      <c r="F1169" s="31"/>
      <c r="G1169" s="31"/>
      <c r="H1169" s="31"/>
      <c r="I1169" s="31"/>
    </row>
    <row r="1170" spans="1:9" s="26" customFormat="1" x14ac:dyDescent="0.35">
      <c r="A1170" s="31"/>
      <c r="B1170" s="29"/>
      <c r="C1170" s="30"/>
      <c r="D1170" s="30"/>
      <c r="E1170" s="30"/>
      <c r="F1170" s="31"/>
      <c r="G1170" s="31"/>
      <c r="H1170" s="31"/>
      <c r="I1170" s="31"/>
    </row>
    <row r="1171" spans="1:9" s="26" customFormat="1" x14ac:dyDescent="0.35">
      <c r="A1171" s="31"/>
      <c r="B1171" s="29"/>
      <c r="C1171" s="30"/>
      <c r="D1171" s="30"/>
      <c r="E1171" s="30"/>
      <c r="F1171" s="31"/>
      <c r="G1171" s="31"/>
      <c r="H1171" s="31"/>
      <c r="I1171" s="31"/>
    </row>
    <row r="1172" spans="1:9" s="26" customFormat="1" x14ac:dyDescent="0.35">
      <c r="A1172" s="31"/>
      <c r="B1172" s="29"/>
      <c r="C1172" s="30"/>
      <c r="D1172" s="30"/>
      <c r="E1172" s="30"/>
      <c r="F1172" s="31"/>
      <c r="G1172" s="31"/>
      <c r="H1172" s="31"/>
      <c r="I1172" s="31"/>
    </row>
    <row r="1173" spans="1:9" s="26" customFormat="1" x14ac:dyDescent="0.35">
      <c r="A1173" s="31"/>
      <c r="B1173" s="29"/>
      <c r="C1173" s="30"/>
      <c r="D1173" s="30"/>
      <c r="E1173" s="30"/>
      <c r="F1173" s="31"/>
      <c r="G1173" s="31"/>
      <c r="H1173" s="31"/>
      <c r="I1173" s="31"/>
    </row>
    <row r="1174" spans="1:9" s="26" customFormat="1" x14ac:dyDescent="0.35">
      <c r="A1174" s="31"/>
      <c r="B1174" s="29"/>
      <c r="C1174" s="30"/>
      <c r="D1174" s="30"/>
      <c r="E1174" s="30"/>
      <c r="F1174" s="31"/>
      <c r="G1174" s="31"/>
      <c r="H1174" s="31"/>
      <c r="I1174" s="31"/>
    </row>
    <row r="1175" spans="1:9" s="26" customFormat="1" x14ac:dyDescent="0.35">
      <c r="A1175" s="31"/>
      <c r="B1175" s="29"/>
      <c r="C1175" s="30"/>
      <c r="D1175" s="30"/>
      <c r="E1175" s="30"/>
      <c r="F1175" s="31"/>
      <c r="G1175" s="31"/>
      <c r="H1175" s="31"/>
      <c r="I1175" s="31"/>
    </row>
    <row r="1176" spans="1:9" s="26" customFormat="1" x14ac:dyDescent="0.35">
      <c r="A1176" s="31"/>
      <c r="B1176" s="29"/>
      <c r="C1176" s="30"/>
      <c r="D1176" s="30"/>
      <c r="E1176" s="30"/>
      <c r="F1176" s="31"/>
      <c r="G1176" s="31"/>
      <c r="H1176" s="31"/>
      <c r="I1176" s="31"/>
    </row>
    <row r="1177" spans="1:9" s="26" customFormat="1" x14ac:dyDescent="0.35">
      <c r="A1177" s="31"/>
      <c r="B1177" s="29"/>
      <c r="C1177" s="30"/>
      <c r="D1177" s="30"/>
      <c r="E1177" s="30"/>
      <c r="F1177" s="31"/>
      <c r="G1177" s="31"/>
      <c r="H1177" s="31"/>
      <c r="I1177" s="31"/>
    </row>
    <row r="1178" spans="1:9" s="26" customFormat="1" x14ac:dyDescent="0.35">
      <c r="A1178" s="31"/>
      <c r="B1178" s="29"/>
      <c r="C1178" s="30"/>
      <c r="D1178" s="30"/>
      <c r="E1178" s="30"/>
      <c r="F1178" s="31"/>
      <c r="G1178" s="31"/>
      <c r="H1178" s="31"/>
      <c r="I1178" s="31"/>
    </row>
    <row r="1179" spans="1:9" s="26" customFormat="1" x14ac:dyDescent="0.35">
      <c r="A1179" s="31"/>
      <c r="B1179" s="29"/>
      <c r="C1179" s="30"/>
      <c r="D1179" s="30"/>
      <c r="E1179" s="30"/>
      <c r="F1179" s="31"/>
      <c r="G1179" s="31"/>
      <c r="H1179" s="31"/>
      <c r="I1179" s="31"/>
    </row>
    <row r="1180" spans="1:9" s="26" customFormat="1" x14ac:dyDescent="0.35">
      <c r="A1180" s="31"/>
      <c r="B1180" s="29"/>
      <c r="C1180" s="30"/>
      <c r="D1180" s="30"/>
      <c r="E1180" s="30"/>
      <c r="F1180" s="31"/>
      <c r="G1180" s="31"/>
      <c r="H1180" s="31"/>
      <c r="I1180" s="31"/>
    </row>
    <row r="1181" spans="1:9" s="26" customFormat="1" x14ac:dyDescent="0.35">
      <c r="A1181" s="31"/>
      <c r="B1181" s="29"/>
      <c r="C1181" s="30"/>
      <c r="D1181" s="30"/>
      <c r="E1181" s="30"/>
      <c r="F1181" s="31"/>
      <c r="G1181" s="31"/>
      <c r="H1181" s="31"/>
      <c r="I1181" s="31"/>
    </row>
    <row r="1182" spans="1:9" s="26" customFormat="1" x14ac:dyDescent="0.35">
      <c r="A1182" s="31"/>
      <c r="B1182" s="29"/>
      <c r="C1182" s="30"/>
      <c r="D1182" s="30"/>
      <c r="E1182" s="30"/>
      <c r="F1182" s="31"/>
      <c r="G1182" s="31"/>
      <c r="H1182" s="31"/>
      <c r="I1182" s="31"/>
    </row>
    <row r="1183" spans="1:9" s="26" customFormat="1" x14ac:dyDescent="0.35">
      <c r="A1183" s="31"/>
      <c r="B1183" s="29"/>
      <c r="C1183" s="30"/>
      <c r="D1183" s="30"/>
      <c r="E1183" s="30"/>
      <c r="F1183" s="31"/>
      <c r="G1183" s="31"/>
      <c r="H1183" s="31"/>
      <c r="I1183" s="31"/>
    </row>
    <row r="1184" spans="1:9" s="26" customFormat="1" x14ac:dyDescent="0.35">
      <c r="A1184" s="31"/>
      <c r="B1184" s="29"/>
      <c r="C1184" s="30"/>
      <c r="D1184" s="30"/>
      <c r="E1184" s="30"/>
      <c r="F1184" s="31"/>
      <c r="G1184" s="31"/>
      <c r="H1184" s="31"/>
      <c r="I1184" s="31"/>
    </row>
    <row r="1185" spans="1:9" s="26" customFormat="1" x14ac:dyDescent="0.35">
      <c r="A1185" s="31"/>
      <c r="B1185" s="29"/>
      <c r="C1185" s="30"/>
      <c r="D1185" s="30"/>
      <c r="E1185" s="30"/>
      <c r="F1185" s="31"/>
      <c r="G1185" s="31"/>
      <c r="H1185" s="31"/>
      <c r="I1185" s="31"/>
    </row>
    <row r="1186" spans="1:9" s="26" customFormat="1" x14ac:dyDescent="0.35">
      <c r="A1186" s="31"/>
      <c r="B1186" s="29"/>
      <c r="C1186" s="30"/>
      <c r="D1186" s="30"/>
      <c r="E1186" s="30"/>
      <c r="F1186" s="31"/>
      <c r="G1186" s="31"/>
      <c r="H1186" s="31"/>
      <c r="I1186" s="31"/>
    </row>
    <row r="1187" spans="1:9" s="26" customFormat="1" x14ac:dyDescent="0.35">
      <c r="A1187" s="31"/>
      <c r="B1187" s="29"/>
      <c r="C1187" s="30"/>
      <c r="D1187" s="30"/>
      <c r="E1187" s="30"/>
      <c r="F1187" s="31"/>
      <c r="G1187" s="31"/>
      <c r="H1187" s="31"/>
      <c r="I1187" s="31"/>
    </row>
    <row r="1188" spans="1:9" s="26" customFormat="1" x14ac:dyDescent="0.35">
      <c r="A1188" s="31"/>
      <c r="B1188" s="29"/>
      <c r="C1188" s="30"/>
      <c r="D1188" s="30"/>
      <c r="E1188" s="30"/>
      <c r="F1188" s="31"/>
      <c r="G1188" s="31"/>
      <c r="H1188" s="31"/>
      <c r="I1188" s="31"/>
    </row>
    <row r="1189" spans="1:9" s="26" customFormat="1" x14ac:dyDescent="0.35">
      <c r="A1189" s="31"/>
      <c r="B1189" s="29"/>
      <c r="C1189" s="30"/>
      <c r="D1189" s="30"/>
      <c r="E1189" s="30"/>
      <c r="F1189" s="31"/>
      <c r="G1189" s="31"/>
      <c r="H1189" s="31"/>
      <c r="I1189" s="31"/>
    </row>
    <row r="1190" spans="1:9" s="26" customFormat="1" x14ac:dyDescent="0.35">
      <c r="A1190" s="31"/>
      <c r="B1190" s="29"/>
      <c r="C1190" s="30"/>
      <c r="D1190" s="30"/>
      <c r="E1190" s="30"/>
      <c r="F1190" s="31"/>
      <c r="G1190" s="31"/>
      <c r="H1190" s="31"/>
      <c r="I1190" s="31"/>
    </row>
    <row r="1191" spans="1:9" s="26" customFormat="1" x14ac:dyDescent="0.35">
      <c r="A1191" s="31"/>
      <c r="B1191" s="29"/>
      <c r="C1191" s="30"/>
      <c r="D1191" s="30"/>
      <c r="E1191" s="30"/>
      <c r="F1191" s="31"/>
      <c r="G1191" s="31"/>
      <c r="H1191" s="31"/>
      <c r="I1191" s="31"/>
    </row>
    <row r="1192" spans="1:9" s="26" customFormat="1" x14ac:dyDescent="0.35">
      <c r="A1192" s="31"/>
      <c r="B1192" s="29"/>
      <c r="C1192" s="30"/>
      <c r="D1192" s="30"/>
      <c r="E1192" s="30"/>
      <c r="F1192" s="31"/>
      <c r="G1192" s="31"/>
      <c r="H1192" s="31"/>
      <c r="I1192" s="31"/>
    </row>
    <row r="1193" spans="1:9" s="26" customFormat="1" x14ac:dyDescent="0.35">
      <c r="A1193" s="31"/>
      <c r="B1193" s="29"/>
      <c r="C1193" s="30"/>
      <c r="D1193" s="30"/>
      <c r="E1193" s="30"/>
      <c r="F1193" s="31"/>
      <c r="G1193" s="31"/>
      <c r="H1193" s="31"/>
      <c r="I1193" s="31"/>
    </row>
    <row r="1194" spans="1:9" s="26" customFormat="1" x14ac:dyDescent="0.35">
      <c r="A1194" s="31"/>
      <c r="B1194" s="29"/>
      <c r="C1194" s="30"/>
      <c r="D1194" s="30"/>
      <c r="E1194" s="30"/>
      <c r="F1194" s="31"/>
      <c r="G1194" s="31"/>
      <c r="H1194" s="31"/>
      <c r="I1194" s="31"/>
    </row>
    <row r="1195" spans="1:9" s="26" customFormat="1" x14ac:dyDescent="0.35">
      <c r="A1195" s="31"/>
      <c r="B1195" s="29"/>
      <c r="C1195" s="30"/>
      <c r="D1195" s="30"/>
      <c r="E1195" s="30"/>
      <c r="F1195" s="31"/>
      <c r="G1195" s="31"/>
      <c r="H1195" s="31"/>
      <c r="I1195" s="31"/>
    </row>
    <row r="1196" spans="1:9" s="26" customFormat="1" x14ac:dyDescent="0.35">
      <c r="A1196" s="31"/>
      <c r="B1196" s="29"/>
      <c r="C1196" s="30"/>
      <c r="D1196" s="30"/>
      <c r="E1196" s="30"/>
      <c r="F1196" s="31"/>
      <c r="G1196" s="31"/>
      <c r="H1196" s="31"/>
      <c r="I1196" s="31"/>
    </row>
    <row r="1197" spans="1:9" s="26" customFormat="1" x14ac:dyDescent="0.35">
      <c r="A1197" s="31"/>
      <c r="B1197" s="29"/>
      <c r="C1197" s="30"/>
      <c r="D1197" s="30"/>
      <c r="E1197" s="30"/>
      <c r="F1197" s="31"/>
      <c r="G1197" s="31"/>
      <c r="H1197" s="31"/>
      <c r="I1197" s="31"/>
    </row>
    <row r="1198" spans="1:9" s="26" customFormat="1" x14ac:dyDescent="0.35">
      <c r="A1198" s="31"/>
      <c r="B1198" s="29"/>
      <c r="C1198" s="30"/>
      <c r="D1198" s="30"/>
      <c r="E1198" s="30"/>
      <c r="F1198" s="31"/>
      <c r="G1198" s="31"/>
      <c r="H1198" s="31"/>
      <c r="I1198" s="31"/>
    </row>
    <row r="1199" spans="1:9" s="26" customFormat="1" x14ac:dyDescent="0.35">
      <c r="A1199" s="31"/>
      <c r="B1199" s="29"/>
      <c r="C1199" s="30"/>
      <c r="D1199" s="30"/>
      <c r="E1199" s="30"/>
      <c r="F1199" s="31"/>
      <c r="G1199" s="31"/>
      <c r="H1199" s="31"/>
      <c r="I1199" s="31"/>
    </row>
    <row r="1200" spans="1:9" s="26" customFormat="1" x14ac:dyDescent="0.35">
      <c r="A1200" s="31"/>
      <c r="B1200" s="29"/>
      <c r="C1200" s="30"/>
      <c r="D1200" s="30"/>
      <c r="E1200" s="30"/>
      <c r="F1200" s="31"/>
      <c r="G1200" s="31"/>
      <c r="H1200" s="31"/>
      <c r="I1200" s="31"/>
    </row>
    <row r="1201" spans="1:9" s="26" customFormat="1" x14ac:dyDescent="0.35">
      <c r="A1201" s="31"/>
      <c r="B1201" s="29"/>
      <c r="C1201" s="30"/>
      <c r="D1201" s="30"/>
      <c r="E1201" s="30"/>
      <c r="F1201" s="31"/>
      <c r="G1201" s="31"/>
      <c r="H1201" s="31"/>
      <c r="I1201" s="31"/>
    </row>
    <row r="1202" spans="1:9" s="26" customFormat="1" x14ac:dyDescent="0.35">
      <c r="A1202" s="31"/>
      <c r="B1202" s="29"/>
      <c r="C1202" s="30"/>
      <c r="D1202" s="30"/>
      <c r="E1202" s="30"/>
      <c r="F1202" s="31"/>
      <c r="G1202" s="31"/>
      <c r="H1202" s="31"/>
      <c r="I1202" s="31"/>
    </row>
    <row r="1203" spans="1:9" s="26" customFormat="1" x14ac:dyDescent="0.35">
      <c r="A1203" s="31"/>
      <c r="B1203" s="29"/>
      <c r="C1203" s="30"/>
      <c r="D1203" s="30"/>
      <c r="E1203" s="30"/>
      <c r="F1203" s="31"/>
      <c r="G1203" s="31"/>
      <c r="H1203" s="31"/>
      <c r="I1203" s="31"/>
    </row>
    <row r="1204" spans="1:9" s="26" customFormat="1" x14ac:dyDescent="0.35">
      <c r="A1204" s="31"/>
      <c r="B1204" s="29"/>
      <c r="C1204" s="30"/>
      <c r="D1204" s="30"/>
      <c r="E1204" s="30"/>
      <c r="F1204" s="31"/>
      <c r="G1204" s="31"/>
      <c r="H1204" s="31"/>
      <c r="I1204" s="31"/>
    </row>
    <row r="1205" spans="1:9" s="26" customFormat="1" x14ac:dyDescent="0.35">
      <c r="A1205" s="31"/>
      <c r="B1205" s="29"/>
      <c r="C1205" s="30"/>
      <c r="D1205" s="30"/>
      <c r="E1205" s="30"/>
      <c r="F1205" s="31"/>
      <c r="G1205" s="31"/>
      <c r="H1205" s="31"/>
      <c r="I1205" s="31"/>
    </row>
    <row r="1206" spans="1:9" s="26" customFormat="1" x14ac:dyDescent="0.35">
      <c r="A1206" s="31"/>
      <c r="B1206" s="29"/>
      <c r="C1206" s="30"/>
      <c r="D1206" s="30"/>
      <c r="E1206" s="30"/>
      <c r="F1206" s="31"/>
      <c r="G1206" s="31"/>
      <c r="H1206" s="31"/>
      <c r="I1206" s="31"/>
    </row>
    <row r="1207" spans="1:9" s="26" customFormat="1" x14ac:dyDescent="0.35">
      <c r="A1207" s="31"/>
      <c r="B1207" s="29"/>
      <c r="C1207" s="30"/>
      <c r="D1207" s="30"/>
      <c r="E1207" s="30"/>
      <c r="F1207" s="31"/>
      <c r="G1207" s="31"/>
      <c r="H1207" s="31"/>
      <c r="I1207" s="31"/>
    </row>
    <row r="1208" spans="1:9" s="26" customFormat="1" x14ac:dyDescent="0.35">
      <c r="A1208" s="31"/>
      <c r="B1208" s="29"/>
      <c r="C1208" s="30"/>
      <c r="D1208" s="30"/>
      <c r="E1208" s="30"/>
      <c r="F1208" s="31"/>
      <c r="G1208" s="31"/>
      <c r="H1208" s="31"/>
      <c r="I1208" s="31"/>
    </row>
    <row r="1209" spans="1:9" s="26" customFormat="1" x14ac:dyDescent="0.35">
      <c r="A1209" s="31"/>
      <c r="B1209" s="29"/>
      <c r="C1209" s="30"/>
      <c r="D1209" s="30"/>
      <c r="E1209" s="30"/>
      <c r="F1209" s="31"/>
      <c r="G1209" s="31"/>
      <c r="H1209" s="31"/>
      <c r="I1209" s="31"/>
    </row>
    <row r="1210" spans="1:9" s="26" customFormat="1" x14ac:dyDescent="0.35">
      <c r="A1210" s="31"/>
      <c r="B1210" s="29"/>
      <c r="C1210" s="30"/>
      <c r="D1210" s="30"/>
      <c r="E1210" s="30"/>
      <c r="F1210" s="31"/>
      <c r="G1210" s="31"/>
      <c r="H1210" s="31"/>
      <c r="I1210" s="31"/>
    </row>
    <row r="1211" spans="1:9" s="26" customFormat="1" x14ac:dyDescent="0.35">
      <c r="A1211" s="31"/>
      <c r="B1211" s="29"/>
      <c r="C1211" s="30"/>
      <c r="D1211" s="30"/>
      <c r="E1211" s="30"/>
      <c r="F1211" s="31"/>
      <c r="G1211" s="31"/>
      <c r="H1211" s="31"/>
      <c r="I1211" s="31"/>
    </row>
    <row r="1212" spans="1:9" s="26" customFormat="1" x14ac:dyDescent="0.35">
      <c r="A1212" s="31"/>
      <c r="B1212" s="29"/>
      <c r="C1212" s="30"/>
      <c r="D1212" s="30"/>
      <c r="E1212" s="30"/>
      <c r="F1212" s="31"/>
      <c r="G1212" s="31"/>
      <c r="H1212" s="31"/>
      <c r="I1212" s="31"/>
    </row>
    <row r="1213" spans="1:9" s="26" customFormat="1" x14ac:dyDescent="0.35">
      <c r="A1213" s="31"/>
      <c r="B1213" s="29"/>
      <c r="C1213" s="30"/>
      <c r="D1213" s="30"/>
      <c r="E1213" s="30"/>
      <c r="F1213" s="31"/>
      <c r="G1213" s="31"/>
      <c r="H1213" s="31"/>
      <c r="I1213" s="31"/>
    </row>
    <row r="1214" spans="1:9" s="26" customFormat="1" x14ac:dyDescent="0.35">
      <c r="A1214" s="31"/>
      <c r="B1214" s="29"/>
      <c r="C1214" s="30"/>
      <c r="D1214" s="30"/>
      <c r="E1214" s="30"/>
      <c r="F1214" s="31"/>
      <c r="G1214" s="31"/>
      <c r="H1214" s="31"/>
      <c r="I1214" s="31"/>
    </row>
    <row r="1215" spans="1:9" s="26" customFormat="1" x14ac:dyDescent="0.35">
      <c r="A1215" s="31"/>
      <c r="B1215" s="29"/>
      <c r="C1215" s="30"/>
      <c r="D1215" s="30"/>
      <c r="E1215" s="30"/>
      <c r="F1215" s="31"/>
      <c r="G1215" s="31"/>
      <c r="H1215" s="31"/>
      <c r="I1215" s="31"/>
    </row>
    <row r="1216" spans="1:9" s="26" customFormat="1" x14ac:dyDescent="0.35">
      <c r="A1216" s="31"/>
      <c r="B1216" s="29"/>
      <c r="C1216" s="30"/>
      <c r="D1216" s="30"/>
      <c r="E1216" s="30"/>
      <c r="F1216" s="31"/>
      <c r="G1216" s="31"/>
      <c r="H1216" s="31"/>
      <c r="I1216" s="31"/>
    </row>
    <row r="1217" spans="1:9" s="26" customFormat="1" x14ac:dyDescent="0.35">
      <c r="A1217" s="31"/>
      <c r="B1217" s="29"/>
      <c r="C1217" s="30"/>
      <c r="D1217" s="30"/>
      <c r="E1217" s="30"/>
      <c r="F1217" s="31"/>
      <c r="G1217" s="31"/>
      <c r="H1217" s="31"/>
      <c r="I1217" s="31"/>
    </row>
    <row r="1218" spans="1:9" s="26" customFormat="1" x14ac:dyDescent="0.35">
      <c r="A1218" s="31"/>
      <c r="B1218" s="29"/>
      <c r="C1218" s="30"/>
      <c r="D1218" s="30"/>
      <c r="E1218" s="30"/>
      <c r="F1218" s="31"/>
      <c r="G1218" s="31"/>
      <c r="H1218" s="31"/>
      <c r="I1218" s="31"/>
    </row>
    <row r="1219" spans="1:9" s="26" customFormat="1" x14ac:dyDescent="0.35">
      <c r="A1219" s="31"/>
      <c r="B1219" s="29"/>
      <c r="C1219" s="30"/>
      <c r="D1219" s="30"/>
      <c r="E1219" s="30"/>
      <c r="F1219" s="31"/>
      <c r="G1219" s="31"/>
      <c r="H1219" s="31"/>
      <c r="I1219" s="31"/>
    </row>
    <row r="1220" spans="1:9" s="26" customFormat="1" x14ac:dyDescent="0.35">
      <c r="A1220" s="31"/>
      <c r="B1220" s="29"/>
      <c r="C1220" s="30"/>
      <c r="D1220" s="30"/>
      <c r="E1220" s="30"/>
      <c r="F1220" s="31"/>
      <c r="G1220" s="31"/>
      <c r="H1220" s="31"/>
      <c r="I1220" s="31"/>
    </row>
    <row r="1221" spans="1:9" s="26" customFormat="1" x14ac:dyDescent="0.35">
      <c r="A1221" s="31"/>
      <c r="B1221" s="29"/>
      <c r="C1221" s="30"/>
      <c r="D1221" s="30"/>
      <c r="E1221" s="30"/>
      <c r="F1221" s="31"/>
      <c r="G1221" s="31"/>
      <c r="H1221" s="31"/>
      <c r="I1221" s="31"/>
    </row>
    <row r="1222" spans="1:9" s="26" customFormat="1" x14ac:dyDescent="0.35">
      <c r="A1222" s="31"/>
      <c r="B1222" s="29"/>
      <c r="C1222" s="30"/>
      <c r="D1222" s="30"/>
      <c r="E1222" s="30"/>
      <c r="F1222" s="31"/>
      <c r="G1222" s="31"/>
      <c r="H1222" s="31"/>
      <c r="I1222" s="31"/>
    </row>
    <row r="1223" spans="1:9" s="26" customFormat="1" x14ac:dyDescent="0.35">
      <c r="A1223" s="31"/>
      <c r="B1223" s="29"/>
      <c r="C1223" s="30"/>
      <c r="D1223" s="30"/>
      <c r="E1223" s="30"/>
      <c r="F1223" s="31"/>
      <c r="G1223" s="31"/>
      <c r="H1223" s="31"/>
      <c r="I1223" s="31"/>
    </row>
    <row r="1224" spans="1:9" s="26" customFormat="1" x14ac:dyDescent="0.35">
      <c r="A1224" s="31"/>
      <c r="B1224" s="29"/>
      <c r="C1224" s="30"/>
      <c r="D1224" s="30"/>
      <c r="E1224" s="30"/>
      <c r="F1224" s="31"/>
      <c r="G1224" s="31"/>
      <c r="H1224" s="31"/>
      <c r="I1224" s="31"/>
    </row>
    <row r="1225" spans="1:9" s="26" customFormat="1" x14ac:dyDescent="0.35">
      <c r="A1225" s="31"/>
      <c r="B1225" s="29"/>
      <c r="C1225" s="30"/>
      <c r="D1225" s="30"/>
      <c r="E1225" s="30"/>
      <c r="F1225" s="31"/>
      <c r="G1225" s="31"/>
      <c r="H1225" s="31"/>
      <c r="I1225" s="31"/>
    </row>
    <row r="1226" spans="1:9" s="26" customFormat="1" x14ac:dyDescent="0.35">
      <c r="A1226" s="31"/>
      <c r="B1226" s="29"/>
      <c r="C1226" s="30"/>
      <c r="D1226" s="30"/>
      <c r="E1226" s="30"/>
      <c r="F1226" s="31"/>
      <c r="G1226" s="31"/>
      <c r="H1226" s="31"/>
      <c r="I1226" s="31"/>
    </row>
    <row r="1227" spans="1:9" s="26" customFormat="1" x14ac:dyDescent="0.35">
      <c r="A1227" s="31"/>
      <c r="B1227" s="29"/>
      <c r="C1227" s="30"/>
      <c r="D1227" s="30"/>
      <c r="E1227" s="30"/>
      <c r="F1227" s="31"/>
      <c r="G1227" s="31"/>
      <c r="H1227" s="31"/>
      <c r="I1227" s="31"/>
    </row>
    <row r="1228" spans="1:9" s="26" customFormat="1" x14ac:dyDescent="0.35">
      <c r="A1228" s="31"/>
      <c r="B1228" s="29"/>
      <c r="C1228" s="30"/>
      <c r="D1228" s="30"/>
      <c r="E1228" s="30"/>
      <c r="F1228" s="31"/>
      <c r="G1228" s="31"/>
      <c r="H1228" s="31"/>
      <c r="I1228" s="31"/>
    </row>
    <row r="1229" spans="1:9" s="26" customFormat="1" x14ac:dyDescent="0.35">
      <c r="A1229" s="31"/>
      <c r="B1229" s="29"/>
      <c r="C1229" s="30"/>
      <c r="D1229" s="30"/>
      <c r="E1229" s="30"/>
      <c r="F1229" s="31"/>
      <c r="G1229" s="31"/>
      <c r="H1229" s="31"/>
      <c r="I1229" s="31"/>
    </row>
    <row r="1230" spans="1:9" s="26" customFormat="1" x14ac:dyDescent="0.35">
      <c r="A1230" s="31"/>
      <c r="B1230" s="29"/>
      <c r="C1230" s="30"/>
      <c r="D1230" s="30"/>
      <c r="E1230" s="30"/>
      <c r="F1230" s="31"/>
      <c r="G1230" s="31"/>
      <c r="H1230" s="31"/>
      <c r="I1230" s="31"/>
    </row>
    <row r="1231" spans="1:9" s="26" customFormat="1" x14ac:dyDescent="0.35">
      <c r="A1231" s="31"/>
      <c r="B1231" s="29"/>
      <c r="C1231" s="30"/>
      <c r="D1231" s="30"/>
      <c r="E1231" s="30"/>
      <c r="F1231" s="31"/>
      <c r="G1231" s="31"/>
      <c r="H1231" s="31"/>
      <c r="I1231" s="31"/>
    </row>
    <row r="1232" spans="1:9" s="26" customFormat="1" x14ac:dyDescent="0.35">
      <c r="A1232" s="31"/>
      <c r="B1232" s="29"/>
      <c r="C1232" s="30"/>
      <c r="D1232" s="30"/>
      <c r="E1232" s="30"/>
      <c r="F1232" s="31"/>
      <c r="G1232" s="31"/>
      <c r="H1232" s="31"/>
      <c r="I1232" s="31"/>
    </row>
    <row r="1233" spans="1:9" s="26" customFormat="1" x14ac:dyDescent="0.35">
      <c r="A1233" s="31"/>
      <c r="B1233" s="29"/>
      <c r="C1233" s="30"/>
      <c r="D1233" s="30"/>
      <c r="E1233" s="30"/>
      <c r="F1233" s="31"/>
      <c r="G1233" s="31"/>
      <c r="H1233" s="31"/>
      <c r="I1233" s="31"/>
    </row>
    <row r="1234" spans="1:9" s="26" customFormat="1" x14ac:dyDescent="0.35">
      <c r="A1234" s="31"/>
      <c r="B1234" s="29"/>
      <c r="C1234" s="30"/>
      <c r="D1234" s="30"/>
      <c r="E1234" s="30"/>
      <c r="F1234" s="31"/>
      <c r="G1234" s="31"/>
      <c r="H1234" s="31"/>
      <c r="I1234" s="31"/>
    </row>
    <row r="1235" spans="1:9" s="26" customFormat="1" x14ac:dyDescent="0.35">
      <c r="A1235" s="31"/>
      <c r="B1235" s="29"/>
      <c r="C1235" s="30"/>
      <c r="D1235" s="30"/>
      <c r="E1235" s="30"/>
      <c r="F1235" s="31"/>
      <c r="G1235" s="31"/>
      <c r="H1235" s="31"/>
      <c r="I1235" s="31"/>
    </row>
    <row r="1236" spans="1:9" s="26" customFormat="1" x14ac:dyDescent="0.35">
      <c r="A1236" s="31"/>
      <c r="B1236" s="29"/>
      <c r="C1236" s="30"/>
      <c r="D1236" s="30"/>
      <c r="E1236" s="30"/>
      <c r="F1236" s="31"/>
      <c r="G1236" s="31"/>
      <c r="H1236" s="31"/>
      <c r="I1236" s="31"/>
    </row>
    <row r="1237" spans="1:9" s="26" customFormat="1" x14ac:dyDescent="0.35">
      <c r="A1237" s="31"/>
      <c r="B1237" s="29"/>
      <c r="C1237" s="30"/>
      <c r="D1237" s="30"/>
      <c r="E1237" s="30"/>
      <c r="F1237" s="31"/>
      <c r="G1237" s="31"/>
      <c r="H1237" s="31"/>
      <c r="I1237" s="31"/>
    </row>
    <row r="1238" spans="1:9" s="26" customFormat="1" x14ac:dyDescent="0.35">
      <c r="A1238" s="31"/>
      <c r="B1238" s="29"/>
      <c r="C1238" s="30"/>
      <c r="D1238" s="30"/>
      <c r="E1238" s="30"/>
      <c r="F1238" s="31"/>
      <c r="G1238" s="31"/>
      <c r="H1238" s="31"/>
      <c r="I1238" s="31"/>
    </row>
    <row r="1239" spans="1:9" s="26" customFormat="1" x14ac:dyDescent="0.35">
      <c r="A1239" s="31"/>
      <c r="B1239" s="29"/>
      <c r="C1239" s="30"/>
      <c r="D1239" s="30"/>
      <c r="E1239" s="30"/>
      <c r="F1239" s="31"/>
      <c r="G1239" s="31"/>
      <c r="H1239" s="31"/>
      <c r="I1239" s="31"/>
    </row>
    <row r="1240" spans="1:9" s="26" customFormat="1" x14ac:dyDescent="0.35">
      <c r="A1240" s="31"/>
      <c r="B1240" s="29"/>
      <c r="C1240" s="30"/>
      <c r="D1240" s="30"/>
      <c r="E1240" s="30"/>
      <c r="F1240" s="31"/>
      <c r="G1240" s="31"/>
      <c r="H1240" s="31"/>
      <c r="I1240" s="31"/>
    </row>
    <row r="1241" spans="1:9" s="26" customFormat="1" x14ac:dyDescent="0.35">
      <c r="A1241" s="31"/>
      <c r="B1241" s="29"/>
      <c r="C1241" s="30"/>
      <c r="D1241" s="30"/>
      <c r="E1241" s="30"/>
      <c r="F1241" s="31"/>
      <c r="G1241" s="31"/>
      <c r="H1241" s="31"/>
      <c r="I1241" s="31"/>
    </row>
    <row r="1242" spans="1:9" s="26" customFormat="1" x14ac:dyDescent="0.35">
      <c r="A1242" s="31"/>
      <c r="B1242" s="29"/>
      <c r="C1242" s="30"/>
      <c r="D1242" s="30"/>
      <c r="E1242" s="30"/>
      <c r="F1242" s="31"/>
      <c r="G1242" s="31"/>
      <c r="H1242" s="31"/>
      <c r="I1242" s="31"/>
    </row>
    <row r="1243" spans="1:9" s="26" customFormat="1" x14ac:dyDescent="0.35">
      <c r="A1243" s="31"/>
      <c r="B1243" s="29"/>
      <c r="C1243" s="30"/>
      <c r="D1243" s="30"/>
      <c r="E1243" s="30"/>
      <c r="F1243" s="31"/>
      <c r="G1243" s="31"/>
      <c r="H1243" s="31"/>
      <c r="I1243" s="31"/>
    </row>
    <row r="1244" spans="1:9" s="26" customFormat="1" x14ac:dyDescent="0.35">
      <c r="A1244" s="31"/>
      <c r="B1244" s="29"/>
      <c r="C1244" s="30"/>
      <c r="D1244" s="30"/>
      <c r="E1244" s="30"/>
      <c r="F1244" s="31"/>
      <c r="G1244" s="31"/>
      <c r="H1244" s="31"/>
      <c r="I1244" s="31"/>
    </row>
    <row r="1245" spans="1:9" s="26" customFormat="1" x14ac:dyDescent="0.35">
      <c r="A1245" s="31"/>
      <c r="B1245" s="29"/>
      <c r="C1245" s="30"/>
      <c r="D1245" s="30"/>
      <c r="E1245" s="30"/>
      <c r="F1245" s="31"/>
      <c r="G1245" s="31"/>
      <c r="H1245" s="31"/>
      <c r="I1245" s="31"/>
    </row>
    <row r="1246" spans="1:9" s="26" customFormat="1" x14ac:dyDescent="0.35">
      <c r="A1246" s="31"/>
      <c r="B1246" s="29"/>
      <c r="C1246" s="30"/>
      <c r="D1246" s="30"/>
      <c r="E1246" s="30"/>
      <c r="F1246" s="31"/>
      <c r="G1246" s="31"/>
      <c r="H1246" s="31"/>
      <c r="I1246" s="31"/>
    </row>
    <row r="1247" spans="1:9" s="26" customFormat="1" x14ac:dyDescent="0.35">
      <c r="A1247" s="31"/>
      <c r="B1247" s="29"/>
      <c r="C1247" s="30"/>
      <c r="D1247" s="30"/>
      <c r="E1247" s="30"/>
      <c r="F1247" s="31"/>
      <c r="G1247" s="31"/>
      <c r="H1247" s="31"/>
      <c r="I1247" s="31"/>
    </row>
    <row r="1248" spans="1:9" s="26" customFormat="1" x14ac:dyDescent="0.35">
      <c r="A1248" s="31"/>
      <c r="B1248" s="29"/>
      <c r="C1248" s="30"/>
      <c r="D1248" s="30"/>
      <c r="E1248" s="30"/>
      <c r="F1248" s="31"/>
      <c r="G1248" s="31"/>
      <c r="H1248" s="31"/>
      <c r="I1248" s="31"/>
    </row>
    <row r="1249" spans="1:9" s="26" customFormat="1" x14ac:dyDescent="0.35">
      <c r="A1249" s="31"/>
      <c r="B1249" s="29"/>
      <c r="C1249" s="30"/>
      <c r="D1249" s="30"/>
      <c r="E1249" s="30"/>
      <c r="F1249" s="31"/>
      <c r="G1249" s="31"/>
      <c r="H1249" s="31"/>
      <c r="I1249" s="31"/>
    </row>
    <row r="1250" spans="1:9" s="26" customFormat="1" x14ac:dyDescent="0.35">
      <c r="A1250" s="31"/>
      <c r="B1250" s="29"/>
      <c r="C1250" s="30"/>
      <c r="D1250" s="30"/>
      <c r="E1250" s="30"/>
      <c r="F1250" s="31"/>
      <c r="G1250" s="31"/>
      <c r="H1250" s="31"/>
      <c r="I1250" s="31"/>
    </row>
    <row r="1251" spans="1:9" s="26" customFormat="1" x14ac:dyDescent="0.35">
      <c r="A1251" s="31"/>
      <c r="B1251" s="29"/>
      <c r="C1251" s="30"/>
      <c r="D1251" s="30"/>
      <c r="E1251" s="30"/>
      <c r="F1251" s="31"/>
      <c r="G1251" s="31"/>
      <c r="H1251" s="31"/>
      <c r="I1251" s="31"/>
    </row>
    <row r="1252" spans="1:9" s="26" customFormat="1" x14ac:dyDescent="0.35">
      <c r="A1252" s="31"/>
      <c r="B1252" s="29"/>
      <c r="C1252" s="30"/>
      <c r="D1252" s="30"/>
      <c r="E1252" s="30"/>
      <c r="F1252" s="31"/>
      <c r="G1252" s="31"/>
      <c r="H1252" s="31"/>
      <c r="I1252" s="31"/>
    </row>
    <row r="1253" spans="1:9" s="26" customFormat="1" x14ac:dyDescent="0.35">
      <c r="A1253" s="31"/>
      <c r="B1253" s="29"/>
      <c r="C1253" s="30"/>
      <c r="D1253" s="30"/>
      <c r="E1253" s="30"/>
      <c r="F1253" s="31"/>
      <c r="G1253" s="31"/>
      <c r="H1253" s="31"/>
      <c r="I1253" s="31"/>
    </row>
    <row r="1254" spans="1:9" s="26" customFormat="1" x14ac:dyDescent="0.35">
      <c r="A1254" s="31"/>
      <c r="B1254" s="29"/>
      <c r="C1254" s="30"/>
      <c r="D1254" s="30"/>
      <c r="E1254" s="30"/>
      <c r="F1254" s="31"/>
      <c r="G1254" s="31"/>
      <c r="H1254" s="31"/>
      <c r="I1254" s="31"/>
    </row>
    <row r="1255" spans="1:9" s="26" customFormat="1" x14ac:dyDescent="0.35">
      <c r="A1255" s="31"/>
      <c r="B1255" s="29"/>
      <c r="C1255" s="30"/>
      <c r="D1255" s="30"/>
      <c r="E1255" s="30"/>
      <c r="F1255" s="31"/>
      <c r="G1255" s="31"/>
      <c r="H1255" s="31"/>
      <c r="I1255" s="31"/>
    </row>
    <row r="1256" spans="1:9" s="26" customFormat="1" x14ac:dyDescent="0.35">
      <c r="A1256" s="31"/>
      <c r="B1256" s="29"/>
      <c r="C1256" s="30"/>
      <c r="D1256" s="30"/>
      <c r="E1256" s="30"/>
      <c r="F1256" s="31"/>
      <c r="G1256" s="31"/>
      <c r="H1256" s="31"/>
      <c r="I1256" s="31"/>
    </row>
    <row r="1257" spans="1:9" s="26" customFormat="1" x14ac:dyDescent="0.35">
      <c r="A1257" s="31"/>
      <c r="B1257" s="29"/>
      <c r="C1257" s="30"/>
      <c r="D1257" s="30"/>
      <c r="E1257" s="30"/>
      <c r="F1257" s="31"/>
      <c r="G1257" s="31"/>
      <c r="H1257" s="31"/>
      <c r="I1257" s="31"/>
    </row>
    <row r="1258" spans="1:9" s="26" customFormat="1" x14ac:dyDescent="0.35">
      <c r="A1258" s="31"/>
      <c r="B1258" s="29"/>
      <c r="C1258" s="30"/>
      <c r="D1258" s="30"/>
      <c r="E1258" s="30"/>
      <c r="F1258" s="31"/>
      <c r="G1258" s="31"/>
      <c r="H1258" s="31"/>
      <c r="I1258" s="31"/>
    </row>
    <row r="1259" spans="1:9" s="26" customFormat="1" x14ac:dyDescent="0.35">
      <c r="A1259" s="31"/>
      <c r="B1259" s="29"/>
      <c r="C1259" s="30"/>
      <c r="D1259" s="30"/>
      <c r="E1259" s="30"/>
      <c r="F1259" s="31"/>
      <c r="G1259" s="31"/>
      <c r="H1259" s="31"/>
      <c r="I1259" s="31"/>
    </row>
    <row r="1260" spans="1:9" s="26" customFormat="1" x14ac:dyDescent="0.35">
      <c r="A1260" s="31"/>
      <c r="B1260" s="29"/>
      <c r="C1260" s="30"/>
      <c r="D1260" s="30"/>
      <c r="E1260" s="30"/>
      <c r="F1260" s="31"/>
      <c r="G1260" s="31"/>
      <c r="H1260" s="31"/>
      <c r="I1260" s="31"/>
    </row>
    <row r="1261" spans="1:9" s="26" customFormat="1" x14ac:dyDescent="0.35">
      <c r="A1261" s="31"/>
      <c r="B1261" s="29"/>
      <c r="C1261" s="30"/>
      <c r="D1261" s="30"/>
      <c r="E1261" s="30"/>
      <c r="F1261" s="31"/>
      <c r="G1261" s="31"/>
      <c r="H1261" s="31"/>
      <c r="I1261" s="31"/>
    </row>
    <row r="1262" spans="1:9" s="26" customFormat="1" x14ac:dyDescent="0.35">
      <c r="A1262" s="31"/>
      <c r="B1262" s="29"/>
      <c r="C1262" s="30"/>
      <c r="D1262" s="30"/>
      <c r="E1262" s="30"/>
      <c r="F1262" s="31"/>
      <c r="G1262" s="31"/>
      <c r="H1262" s="31"/>
      <c r="I1262" s="31"/>
    </row>
    <row r="1263" spans="1:9" s="26" customFormat="1" x14ac:dyDescent="0.35">
      <c r="A1263" s="31"/>
      <c r="B1263" s="29"/>
      <c r="C1263" s="30"/>
      <c r="D1263" s="30"/>
      <c r="E1263" s="30"/>
      <c r="F1263" s="31"/>
      <c r="G1263" s="31"/>
      <c r="H1263" s="31"/>
      <c r="I1263" s="31"/>
    </row>
    <row r="1264" spans="1:9" s="26" customFormat="1" x14ac:dyDescent="0.35">
      <c r="A1264" s="31"/>
      <c r="B1264" s="29"/>
      <c r="C1264" s="30"/>
      <c r="D1264" s="30"/>
      <c r="E1264" s="30"/>
      <c r="F1264" s="31"/>
      <c r="G1264" s="31"/>
      <c r="H1264" s="31"/>
      <c r="I1264" s="31"/>
    </row>
    <row r="1265" spans="1:9" s="26" customFormat="1" x14ac:dyDescent="0.35">
      <c r="A1265" s="31"/>
      <c r="B1265" s="29"/>
      <c r="C1265" s="30"/>
      <c r="D1265" s="30"/>
      <c r="E1265" s="30"/>
      <c r="F1265" s="31"/>
      <c r="G1265" s="31"/>
      <c r="H1265" s="31"/>
      <c r="I1265" s="31"/>
    </row>
    <row r="1266" spans="1:9" s="26" customFormat="1" x14ac:dyDescent="0.35">
      <c r="A1266" s="31"/>
      <c r="B1266" s="29"/>
      <c r="C1266" s="30"/>
      <c r="D1266" s="30"/>
      <c r="E1266" s="30"/>
      <c r="F1266" s="31"/>
      <c r="G1266" s="31"/>
      <c r="H1266" s="31"/>
      <c r="I1266" s="31"/>
    </row>
    <row r="1267" spans="1:9" s="26" customFormat="1" x14ac:dyDescent="0.35">
      <c r="A1267" s="31"/>
      <c r="B1267" s="29"/>
      <c r="C1267" s="30"/>
      <c r="D1267" s="30"/>
      <c r="E1267" s="30"/>
      <c r="F1267" s="31"/>
      <c r="G1267" s="31"/>
      <c r="H1267" s="31"/>
      <c r="I1267" s="31"/>
    </row>
    <row r="1268" spans="1:9" s="26" customFormat="1" x14ac:dyDescent="0.35">
      <c r="A1268" s="31"/>
      <c r="B1268" s="29"/>
      <c r="C1268" s="30"/>
      <c r="D1268" s="30"/>
      <c r="E1268" s="30"/>
      <c r="F1268" s="31"/>
      <c r="G1268" s="31"/>
      <c r="H1268" s="31"/>
      <c r="I1268" s="31"/>
    </row>
    <row r="1269" spans="1:9" s="26" customFormat="1" x14ac:dyDescent="0.35">
      <c r="A1269" s="31"/>
      <c r="B1269" s="29"/>
      <c r="C1269" s="30"/>
      <c r="D1269" s="30"/>
      <c r="E1269" s="30"/>
      <c r="F1269" s="31"/>
      <c r="G1269" s="31"/>
      <c r="H1269" s="31"/>
      <c r="I1269" s="31"/>
    </row>
    <row r="1270" spans="1:9" s="26" customFormat="1" x14ac:dyDescent="0.35">
      <c r="A1270" s="31"/>
      <c r="B1270" s="29"/>
      <c r="C1270" s="30"/>
      <c r="D1270" s="30"/>
      <c r="E1270" s="30"/>
      <c r="F1270" s="31"/>
      <c r="G1270" s="31"/>
      <c r="H1270" s="31"/>
      <c r="I1270" s="31"/>
    </row>
    <row r="1271" spans="1:9" s="26" customFormat="1" x14ac:dyDescent="0.35">
      <c r="A1271" s="31"/>
      <c r="B1271" s="29"/>
      <c r="C1271" s="30"/>
      <c r="D1271" s="30"/>
      <c r="E1271" s="30"/>
      <c r="F1271" s="31"/>
      <c r="G1271" s="31"/>
      <c r="H1271" s="31"/>
      <c r="I1271" s="31"/>
    </row>
    <row r="1272" spans="1:9" s="26" customFormat="1" x14ac:dyDescent="0.35">
      <c r="A1272" s="31"/>
      <c r="B1272" s="29"/>
      <c r="C1272" s="30"/>
      <c r="D1272" s="30"/>
      <c r="E1272" s="30"/>
      <c r="F1272" s="31"/>
      <c r="G1272" s="31"/>
      <c r="H1272" s="31"/>
      <c r="I1272" s="31"/>
    </row>
    <row r="1273" spans="1:9" s="26" customFormat="1" x14ac:dyDescent="0.35">
      <c r="A1273" s="31"/>
      <c r="B1273" s="29"/>
      <c r="C1273" s="30"/>
      <c r="D1273" s="30"/>
      <c r="E1273" s="30"/>
      <c r="F1273" s="31"/>
      <c r="G1273" s="31"/>
      <c r="H1273" s="31"/>
      <c r="I1273" s="31"/>
    </row>
    <row r="1274" spans="1:9" s="26" customFormat="1" x14ac:dyDescent="0.35">
      <c r="A1274" s="31"/>
      <c r="B1274" s="29"/>
      <c r="C1274" s="30"/>
      <c r="D1274" s="30"/>
      <c r="E1274" s="30"/>
      <c r="F1274" s="31"/>
      <c r="G1274" s="31"/>
      <c r="H1274" s="31"/>
      <c r="I1274" s="31"/>
    </row>
    <row r="1275" spans="1:9" s="26" customFormat="1" x14ac:dyDescent="0.35">
      <c r="A1275" s="31"/>
      <c r="B1275" s="29"/>
      <c r="C1275" s="30"/>
      <c r="D1275" s="30"/>
      <c r="E1275" s="30"/>
      <c r="F1275" s="31"/>
      <c r="G1275" s="31"/>
      <c r="H1275" s="31"/>
      <c r="I1275" s="31"/>
    </row>
    <row r="1276" spans="1:9" s="26" customFormat="1" x14ac:dyDescent="0.35">
      <c r="A1276" s="31"/>
      <c r="B1276" s="29"/>
      <c r="C1276" s="30"/>
      <c r="D1276" s="30"/>
      <c r="E1276" s="30"/>
      <c r="F1276" s="31"/>
      <c r="G1276" s="31"/>
      <c r="H1276" s="31"/>
      <c r="I1276" s="31"/>
    </row>
    <row r="1277" spans="1:9" s="26" customFormat="1" x14ac:dyDescent="0.35">
      <c r="A1277" s="31"/>
      <c r="B1277" s="29"/>
      <c r="C1277" s="30"/>
      <c r="D1277" s="30"/>
      <c r="E1277" s="30"/>
      <c r="F1277" s="31"/>
      <c r="G1277" s="31"/>
      <c r="H1277" s="31"/>
      <c r="I1277" s="31"/>
    </row>
    <row r="1278" spans="1:9" s="26" customFormat="1" x14ac:dyDescent="0.35">
      <c r="A1278" s="31"/>
      <c r="B1278" s="29"/>
      <c r="C1278" s="30"/>
      <c r="D1278" s="30"/>
      <c r="E1278" s="30"/>
      <c r="F1278" s="31"/>
      <c r="G1278" s="31"/>
      <c r="H1278" s="31"/>
      <c r="I1278" s="31"/>
    </row>
    <row r="1279" spans="1:9" s="26" customFormat="1" x14ac:dyDescent="0.35">
      <c r="A1279" s="31"/>
      <c r="B1279" s="29"/>
      <c r="C1279" s="30"/>
      <c r="D1279" s="30"/>
      <c r="E1279" s="30"/>
      <c r="F1279" s="31"/>
      <c r="G1279" s="31"/>
      <c r="H1279" s="31"/>
      <c r="I1279" s="31"/>
    </row>
    <row r="1280" spans="1:9" s="26" customFormat="1" x14ac:dyDescent="0.35">
      <c r="A1280" s="31"/>
      <c r="B1280" s="29"/>
      <c r="C1280" s="30"/>
      <c r="D1280" s="30"/>
      <c r="E1280" s="30"/>
      <c r="F1280" s="31"/>
      <c r="G1280" s="31"/>
      <c r="H1280" s="31"/>
      <c r="I1280" s="31"/>
    </row>
    <row r="1281" spans="1:9" s="26" customFormat="1" x14ac:dyDescent="0.35">
      <c r="A1281" s="31"/>
      <c r="B1281" s="29"/>
      <c r="C1281" s="30"/>
      <c r="D1281" s="30"/>
      <c r="E1281" s="30"/>
      <c r="F1281" s="31"/>
      <c r="G1281" s="31"/>
      <c r="H1281" s="31"/>
      <c r="I1281" s="31"/>
    </row>
    <row r="1282" spans="1:9" s="26" customFormat="1" x14ac:dyDescent="0.35">
      <c r="A1282" s="31"/>
      <c r="B1282" s="29"/>
      <c r="C1282" s="30"/>
      <c r="D1282" s="30"/>
      <c r="E1282" s="30"/>
      <c r="F1282" s="31"/>
      <c r="G1282" s="31"/>
      <c r="H1282" s="31"/>
      <c r="I1282" s="31"/>
    </row>
    <row r="1283" spans="1:9" s="26" customFormat="1" x14ac:dyDescent="0.35">
      <c r="A1283" s="31"/>
      <c r="B1283" s="29"/>
      <c r="C1283" s="30"/>
      <c r="D1283" s="30"/>
      <c r="E1283" s="30"/>
      <c r="F1283" s="31"/>
      <c r="G1283" s="31"/>
      <c r="H1283" s="31"/>
      <c r="I1283" s="31"/>
    </row>
    <row r="1284" spans="1:9" s="26" customFormat="1" x14ac:dyDescent="0.35">
      <c r="A1284" s="31"/>
      <c r="B1284" s="29"/>
      <c r="C1284" s="30"/>
      <c r="D1284" s="30"/>
      <c r="E1284" s="30"/>
      <c r="F1284" s="31"/>
      <c r="G1284" s="31"/>
      <c r="H1284" s="31"/>
      <c r="I1284" s="31"/>
    </row>
    <row r="1285" spans="1:9" s="26" customFormat="1" x14ac:dyDescent="0.35">
      <c r="A1285" s="31"/>
      <c r="B1285" s="29"/>
      <c r="C1285" s="30"/>
      <c r="D1285" s="30"/>
      <c r="E1285" s="30"/>
      <c r="F1285" s="31"/>
      <c r="G1285" s="31"/>
      <c r="H1285" s="31"/>
      <c r="I1285" s="31"/>
    </row>
    <row r="1286" spans="1:9" s="26" customFormat="1" x14ac:dyDescent="0.35">
      <c r="A1286" s="31"/>
      <c r="B1286" s="29"/>
      <c r="C1286" s="30"/>
      <c r="D1286" s="30"/>
      <c r="E1286" s="30"/>
      <c r="F1286" s="31"/>
      <c r="G1286" s="31"/>
      <c r="H1286" s="31"/>
      <c r="I1286" s="31"/>
    </row>
    <row r="1287" spans="1:9" s="26" customFormat="1" x14ac:dyDescent="0.35">
      <c r="A1287" s="31"/>
      <c r="B1287" s="29"/>
      <c r="C1287" s="30"/>
      <c r="D1287" s="30"/>
      <c r="E1287" s="30"/>
      <c r="F1287" s="31"/>
      <c r="G1287" s="31"/>
      <c r="H1287" s="31"/>
      <c r="I1287" s="31"/>
    </row>
    <row r="1288" spans="1:9" s="26" customFormat="1" x14ac:dyDescent="0.35">
      <c r="A1288" s="31"/>
      <c r="B1288" s="29"/>
      <c r="C1288" s="30"/>
      <c r="D1288" s="30"/>
      <c r="E1288" s="30"/>
      <c r="F1288" s="31"/>
      <c r="G1288" s="31"/>
      <c r="H1288" s="31"/>
      <c r="I1288" s="31"/>
    </row>
    <row r="1289" spans="1:9" s="26" customFormat="1" x14ac:dyDescent="0.35">
      <c r="A1289" s="31"/>
      <c r="B1289" s="29"/>
      <c r="C1289" s="30"/>
      <c r="D1289" s="30"/>
      <c r="E1289" s="30"/>
      <c r="F1289" s="31"/>
      <c r="G1289" s="31"/>
      <c r="H1289" s="31"/>
      <c r="I1289" s="31"/>
    </row>
    <row r="1290" spans="1:9" s="26" customFormat="1" x14ac:dyDescent="0.35">
      <c r="A1290" s="31"/>
      <c r="B1290" s="29"/>
      <c r="C1290" s="30"/>
      <c r="D1290" s="30"/>
      <c r="E1290" s="30"/>
      <c r="F1290" s="31"/>
      <c r="G1290" s="31"/>
      <c r="H1290" s="31"/>
      <c r="I1290" s="31"/>
    </row>
    <row r="1291" spans="1:9" s="26" customFormat="1" x14ac:dyDescent="0.35">
      <c r="A1291" s="31"/>
      <c r="B1291" s="29"/>
      <c r="C1291" s="30"/>
      <c r="D1291" s="30"/>
      <c r="E1291" s="30"/>
      <c r="F1291" s="31"/>
      <c r="G1291" s="31"/>
      <c r="H1291" s="31"/>
      <c r="I1291" s="31"/>
    </row>
    <row r="1292" spans="1:9" s="26" customFormat="1" x14ac:dyDescent="0.35">
      <c r="A1292" s="31"/>
      <c r="B1292" s="29"/>
      <c r="C1292" s="30"/>
      <c r="D1292" s="30"/>
      <c r="E1292" s="30"/>
      <c r="F1292" s="31"/>
      <c r="G1292" s="31"/>
      <c r="H1292" s="31"/>
      <c r="I1292" s="31"/>
    </row>
    <row r="1293" spans="1:9" s="26" customFormat="1" x14ac:dyDescent="0.35">
      <c r="A1293" s="31"/>
      <c r="B1293" s="29"/>
      <c r="C1293" s="30"/>
      <c r="D1293" s="30"/>
      <c r="E1293" s="30"/>
      <c r="F1293" s="31"/>
      <c r="G1293" s="31"/>
      <c r="H1293" s="31"/>
      <c r="I1293" s="31"/>
    </row>
    <row r="1294" spans="1:9" s="26" customFormat="1" x14ac:dyDescent="0.35">
      <c r="A1294" s="31"/>
      <c r="B1294" s="29"/>
      <c r="C1294" s="30"/>
      <c r="D1294" s="30"/>
      <c r="E1294" s="30"/>
      <c r="F1294" s="31"/>
      <c r="G1294" s="31"/>
      <c r="H1294" s="31"/>
      <c r="I1294" s="31"/>
    </row>
    <row r="1295" spans="1:9" s="26" customFormat="1" x14ac:dyDescent="0.35">
      <c r="A1295" s="31"/>
      <c r="B1295" s="29"/>
      <c r="C1295" s="30"/>
      <c r="D1295" s="30"/>
      <c r="E1295" s="30"/>
      <c r="F1295" s="31"/>
      <c r="G1295" s="31"/>
      <c r="H1295" s="31"/>
      <c r="I1295" s="31"/>
    </row>
    <row r="1296" spans="1:9" s="26" customFormat="1" x14ac:dyDescent="0.35">
      <c r="A1296" s="31"/>
      <c r="B1296" s="29"/>
      <c r="C1296" s="30"/>
      <c r="D1296" s="30"/>
      <c r="E1296" s="30"/>
      <c r="F1296" s="31"/>
      <c r="G1296" s="31"/>
      <c r="H1296" s="31"/>
      <c r="I1296" s="31"/>
    </row>
    <row r="1297" spans="1:9" s="26" customFormat="1" x14ac:dyDescent="0.35">
      <c r="A1297" s="31"/>
      <c r="B1297" s="29"/>
      <c r="C1297" s="30"/>
      <c r="D1297" s="30"/>
      <c r="E1297" s="30"/>
      <c r="F1297" s="31"/>
      <c r="G1297" s="31"/>
      <c r="H1297" s="31"/>
      <c r="I1297" s="31"/>
    </row>
    <row r="1298" spans="1:9" s="26" customFormat="1" x14ac:dyDescent="0.35">
      <c r="A1298" s="31"/>
      <c r="B1298" s="29"/>
      <c r="C1298" s="30"/>
      <c r="D1298" s="30"/>
      <c r="E1298" s="30"/>
      <c r="F1298" s="31"/>
      <c r="G1298" s="31"/>
      <c r="H1298" s="31"/>
      <c r="I1298" s="31"/>
    </row>
    <row r="1299" spans="1:9" s="26" customFormat="1" x14ac:dyDescent="0.35">
      <c r="A1299" s="31"/>
      <c r="B1299" s="29"/>
      <c r="C1299" s="30"/>
      <c r="D1299" s="30"/>
      <c r="E1299" s="30"/>
      <c r="F1299" s="31"/>
      <c r="G1299" s="31"/>
      <c r="H1299" s="31"/>
      <c r="I1299" s="31"/>
    </row>
    <row r="1300" spans="1:9" s="26" customFormat="1" x14ac:dyDescent="0.35">
      <c r="A1300" s="31"/>
      <c r="B1300" s="29"/>
      <c r="C1300" s="30"/>
      <c r="D1300" s="30"/>
      <c r="E1300" s="30"/>
      <c r="F1300" s="31"/>
      <c r="G1300" s="31"/>
      <c r="H1300" s="31"/>
      <c r="I1300" s="31"/>
    </row>
    <row r="1301" spans="1:9" s="26" customFormat="1" x14ac:dyDescent="0.35">
      <c r="A1301" s="31"/>
      <c r="B1301" s="29"/>
      <c r="C1301" s="30"/>
      <c r="D1301" s="30"/>
      <c r="E1301" s="30"/>
      <c r="F1301" s="31"/>
      <c r="G1301" s="31"/>
      <c r="H1301" s="31"/>
      <c r="I1301" s="31"/>
    </row>
    <row r="1302" spans="1:9" s="26" customFormat="1" x14ac:dyDescent="0.35">
      <c r="A1302" s="31"/>
      <c r="B1302" s="29"/>
      <c r="C1302" s="30"/>
      <c r="D1302" s="30"/>
      <c r="E1302" s="30"/>
      <c r="F1302" s="31"/>
      <c r="G1302" s="31"/>
      <c r="H1302" s="31"/>
      <c r="I1302" s="31"/>
    </row>
    <row r="1303" spans="1:9" s="26" customFormat="1" x14ac:dyDescent="0.35">
      <c r="A1303" s="31"/>
      <c r="B1303" s="29"/>
      <c r="C1303" s="30"/>
      <c r="D1303" s="30"/>
      <c r="E1303" s="30"/>
      <c r="F1303" s="31"/>
      <c r="G1303" s="31"/>
      <c r="H1303" s="31"/>
      <c r="I1303" s="31"/>
    </row>
    <row r="1304" spans="1:9" s="26" customFormat="1" x14ac:dyDescent="0.35">
      <c r="A1304" s="31"/>
      <c r="B1304" s="29"/>
      <c r="C1304" s="30"/>
      <c r="D1304" s="30"/>
      <c r="E1304" s="30"/>
      <c r="F1304" s="31"/>
      <c r="G1304" s="31"/>
      <c r="H1304" s="31"/>
      <c r="I1304" s="31"/>
    </row>
    <row r="1305" spans="1:9" s="26" customFormat="1" x14ac:dyDescent="0.35">
      <c r="A1305" s="31"/>
      <c r="B1305" s="29"/>
      <c r="C1305" s="30"/>
      <c r="D1305" s="30"/>
      <c r="E1305" s="30"/>
      <c r="F1305" s="31"/>
      <c r="G1305" s="31"/>
      <c r="H1305" s="31"/>
      <c r="I1305" s="31"/>
    </row>
    <row r="1306" spans="1:9" s="26" customFormat="1" x14ac:dyDescent="0.35">
      <c r="A1306" s="31"/>
      <c r="B1306" s="29"/>
      <c r="C1306" s="30"/>
      <c r="D1306" s="30"/>
      <c r="E1306" s="30"/>
      <c r="F1306" s="31"/>
      <c r="G1306" s="31"/>
      <c r="H1306" s="31"/>
      <c r="I1306" s="31"/>
    </row>
    <row r="1307" spans="1:9" s="26" customFormat="1" x14ac:dyDescent="0.35">
      <c r="A1307" s="31"/>
      <c r="B1307" s="29"/>
      <c r="C1307" s="30"/>
      <c r="D1307" s="30"/>
      <c r="E1307" s="30"/>
      <c r="F1307" s="31"/>
      <c r="G1307" s="31"/>
      <c r="H1307" s="31"/>
      <c r="I1307" s="31"/>
    </row>
    <row r="1308" spans="1:9" s="26" customFormat="1" x14ac:dyDescent="0.35">
      <c r="A1308" s="31"/>
      <c r="B1308" s="29"/>
      <c r="C1308" s="30"/>
      <c r="D1308" s="30"/>
      <c r="E1308" s="30"/>
      <c r="F1308" s="31"/>
      <c r="G1308" s="31"/>
      <c r="H1308" s="31"/>
      <c r="I1308" s="31"/>
    </row>
    <row r="1309" spans="1:9" s="26" customFormat="1" x14ac:dyDescent="0.35">
      <c r="A1309" s="31"/>
      <c r="B1309" s="29"/>
      <c r="C1309" s="30"/>
      <c r="D1309" s="30"/>
      <c r="E1309" s="30"/>
      <c r="F1309" s="31"/>
      <c r="G1309" s="31"/>
      <c r="H1309" s="31"/>
      <c r="I1309" s="31"/>
    </row>
    <row r="1310" spans="1:9" s="26" customFormat="1" x14ac:dyDescent="0.35">
      <c r="A1310" s="31"/>
      <c r="B1310" s="29"/>
      <c r="C1310" s="30"/>
      <c r="D1310" s="30"/>
      <c r="E1310" s="30"/>
      <c r="F1310" s="31"/>
      <c r="G1310" s="31"/>
      <c r="H1310" s="31"/>
      <c r="I1310" s="31"/>
    </row>
    <row r="1311" spans="1:9" s="26" customFormat="1" x14ac:dyDescent="0.35">
      <c r="A1311" s="31"/>
      <c r="B1311" s="29"/>
      <c r="C1311" s="30"/>
      <c r="D1311" s="30"/>
      <c r="E1311" s="30"/>
      <c r="F1311" s="31"/>
      <c r="G1311" s="31"/>
      <c r="H1311" s="31"/>
      <c r="I1311" s="31"/>
    </row>
    <row r="1312" spans="1:9" s="26" customFormat="1" x14ac:dyDescent="0.35">
      <c r="A1312" s="31"/>
      <c r="B1312" s="29"/>
      <c r="C1312" s="30"/>
      <c r="D1312" s="30"/>
      <c r="E1312" s="30"/>
      <c r="F1312" s="31"/>
      <c r="G1312" s="31"/>
      <c r="H1312" s="31"/>
      <c r="I1312" s="31"/>
    </row>
    <row r="1313" spans="1:9" s="26" customFormat="1" x14ac:dyDescent="0.35">
      <c r="A1313" s="31"/>
      <c r="B1313" s="29"/>
      <c r="C1313" s="30"/>
      <c r="D1313" s="30"/>
      <c r="E1313" s="30"/>
      <c r="F1313" s="31"/>
      <c r="G1313" s="31"/>
      <c r="H1313" s="31"/>
      <c r="I1313" s="31"/>
    </row>
    <row r="1314" spans="1:9" s="26" customFormat="1" x14ac:dyDescent="0.35">
      <c r="A1314" s="31"/>
      <c r="B1314" s="29"/>
      <c r="C1314" s="30"/>
      <c r="D1314" s="30"/>
      <c r="E1314" s="30"/>
      <c r="F1314" s="31"/>
      <c r="G1314" s="31"/>
      <c r="H1314" s="31"/>
      <c r="I1314" s="31"/>
    </row>
    <row r="1315" spans="1:9" s="26" customFormat="1" x14ac:dyDescent="0.35">
      <c r="A1315" s="31"/>
      <c r="B1315" s="29"/>
      <c r="C1315" s="30"/>
      <c r="D1315" s="30"/>
      <c r="E1315" s="30"/>
      <c r="F1315" s="31"/>
      <c r="G1315" s="31"/>
      <c r="H1315" s="31"/>
      <c r="I1315" s="31"/>
    </row>
    <row r="1316" spans="1:9" s="26" customFormat="1" x14ac:dyDescent="0.35">
      <c r="A1316" s="31"/>
      <c r="B1316" s="29"/>
      <c r="C1316" s="30"/>
      <c r="D1316" s="30"/>
      <c r="E1316" s="30"/>
      <c r="F1316" s="31"/>
      <c r="G1316" s="31"/>
      <c r="H1316" s="31"/>
      <c r="I1316" s="31"/>
    </row>
    <row r="1317" spans="1:9" s="26" customFormat="1" x14ac:dyDescent="0.35">
      <c r="A1317" s="31"/>
      <c r="B1317" s="29"/>
      <c r="C1317" s="30"/>
      <c r="D1317" s="30"/>
      <c r="E1317" s="30"/>
      <c r="F1317" s="31"/>
      <c r="G1317" s="31"/>
      <c r="H1317" s="31"/>
      <c r="I1317" s="31"/>
    </row>
    <row r="1318" spans="1:9" s="26" customFormat="1" x14ac:dyDescent="0.35">
      <c r="A1318" s="31"/>
      <c r="B1318" s="29"/>
      <c r="C1318" s="30"/>
      <c r="D1318" s="30"/>
      <c r="E1318" s="30"/>
      <c r="F1318" s="31"/>
      <c r="G1318" s="31"/>
      <c r="H1318" s="31"/>
      <c r="I1318" s="31"/>
    </row>
    <row r="1319" spans="1:9" s="26" customFormat="1" x14ac:dyDescent="0.35">
      <c r="A1319" s="31"/>
      <c r="B1319" s="29"/>
      <c r="C1319" s="30"/>
      <c r="D1319" s="30"/>
      <c r="E1319" s="30"/>
      <c r="F1319" s="31"/>
      <c r="G1319" s="31"/>
      <c r="H1319" s="31"/>
      <c r="I1319" s="31"/>
    </row>
    <row r="1320" spans="1:9" s="26" customFormat="1" x14ac:dyDescent="0.35">
      <c r="A1320" s="31"/>
      <c r="B1320" s="29"/>
      <c r="C1320" s="30"/>
      <c r="D1320" s="30"/>
      <c r="E1320" s="30"/>
      <c r="F1320" s="31"/>
      <c r="G1320" s="31"/>
      <c r="H1320" s="31"/>
      <c r="I1320" s="31"/>
    </row>
    <row r="1321" spans="1:9" s="26" customFormat="1" x14ac:dyDescent="0.35">
      <c r="A1321" s="31"/>
      <c r="B1321" s="29"/>
      <c r="C1321" s="30"/>
      <c r="D1321" s="30"/>
      <c r="E1321" s="30"/>
      <c r="F1321" s="31"/>
      <c r="G1321" s="31"/>
      <c r="H1321" s="31"/>
      <c r="I1321" s="31"/>
    </row>
    <row r="1322" spans="1:9" s="26" customFormat="1" x14ac:dyDescent="0.35">
      <c r="A1322" s="31"/>
      <c r="B1322" s="29"/>
      <c r="C1322" s="30"/>
      <c r="D1322" s="30"/>
      <c r="E1322" s="30"/>
      <c r="F1322" s="31"/>
      <c r="G1322" s="31"/>
      <c r="H1322" s="31"/>
      <c r="I1322" s="31"/>
    </row>
    <row r="1323" spans="1:9" s="26" customFormat="1" x14ac:dyDescent="0.35">
      <c r="A1323" s="31"/>
      <c r="B1323" s="29"/>
      <c r="C1323" s="30"/>
      <c r="D1323" s="30"/>
      <c r="E1323" s="30"/>
      <c r="F1323" s="31"/>
      <c r="G1323" s="31"/>
      <c r="H1323" s="31"/>
      <c r="I1323" s="31"/>
    </row>
    <row r="1324" spans="1:9" s="26" customFormat="1" x14ac:dyDescent="0.35">
      <c r="A1324" s="31"/>
      <c r="B1324" s="29"/>
      <c r="C1324" s="30"/>
      <c r="D1324" s="30"/>
      <c r="E1324" s="30"/>
      <c r="F1324" s="31"/>
      <c r="G1324" s="31"/>
      <c r="H1324" s="31"/>
      <c r="I1324" s="31"/>
    </row>
    <row r="1325" spans="1:9" s="26" customFormat="1" x14ac:dyDescent="0.35">
      <c r="A1325" s="31"/>
      <c r="B1325" s="29"/>
      <c r="C1325" s="30"/>
      <c r="D1325" s="30"/>
      <c r="E1325" s="30"/>
      <c r="F1325" s="31"/>
      <c r="G1325" s="31"/>
      <c r="H1325" s="31"/>
      <c r="I1325" s="31"/>
    </row>
    <row r="1326" spans="1:9" s="26" customFormat="1" x14ac:dyDescent="0.35">
      <c r="A1326" s="31"/>
      <c r="B1326" s="29"/>
      <c r="C1326" s="30"/>
      <c r="D1326" s="30"/>
      <c r="E1326" s="30"/>
      <c r="F1326" s="31"/>
      <c r="G1326" s="31"/>
      <c r="H1326" s="31"/>
      <c r="I1326" s="31"/>
    </row>
    <row r="1327" spans="1:9" s="26" customFormat="1" x14ac:dyDescent="0.35">
      <c r="A1327" s="31"/>
      <c r="B1327" s="29"/>
      <c r="C1327" s="30"/>
      <c r="D1327" s="30"/>
      <c r="E1327" s="30"/>
      <c r="F1327" s="31"/>
      <c r="G1327" s="31"/>
      <c r="H1327" s="31"/>
      <c r="I1327" s="31"/>
    </row>
    <row r="1328" spans="1:9" s="26" customFormat="1" x14ac:dyDescent="0.35">
      <c r="A1328" s="31"/>
      <c r="B1328" s="29"/>
      <c r="C1328" s="30"/>
      <c r="D1328" s="30"/>
      <c r="E1328" s="30"/>
      <c r="F1328" s="31"/>
      <c r="G1328" s="31"/>
      <c r="H1328" s="31"/>
      <c r="I1328" s="31"/>
    </row>
    <row r="1329" spans="1:9" s="26" customFormat="1" x14ac:dyDescent="0.35">
      <c r="A1329" s="31"/>
      <c r="B1329" s="29"/>
      <c r="C1329" s="30"/>
      <c r="D1329" s="30"/>
      <c r="E1329" s="30"/>
      <c r="F1329" s="31"/>
      <c r="G1329" s="31"/>
      <c r="H1329" s="31"/>
      <c r="I1329" s="31"/>
    </row>
    <row r="1330" spans="1:9" s="26" customFormat="1" x14ac:dyDescent="0.35">
      <c r="A1330" s="31"/>
      <c r="B1330" s="29"/>
      <c r="C1330" s="30"/>
      <c r="D1330" s="30"/>
      <c r="E1330" s="30"/>
      <c r="F1330" s="31"/>
      <c r="G1330" s="31"/>
      <c r="H1330" s="31"/>
      <c r="I1330" s="31"/>
    </row>
    <row r="1331" spans="1:9" s="26" customFormat="1" x14ac:dyDescent="0.35">
      <c r="A1331" s="31"/>
      <c r="B1331" s="29"/>
      <c r="C1331" s="30"/>
      <c r="D1331" s="30"/>
      <c r="E1331" s="30"/>
      <c r="F1331" s="31"/>
      <c r="G1331" s="31"/>
      <c r="H1331" s="31"/>
      <c r="I1331" s="31"/>
    </row>
    <row r="1332" spans="1:9" s="26" customFormat="1" x14ac:dyDescent="0.35">
      <c r="A1332" s="31"/>
      <c r="B1332" s="29"/>
      <c r="C1332" s="30"/>
      <c r="D1332" s="30"/>
      <c r="E1332" s="30"/>
      <c r="F1332" s="31"/>
      <c r="G1332" s="31"/>
      <c r="H1332" s="31"/>
      <c r="I1332" s="31"/>
    </row>
    <row r="1333" spans="1:9" s="26" customFormat="1" x14ac:dyDescent="0.35">
      <c r="A1333" s="31"/>
      <c r="B1333" s="29"/>
      <c r="C1333" s="30"/>
      <c r="D1333" s="30"/>
      <c r="E1333" s="30"/>
      <c r="F1333" s="31"/>
      <c r="G1333" s="31"/>
      <c r="H1333" s="31"/>
      <c r="I1333" s="31"/>
    </row>
    <row r="1334" spans="1:9" s="26" customFormat="1" x14ac:dyDescent="0.35">
      <c r="A1334" s="31"/>
      <c r="B1334" s="29"/>
      <c r="C1334" s="30"/>
      <c r="D1334" s="30"/>
      <c r="E1334" s="30"/>
      <c r="F1334" s="31"/>
      <c r="G1334" s="31"/>
      <c r="H1334" s="31"/>
      <c r="I1334" s="31"/>
    </row>
    <row r="1335" spans="1:9" s="26" customFormat="1" x14ac:dyDescent="0.35">
      <c r="A1335" s="31"/>
      <c r="B1335" s="29"/>
      <c r="C1335" s="30"/>
      <c r="D1335" s="30"/>
      <c r="E1335" s="30"/>
      <c r="F1335" s="31"/>
      <c r="G1335" s="31"/>
      <c r="H1335" s="31"/>
      <c r="I1335" s="31"/>
    </row>
    <row r="1336" spans="1:9" s="26" customFormat="1" x14ac:dyDescent="0.35">
      <c r="A1336" s="31"/>
      <c r="B1336" s="29"/>
      <c r="C1336" s="30"/>
      <c r="D1336" s="30"/>
      <c r="E1336" s="30"/>
      <c r="F1336" s="31"/>
      <c r="G1336" s="31"/>
      <c r="H1336" s="31"/>
      <c r="I1336" s="31"/>
    </row>
    <row r="1337" spans="1:9" s="26" customFormat="1" x14ac:dyDescent="0.35">
      <c r="A1337" s="31"/>
      <c r="B1337" s="29"/>
      <c r="C1337" s="30"/>
      <c r="D1337" s="30"/>
      <c r="E1337" s="30"/>
      <c r="F1337" s="31"/>
      <c r="G1337" s="31"/>
      <c r="H1337" s="31"/>
      <c r="I1337" s="31"/>
    </row>
    <row r="1338" spans="1:9" s="26" customFormat="1" x14ac:dyDescent="0.35">
      <c r="A1338" s="31"/>
      <c r="B1338" s="29"/>
      <c r="C1338" s="30"/>
      <c r="D1338" s="30"/>
      <c r="E1338" s="30"/>
      <c r="F1338" s="31"/>
      <c r="G1338" s="31"/>
      <c r="H1338" s="31"/>
      <c r="I1338" s="31"/>
    </row>
    <row r="1339" spans="1:9" s="26" customFormat="1" x14ac:dyDescent="0.35">
      <c r="A1339" s="31"/>
      <c r="B1339" s="29"/>
      <c r="C1339" s="30"/>
      <c r="D1339" s="30"/>
      <c r="E1339" s="30"/>
      <c r="F1339" s="31"/>
      <c r="G1339" s="31"/>
      <c r="H1339" s="31"/>
      <c r="I1339" s="31"/>
    </row>
    <row r="1340" spans="1:9" s="26" customFormat="1" x14ac:dyDescent="0.35">
      <c r="A1340" s="31"/>
      <c r="B1340" s="29"/>
      <c r="C1340" s="30"/>
      <c r="D1340" s="30"/>
      <c r="E1340" s="30"/>
      <c r="F1340" s="31"/>
      <c r="G1340" s="31"/>
      <c r="H1340" s="31"/>
      <c r="I1340" s="31"/>
    </row>
    <row r="1341" spans="1:9" s="26" customFormat="1" x14ac:dyDescent="0.35">
      <c r="A1341" s="31"/>
      <c r="B1341" s="29"/>
      <c r="C1341" s="30"/>
      <c r="D1341" s="30"/>
      <c r="E1341" s="30"/>
      <c r="F1341" s="31"/>
      <c r="G1341" s="31"/>
      <c r="H1341" s="31"/>
      <c r="I1341" s="31"/>
    </row>
    <row r="1342" spans="1:9" s="26" customFormat="1" x14ac:dyDescent="0.35">
      <c r="A1342" s="31"/>
      <c r="B1342" s="29"/>
      <c r="C1342" s="30"/>
      <c r="D1342" s="30"/>
      <c r="E1342" s="30"/>
      <c r="F1342" s="31"/>
      <c r="G1342" s="31"/>
      <c r="H1342" s="31"/>
      <c r="I1342" s="31"/>
    </row>
    <row r="1343" spans="1:9" s="26" customFormat="1" x14ac:dyDescent="0.35">
      <c r="A1343" s="31"/>
      <c r="B1343" s="29"/>
      <c r="C1343" s="30"/>
      <c r="D1343" s="30"/>
      <c r="E1343" s="30"/>
      <c r="F1343" s="31"/>
      <c r="G1343" s="31"/>
      <c r="H1343" s="31"/>
      <c r="I1343" s="31"/>
    </row>
    <row r="1344" spans="1:9" s="26" customFormat="1" x14ac:dyDescent="0.35">
      <c r="A1344" s="31"/>
      <c r="B1344" s="29"/>
      <c r="C1344" s="30"/>
      <c r="D1344" s="30"/>
      <c r="E1344" s="30"/>
      <c r="F1344" s="31"/>
      <c r="G1344" s="31"/>
      <c r="H1344" s="31"/>
      <c r="I1344" s="31"/>
    </row>
    <row r="1345" spans="1:9" s="26" customFormat="1" x14ac:dyDescent="0.35">
      <c r="A1345" s="31"/>
      <c r="B1345" s="29"/>
      <c r="C1345" s="30"/>
      <c r="D1345" s="30"/>
      <c r="E1345" s="30"/>
      <c r="F1345" s="31"/>
      <c r="G1345" s="31"/>
      <c r="H1345" s="31"/>
      <c r="I1345" s="31"/>
    </row>
    <row r="1346" spans="1:9" s="26" customFormat="1" x14ac:dyDescent="0.35">
      <c r="A1346" s="31"/>
      <c r="B1346" s="29"/>
      <c r="C1346" s="30"/>
      <c r="D1346" s="30"/>
      <c r="E1346" s="30"/>
      <c r="F1346" s="31"/>
      <c r="G1346" s="31"/>
      <c r="H1346" s="31"/>
      <c r="I1346" s="31"/>
    </row>
    <row r="1347" spans="1:9" s="26" customFormat="1" x14ac:dyDescent="0.35">
      <c r="A1347" s="31"/>
      <c r="B1347" s="29"/>
      <c r="C1347" s="30"/>
      <c r="D1347" s="30"/>
      <c r="E1347" s="30"/>
      <c r="F1347" s="31"/>
      <c r="G1347" s="31"/>
      <c r="H1347" s="31"/>
      <c r="I1347" s="31"/>
    </row>
    <row r="1348" spans="1:9" s="26" customFormat="1" x14ac:dyDescent="0.35">
      <c r="A1348" s="31"/>
      <c r="B1348" s="29"/>
      <c r="C1348" s="30"/>
      <c r="D1348" s="30"/>
      <c r="E1348" s="30"/>
      <c r="F1348" s="31"/>
      <c r="G1348" s="31"/>
      <c r="H1348" s="31"/>
      <c r="I1348" s="31"/>
    </row>
    <row r="1349" spans="1:9" s="26" customFormat="1" x14ac:dyDescent="0.35">
      <c r="A1349" s="31"/>
      <c r="B1349" s="29"/>
      <c r="C1349" s="30"/>
      <c r="D1349" s="30"/>
      <c r="E1349" s="30"/>
      <c r="F1349" s="31"/>
      <c r="G1349" s="31"/>
      <c r="H1349" s="31"/>
      <c r="I1349" s="31"/>
    </row>
    <row r="1350" spans="1:9" s="26" customFormat="1" x14ac:dyDescent="0.35">
      <c r="A1350" s="31"/>
      <c r="B1350" s="29"/>
      <c r="C1350" s="30"/>
      <c r="D1350" s="30"/>
      <c r="E1350" s="30"/>
      <c r="F1350" s="31"/>
      <c r="G1350" s="31"/>
      <c r="H1350" s="31"/>
      <c r="I1350" s="31"/>
    </row>
    <row r="1351" spans="1:9" s="26" customFormat="1" x14ac:dyDescent="0.35">
      <c r="A1351" s="31"/>
      <c r="B1351" s="29"/>
      <c r="C1351" s="30"/>
      <c r="D1351" s="30"/>
      <c r="E1351" s="30"/>
      <c r="F1351" s="31"/>
      <c r="G1351" s="31"/>
      <c r="H1351" s="31"/>
      <c r="I1351" s="31"/>
    </row>
    <row r="1352" spans="1:9" s="26" customFormat="1" x14ac:dyDescent="0.35">
      <c r="A1352" s="31"/>
      <c r="B1352" s="29"/>
      <c r="C1352" s="30"/>
      <c r="D1352" s="30"/>
      <c r="E1352" s="30"/>
      <c r="F1352" s="31"/>
      <c r="G1352" s="31"/>
      <c r="H1352" s="31"/>
      <c r="I1352" s="31"/>
    </row>
    <row r="1353" spans="1:9" s="26" customFormat="1" x14ac:dyDescent="0.35">
      <c r="A1353" s="31"/>
      <c r="B1353" s="29"/>
      <c r="C1353" s="30"/>
      <c r="D1353" s="30"/>
      <c r="E1353" s="30"/>
      <c r="F1353" s="31"/>
      <c r="G1353" s="31"/>
      <c r="H1353" s="31"/>
      <c r="I1353" s="31"/>
    </row>
    <row r="1354" spans="1:9" s="26" customFormat="1" x14ac:dyDescent="0.35">
      <c r="A1354" s="31"/>
      <c r="B1354" s="29"/>
      <c r="C1354" s="30"/>
      <c r="D1354" s="30"/>
      <c r="E1354" s="30"/>
      <c r="F1354" s="31"/>
      <c r="G1354" s="31"/>
      <c r="H1354" s="31"/>
      <c r="I1354" s="31"/>
    </row>
    <row r="1355" spans="1:9" s="26" customFormat="1" x14ac:dyDescent="0.35">
      <c r="A1355" s="31"/>
      <c r="B1355" s="29"/>
      <c r="C1355" s="30"/>
      <c r="D1355" s="30"/>
      <c r="E1355" s="30"/>
      <c r="F1355" s="31"/>
      <c r="G1355" s="31"/>
      <c r="H1355" s="31"/>
      <c r="I1355" s="31"/>
    </row>
    <row r="1356" spans="1:9" s="26" customFormat="1" x14ac:dyDescent="0.35">
      <c r="A1356" s="31"/>
      <c r="B1356" s="29"/>
      <c r="C1356" s="30"/>
      <c r="D1356" s="30"/>
      <c r="E1356" s="30"/>
      <c r="F1356" s="31"/>
      <c r="G1356" s="31"/>
      <c r="H1356" s="31"/>
      <c r="I1356" s="31"/>
    </row>
    <row r="1357" spans="1:9" s="26" customFormat="1" x14ac:dyDescent="0.35">
      <c r="A1357" s="31"/>
      <c r="B1357" s="29"/>
      <c r="C1357" s="30"/>
      <c r="D1357" s="30"/>
      <c r="E1357" s="30"/>
      <c r="F1357" s="31"/>
      <c r="G1357" s="31"/>
      <c r="H1357" s="31"/>
      <c r="I1357" s="31"/>
    </row>
    <row r="1358" spans="1:9" s="26" customFormat="1" x14ac:dyDescent="0.35">
      <c r="A1358" s="31"/>
      <c r="B1358" s="29"/>
      <c r="C1358" s="30"/>
      <c r="D1358" s="30"/>
      <c r="E1358" s="30"/>
      <c r="F1358" s="31"/>
      <c r="G1358" s="31"/>
      <c r="H1358" s="31"/>
      <c r="I1358" s="31"/>
    </row>
    <row r="1359" spans="1:9" s="26" customFormat="1" x14ac:dyDescent="0.35">
      <c r="A1359" s="31"/>
      <c r="B1359" s="29"/>
      <c r="C1359" s="30"/>
      <c r="D1359" s="30"/>
      <c r="E1359" s="30"/>
      <c r="F1359" s="31"/>
      <c r="G1359" s="31"/>
      <c r="H1359" s="31"/>
      <c r="I1359" s="31"/>
    </row>
    <row r="1360" spans="1:9" s="26" customFormat="1" x14ac:dyDescent="0.35">
      <c r="A1360" s="31"/>
      <c r="B1360" s="29"/>
      <c r="C1360" s="30"/>
      <c r="D1360" s="30"/>
      <c r="E1360" s="30"/>
      <c r="F1360" s="31"/>
      <c r="G1360" s="31"/>
      <c r="H1360" s="31"/>
      <c r="I1360" s="31"/>
    </row>
    <row r="1361" spans="1:9" s="26" customFormat="1" x14ac:dyDescent="0.35">
      <c r="A1361" s="31"/>
      <c r="B1361" s="29"/>
      <c r="C1361" s="30"/>
      <c r="D1361" s="30"/>
      <c r="E1361" s="30"/>
      <c r="F1361" s="31"/>
      <c r="G1361" s="31"/>
      <c r="H1361" s="31"/>
      <c r="I1361" s="31"/>
    </row>
    <row r="1362" spans="1:9" s="26" customFormat="1" x14ac:dyDescent="0.35">
      <c r="A1362" s="31"/>
      <c r="B1362" s="29"/>
      <c r="C1362" s="30"/>
      <c r="D1362" s="30"/>
      <c r="E1362" s="30"/>
      <c r="F1362" s="31"/>
      <c r="G1362" s="31"/>
      <c r="H1362" s="31"/>
      <c r="I1362" s="31"/>
    </row>
    <row r="1363" spans="1:9" s="26" customFormat="1" x14ac:dyDescent="0.35">
      <c r="A1363" s="31"/>
      <c r="B1363" s="29"/>
      <c r="C1363" s="30"/>
      <c r="D1363" s="30"/>
      <c r="E1363" s="30"/>
      <c r="F1363" s="31"/>
      <c r="G1363" s="31"/>
      <c r="H1363" s="31"/>
      <c r="I1363" s="31"/>
    </row>
    <row r="1364" spans="1:9" s="26" customFormat="1" x14ac:dyDescent="0.35">
      <c r="A1364" s="31"/>
      <c r="B1364" s="29"/>
      <c r="C1364" s="30"/>
      <c r="D1364" s="30"/>
      <c r="E1364" s="30"/>
      <c r="F1364" s="31"/>
      <c r="G1364" s="31"/>
      <c r="H1364" s="31"/>
      <c r="I1364" s="31"/>
    </row>
    <row r="1365" spans="1:9" s="26" customFormat="1" x14ac:dyDescent="0.35">
      <c r="A1365" s="31"/>
      <c r="B1365" s="29"/>
      <c r="C1365" s="30"/>
      <c r="D1365" s="30"/>
      <c r="E1365" s="30"/>
      <c r="F1365" s="31"/>
      <c r="G1365" s="31"/>
      <c r="H1365" s="31"/>
      <c r="I1365" s="31"/>
    </row>
    <row r="1366" spans="1:9" s="26" customFormat="1" x14ac:dyDescent="0.35">
      <c r="A1366" s="31"/>
      <c r="B1366" s="29"/>
      <c r="C1366" s="30"/>
      <c r="D1366" s="30"/>
      <c r="E1366" s="30"/>
      <c r="F1366" s="31"/>
      <c r="G1366" s="31"/>
      <c r="H1366" s="31"/>
      <c r="I1366" s="31"/>
    </row>
    <row r="1367" spans="1:9" s="26" customFormat="1" x14ac:dyDescent="0.35">
      <c r="A1367" s="31"/>
      <c r="B1367" s="29"/>
      <c r="C1367" s="30"/>
      <c r="D1367" s="30"/>
      <c r="E1367" s="30"/>
      <c r="F1367" s="31"/>
      <c r="G1367" s="31"/>
      <c r="H1367" s="31"/>
      <c r="I1367" s="31"/>
    </row>
    <row r="1368" spans="1:9" s="26" customFormat="1" x14ac:dyDescent="0.35">
      <c r="A1368" s="31"/>
      <c r="B1368" s="29"/>
      <c r="C1368" s="30"/>
      <c r="D1368" s="30"/>
      <c r="E1368" s="30"/>
      <c r="F1368" s="31"/>
      <c r="G1368" s="31"/>
      <c r="H1368" s="31"/>
      <c r="I1368" s="31"/>
    </row>
    <row r="1369" spans="1:9" s="26" customFormat="1" x14ac:dyDescent="0.35">
      <c r="A1369" s="31"/>
      <c r="B1369" s="29"/>
      <c r="C1369" s="30"/>
      <c r="D1369" s="30"/>
      <c r="E1369" s="30"/>
      <c r="F1369" s="31"/>
      <c r="G1369" s="31"/>
      <c r="H1369" s="31"/>
      <c r="I1369" s="31"/>
    </row>
    <row r="1370" spans="1:9" s="26" customFormat="1" x14ac:dyDescent="0.35">
      <c r="A1370" s="31"/>
      <c r="B1370" s="29"/>
      <c r="C1370" s="30"/>
      <c r="D1370" s="30"/>
      <c r="E1370" s="30"/>
      <c r="F1370" s="31"/>
      <c r="G1370" s="31"/>
      <c r="H1370" s="31"/>
      <c r="I1370" s="31"/>
    </row>
    <row r="1371" spans="1:9" s="26" customFormat="1" x14ac:dyDescent="0.35">
      <c r="A1371" s="31"/>
      <c r="B1371" s="29"/>
      <c r="C1371" s="30"/>
      <c r="D1371" s="30"/>
      <c r="E1371" s="30"/>
      <c r="F1371" s="31"/>
      <c r="G1371" s="31"/>
      <c r="H1371" s="31"/>
      <c r="I1371" s="31"/>
    </row>
    <row r="1372" spans="1:9" s="26" customFormat="1" x14ac:dyDescent="0.35">
      <c r="A1372" s="31"/>
      <c r="B1372" s="29"/>
      <c r="C1372" s="30"/>
      <c r="D1372" s="30"/>
      <c r="E1372" s="30"/>
      <c r="F1372" s="31"/>
      <c r="G1372" s="31"/>
      <c r="H1372" s="31"/>
      <c r="I1372" s="31"/>
    </row>
    <row r="1373" spans="1:9" s="26" customFormat="1" x14ac:dyDescent="0.35">
      <c r="A1373" s="31"/>
      <c r="B1373" s="29"/>
      <c r="C1373" s="30"/>
      <c r="D1373" s="30"/>
      <c r="E1373" s="30"/>
      <c r="F1373" s="31"/>
      <c r="G1373" s="31"/>
      <c r="H1373" s="31"/>
      <c r="I1373" s="31"/>
    </row>
    <row r="1374" spans="1:9" s="26" customFormat="1" x14ac:dyDescent="0.35">
      <c r="A1374" s="31"/>
      <c r="B1374" s="29"/>
      <c r="C1374" s="30"/>
      <c r="D1374" s="30"/>
      <c r="E1374" s="30"/>
      <c r="F1374" s="31"/>
      <c r="G1374" s="31"/>
      <c r="H1374" s="31"/>
      <c r="I1374" s="31"/>
    </row>
    <row r="1375" spans="1:9" s="26" customFormat="1" x14ac:dyDescent="0.35">
      <c r="A1375" s="31"/>
      <c r="B1375" s="29"/>
      <c r="C1375" s="30"/>
      <c r="D1375" s="30"/>
      <c r="E1375" s="30"/>
      <c r="F1375" s="31"/>
      <c r="G1375" s="31"/>
      <c r="H1375" s="31"/>
      <c r="I1375" s="31"/>
    </row>
    <row r="1376" spans="1:9" s="26" customFormat="1" x14ac:dyDescent="0.35">
      <c r="A1376" s="31"/>
      <c r="B1376" s="29"/>
      <c r="C1376" s="30"/>
      <c r="D1376" s="30"/>
      <c r="E1376" s="30"/>
      <c r="F1376" s="31"/>
      <c r="G1376" s="31"/>
      <c r="H1376" s="31"/>
      <c r="I1376" s="31"/>
    </row>
    <row r="1377" spans="1:9" s="26" customFormat="1" x14ac:dyDescent="0.35">
      <c r="A1377" s="31"/>
      <c r="B1377" s="29"/>
      <c r="C1377" s="30"/>
      <c r="D1377" s="30"/>
      <c r="E1377" s="30"/>
      <c r="F1377" s="31"/>
      <c r="G1377" s="31"/>
      <c r="H1377" s="31"/>
      <c r="I1377" s="31"/>
    </row>
    <row r="1378" spans="1:9" s="26" customFormat="1" x14ac:dyDescent="0.35">
      <c r="A1378" s="31"/>
      <c r="B1378" s="29"/>
      <c r="C1378" s="30"/>
      <c r="D1378" s="30"/>
      <c r="E1378" s="30"/>
      <c r="F1378" s="31"/>
      <c r="G1378" s="31"/>
      <c r="H1378" s="31"/>
      <c r="I1378" s="31"/>
    </row>
    <row r="1379" spans="1:9" s="26" customFormat="1" x14ac:dyDescent="0.35">
      <c r="A1379" s="31"/>
      <c r="B1379" s="29"/>
      <c r="C1379" s="30"/>
      <c r="D1379" s="30"/>
      <c r="E1379" s="30"/>
      <c r="F1379" s="31"/>
      <c r="G1379" s="31"/>
      <c r="H1379" s="31"/>
      <c r="I1379" s="31"/>
    </row>
    <row r="1380" spans="1:9" s="26" customFormat="1" x14ac:dyDescent="0.35">
      <c r="A1380" s="31"/>
      <c r="B1380" s="29"/>
      <c r="C1380" s="30"/>
      <c r="D1380" s="30"/>
      <c r="E1380" s="30"/>
      <c r="F1380" s="31"/>
      <c r="G1380" s="31"/>
      <c r="H1380" s="31"/>
      <c r="I1380" s="31"/>
    </row>
    <row r="1381" spans="1:9" s="26" customFormat="1" x14ac:dyDescent="0.35">
      <c r="A1381" s="31"/>
      <c r="B1381" s="29"/>
      <c r="C1381" s="30"/>
      <c r="D1381" s="30"/>
      <c r="E1381" s="30"/>
      <c r="F1381" s="31"/>
      <c r="G1381" s="31"/>
      <c r="H1381" s="31"/>
      <c r="I1381" s="31"/>
    </row>
    <row r="1382" spans="1:9" s="26" customFormat="1" x14ac:dyDescent="0.35">
      <c r="A1382" s="31"/>
      <c r="B1382" s="29"/>
      <c r="C1382" s="30"/>
      <c r="D1382" s="30"/>
      <c r="E1382" s="30"/>
      <c r="F1382" s="31"/>
      <c r="G1382" s="31"/>
      <c r="H1382" s="31"/>
      <c r="I1382" s="31"/>
    </row>
    <row r="1383" spans="1:9" s="26" customFormat="1" x14ac:dyDescent="0.35">
      <c r="A1383" s="31"/>
      <c r="B1383" s="29"/>
      <c r="C1383" s="30"/>
      <c r="D1383" s="30"/>
      <c r="E1383" s="30"/>
      <c r="F1383" s="31"/>
      <c r="G1383" s="31"/>
      <c r="H1383" s="31"/>
      <c r="I1383" s="31"/>
    </row>
    <row r="1384" spans="1:9" s="26" customFormat="1" x14ac:dyDescent="0.35">
      <c r="A1384" s="31"/>
      <c r="B1384" s="29"/>
      <c r="C1384" s="30"/>
      <c r="D1384" s="30"/>
      <c r="E1384" s="30"/>
      <c r="F1384" s="31"/>
      <c r="G1384" s="31"/>
      <c r="H1384" s="31"/>
      <c r="I1384" s="31"/>
    </row>
    <row r="1385" spans="1:9" s="26" customFormat="1" x14ac:dyDescent="0.35">
      <c r="A1385" s="31"/>
      <c r="B1385" s="29"/>
      <c r="C1385" s="30"/>
      <c r="D1385" s="30"/>
      <c r="E1385" s="30"/>
      <c r="F1385" s="31"/>
      <c r="G1385" s="31"/>
      <c r="H1385" s="31"/>
      <c r="I1385" s="31"/>
    </row>
    <row r="1386" spans="1:9" s="26" customFormat="1" x14ac:dyDescent="0.35">
      <c r="A1386" s="31"/>
      <c r="B1386" s="29"/>
      <c r="C1386" s="30"/>
      <c r="D1386" s="30"/>
      <c r="E1386" s="30"/>
      <c r="F1386" s="31"/>
      <c r="G1386" s="31"/>
      <c r="H1386" s="31"/>
      <c r="I1386" s="31"/>
    </row>
    <row r="1387" spans="1:9" s="26" customFormat="1" x14ac:dyDescent="0.35">
      <c r="A1387" s="31"/>
      <c r="B1387" s="29"/>
      <c r="C1387" s="30"/>
      <c r="D1387" s="30"/>
      <c r="E1387" s="30"/>
      <c r="F1387" s="31"/>
      <c r="G1387" s="31"/>
      <c r="H1387" s="31"/>
      <c r="I1387" s="31"/>
    </row>
    <row r="1388" spans="1:9" s="26" customFormat="1" x14ac:dyDescent="0.35">
      <c r="A1388" s="31"/>
      <c r="B1388" s="29"/>
      <c r="C1388" s="30"/>
      <c r="D1388" s="30"/>
      <c r="E1388" s="30"/>
      <c r="F1388" s="31"/>
      <c r="G1388" s="31"/>
      <c r="H1388" s="31"/>
      <c r="I1388" s="31"/>
    </row>
    <row r="1389" spans="1:9" s="26" customFormat="1" x14ac:dyDescent="0.35">
      <c r="A1389" s="31"/>
      <c r="B1389" s="29"/>
      <c r="C1389" s="30"/>
      <c r="D1389" s="30"/>
      <c r="E1389" s="30"/>
      <c r="F1389" s="31"/>
      <c r="G1389" s="31"/>
      <c r="H1389" s="31"/>
      <c r="I1389" s="31"/>
    </row>
    <row r="1390" spans="1:9" s="26" customFormat="1" x14ac:dyDescent="0.35">
      <c r="A1390" s="31"/>
      <c r="B1390" s="29"/>
      <c r="C1390" s="30"/>
      <c r="D1390" s="30"/>
      <c r="E1390" s="30"/>
      <c r="F1390" s="31"/>
      <c r="G1390" s="31"/>
      <c r="H1390" s="31"/>
      <c r="I1390" s="31"/>
    </row>
    <row r="1391" spans="1:9" s="26" customFormat="1" x14ac:dyDescent="0.35">
      <c r="A1391" s="31"/>
      <c r="B1391" s="29"/>
      <c r="C1391" s="30"/>
      <c r="D1391" s="30"/>
      <c r="E1391" s="30"/>
      <c r="F1391" s="31"/>
      <c r="G1391" s="31"/>
      <c r="H1391" s="31"/>
      <c r="I1391" s="31"/>
    </row>
    <row r="1392" spans="1:9" s="26" customFormat="1" x14ac:dyDescent="0.35">
      <c r="A1392" s="31"/>
      <c r="B1392" s="29"/>
      <c r="C1392" s="30"/>
      <c r="D1392" s="30"/>
      <c r="E1392" s="30"/>
      <c r="F1392" s="31"/>
      <c r="G1392" s="31"/>
      <c r="H1392" s="31"/>
      <c r="I1392" s="31"/>
    </row>
    <row r="1393" spans="1:9" s="26" customFormat="1" x14ac:dyDescent="0.35">
      <c r="A1393" s="31"/>
      <c r="B1393" s="29"/>
      <c r="C1393" s="30"/>
      <c r="D1393" s="30"/>
      <c r="E1393" s="30"/>
      <c r="F1393" s="31"/>
      <c r="G1393" s="31"/>
      <c r="H1393" s="31"/>
      <c r="I1393" s="31"/>
    </row>
    <row r="1394" spans="1:9" s="26" customFormat="1" x14ac:dyDescent="0.35">
      <c r="A1394" s="31"/>
      <c r="B1394" s="29"/>
      <c r="C1394" s="30"/>
      <c r="D1394" s="30"/>
      <c r="E1394" s="30"/>
      <c r="F1394" s="31"/>
      <c r="G1394" s="31"/>
      <c r="H1394" s="31"/>
      <c r="I1394" s="31"/>
    </row>
    <row r="1395" spans="1:9" s="26" customFormat="1" x14ac:dyDescent="0.35">
      <c r="A1395" s="31"/>
      <c r="B1395" s="29"/>
      <c r="C1395" s="30"/>
      <c r="D1395" s="30"/>
      <c r="E1395" s="30"/>
      <c r="F1395" s="31"/>
      <c r="G1395" s="31"/>
      <c r="H1395" s="31"/>
      <c r="I1395" s="31"/>
    </row>
    <row r="1396" spans="1:9" s="26" customFormat="1" x14ac:dyDescent="0.35">
      <c r="A1396" s="31"/>
      <c r="B1396" s="29"/>
      <c r="C1396" s="30"/>
      <c r="D1396" s="30"/>
      <c r="E1396" s="30"/>
      <c r="F1396" s="31"/>
      <c r="G1396" s="31"/>
      <c r="H1396" s="31"/>
      <c r="I1396" s="31"/>
    </row>
    <row r="1397" spans="1:9" s="26" customFormat="1" x14ac:dyDescent="0.35">
      <c r="A1397" s="31"/>
      <c r="B1397" s="29"/>
      <c r="C1397" s="30"/>
      <c r="D1397" s="30"/>
      <c r="E1397" s="30"/>
      <c r="F1397" s="31"/>
      <c r="G1397" s="31"/>
      <c r="H1397" s="31"/>
      <c r="I1397" s="31"/>
    </row>
    <row r="1398" spans="1:9" s="26" customFormat="1" x14ac:dyDescent="0.35">
      <c r="A1398" s="31"/>
      <c r="B1398" s="29"/>
      <c r="C1398" s="30"/>
      <c r="D1398" s="30"/>
      <c r="E1398" s="30"/>
      <c r="F1398" s="31"/>
      <c r="G1398" s="31"/>
      <c r="H1398" s="31"/>
      <c r="I1398" s="31"/>
    </row>
    <row r="1399" spans="1:9" s="26" customFormat="1" x14ac:dyDescent="0.35">
      <c r="A1399" s="31"/>
      <c r="B1399" s="29"/>
      <c r="C1399" s="30"/>
      <c r="D1399" s="30"/>
      <c r="E1399" s="30"/>
      <c r="F1399" s="31"/>
      <c r="G1399" s="31"/>
      <c r="H1399" s="31"/>
      <c r="I1399" s="31"/>
    </row>
    <row r="1400" spans="1:9" s="26" customFormat="1" x14ac:dyDescent="0.35">
      <c r="A1400" s="31"/>
      <c r="B1400" s="29"/>
      <c r="C1400" s="30"/>
      <c r="D1400" s="30"/>
      <c r="E1400" s="30"/>
      <c r="F1400" s="31"/>
      <c r="G1400" s="31"/>
      <c r="H1400" s="31"/>
      <c r="I1400" s="31"/>
    </row>
    <row r="1401" spans="1:9" s="26" customFormat="1" x14ac:dyDescent="0.35">
      <c r="A1401" s="31"/>
      <c r="B1401" s="29"/>
      <c r="C1401" s="30"/>
      <c r="D1401" s="30"/>
      <c r="E1401" s="30"/>
      <c r="F1401" s="31"/>
      <c r="G1401" s="31"/>
      <c r="H1401" s="31"/>
      <c r="I1401" s="31"/>
    </row>
    <row r="1402" spans="1:9" s="26" customFormat="1" x14ac:dyDescent="0.35">
      <c r="A1402" s="31"/>
      <c r="B1402" s="29"/>
      <c r="C1402" s="30"/>
      <c r="D1402" s="30"/>
      <c r="E1402" s="30"/>
      <c r="F1402" s="31"/>
      <c r="G1402" s="31"/>
      <c r="H1402" s="31"/>
      <c r="I1402" s="31"/>
    </row>
    <row r="1403" spans="1:9" s="26" customFormat="1" x14ac:dyDescent="0.35">
      <c r="A1403" s="31"/>
      <c r="B1403" s="29"/>
      <c r="C1403" s="30"/>
      <c r="D1403" s="30"/>
      <c r="E1403" s="30"/>
      <c r="F1403" s="31"/>
      <c r="G1403" s="31"/>
      <c r="H1403" s="31"/>
      <c r="I1403" s="31"/>
    </row>
    <row r="1404" spans="1:9" s="26" customFormat="1" x14ac:dyDescent="0.35">
      <c r="A1404" s="31"/>
      <c r="B1404" s="29"/>
      <c r="C1404" s="30"/>
      <c r="D1404" s="30"/>
      <c r="E1404" s="30"/>
      <c r="F1404" s="31"/>
      <c r="G1404" s="31"/>
      <c r="H1404" s="31"/>
      <c r="I1404" s="31"/>
    </row>
    <row r="1405" spans="1:9" s="26" customFormat="1" x14ac:dyDescent="0.35">
      <c r="A1405" s="31"/>
      <c r="B1405" s="29"/>
      <c r="C1405" s="30"/>
      <c r="D1405" s="30"/>
      <c r="E1405" s="30"/>
      <c r="F1405" s="31"/>
      <c r="G1405" s="31"/>
      <c r="H1405" s="31"/>
      <c r="I1405" s="31"/>
    </row>
    <row r="1406" spans="1:9" s="26" customFormat="1" x14ac:dyDescent="0.35">
      <c r="A1406" s="31"/>
      <c r="B1406" s="29"/>
      <c r="C1406" s="30"/>
      <c r="D1406" s="30"/>
      <c r="E1406" s="30"/>
      <c r="F1406" s="31"/>
      <c r="G1406" s="31"/>
      <c r="H1406" s="31"/>
      <c r="I1406" s="31"/>
    </row>
    <row r="1407" spans="1:9" s="26" customFormat="1" x14ac:dyDescent="0.35">
      <c r="A1407" s="31"/>
      <c r="B1407" s="29"/>
      <c r="C1407" s="30"/>
      <c r="D1407" s="30"/>
      <c r="E1407" s="30"/>
      <c r="F1407" s="31"/>
      <c r="G1407" s="31"/>
      <c r="H1407" s="31"/>
      <c r="I1407" s="31"/>
    </row>
    <row r="1408" spans="1:9" s="26" customFormat="1" x14ac:dyDescent="0.35">
      <c r="A1408" s="31"/>
      <c r="B1408" s="29"/>
      <c r="C1408" s="30"/>
      <c r="D1408" s="30"/>
      <c r="E1408" s="30"/>
      <c r="F1408" s="31"/>
      <c r="G1408" s="31"/>
      <c r="H1408" s="31"/>
      <c r="I1408" s="31"/>
    </row>
    <row r="1409" spans="1:9" s="26" customFormat="1" x14ac:dyDescent="0.35">
      <c r="A1409" s="31"/>
      <c r="B1409" s="29"/>
      <c r="C1409" s="30"/>
      <c r="D1409" s="30"/>
      <c r="E1409" s="30"/>
      <c r="F1409" s="31"/>
      <c r="G1409" s="31"/>
      <c r="H1409" s="31"/>
      <c r="I1409" s="31"/>
    </row>
    <row r="1410" spans="1:9" s="26" customFormat="1" x14ac:dyDescent="0.35">
      <c r="A1410" s="31"/>
      <c r="B1410" s="29"/>
      <c r="C1410" s="30"/>
      <c r="D1410" s="30"/>
      <c r="E1410" s="30"/>
      <c r="F1410" s="31"/>
      <c r="G1410" s="31"/>
      <c r="H1410" s="31"/>
      <c r="I1410" s="31"/>
    </row>
    <row r="1411" spans="1:9" s="26" customFormat="1" x14ac:dyDescent="0.35">
      <c r="A1411" s="31"/>
      <c r="B1411" s="29"/>
      <c r="C1411" s="30"/>
      <c r="D1411" s="30"/>
      <c r="E1411" s="30"/>
      <c r="F1411" s="31"/>
      <c r="G1411" s="31"/>
      <c r="H1411" s="31"/>
      <c r="I1411" s="31"/>
    </row>
    <row r="1412" spans="1:9" s="26" customFormat="1" x14ac:dyDescent="0.35">
      <c r="A1412" s="31"/>
      <c r="B1412" s="29"/>
      <c r="C1412" s="30"/>
      <c r="D1412" s="30"/>
      <c r="E1412" s="30"/>
      <c r="F1412" s="31"/>
      <c r="G1412" s="31"/>
      <c r="H1412" s="31"/>
      <c r="I1412" s="31"/>
    </row>
    <row r="1413" spans="1:9" s="26" customFormat="1" x14ac:dyDescent="0.35">
      <c r="A1413" s="31"/>
      <c r="B1413" s="29"/>
      <c r="C1413" s="30"/>
      <c r="D1413" s="30"/>
      <c r="E1413" s="30"/>
      <c r="F1413" s="31"/>
      <c r="G1413" s="31"/>
      <c r="H1413" s="31"/>
      <c r="I1413" s="31"/>
    </row>
    <row r="1414" spans="1:9" s="26" customFormat="1" x14ac:dyDescent="0.35">
      <c r="A1414" s="31"/>
      <c r="B1414" s="29"/>
      <c r="C1414" s="30"/>
      <c r="D1414" s="30"/>
      <c r="E1414" s="30"/>
      <c r="F1414" s="31"/>
      <c r="G1414" s="31"/>
      <c r="H1414" s="31"/>
      <c r="I1414" s="31"/>
    </row>
    <row r="1415" spans="1:9" s="26" customFormat="1" x14ac:dyDescent="0.35">
      <c r="A1415" s="31"/>
      <c r="B1415" s="29"/>
      <c r="C1415" s="30"/>
      <c r="D1415" s="30"/>
      <c r="E1415" s="30"/>
      <c r="F1415" s="31"/>
      <c r="G1415" s="31"/>
      <c r="H1415" s="31"/>
      <c r="I1415" s="31"/>
    </row>
    <row r="1416" spans="1:9" s="26" customFormat="1" x14ac:dyDescent="0.35">
      <c r="A1416" s="31"/>
      <c r="B1416" s="29"/>
      <c r="C1416" s="30"/>
      <c r="D1416" s="30"/>
      <c r="E1416" s="30"/>
      <c r="F1416" s="31"/>
      <c r="G1416" s="31"/>
      <c r="H1416" s="31"/>
      <c r="I1416" s="31"/>
    </row>
    <row r="1417" spans="1:9" s="26" customFormat="1" x14ac:dyDescent="0.35">
      <c r="A1417" s="31"/>
      <c r="B1417" s="29"/>
      <c r="C1417" s="30"/>
      <c r="D1417" s="30"/>
      <c r="E1417" s="30"/>
      <c r="F1417" s="31"/>
      <c r="G1417" s="31"/>
      <c r="H1417" s="31"/>
      <c r="I1417" s="31"/>
    </row>
    <row r="1418" spans="1:9" s="26" customFormat="1" x14ac:dyDescent="0.35">
      <c r="A1418" s="31"/>
      <c r="B1418" s="29"/>
      <c r="C1418" s="30"/>
      <c r="D1418" s="30"/>
      <c r="E1418" s="30"/>
      <c r="F1418" s="31"/>
      <c r="G1418" s="31"/>
      <c r="H1418" s="31"/>
      <c r="I1418" s="31"/>
    </row>
    <row r="1419" spans="1:9" s="26" customFormat="1" x14ac:dyDescent="0.35">
      <c r="A1419" s="31"/>
      <c r="B1419" s="29"/>
      <c r="C1419" s="30"/>
      <c r="D1419" s="30"/>
      <c r="E1419" s="30"/>
      <c r="F1419" s="31"/>
      <c r="G1419" s="31"/>
      <c r="H1419" s="31"/>
      <c r="I1419" s="31"/>
    </row>
    <row r="1420" spans="1:9" s="26" customFormat="1" x14ac:dyDescent="0.35">
      <c r="A1420" s="31"/>
      <c r="B1420" s="29"/>
      <c r="C1420" s="30"/>
      <c r="D1420" s="30"/>
      <c r="E1420" s="30"/>
      <c r="F1420" s="31"/>
      <c r="G1420" s="31"/>
      <c r="H1420" s="31"/>
      <c r="I1420" s="31"/>
    </row>
    <row r="1421" spans="1:9" s="26" customFormat="1" x14ac:dyDescent="0.35">
      <c r="A1421" s="31"/>
      <c r="B1421" s="29"/>
      <c r="C1421" s="30"/>
      <c r="D1421" s="30"/>
      <c r="E1421" s="30"/>
      <c r="F1421" s="31"/>
      <c r="G1421" s="31"/>
      <c r="H1421" s="31"/>
      <c r="I1421" s="31"/>
    </row>
    <row r="1422" spans="1:9" s="26" customFormat="1" x14ac:dyDescent="0.35">
      <c r="A1422" s="31"/>
      <c r="B1422" s="29"/>
      <c r="C1422" s="30"/>
      <c r="D1422" s="30"/>
      <c r="E1422" s="30"/>
      <c r="F1422" s="31"/>
      <c r="G1422" s="31"/>
      <c r="H1422" s="31"/>
      <c r="I1422" s="31"/>
    </row>
    <row r="1423" spans="1:9" s="26" customFormat="1" x14ac:dyDescent="0.35">
      <c r="A1423" s="31"/>
      <c r="B1423" s="29"/>
      <c r="C1423" s="30"/>
      <c r="D1423" s="30"/>
      <c r="E1423" s="30"/>
      <c r="F1423" s="31"/>
      <c r="G1423" s="31"/>
      <c r="H1423" s="31"/>
      <c r="I1423" s="31"/>
    </row>
    <row r="1424" spans="1:9" s="26" customFormat="1" x14ac:dyDescent="0.35">
      <c r="A1424" s="31"/>
      <c r="B1424" s="29"/>
      <c r="C1424" s="30"/>
      <c r="D1424" s="30"/>
      <c r="E1424" s="30"/>
      <c r="F1424" s="31"/>
      <c r="G1424" s="31"/>
      <c r="H1424" s="31"/>
      <c r="I1424" s="31"/>
    </row>
    <row r="1425" spans="1:9" s="26" customFormat="1" x14ac:dyDescent="0.35">
      <c r="A1425" s="31"/>
      <c r="B1425" s="29"/>
      <c r="C1425" s="30"/>
      <c r="D1425" s="30"/>
      <c r="E1425" s="30"/>
      <c r="F1425" s="31"/>
      <c r="G1425" s="31"/>
      <c r="H1425" s="31"/>
      <c r="I1425" s="31"/>
    </row>
    <row r="1426" spans="1:9" s="26" customFormat="1" x14ac:dyDescent="0.35">
      <c r="A1426" s="31"/>
      <c r="B1426" s="29"/>
      <c r="C1426" s="30"/>
      <c r="D1426" s="30"/>
      <c r="E1426" s="30"/>
      <c r="F1426" s="31"/>
      <c r="G1426" s="31"/>
      <c r="H1426" s="31"/>
      <c r="I1426" s="31"/>
    </row>
    <row r="1427" spans="1:9" s="26" customFormat="1" x14ac:dyDescent="0.35">
      <c r="A1427" s="31"/>
      <c r="B1427" s="29"/>
      <c r="C1427" s="30"/>
      <c r="D1427" s="30"/>
      <c r="E1427" s="30"/>
      <c r="F1427" s="31"/>
      <c r="G1427" s="31"/>
      <c r="H1427" s="31"/>
      <c r="I1427" s="31"/>
    </row>
    <row r="1428" spans="1:9" s="26" customFormat="1" x14ac:dyDescent="0.35">
      <c r="A1428" s="31"/>
      <c r="B1428" s="29"/>
      <c r="C1428" s="30"/>
      <c r="D1428" s="30"/>
      <c r="E1428" s="30"/>
      <c r="F1428" s="31"/>
      <c r="G1428" s="31"/>
      <c r="H1428" s="31"/>
      <c r="I1428" s="31"/>
    </row>
    <row r="1429" spans="1:9" s="26" customFormat="1" x14ac:dyDescent="0.35">
      <c r="A1429" s="31"/>
      <c r="B1429" s="29"/>
      <c r="C1429" s="30"/>
      <c r="D1429" s="30"/>
      <c r="E1429" s="30"/>
      <c r="F1429" s="31"/>
      <c r="G1429" s="31"/>
      <c r="H1429" s="31"/>
      <c r="I1429" s="31"/>
    </row>
    <row r="1430" spans="1:9" s="26" customFormat="1" x14ac:dyDescent="0.35">
      <c r="A1430" s="31"/>
      <c r="B1430" s="29"/>
      <c r="C1430" s="30"/>
      <c r="D1430" s="30"/>
      <c r="E1430" s="30"/>
      <c r="F1430" s="31"/>
      <c r="G1430" s="31"/>
      <c r="H1430" s="31"/>
      <c r="I1430" s="31"/>
    </row>
    <row r="1431" spans="1:9" s="26" customFormat="1" x14ac:dyDescent="0.35">
      <c r="A1431" s="31"/>
      <c r="B1431" s="29"/>
      <c r="C1431" s="30"/>
      <c r="D1431" s="30"/>
      <c r="E1431" s="30"/>
      <c r="F1431" s="31"/>
      <c r="G1431" s="31"/>
      <c r="H1431" s="31"/>
      <c r="I1431" s="31"/>
    </row>
    <row r="1432" spans="1:9" s="26" customFormat="1" x14ac:dyDescent="0.35">
      <c r="A1432" s="31"/>
      <c r="B1432" s="29"/>
      <c r="C1432" s="30"/>
      <c r="D1432" s="30"/>
      <c r="E1432" s="30"/>
      <c r="F1432" s="31"/>
      <c r="G1432" s="31"/>
      <c r="H1432" s="31"/>
      <c r="I1432" s="31"/>
    </row>
    <row r="1433" spans="1:9" s="26" customFormat="1" x14ac:dyDescent="0.35">
      <c r="A1433" s="31"/>
      <c r="B1433" s="29"/>
      <c r="C1433" s="30"/>
      <c r="D1433" s="30"/>
      <c r="E1433" s="30"/>
      <c r="F1433" s="31"/>
      <c r="G1433" s="31"/>
      <c r="H1433" s="31"/>
      <c r="I1433" s="31"/>
    </row>
    <row r="1434" spans="1:9" s="26" customFormat="1" x14ac:dyDescent="0.35">
      <c r="A1434" s="31"/>
      <c r="B1434" s="29"/>
      <c r="C1434" s="30"/>
      <c r="D1434" s="30"/>
      <c r="E1434" s="30"/>
      <c r="F1434" s="31"/>
      <c r="G1434" s="31"/>
      <c r="H1434" s="31"/>
      <c r="I1434" s="31"/>
    </row>
    <row r="1435" spans="1:9" s="26" customFormat="1" x14ac:dyDescent="0.35">
      <c r="A1435" s="31"/>
      <c r="B1435" s="29"/>
      <c r="C1435" s="30"/>
      <c r="D1435" s="30"/>
      <c r="E1435" s="30"/>
      <c r="F1435" s="31"/>
      <c r="G1435" s="31"/>
      <c r="H1435" s="31"/>
      <c r="I1435" s="31"/>
    </row>
    <row r="1436" spans="1:9" s="26" customFormat="1" x14ac:dyDescent="0.35">
      <c r="A1436" s="31"/>
      <c r="B1436" s="29"/>
      <c r="C1436" s="30"/>
      <c r="D1436" s="30"/>
      <c r="E1436" s="30"/>
      <c r="F1436" s="31"/>
      <c r="G1436" s="31"/>
      <c r="H1436" s="31"/>
      <c r="I1436" s="31"/>
    </row>
    <row r="1437" spans="1:9" s="26" customFormat="1" x14ac:dyDescent="0.35">
      <c r="A1437" s="31"/>
      <c r="B1437" s="29"/>
      <c r="C1437" s="30"/>
      <c r="D1437" s="30"/>
      <c r="E1437" s="30"/>
      <c r="F1437" s="31"/>
      <c r="G1437" s="31"/>
      <c r="H1437" s="31"/>
      <c r="I1437" s="31"/>
    </row>
    <row r="1438" spans="1:9" s="26" customFormat="1" x14ac:dyDescent="0.35">
      <c r="A1438" s="31"/>
      <c r="B1438" s="29"/>
      <c r="C1438" s="30"/>
      <c r="D1438" s="30"/>
      <c r="E1438" s="30"/>
      <c r="F1438" s="31"/>
      <c r="G1438" s="31"/>
      <c r="H1438" s="31"/>
      <c r="I1438" s="31"/>
    </row>
    <row r="1439" spans="1:9" s="26" customFormat="1" x14ac:dyDescent="0.35">
      <c r="A1439" s="31"/>
      <c r="B1439" s="29"/>
      <c r="C1439" s="30"/>
      <c r="D1439" s="30"/>
      <c r="E1439" s="30"/>
      <c r="F1439" s="31"/>
      <c r="G1439" s="31"/>
      <c r="H1439" s="31"/>
      <c r="I1439" s="31"/>
    </row>
    <row r="1440" spans="1:9" s="26" customFormat="1" x14ac:dyDescent="0.35">
      <c r="A1440" s="31"/>
      <c r="B1440" s="29"/>
      <c r="C1440" s="30"/>
      <c r="D1440" s="30"/>
      <c r="E1440" s="30"/>
      <c r="F1440" s="31"/>
      <c r="G1440" s="31"/>
      <c r="H1440" s="31"/>
      <c r="I1440" s="31"/>
    </row>
    <row r="1441" spans="1:9" s="26" customFormat="1" x14ac:dyDescent="0.35">
      <c r="A1441" s="31"/>
      <c r="B1441" s="29"/>
      <c r="C1441" s="30"/>
      <c r="D1441" s="30"/>
      <c r="E1441" s="30"/>
      <c r="F1441" s="31"/>
      <c r="G1441" s="31"/>
      <c r="H1441" s="31"/>
      <c r="I1441" s="31"/>
    </row>
    <row r="1442" spans="1:9" s="26" customFormat="1" x14ac:dyDescent="0.35">
      <c r="A1442" s="31"/>
      <c r="B1442" s="29"/>
      <c r="C1442" s="30"/>
      <c r="D1442" s="30"/>
      <c r="E1442" s="30"/>
      <c r="F1442" s="31"/>
      <c r="G1442" s="31"/>
      <c r="H1442" s="31"/>
      <c r="I1442" s="31"/>
    </row>
    <row r="1443" spans="1:9" s="26" customFormat="1" x14ac:dyDescent="0.35">
      <c r="A1443" s="31"/>
      <c r="B1443" s="29"/>
      <c r="C1443" s="30"/>
      <c r="D1443" s="30"/>
      <c r="E1443" s="30"/>
      <c r="F1443" s="31"/>
      <c r="G1443" s="31"/>
      <c r="H1443" s="31"/>
      <c r="I1443" s="31"/>
    </row>
    <row r="1444" spans="1:9" s="26" customFormat="1" x14ac:dyDescent="0.35">
      <c r="A1444" s="31"/>
      <c r="B1444" s="29"/>
      <c r="C1444" s="30"/>
      <c r="D1444" s="30"/>
      <c r="E1444" s="30"/>
      <c r="F1444" s="31"/>
      <c r="G1444" s="31"/>
      <c r="H1444" s="31"/>
      <c r="I1444" s="31"/>
    </row>
    <row r="1445" spans="1:9" s="26" customFormat="1" x14ac:dyDescent="0.35">
      <c r="A1445" s="31"/>
      <c r="B1445" s="29"/>
      <c r="C1445" s="30"/>
      <c r="D1445" s="30"/>
      <c r="E1445" s="30"/>
      <c r="F1445" s="31"/>
      <c r="G1445" s="31"/>
      <c r="H1445" s="31"/>
      <c r="I1445" s="31"/>
    </row>
    <row r="1446" spans="1:9" s="26" customFormat="1" x14ac:dyDescent="0.35">
      <c r="A1446" s="31"/>
      <c r="B1446" s="29"/>
      <c r="C1446" s="30"/>
      <c r="D1446" s="30"/>
      <c r="E1446" s="30"/>
      <c r="F1446" s="31"/>
      <c r="G1446" s="31"/>
      <c r="H1446" s="31"/>
      <c r="I1446" s="31"/>
    </row>
    <row r="1447" spans="1:9" s="26" customFormat="1" x14ac:dyDescent="0.35">
      <c r="A1447" s="31"/>
      <c r="B1447" s="29"/>
      <c r="C1447" s="30"/>
      <c r="D1447" s="30"/>
      <c r="E1447" s="30"/>
      <c r="F1447" s="31"/>
      <c r="G1447" s="31"/>
      <c r="H1447" s="31"/>
      <c r="I1447" s="31"/>
    </row>
    <row r="1448" spans="1:9" s="26" customFormat="1" x14ac:dyDescent="0.35">
      <c r="A1448" s="31"/>
      <c r="B1448" s="29"/>
      <c r="C1448" s="30"/>
      <c r="D1448" s="30"/>
      <c r="E1448" s="30"/>
      <c r="F1448" s="31"/>
      <c r="G1448" s="31"/>
      <c r="H1448" s="31"/>
      <c r="I1448" s="31"/>
    </row>
    <row r="1449" spans="1:9" s="26" customFormat="1" x14ac:dyDescent="0.35">
      <c r="A1449" s="31"/>
      <c r="B1449" s="29"/>
      <c r="C1449" s="30"/>
      <c r="D1449" s="30"/>
      <c r="E1449" s="30"/>
      <c r="F1449" s="31"/>
      <c r="G1449" s="31"/>
      <c r="H1449" s="31"/>
      <c r="I1449" s="31"/>
    </row>
    <row r="1450" spans="1:9" s="26" customFormat="1" x14ac:dyDescent="0.35">
      <c r="A1450" s="31"/>
      <c r="B1450" s="29"/>
      <c r="C1450" s="30"/>
      <c r="D1450" s="30"/>
      <c r="E1450" s="30"/>
      <c r="F1450" s="31"/>
      <c r="G1450" s="31"/>
      <c r="H1450" s="31"/>
      <c r="I1450" s="31"/>
    </row>
    <row r="1451" spans="1:9" s="26" customFormat="1" x14ac:dyDescent="0.35">
      <c r="A1451" s="31"/>
      <c r="B1451" s="29"/>
      <c r="C1451" s="30"/>
      <c r="D1451" s="30"/>
      <c r="E1451" s="30"/>
      <c r="F1451" s="31"/>
      <c r="G1451" s="31"/>
      <c r="H1451" s="31"/>
      <c r="I1451" s="31"/>
    </row>
    <row r="1452" spans="1:9" s="26" customFormat="1" x14ac:dyDescent="0.35">
      <c r="A1452" s="31"/>
      <c r="B1452" s="29"/>
      <c r="C1452" s="30"/>
      <c r="D1452" s="30"/>
      <c r="E1452" s="30"/>
      <c r="F1452" s="31"/>
      <c r="G1452" s="31"/>
      <c r="H1452" s="31"/>
      <c r="I1452" s="31"/>
    </row>
    <row r="1453" spans="1:9" s="26" customFormat="1" x14ac:dyDescent="0.35">
      <c r="A1453" s="31"/>
      <c r="B1453" s="29"/>
      <c r="C1453" s="30"/>
      <c r="D1453" s="30"/>
      <c r="E1453" s="30"/>
      <c r="F1453" s="31"/>
      <c r="G1453" s="31"/>
      <c r="H1453" s="31"/>
      <c r="I1453" s="31"/>
    </row>
    <row r="1454" spans="1:9" s="26" customFormat="1" x14ac:dyDescent="0.35">
      <c r="A1454" s="31"/>
      <c r="B1454" s="29"/>
      <c r="C1454" s="30"/>
      <c r="D1454" s="30"/>
      <c r="E1454" s="30"/>
      <c r="F1454" s="31"/>
      <c r="G1454" s="31"/>
      <c r="H1454" s="31"/>
      <c r="I1454" s="31"/>
    </row>
    <row r="1455" spans="1:9" s="26" customFormat="1" x14ac:dyDescent="0.35">
      <c r="A1455" s="31"/>
      <c r="B1455" s="29"/>
      <c r="C1455" s="30"/>
      <c r="D1455" s="30"/>
      <c r="E1455" s="30"/>
      <c r="F1455" s="31"/>
      <c r="G1455" s="31"/>
      <c r="H1455" s="31"/>
      <c r="I1455" s="31"/>
    </row>
    <row r="1456" spans="1:9" s="26" customFormat="1" x14ac:dyDescent="0.35">
      <c r="A1456" s="31"/>
      <c r="B1456" s="29"/>
      <c r="C1456" s="30"/>
      <c r="D1456" s="30"/>
      <c r="E1456" s="30"/>
      <c r="F1456" s="31"/>
      <c r="G1456" s="31"/>
      <c r="H1456" s="31"/>
      <c r="I1456" s="31"/>
    </row>
    <row r="1457" spans="1:9" s="26" customFormat="1" x14ac:dyDescent="0.35">
      <c r="A1457" s="31"/>
      <c r="B1457" s="29"/>
      <c r="C1457" s="30"/>
      <c r="D1457" s="30"/>
      <c r="E1457" s="30"/>
      <c r="F1457" s="31"/>
      <c r="G1457" s="31"/>
      <c r="H1457" s="31"/>
      <c r="I1457" s="31"/>
    </row>
    <row r="1458" spans="1:9" s="26" customFormat="1" x14ac:dyDescent="0.35">
      <c r="A1458" s="31"/>
      <c r="B1458" s="29"/>
      <c r="C1458" s="30"/>
      <c r="D1458" s="30"/>
      <c r="E1458" s="30"/>
      <c r="F1458" s="31"/>
      <c r="G1458" s="31"/>
      <c r="H1458" s="31"/>
      <c r="I1458" s="31"/>
    </row>
  </sheetData>
  <conditionalFormatting sqref="E707:E862">
    <cfRule type="colorScale" priority="2">
      <colorScale>
        <cfvo type="min"/>
        <cfvo type="percentile" val="50"/>
        <cfvo type="max"/>
        <color rgb="FFF8696B"/>
        <color rgb="FFFFEB84"/>
        <color rgb="FF63BE7B"/>
      </colorScale>
    </cfRule>
  </conditionalFormatting>
  <conditionalFormatting sqref="I707:I86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2023-01-28T01:54:39Z</dcterms:modified>
</cp:coreProperties>
</file>