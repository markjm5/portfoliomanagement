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11BF9A2D-E455-415D-B191-31FA96BDFD14}" xr6:coauthVersionLast="47" xr6:coauthVersionMax="47" xr10:uidLastSave="{00000000-0000-0000-0000-000000000000}"/>
  <bookViews>
    <workbookView xWindow="-110" yWindow="-110" windowWidth="19420" windowHeight="11500" activeTab="5"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62" i="6" l="1"/>
  <c r="B862" i="6" s="1"/>
  <c r="C862" i="6" s="1"/>
  <c r="D862" i="6" s="1"/>
  <c r="E862" i="6"/>
  <c r="F862" i="6"/>
  <c r="C154" i="5"/>
  <c r="D154" i="5"/>
  <c r="E154" i="5"/>
  <c r="F154" i="5"/>
  <c r="G154" i="5"/>
  <c r="H154" i="5"/>
  <c r="I154" i="5"/>
  <c r="J154" i="5"/>
  <c r="K154" i="5"/>
  <c r="L154" i="5"/>
  <c r="M154" i="5"/>
  <c r="N154" i="5"/>
  <c r="O154" i="5"/>
  <c r="P154" i="5"/>
  <c r="Q154" i="5"/>
  <c r="R154" i="5"/>
  <c r="S154" i="5"/>
  <c r="T154" i="5"/>
  <c r="U154" i="5"/>
  <c r="V154" i="5"/>
  <c r="W154" i="5"/>
  <c r="X154" i="5"/>
  <c r="X6" i="5" s="1"/>
  <c r="X7" i="5" s="1"/>
  <c r="Y154" i="5"/>
  <c r="C154" i="4"/>
  <c r="D154" i="4"/>
  <c r="E154" i="4"/>
  <c r="F154" i="4"/>
  <c r="G154" i="4"/>
  <c r="H154" i="4"/>
  <c r="I154" i="4"/>
  <c r="J154" i="4"/>
  <c r="K154" i="4"/>
  <c r="L154" i="4"/>
  <c r="M154" i="4"/>
  <c r="M6" i="4" s="1"/>
  <c r="M7" i="4" s="1"/>
  <c r="N154" i="4"/>
  <c r="N5" i="4" s="1"/>
  <c r="O154" i="4"/>
  <c r="P154" i="4"/>
  <c r="Q154" i="4"/>
  <c r="R154" i="4"/>
  <c r="S154" i="4"/>
  <c r="T154" i="4"/>
  <c r="U154" i="4"/>
  <c r="V154" i="4"/>
  <c r="W154" i="4"/>
  <c r="X154" i="4"/>
  <c r="Y154" i="4"/>
  <c r="A861" i="6"/>
  <c r="F861" i="6" s="1"/>
  <c r="G862" i="6" s="1"/>
  <c r="H862" i="6" s="1"/>
  <c r="A860" i="6"/>
  <c r="F859" i="6"/>
  <c r="A859" i="6"/>
  <c r="B859" i="6" s="1"/>
  <c r="F858" i="6"/>
  <c r="B858" i="6"/>
  <c r="A858" i="6"/>
  <c r="A857" i="6"/>
  <c r="F857" i="6" s="1"/>
  <c r="G857" i="6" s="1"/>
  <c r="H857" i="6" s="1"/>
  <c r="F856" i="6"/>
  <c r="A856" i="6"/>
  <c r="B856" i="6" s="1"/>
  <c r="A855" i="6"/>
  <c r="A854" i="6"/>
  <c r="F853" i="6"/>
  <c r="B853" i="6"/>
  <c r="A853" i="6"/>
  <c r="A852" i="6"/>
  <c r="A851" i="6"/>
  <c r="F850" i="6"/>
  <c r="D850" i="6"/>
  <c r="A850" i="6"/>
  <c r="B850" i="6" s="1"/>
  <c r="C850" i="6" s="1"/>
  <c r="B849" i="6"/>
  <c r="A849" i="6"/>
  <c r="F849" i="6" s="1"/>
  <c r="F848" i="6"/>
  <c r="A848" i="6"/>
  <c r="B848" i="6" s="1"/>
  <c r="A847" i="6"/>
  <c r="B847" i="6" s="1"/>
  <c r="E859" i="6" s="1"/>
  <c r="A846" i="6"/>
  <c r="F845" i="6"/>
  <c r="I845" i="6" s="1"/>
  <c r="B845" i="6"/>
  <c r="A845" i="6"/>
  <c r="A844" i="6"/>
  <c r="F843" i="6"/>
  <c r="A843" i="6"/>
  <c r="B843" i="6" s="1"/>
  <c r="F842" i="6"/>
  <c r="B842" i="6"/>
  <c r="A842" i="6"/>
  <c r="B841" i="6"/>
  <c r="A841" i="6"/>
  <c r="F841" i="6" s="1"/>
  <c r="A840" i="6"/>
  <c r="B840" i="6" s="1"/>
  <c r="F839" i="6"/>
  <c r="A839" i="6"/>
  <c r="B839" i="6" s="1"/>
  <c r="A838" i="6"/>
  <c r="F837" i="6"/>
  <c r="I849" i="6" s="1"/>
  <c r="B837" i="6"/>
  <c r="A837" i="6"/>
  <c r="A836" i="6"/>
  <c r="A835" i="6"/>
  <c r="B834" i="6"/>
  <c r="A834" i="6"/>
  <c r="F834" i="6" s="1"/>
  <c r="A833" i="6"/>
  <c r="F833" i="6" s="1"/>
  <c r="A832" i="6"/>
  <c r="F831" i="6"/>
  <c r="E831" i="6"/>
  <c r="A831" i="6"/>
  <c r="B831" i="6" s="1"/>
  <c r="E843" i="6" s="1"/>
  <c r="A830" i="6"/>
  <c r="F829" i="6"/>
  <c r="B829" i="6"/>
  <c r="A829" i="6"/>
  <c r="A828" i="6"/>
  <c r="F827" i="6"/>
  <c r="A827" i="6"/>
  <c r="B827" i="6" s="1"/>
  <c r="A826" i="6"/>
  <c r="B825" i="6"/>
  <c r="A825" i="6"/>
  <c r="F825" i="6" s="1"/>
  <c r="F824" i="6"/>
  <c r="G824" i="6" s="1"/>
  <c r="H824" i="6" s="1"/>
  <c r="A824" i="6"/>
  <c r="B824" i="6" s="1"/>
  <c r="F823" i="6"/>
  <c r="A823" i="6"/>
  <c r="B823" i="6" s="1"/>
  <c r="A822" i="6"/>
  <c r="F821" i="6"/>
  <c r="B821" i="6"/>
  <c r="A821" i="6"/>
  <c r="A820" i="6"/>
  <c r="F819" i="6"/>
  <c r="D819" i="6"/>
  <c r="A819" i="6"/>
  <c r="B819" i="6" s="1"/>
  <c r="C819" i="6" s="1"/>
  <c r="B818" i="6"/>
  <c r="A818" i="6"/>
  <c r="F818" i="6" s="1"/>
  <c r="A817" i="6"/>
  <c r="F817" i="6" s="1"/>
  <c r="G817" i="6" s="1"/>
  <c r="H817" i="6" s="1"/>
  <c r="F816" i="6"/>
  <c r="A816" i="6"/>
  <c r="B816" i="6" s="1"/>
  <c r="A815" i="6"/>
  <c r="A814" i="6"/>
  <c r="F813" i="6"/>
  <c r="B813" i="6"/>
  <c r="E825" i="6" s="1"/>
  <c r="A813" i="6"/>
  <c r="A812" i="6"/>
  <c r="F811" i="6"/>
  <c r="D811" i="6"/>
  <c r="A811" i="6"/>
  <c r="B811" i="6" s="1"/>
  <c r="C811" i="6" s="1"/>
  <c r="F810" i="6"/>
  <c r="B810" i="6"/>
  <c r="A810" i="6"/>
  <c r="B809" i="6"/>
  <c r="A809" i="6"/>
  <c r="F809" i="6" s="1"/>
  <c r="F808" i="6"/>
  <c r="A808" i="6"/>
  <c r="B808" i="6" s="1"/>
  <c r="A807" i="6"/>
  <c r="A806" i="6"/>
  <c r="F805" i="6"/>
  <c r="B805" i="6"/>
  <c r="A805" i="6"/>
  <c r="A804" i="6"/>
  <c r="A803" i="6"/>
  <c r="F802" i="6"/>
  <c r="G802" i="6" s="1"/>
  <c r="H802" i="6" s="1"/>
  <c r="A802" i="6"/>
  <c r="B802" i="6" s="1"/>
  <c r="B801" i="6"/>
  <c r="A801" i="6"/>
  <c r="F801" i="6" s="1"/>
  <c r="F800" i="6"/>
  <c r="A800" i="6"/>
  <c r="B800" i="6" s="1"/>
  <c r="A799" i="6"/>
  <c r="B799" i="6" s="1"/>
  <c r="A798" i="6"/>
  <c r="F797" i="6"/>
  <c r="B797" i="6"/>
  <c r="A797" i="6"/>
  <c r="A796" i="6"/>
  <c r="F795" i="6"/>
  <c r="A795" i="6"/>
  <c r="B795" i="6" s="1"/>
  <c r="F794" i="6"/>
  <c r="G794" i="6" s="1"/>
  <c r="H794" i="6" s="1"/>
  <c r="B794" i="6"/>
  <c r="A794" i="6"/>
  <c r="B793" i="6"/>
  <c r="A793" i="6"/>
  <c r="F793" i="6" s="1"/>
  <c r="F792" i="6"/>
  <c r="G792" i="6" s="1"/>
  <c r="H792" i="6" s="1"/>
  <c r="A792" i="6"/>
  <c r="B792" i="6" s="1"/>
  <c r="F791" i="6"/>
  <c r="A791" i="6"/>
  <c r="B791" i="6" s="1"/>
  <c r="A790" i="6"/>
  <c r="F789" i="6"/>
  <c r="B789" i="6"/>
  <c r="A789" i="6"/>
  <c r="A788" i="6"/>
  <c r="A787" i="6"/>
  <c r="B786" i="6"/>
  <c r="A786" i="6"/>
  <c r="F786" i="6" s="1"/>
  <c r="A785" i="6"/>
  <c r="F785" i="6" s="1"/>
  <c r="I797" i="6" s="1"/>
  <c r="A784" i="6"/>
  <c r="F783" i="6"/>
  <c r="E783" i="6"/>
  <c r="A783" i="6"/>
  <c r="B783" i="6" s="1"/>
  <c r="E795" i="6" s="1"/>
  <c r="A782" i="6"/>
  <c r="F781" i="6"/>
  <c r="I793" i="6" s="1"/>
  <c r="B781" i="6"/>
  <c r="A781" i="6"/>
  <c r="A780" i="6"/>
  <c r="A779" i="6"/>
  <c r="B779" i="6" s="1"/>
  <c r="A778" i="6"/>
  <c r="F777" i="6"/>
  <c r="G777" i="6" s="1"/>
  <c r="H777" i="6" s="1"/>
  <c r="A777" i="6"/>
  <c r="B777" i="6" s="1"/>
  <c r="F776" i="6"/>
  <c r="A776" i="6"/>
  <c r="B776" i="6" s="1"/>
  <c r="F775" i="6"/>
  <c r="A775" i="6"/>
  <c r="B775" i="6" s="1"/>
  <c r="A774" i="6"/>
  <c r="F773" i="6"/>
  <c r="B773" i="6"/>
  <c r="A773" i="6"/>
  <c r="A772" i="6"/>
  <c r="F771" i="6"/>
  <c r="A771" i="6"/>
  <c r="B771" i="6" s="1"/>
  <c r="F770" i="6"/>
  <c r="B770" i="6"/>
  <c r="A770" i="6"/>
  <c r="F769" i="6"/>
  <c r="A769" i="6"/>
  <c r="B769" i="6" s="1"/>
  <c r="A768" i="6"/>
  <c r="B768" i="6" s="1"/>
  <c r="F767" i="6"/>
  <c r="A767" i="6"/>
  <c r="B767" i="6" s="1"/>
  <c r="A766" i="6"/>
  <c r="F765" i="6"/>
  <c r="B765" i="6"/>
  <c r="A765" i="6"/>
  <c r="A764" i="6"/>
  <c r="A763" i="6"/>
  <c r="B762" i="6"/>
  <c r="A762" i="6"/>
  <c r="F762" i="6" s="1"/>
  <c r="B761" i="6"/>
  <c r="A761" i="6"/>
  <c r="F761" i="6" s="1"/>
  <c r="A760" i="6"/>
  <c r="A759" i="6"/>
  <c r="A758" i="6"/>
  <c r="F757" i="6"/>
  <c r="B757" i="6"/>
  <c r="A757" i="6"/>
  <c r="A756" i="6"/>
  <c r="F755" i="6"/>
  <c r="A755" i="6"/>
  <c r="B755" i="6" s="1"/>
  <c r="A754" i="6"/>
  <c r="F753" i="6"/>
  <c r="I765" i="6" s="1"/>
  <c r="A753" i="6"/>
  <c r="B753" i="6" s="1"/>
  <c r="F752" i="6"/>
  <c r="A752" i="6"/>
  <c r="B752" i="6" s="1"/>
  <c r="F751" i="6"/>
  <c r="E751" i="6"/>
  <c r="A751" i="6"/>
  <c r="B751" i="6" s="1"/>
  <c r="A750" i="6"/>
  <c r="F749" i="6"/>
  <c r="B749" i="6"/>
  <c r="A749" i="6"/>
  <c r="A748" i="6"/>
  <c r="F748" i="6" s="1"/>
  <c r="B747" i="6"/>
  <c r="A747" i="6"/>
  <c r="F747" i="6" s="1"/>
  <c r="F746" i="6"/>
  <c r="C746" i="6"/>
  <c r="D746" i="6" s="1"/>
  <c r="B746" i="6"/>
  <c r="A746" i="6"/>
  <c r="F745" i="6"/>
  <c r="I757" i="6" s="1"/>
  <c r="B745" i="6"/>
  <c r="E757" i="6" s="1"/>
  <c r="A745" i="6"/>
  <c r="B744" i="6"/>
  <c r="A744" i="6"/>
  <c r="F744" i="6" s="1"/>
  <c r="I744" i="6" s="1"/>
  <c r="A743" i="6"/>
  <c r="A742" i="6"/>
  <c r="F741" i="6"/>
  <c r="B741" i="6"/>
  <c r="A741" i="6"/>
  <c r="E740" i="6"/>
  <c r="B740" i="6"/>
  <c r="E752" i="6" s="1"/>
  <c r="A740" i="6"/>
  <c r="F740" i="6" s="1"/>
  <c r="F739" i="6"/>
  <c r="A739" i="6"/>
  <c r="B739" i="6" s="1"/>
  <c r="A738" i="6"/>
  <c r="F737" i="6"/>
  <c r="G737" i="6" s="1"/>
  <c r="H737" i="6" s="1"/>
  <c r="E737" i="6"/>
  <c r="B737" i="6"/>
  <c r="A737" i="6"/>
  <c r="B736" i="6"/>
  <c r="A736" i="6"/>
  <c r="F736" i="6" s="1"/>
  <c r="F735" i="6"/>
  <c r="A735" i="6"/>
  <c r="B735" i="6" s="1"/>
  <c r="A734" i="6"/>
  <c r="F734" i="6" s="1"/>
  <c r="F733" i="6"/>
  <c r="G733" i="6" s="1"/>
  <c r="H733" i="6" s="1"/>
  <c r="B733" i="6"/>
  <c r="A733" i="6"/>
  <c r="A732" i="6"/>
  <c r="F732" i="6" s="1"/>
  <c r="F731" i="6"/>
  <c r="A731" i="6"/>
  <c r="B731" i="6" s="1"/>
  <c r="A730" i="6"/>
  <c r="F730" i="6" s="1"/>
  <c r="F729" i="6"/>
  <c r="B729" i="6"/>
  <c r="A729" i="6"/>
  <c r="F728" i="6"/>
  <c r="I740" i="6" s="1"/>
  <c r="E728" i="6"/>
  <c r="A728" i="6"/>
  <c r="B728" i="6" s="1"/>
  <c r="C728" i="6" s="1"/>
  <c r="D728" i="6" s="1"/>
  <c r="B727" i="6"/>
  <c r="E739" i="6" s="1"/>
  <c r="A727" i="6"/>
  <c r="F727" i="6" s="1"/>
  <c r="A726" i="6"/>
  <c r="F726" i="6" s="1"/>
  <c r="G726" i="6" s="1"/>
  <c r="H726" i="6" s="1"/>
  <c r="F725" i="6"/>
  <c r="E725" i="6"/>
  <c r="B725" i="6"/>
  <c r="A725" i="6"/>
  <c r="A724" i="6"/>
  <c r="F724" i="6" s="1"/>
  <c r="A723" i="6"/>
  <c r="F723" i="6" s="1"/>
  <c r="I723" i="6" s="1"/>
  <c r="F722" i="6"/>
  <c r="B722" i="6"/>
  <c r="A722" i="6"/>
  <c r="F721" i="6"/>
  <c r="B721" i="6"/>
  <c r="E733" i="6" s="1"/>
  <c r="A721" i="6"/>
  <c r="A720" i="6"/>
  <c r="F720" i="6" s="1"/>
  <c r="B719" i="6"/>
  <c r="A719" i="6"/>
  <c r="F719" i="6" s="1"/>
  <c r="A718" i="6"/>
  <c r="F717" i="6"/>
  <c r="I729" i="6" s="1"/>
  <c r="B717" i="6"/>
  <c r="A717" i="6"/>
  <c r="F716" i="6"/>
  <c r="B716" i="6"/>
  <c r="C716" i="6" s="1"/>
  <c r="D716" i="6" s="1"/>
  <c r="A716" i="6"/>
  <c r="B715" i="6"/>
  <c r="A715" i="6"/>
  <c r="F715" i="6" s="1"/>
  <c r="I715" i="6" s="1"/>
  <c r="F714" i="6"/>
  <c r="B714" i="6"/>
  <c r="A714" i="6"/>
  <c r="F713" i="6"/>
  <c r="E713" i="6"/>
  <c r="B713" i="6"/>
  <c r="A713" i="6"/>
  <c r="B712" i="6"/>
  <c r="A712" i="6"/>
  <c r="F712" i="6" s="1"/>
  <c r="B711" i="6"/>
  <c r="A711" i="6"/>
  <c r="F711" i="6" s="1"/>
  <c r="F710" i="6"/>
  <c r="B710" i="6"/>
  <c r="A710" i="6"/>
  <c r="I709" i="6"/>
  <c r="F709" i="6"/>
  <c r="B709" i="6"/>
  <c r="C709" i="6" s="1"/>
  <c r="D709" i="6" s="1"/>
  <c r="A709" i="6"/>
  <c r="F708" i="6"/>
  <c r="B708" i="6"/>
  <c r="A708" i="6"/>
  <c r="A707" i="6"/>
  <c r="F707" i="6" s="1"/>
  <c r="F706" i="6"/>
  <c r="B706" i="6"/>
  <c r="C706" i="6" s="1"/>
  <c r="D706" i="6" s="1"/>
  <c r="A706" i="6"/>
  <c r="F705" i="6"/>
  <c r="E705" i="6"/>
  <c r="B705" i="6"/>
  <c r="E717" i="6" s="1"/>
  <c r="A705" i="6"/>
  <c r="A704" i="6"/>
  <c r="B703" i="6"/>
  <c r="A703" i="6"/>
  <c r="F703" i="6" s="1"/>
  <c r="A702" i="6"/>
  <c r="B702" i="6" s="1"/>
  <c r="F701" i="6"/>
  <c r="C701" i="6"/>
  <c r="D701" i="6" s="1"/>
  <c r="B701" i="6"/>
  <c r="A701" i="6"/>
  <c r="F700" i="6"/>
  <c r="I712" i="6" s="1"/>
  <c r="B700" i="6"/>
  <c r="A700" i="6"/>
  <c r="A699" i="6"/>
  <c r="F699" i="6" s="1"/>
  <c r="F698" i="6"/>
  <c r="I698" i="6" s="1"/>
  <c r="A698" i="6"/>
  <c r="B698" i="6" s="1"/>
  <c r="C698" i="6" s="1"/>
  <c r="D698" i="6" s="1"/>
  <c r="F697" i="6"/>
  <c r="E697" i="6"/>
  <c r="B697" i="6"/>
  <c r="E709" i="6" s="1"/>
  <c r="A697" i="6"/>
  <c r="A696" i="6"/>
  <c r="F696" i="6" s="1"/>
  <c r="I708" i="6" s="1"/>
  <c r="A695" i="6"/>
  <c r="I694" i="6"/>
  <c r="B694" i="6"/>
  <c r="E694" i="6" s="1"/>
  <c r="A694" i="6"/>
  <c r="F694" i="6" s="1"/>
  <c r="G694" i="6" s="1"/>
  <c r="H694" i="6" s="1"/>
  <c r="F693" i="6"/>
  <c r="E693" i="6"/>
  <c r="B693" i="6"/>
  <c r="A693" i="6"/>
  <c r="B692" i="6"/>
  <c r="A692" i="6"/>
  <c r="F692" i="6" s="1"/>
  <c r="A691" i="6"/>
  <c r="A690" i="6"/>
  <c r="F689" i="6"/>
  <c r="I701" i="6" s="1"/>
  <c r="B689" i="6"/>
  <c r="E701" i="6" s="1"/>
  <c r="A689" i="6"/>
  <c r="F688" i="6"/>
  <c r="B688" i="6"/>
  <c r="A688" i="6"/>
  <c r="F687" i="6"/>
  <c r="A687" i="6"/>
  <c r="B687" i="6" s="1"/>
  <c r="B686" i="6"/>
  <c r="A686" i="6"/>
  <c r="F686" i="6" s="1"/>
  <c r="F685" i="6"/>
  <c r="I685" i="6" s="1"/>
  <c r="B685" i="6"/>
  <c r="A685" i="6"/>
  <c r="B684" i="6"/>
  <c r="A684" i="6"/>
  <c r="F684" i="6" s="1"/>
  <c r="B683" i="6"/>
  <c r="A683" i="6"/>
  <c r="F683" i="6" s="1"/>
  <c r="F682" i="6"/>
  <c r="B682" i="6"/>
  <c r="C682" i="6" s="1"/>
  <c r="D682" i="6" s="1"/>
  <c r="A682" i="6"/>
  <c r="F681" i="6"/>
  <c r="E681" i="6"/>
  <c r="C681" i="6"/>
  <c r="D681" i="6" s="1"/>
  <c r="B681" i="6"/>
  <c r="A681" i="6"/>
  <c r="F680" i="6"/>
  <c r="A680" i="6"/>
  <c r="B680" i="6" s="1"/>
  <c r="F679" i="6"/>
  <c r="A679" i="6"/>
  <c r="B679" i="6" s="1"/>
  <c r="F678" i="6"/>
  <c r="B678" i="6"/>
  <c r="A678" i="6"/>
  <c r="F677" i="6"/>
  <c r="B677" i="6"/>
  <c r="A677" i="6"/>
  <c r="A676" i="6"/>
  <c r="B676" i="6" s="1"/>
  <c r="F675" i="6"/>
  <c r="B675" i="6"/>
  <c r="E675" i="6" s="1"/>
  <c r="A675" i="6"/>
  <c r="A674" i="6"/>
  <c r="F673" i="6"/>
  <c r="E673" i="6"/>
  <c r="B673" i="6"/>
  <c r="A673" i="6"/>
  <c r="B672" i="6"/>
  <c r="A672" i="6"/>
  <c r="F672" i="6" s="1"/>
  <c r="G673" i="6" s="1"/>
  <c r="H673" i="6" s="1"/>
  <c r="F671" i="6"/>
  <c r="I671" i="6" s="1"/>
  <c r="E671" i="6"/>
  <c r="B671" i="6"/>
  <c r="A671" i="6"/>
  <c r="F670" i="6"/>
  <c r="B670" i="6"/>
  <c r="A670" i="6"/>
  <c r="F669" i="6"/>
  <c r="E669" i="6"/>
  <c r="C669" i="6"/>
  <c r="D669" i="6" s="1"/>
  <c r="B669" i="6"/>
  <c r="A669" i="6"/>
  <c r="F668" i="6"/>
  <c r="B668" i="6"/>
  <c r="A668" i="6"/>
  <c r="F667" i="6"/>
  <c r="B667" i="6"/>
  <c r="A667" i="6"/>
  <c r="A666" i="6"/>
  <c r="F666" i="6" s="1"/>
  <c r="F665" i="6"/>
  <c r="G665" i="6" s="1"/>
  <c r="H665" i="6" s="1"/>
  <c r="E665" i="6"/>
  <c r="B665" i="6"/>
  <c r="A665" i="6"/>
  <c r="F664" i="6"/>
  <c r="B664" i="6"/>
  <c r="A664" i="6"/>
  <c r="F663" i="6"/>
  <c r="I675" i="6" s="1"/>
  <c r="A663" i="6"/>
  <c r="B663" i="6" s="1"/>
  <c r="A662" i="6"/>
  <c r="F662" i="6" s="1"/>
  <c r="F661" i="6"/>
  <c r="I673" i="6" s="1"/>
  <c r="B661" i="6"/>
  <c r="A661" i="6"/>
  <c r="F660" i="6"/>
  <c r="A660" i="6"/>
  <c r="B660" i="6" s="1"/>
  <c r="B659" i="6"/>
  <c r="C659" i="6" s="1"/>
  <c r="D659" i="6" s="1"/>
  <c r="A659" i="6"/>
  <c r="F659" i="6" s="1"/>
  <c r="F658" i="6"/>
  <c r="B658" i="6"/>
  <c r="A658" i="6"/>
  <c r="F657" i="6"/>
  <c r="B657" i="6"/>
  <c r="A657" i="6"/>
  <c r="A656" i="6"/>
  <c r="F655" i="6"/>
  <c r="B655" i="6"/>
  <c r="A655" i="6"/>
  <c r="F654" i="6"/>
  <c r="C654" i="6"/>
  <c r="D654" i="6" s="1"/>
  <c r="B654" i="6"/>
  <c r="A654" i="6"/>
  <c r="F653" i="6"/>
  <c r="E653" i="6"/>
  <c r="B653" i="6"/>
  <c r="A653" i="6"/>
  <c r="A652" i="6"/>
  <c r="F651" i="6"/>
  <c r="B651" i="6"/>
  <c r="A651" i="6"/>
  <c r="A650" i="6"/>
  <c r="F650" i="6" s="1"/>
  <c r="F649" i="6"/>
  <c r="I649" i="6" s="1"/>
  <c r="B649" i="6"/>
  <c r="A649" i="6"/>
  <c r="F648" i="6"/>
  <c r="A648" i="6"/>
  <c r="B648" i="6" s="1"/>
  <c r="F647" i="6"/>
  <c r="C647" i="6"/>
  <c r="D647" i="6" s="1"/>
  <c r="B647" i="6"/>
  <c r="A647" i="6"/>
  <c r="F646" i="6"/>
  <c r="B646" i="6"/>
  <c r="A646" i="6"/>
  <c r="F645" i="6"/>
  <c r="I645" i="6" s="1"/>
  <c r="B645" i="6"/>
  <c r="A645" i="6"/>
  <c r="F644" i="6"/>
  <c r="I644" i="6" s="1"/>
  <c r="B644" i="6"/>
  <c r="A644" i="6"/>
  <c r="A643" i="6"/>
  <c r="F643" i="6" s="1"/>
  <c r="B642" i="6"/>
  <c r="A642" i="6"/>
  <c r="F642" i="6" s="1"/>
  <c r="I642" i="6" s="1"/>
  <c r="F641" i="6"/>
  <c r="E641" i="6"/>
  <c r="B641" i="6"/>
  <c r="A641" i="6"/>
  <c r="F640" i="6"/>
  <c r="B640" i="6"/>
  <c r="A640" i="6"/>
  <c r="A639" i="6"/>
  <c r="E638" i="6"/>
  <c r="B638" i="6"/>
  <c r="A638" i="6"/>
  <c r="F638" i="6" s="1"/>
  <c r="I638" i="6" s="1"/>
  <c r="F637" i="6"/>
  <c r="E637" i="6"/>
  <c r="C637" i="6"/>
  <c r="D637" i="6" s="1"/>
  <c r="B637" i="6"/>
  <c r="A637" i="6"/>
  <c r="F636" i="6"/>
  <c r="B636" i="6"/>
  <c r="A636" i="6"/>
  <c r="A635" i="6"/>
  <c r="B634" i="6"/>
  <c r="A634" i="6"/>
  <c r="F634" i="6" s="1"/>
  <c r="F633" i="6"/>
  <c r="C633" i="6"/>
  <c r="D633" i="6" s="1"/>
  <c r="B633" i="6"/>
  <c r="A633" i="6"/>
  <c r="F632" i="6"/>
  <c r="A632" i="6"/>
  <c r="B632" i="6" s="1"/>
  <c r="E644" i="6" s="1"/>
  <c r="A631" i="6"/>
  <c r="F630" i="6"/>
  <c r="B630" i="6"/>
  <c r="A630" i="6"/>
  <c r="F629" i="6"/>
  <c r="G630" i="6" s="1"/>
  <c r="H630" i="6" s="1"/>
  <c r="D629" i="6"/>
  <c r="C629" i="6"/>
  <c r="B629" i="6"/>
  <c r="A629" i="6"/>
  <c r="F628" i="6"/>
  <c r="E628" i="6"/>
  <c r="A628" i="6"/>
  <c r="B628" i="6" s="1"/>
  <c r="E640" i="6" s="1"/>
  <c r="A627" i="6"/>
  <c r="F626" i="6"/>
  <c r="C626" i="6"/>
  <c r="D626" i="6" s="1"/>
  <c r="B626" i="6"/>
  <c r="A626" i="6"/>
  <c r="F625" i="6"/>
  <c r="B625" i="6"/>
  <c r="A625" i="6"/>
  <c r="G624" i="6"/>
  <c r="H624" i="6" s="1"/>
  <c r="B624" i="6"/>
  <c r="A624" i="6"/>
  <c r="F624" i="6" s="1"/>
  <c r="F623" i="6"/>
  <c r="C623" i="6"/>
  <c r="D623" i="6" s="1"/>
  <c r="B623" i="6"/>
  <c r="A623" i="6"/>
  <c r="F622" i="6"/>
  <c r="B622" i="6"/>
  <c r="A622" i="6"/>
  <c r="F621" i="6"/>
  <c r="I621" i="6" s="1"/>
  <c r="E621" i="6"/>
  <c r="B621" i="6"/>
  <c r="E633" i="6" s="1"/>
  <c r="A621" i="6"/>
  <c r="A620" i="6"/>
  <c r="F619" i="6"/>
  <c r="A619" i="6"/>
  <c r="B619" i="6" s="1"/>
  <c r="A618" i="6"/>
  <c r="B617" i="6"/>
  <c r="A617" i="6"/>
  <c r="F617" i="6" s="1"/>
  <c r="F616" i="6"/>
  <c r="E616" i="6"/>
  <c r="A616" i="6"/>
  <c r="B616" i="6" s="1"/>
  <c r="A615" i="6"/>
  <c r="F615" i="6" s="1"/>
  <c r="F614" i="6"/>
  <c r="B614" i="6"/>
  <c r="A614" i="6"/>
  <c r="E613" i="6"/>
  <c r="B613" i="6"/>
  <c r="A613" i="6"/>
  <c r="F613" i="6" s="1"/>
  <c r="A612" i="6"/>
  <c r="F611" i="6"/>
  <c r="I623" i="6" s="1"/>
  <c r="A611" i="6"/>
  <c r="B611" i="6" s="1"/>
  <c r="F610" i="6"/>
  <c r="G610" i="6" s="1"/>
  <c r="H610" i="6" s="1"/>
  <c r="B610" i="6"/>
  <c r="A610" i="6"/>
  <c r="E609" i="6"/>
  <c r="B609" i="6"/>
  <c r="A609" i="6"/>
  <c r="F609" i="6" s="1"/>
  <c r="B608" i="6"/>
  <c r="A608" i="6"/>
  <c r="F608" i="6" s="1"/>
  <c r="F607" i="6"/>
  <c r="I607" i="6" s="1"/>
  <c r="A607" i="6"/>
  <c r="B607" i="6" s="1"/>
  <c r="A606" i="6"/>
  <c r="B605" i="6"/>
  <c r="A605" i="6"/>
  <c r="F605" i="6" s="1"/>
  <c r="I605" i="6" s="1"/>
  <c r="F604" i="6"/>
  <c r="A604" i="6"/>
  <c r="B604" i="6" s="1"/>
  <c r="A603" i="6"/>
  <c r="F602" i="6"/>
  <c r="E602" i="6"/>
  <c r="A602" i="6"/>
  <c r="B602" i="6" s="1"/>
  <c r="D601" i="6"/>
  <c r="B601" i="6"/>
  <c r="C601" i="6" s="1"/>
  <c r="A601" i="6"/>
  <c r="F601" i="6" s="1"/>
  <c r="F600" i="6"/>
  <c r="A600" i="6"/>
  <c r="B600" i="6" s="1"/>
  <c r="A599" i="6"/>
  <c r="A598" i="6"/>
  <c r="B597" i="6"/>
  <c r="A597" i="6"/>
  <c r="F597" i="6" s="1"/>
  <c r="F596" i="6"/>
  <c r="G597" i="6" s="1"/>
  <c r="H597" i="6" s="1"/>
  <c r="B596" i="6"/>
  <c r="A596" i="6"/>
  <c r="G595" i="6"/>
  <c r="H595" i="6" s="1"/>
  <c r="F595" i="6"/>
  <c r="B595" i="6"/>
  <c r="A595" i="6"/>
  <c r="F594" i="6"/>
  <c r="E594" i="6"/>
  <c r="B594" i="6"/>
  <c r="A594" i="6"/>
  <c r="E593" i="6"/>
  <c r="C593" i="6"/>
  <c r="D593" i="6" s="1"/>
  <c r="B593" i="6"/>
  <c r="A593" i="6"/>
  <c r="F593" i="6" s="1"/>
  <c r="G593" i="6" s="1"/>
  <c r="H593" i="6" s="1"/>
  <c r="B592" i="6"/>
  <c r="A592" i="6"/>
  <c r="F592" i="6" s="1"/>
  <c r="A591" i="6"/>
  <c r="F590" i="6"/>
  <c r="B590" i="6"/>
  <c r="A590" i="6"/>
  <c r="A589" i="6"/>
  <c r="A588" i="6"/>
  <c r="F587" i="6"/>
  <c r="I587" i="6" s="1"/>
  <c r="B587" i="6"/>
  <c r="A587" i="6"/>
  <c r="F586" i="6"/>
  <c r="B586" i="6"/>
  <c r="A586" i="6"/>
  <c r="A585" i="6"/>
  <c r="F584" i="6"/>
  <c r="I584" i="6" s="1"/>
  <c r="A584" i="6"/>
  <c r="B584" i="6" s="1"/>
  <c r="C583" i="6"/>
  <c r="D583" i="6" s="1"/>
  <c r="B583" i="6"/>
  <c r="A583" i="6"/>
  <c r="F583" i="6" s="1"/>
  <c r="I583" i="6" s="1"/>
  <c r="F582" i="6"/>
  <c r="E582" i="6"/>
  <c r="B582" i="6"/>
  <c r="A582" i="6"/>
  <c r="B581" i="6"/>
  <c r="A581" i="6"/>
  <c r="F581" i="6" s="1"/>
  <c r="A580" i="6"/>
  <c r="F579" i="6"/>
  <c r="E579" i="6"/>
  <c r="B579" i="6"/>
  <c r="A579" i="6"/>
  <c r="A578" i="6"/>
  <c r="A577" i="6"/>
  <c r="F577" i="6" s="1"/>
  <c r="F576" i="6"/>
  <c r="G576" i="6" s="1"/>
  <c r="H576" i="6" s="1"/>
  <c r="E576" i="6"/>
  <c r="B576" i="6"/>
  <c r="A576" i="6"/>
  <c r="F575" i="6"/>
  <c r="E575" i="6"/>
  <c r="B575" i="6"/>
  <c r="A575" i="6"/>
  <c r="B574" i="6"/>
  <c r="A574" i="6"/>
  <c r="F574" i="6" s="1"/>
  <c r="I586" i="6" s="1"/>
  <c r="A573" i="6"/>
  <c r="F572" i="6"/>
  <c r="B572" i="6"/>
  <c r="A572" i="6"/>
  <c r="B571" i="6"/>
  <c r="C571" i="6" s="1"/>
  <c r="D571" i="6" s="1"/>
  <c r="A571" i="6"/>
  <c r="F571" i="6" s="1"/>
  <c r="I571" i="6" s="1"/>
  <c r="F570" i="6"/>
  <c r="B570" i="6"/>
  <c r="C570" i="6" s="1"/>
  <c r="D570" i="6" s="1"/>
  <c r="A570" i="6"/>
  <c r="G569" i="6"/>
  <c r="H569" i="6" s="1"/>
  <c r="B569" i="6"/>
  <c r="E581" i="6" s="1"/>
  <c r="A569" i="6"/>
  <c r="F569" i="6" s="1"/>
  <c r="A568" i="6"/>
  <c r="F568" i="6" s="1"/>
  <c r="G568" i="6" s="1"/>
  <c r="H568" i="6" s="1"/>
  <c r="F567" i="6"/>
  <c r="I579" i="6" s="1"/>
  <c r="A567" i="6"/>
  <c r="B567" i="6" s="1"/>
  <c r="F566" i="6"/>
  <c r="B566" i="6"/>
  <c r="A566" i="6"/>
  <c r="A565" i="6"/>
  <c r="F564" i="6"/>
  <c r="A564" i="6"/>
  <c r="B564" i="6" s="1"/>
  <c r="F563" i="6"/>
  <c r="G563" i="6" s="1"/>
  <c r="H563" i="6" s="1"/>
  <c r="A563" i="6"/>
  <c r="B563" i="6" s="1"/>
  <c r="F562" i="6"/>
  <c r="D562" i="6"/>
  <c r="C562" i="6"/>
  <c r="B562" i="6"/>
  <c r="A562" i="6"/>
  <c r="B561" i="6"/>
  <c r="A561" i="6"/>
  <c r="F561" i="6" s="1"/>
  <c r="F560" i="6"/>
  <c r="G560" i="6" s="1"/>
  <c r="H560" i="6" s="1"/>
  <c r="E560" i="6"/>
  <c r="A560" i="6"/>
  <c r="B560" i="6" s="1"/>
  <c r="E572" i="6" s="1"/>
  <c r="A559" i="6"/>
  <c r="F559" i="6" s="1"/>
  <c r="F558" i="6"/>
  <c r="A558" i="6"/>
  <c r="B558" i="6" s="1"/>
  <c r="E570" i="6" s="1"/>
  <c r="G557" i="6"/>
  <c r="H557" i="6" s="1"/>
  <c r="A557" i="6"/>
  <c r="F557" i="6" s="1"/>
  <c r="F556" i="6"/>
  <c r="E556" i="6"/>
  <c r="A556" i="6"/>
  <c r="B556" i="6" s="1"/>
  <c r="F555" i="6"/>
  <c r="A555" i="6"/>
  <c r="B555" i="6" s="1"/>
  <c r="F554" i="6"/>
  <c r="C554" i="6"/>
  <c r="D554" i="6" s="1"/>
  <c r="B554" i="6"/>
  <c r="E566" i="6" s="1"/>
  <c r="A554" i="6"/>
  <c r="B553" i="6"/>
  <c r="A553" i="6"/>
  <c r="F553" i="6" s="1"/>
  <c r="I553" i="6" s="1"/>
  <c r="A552" i="6"/>
  <c r="I551" i="6"/>
  <c r="G551" i="6"/>
  <c r="H551" i="6" s="1"/>
  <c r="F551" i="6"/>
  <c r="A551" i="6"/>
  <c r="B551" i="6" s="1"/>
  <c r="C551" i="6" s="1"/>
  <c r="D551" i="6" s="1"/>
  <c r="B550" i="6"/>
  <c r="A550" i="6"/>
  <c r="F550" i="6" s="1"/>
  <c r="A549" i="6"/>
  <c r="F548" i="6"/>
  <c r="A548" i="6"/>
  <c r="B548" i="6" s="1"/>
  <c r="A547" i="6"/>
  <c r="A546" i="6"/>
  <c r="B545" i="6"/>
  <c r="A545" i="6"/>
  <c r="F545" i="6" s="1"/>
  <c r="F544" i="6"/>
  <c r="A544" i="6"/>
  <c r="B544" i="6" s="1"/>
  <c r="B543" i="6"/>
  <c r="A543" i="6"/>
  <c r="F543" i="6" s="1"/>
  <c r="I543" i="6" s="1"/>
  <c r="A542" i="6"/>
  <c r="E541" i="6"/>
  <c r="B541" i="6"/>
  <c r="A541" i="6"/>
  <c r="F541" i="6" s="1"/>
  <c r="I541" i="6" s="1"/>
  <c r="A540" i="6"/>
  <c r="I539" i="6"/>
  <c r="G539" i="6"/>
  <c r="H539" i="6" s="1"/>
  <c r="F539" i="6"/>
  <c r="B539" i="6"/>
  <c r="A539" i="6"/>
  <c r="F538" i="6"/>
  <c r="B538" i="6"/>
  <c r="A538" i="6"/>
  <c r="A537" i="6"/>
  <c r="B536" i="6"/>
  <c r="A536" i="6"/>
  <c r="F536" i="6" s="1"/>
  <c r="I536" i="6" s="1"/>
  <c r="A535" i="6"/>
  <c r="F534" i="6"/>
  <c r="B534" i="6"/>
  <c r="A534" i="6"/>
  <c r="A533" i="6"/>
  <c r="F533" i="6" s="1"/>
  <c r="F532" i="6"/>
  <c r="A532" i="6"/>
  <c r="B532" i="6" s="1"/>
  <c r="F531" i="6"/>
  <c r="C531" i="6"/>
  <c r="D531" i="6" s="1"/>
  <c r="B531" i="6"/>
  <c r="E531" i="6" s="1"/>
  <c r="A531" i="6"/>
  <c r="F530" i="6"/>
  <c r="B530" i="6"/>
  <c r="A530" i="6"/>
  <c r="B529" i="6"/>
  <c r="A529" i="6"/>
  <c r="F529" i="6" s="1"/>
  <c r="F528" i="6"/>
  <c r="A528" i="6"/>
  <c r="B528" i="6" s="1"/>
  <c r="A527" i="6"/>
  <c r="F527" i="6" s="1"/>
  <c r="I527" i="6" s="1"/>
  <c r="F526" i="6"/>
  <c r="G526" i="6" s="1"/>
  <c r="H526" i="6" s="1"/>
  <c r="E526" i="6"/>
  <c r="A526" i="6"/>
  <c r="B526" i="6" s="1"/>
  <c r="E538" i="6" s="1"/>
  <c r="A525" i="6"/>
  <c r="F525" i="6" s="1"/>
  <c r="F524" i="6"/>
  <c r="B524" i="6"/>
  <c r="A524" i="6"/>
  <c r="A523" i="6"/>
  <c r="F523" i="6" s="1"/>
  <c r="F522" i="6"/>
  <c r="B522" i="6"/>
  <c r="A522" i="6"/>
  <c r="A521" i="6"/>
  <c r="A520" i="6"/>
  <c r="F520" i="6" s="1"/>
  <c r="I520" i="6" s="1"/>
  <c r="F519" i="6"/>
  <c r="A519" i="6"/>
  <c r="B519" i="6" s="1"/>
  <c r="A518" i="6"/>
  <c r="A517" i="6"/>
  <c r="A516" i="6"/>
  <c r="B516" i="6" s="1"/>
  <c r="F515" i="6"/>
  <c r="A515" i="6"/>
  <c r="B515" i="6" s="1"/>
  <c r="B514" i="6"/>
  <c r="A514" i="6"/>
  <c r="F514" i="6" s="1"/>
  <c r="A513" i="6"/>
  <c r="A512" i="6"/>
  <c r="B512" i="6" s="1"/>
  <c r="A511" i="6"/>
  <c r="A510" i="6"/>
  <c r="F509" i="6"/>
  <c r="B509" i="6"/>
  <c r="A509" i="6"/>
  <c r="B508" i="6"/>
  <c r="A508" i="6"/>
  <c r="F508" i="6" s="1"/>
  <c r="A507" i="6"/>
  <c r="A506" i="6"/>
  <c r="B505" i="6"/>
  <c r="A505" i="6"/>
  <c r="F505" i="6" s="1"/>
  <c r="A504" i="6"/>
  <c r="F503" i="6"/>
  <c r="B503" i="6"/>
  <c r="A503" i="6"/>
  <c r="A502" i="6"/>
  <c r="F502" i="6" s="1"/>
  <c r="B501" i="6"/>
  <c r="A501" i="6"/>
  <c r="F501" i="6" s="1"/>
  <c r="F500" i="6"/>
  <c r="B500" i="6"/>
  <c r="A500" i="6"/>
  <c r="A499" i="6"/>
  <c r="B498" i="6"/>
  <c r="A498" i="6"/>
  <c r="F498" i="6" s="1"/>
  <c r="G498" i="6" s="1"/>
  <c r="H498" i="6" s="1"/>
  <c r="F497" i="6"/>
  <c r="B497" i="6"/>
  <c r="A497" i="6"/>
  <c r="F496" i="6"/>
  <c r="E496" i="6"/>
  <c r="B496" i="6"/>
  <c r="A496" i="6"/>
  <c r="A495" i="6"/>
  <c r="I494" i="6"/>
  <c r="A494" i="6"/>
  <c r="F494" i="6" s="1"/>
  <c r="F493" i="6"/>
  <c r="G494" i="6" s="1"/>
  <c r="H494" i="6" s="1"/>
  <c r="E493" i="6"/>
  <c r="B493" i="6"/>
  <c r="A493" i="6"/>
  <c r="A492" i="6"/>
  <c r="F492" i="6" s="1"/>
  <c r="A491" i="6"/>
  <c r="A490" i="6"/>
  <c r="A489" i="6"/>
  <c r="F489" i="6" s="1"/>
  <c r="I489" i="6" s="1"/>
  <c r="F488" i="6"/>
  <c r="A488" i="6"/>
  <c r="B488" i="6" s="1"/>
  <c r="F487" i="6"/>
  <c r="B487" i="6"/>
  <c r="A487" i="6"/>
  <c r="A486" i="6"/>
  <c r="F485" i="6"/>
  <c r="B485" i="6"/>
  <c r="A485" i="6"/>
  <c r="F484" i="6"/>
  <c r="B484" i="6"/>
  <c r="A484" i="6"/>
  <c r="E483" i="6"/>
  <c r="A483" i="6"/>
  <c r="B483" i="6" s="1"/>
  <c r="B482" i="6"/>
  <c r="A482" i="6"/>
  <c r="F482" i="6" s="1"/>
  <c r="F481" i="6"/>
  <c r="B481" i="6"/>
  <c r="A481" i="6"/>
  <c r="F480" i="6"/>
  <c r="G480" i="6" s="1"/>
  <c r="H480" i="6" s="1"/>
  <c r="E480" i="6"/>
  <c r="B480" i="6"/>
  <c r="A480" i="6"/>
  <c r="B479" i="6"/>
  <c r="C480" i="6" s="1"/>
  <c r="D480" i="6" s="1"/>
  <c r="A479" i="6"/>
  <c r="F479" i="6" s="1"/>
  <c r="G479" i="6" s="1"/>
  <c r="H479" i="6" s="1"/>
  <c r="A478" i="6"/>
  <c r="F478" i="6" s="1"/>
  <c r="F477" i="6"/>
  <c r="E477" i="6"/>
  <c r="B477" i="6"/>
  <c r="A477" i="6"/>
  <c r="I476" i="6"/>
  <c r="E476" i="6"/>
  <c r="B476" i="6"/>
  <c r="A476" i="6"/>
  <c r="F476" i="6" s="1"/>
  <c r="A475" i="6"/>
  <c r="A474" i="6"/>
  <c r="F473" i="6"/>
  <c r="B473" i="6"/>
  <c r="A473" i="6"/>
  <c r="F472" i="6"/>
  <c r="B472" i="6"/>
  <c r="E484" i="6" s="1"/>
  <c r="A472" i="6"/>
  <c r="B471" i="6"/>
  <c r="A471" i="6"/>
  <c r="F471" i="6" s="1"/>
  <c r="A470" i="6"/>
  <c r="A469" i="6"/>
  <c r="F469" i="6" s="1"/>
  <c r="F468" i="6"/>
  <c r="B468" i="6"/>
  <c r="A468" i="6"/>
  <c r="A467" i="6"/>
  <c r="F467" i="6" s="1"/>
  <c r="B466" i="6"/>
  <c r="A466" i="6"/>
  <c r="F466" i="6" s="1"/>
  <c r="F465" i="6"/>
  <c r="G465" i="6" s="1"/>
  <c r="H465" i="6" s="1"/>
  <c r="D465" i="6"/>
  <c r="B465" i="6"/>
  <c r="C465" i="6" s="1"/>
  <c r="A465" i="6"/>
  <c r="F464" i="6"/>
  <c r="E464" i="6"/>
  <c r="B464" i="6"/>
  <c r="C464" i="6" s="1"/>
  <c r="D464" i="6" s="1"/>
  <c r="A464" i="6"/>
  <c r="B463" i="6"/>
  <c r="A463" i="6"/>
  <c r="F463" i="6" s="1"/>
  <c r="A462" i="6"/>
  <c r="F462" i="6" s="1"/>
  <c r="F461" i="6"/>
  <c r="G462" i="6" s="1"/>
  <c r="H462" i="6" s="1"/>
  <c r="E461" i="6"/>
  <c r="B461" i="6"/>
  <c r="E473" i="6" s="1"/>
  <c r="A461" i="6"/>
  <c r="A460" i="6"/>
  <c r="A459" i="6"/>
  <c r="A458" i="6"/>
  <c r="A457" i="6"/>
  <c r="F456" i="6"/>
  <c r="B456" i="6"/>
  <c r="A456" i="6"/>
  <c r="F455" i="6"/>
  <c r="B455" i="6"/>
  <c r="A455" i="6"/>
  <c r="A454" i="6"/>
  <c r="F454" i="6" s="1"/>
  <c r="B453" i="6"/>
  <c r="A453" i="6"/>
  <c r="F453" i="6" s="1"/>
  <c r="F452" i="6"/>
  <c r="I464" i="6" s="1"/>
  <c r="E452" i="6"/>
  <c r="B452" i="6"/>
  <c r="A452" i="6"/>
  <c r="A451" i="6"/>
  <c r="G450" i="6"/>
  <c r="H450" i="6" s="1"/>
  <c r="C450" i="6"/>
  <c r="D450" i="6" s="1"/>
  <c r="B450" i="6"/>
  <c r="A450" i="6"/>
  <c r="F450" i="6" s="1"/>
  <c r="F449" i="6"/>
  <c r="G449" i="6" s="1"/>
  <c r="H449" i="6" s="1"/>
  <c r="B449" i="6"/>
  <c r="C449" i="6" s="1"/>
  <c r="D449" i="6" s="1"/>
  <c r="A449" i="6"/>
  <c r="F448" i="6"/>
  <c r="B448" i="6"/>
  <c r="A448" i="6"/>
  <c r="A447" i="6"/>
  <c r="F447" i="6" s="1"/>
  <c r="I446" i="6"/>
  <c r="A446" i="6"/>
  <c r="F446" i="6" s="1"/>
  <c r="F445" i="6"/>
  <c r="E445" i="6"/>
  <c r="B445" i="6"/>
  <c r="A445" i="6"/>
  <c r="A444" i="6"/>
  <c r="F444" i="6" s="1"/>
  <c r="A443" i="6"/>
  <c r="A442" i="6"/>
  <c r="F441" i="6"/>
  <c r="B441" i="6"/>
  <c r="A441" i="6"/>
  <c r="F440" i="6"/>
  <c r="E440" i="6"/>
  <c r="A440" i="6"/>
  <c r="B440" i="6" s="1"/>
  <c r="F439" i="6"/>
  <c r="B439" i="6"/>
  <c r="A439" i="6"/>
  <c r="A438" i="6"/>
  <c r="B437" i="6"/>
  <c r="A437" i="6"/>
  <c r="F437" i="6" s="1"/>
  <c r="F436" i="6"/>
  <c r="B436" i="6"/>
  <c r="A436" i="6"/>
  <c r="F435" i="6"/>
  <c r="E435" i="6"/>
  <c r="A435" i="6"/>
  <c r="B435" i="6" s="1"/>
  <c r="B434" i="6"/>
  <c r="A434" i="6"/>
  <c r="F434" i="6" s="1"/>
  <c r="F433" i="6"/>
  <c r="B433" i="6"/>
  <c r="A433" i="6"/>
  <c r="F432" i="6"/>
  <c r="G432" i="6" s="1"/>
  <c r="H432" i="6" s="1"/>
  <c r="B432" i="6"/>
  <c r="A432" i="6"/>
  <c r="B431" i="6"/>
  <c r="A431" i="6"/>
  <c r="F431" i="6" s="1"/>
  <c r="G431" i="6" s="1"/>
  <c r="H431" i="6" s="1"/>
  <c r="G430" i="6"/>
  <c r="H430" i="6" s="1"/>
  <c r="A430" i="6"/>
  <c r="F430" i="6" s="1"/>
  <c r="F429" i="6"/>
  <c r="G429" i="6" s="1"/>
  <c r="H429" i="6" s="1"/>
  <c r="B429" i="6"/>
  <c r="A429" i="6"/>
  <c r="B428" i="6"/>
  <c r="A428" i="6"/>
  <c r="F428" i="6" s="1"/>
  <c r="A427" i="6"/>
  <c r="A426" i="6"/>
  <c r="B425" i="6"/>
  <c r="A425" i="6"/>
  <c r="F425" i="6" s="1"/>
  <c r="F424" i="6"/>
  <c r="E424" i="6"/>
  <c r="B424" i="6"/>
  <c r="A424" i="6"/>
  <c r="F423" i="6"/>
  <c r="I423" i="6" s="1"/>
  <c r="C423" i="6"/>
  <c r="D423" i="6" s="1"/>
  <c r="B423" i="6"/>
  <c r="A423" i="6"/>
  <c r="F422" i="6"/>
  <c r="B422" i="6"/>
  <c r="A422" i="6"/>
  <c r="B421" i="6"/>
  <c r="A421" i="6"/>
  <c r="F421" i="6" s="1"/>
  <c r="F420" i="6"/>
  <c r="A420" i="6"/>
  <c r="B420" i="6" s="1"/>
  <c r="C420" i="6" s="1"/>
  <c r="D420" i="6" s="1"/>
  <c r="F419" i="6"/>
  <c r="E419" i="6"/>
  <c r="B419" i="6"/>
  <c r="A419" i="6"/>
  <c r="F418" i="6"/>
  <c r="G418" i="6" s="1"/>
  <c r="H418" i="6" s="1"/>
  <c r="E418" i="6"/>
  <c r="B418" i="6"/>
  <c r="C419" i="6" s="1"/>
  <c r="D419" i="6" s="1"/>
  <c r="A418" i="6"/>
  <c r="A417" i="6"/>
  <c r="F417" i="6" s="1"/>
  <c r="F416" i="6"/>
  <c r="B416" i="6"/>
  <c r="A416" i="6"/>
  <c r="F415" i="6"/>
  <c r="B415" i="6"/>
  <c r="A415" i="6"/>
  <c r="F414" i="6"/>
  <c r="G414" i="6" s="1"/>
  <c r="H414" i="6" s="1"/>
  <c r="E414" i="6"/>
  <c r="B414" i="6"/>
  <c r="A414" i="6"/>
  <c r="C413" i="6"/>
  <c r="D413" i="6" s="1"/>
  <c r="B413" i="6"/>
  <c r="A413" i="6"/>
  <c r="F413" i="6" s="1"/>
  <c r="F412" i="6"/>
  <c r="B412" i="6"/>
  <c r="C412" i="6" s="1"/>
  <c r="D412" i="6" s="1"/>
  <c r="A412" i="6"/>
  <c r="F411" i="6"/>
  <c r="E411" i="6"/>
  <c r="B411" i="6"/>
  <c r="E423" i="6" s="1"/>
  <c r="A411" i="6"/>
  <c r="F410" i="6"/>
  <c r="G410" i="6" s="1"/>
  <c r="H410" i="6" s="1"/>
  <c r="B410" i="6"/>
  <c r="E422" i="6" s="1"/>
  <c r="A410" i="6"/>
  <c r="A409" i="6"/>
  <c r="F409" i="6" s="1"/>
  <c r="F408" i="6"/>
  <c r="B408" i="6"/>
  <c r="A408" i="6"/>
  <c r="F407" i="6"/>
  <c r="C407" i="6"/>
  <c r="D407" i="6" s="1"/>
  <c r="B407" i="6"/>
  <c r="A407" i="6"/>
  <c r="F406" i="6"/>
  <c r="E406" i="6"/>
  <c r="B406" i="6"/>
  <c r="A406" i="6"/>
  <c r="A405" i="6"/>
  <c r="F404" i="6"/>
  <c r="A404" i="6"/>
  <c r="B404" i="6" s="1"/>
  <c r="F403" i="6"/>
  <c r="C403" i="6"/>
  <c r="D403" i="6" s="1"/>
  <c r="B403" i="6"/>
  <c r="E415" i="6" s="1"/>
  <c r="A403" i="6"/>
  <c r="F402" i="6"/>
  <c r="E402" i="6"/>
  <c r="B402" i="6"/>
  <c r="C402" i="6" s="1"/>
  <c r="D402" i="6" s="1"/>
  <c r="A402" i="6"/>
  <c r="E401" i="6"/>
  <c r="B401" i="6"/>
  <c r="A401" i="6"/>
  <c r="F401" i="6" s="1"/>
  <c r="A400" i="6"/>
  <c r="F399" i="6"/>
  <c r="B399" i="6"/>
  <c r="A399" i="6"/>
  <c r="F398" i="6"/>
  <c r="E398" i="6"/>
  <c r="B398" i="6"/>
  <c r="A398" i="6"/>
  <c r="A397" i="6"/>
  <c r="F396" i="6"/>
  <c r="E396" i="6"/>
  <c r="B396" i="6"/>
  <c r="A396" i="6"/>
  <c r="F395" i="6"/>
  <c r="B395" i="6"/>
  <c r="A395" i="6"/>
  <c r="F394" i="6"/>
  <c r="E394" i="6"/>
  <c r="B394" i="6"/>
  <c r="A394" i="6"/>
  <c r="A393" i="6"/>
  <c r="F393" i="6" s="1"/>
  <c r="F392" i="6"/>
  <c r="A392" i="6"/>
  <c r="B392" i="6" s="1"/>
  <c r="F391" i="6"/>
  <c r="G391" i="6" s="1"/>
  <c r="H391" i="6" s="1"/>
  <c r="C391" i="6"/>
  <c r="D391" i="6" s="1"/>
  <c r="B391" i="6"/>
  <c r="E403" i="6" s="1"/>
  <c r="A391" i="6"/>
  <c r="F390" i="6"/>
  <c r="G390" i="6" s="1"/>
  <c r="H390" i="6" s="1"/>
  <c r="E390" i="6"/>
  <c r="C390" i="6"/>
  <c r="D390" i="6" s="1"/>
  <c r="B390" i="6"/>
  <c r="A390" i="6"/>
  <c r="B389" i="6"/>
  <c r="C389" i="6" s="1"/>
  <c r="D389" i="6" s="1"/>
  <c r="A389" i="6"/>
  <c r="F389" i="6" s="1"/>
  <c r="F388" i="6"/>
  <c r="E388" i="6"/>
  <c r="B388" i="6"/>
  <c r="A388" i="6"/>
  <c r="F387" i="6"/>
  <c r="B387" i="6"/>
  <c r="A387" i="6"/>
  <c r="F386" i="6"/>
  <c r="E386" i="6"/>
  <c r="B386" i="6"/>
  <c r="A386" i="6"/>
  <c r="A385" i="6"/>
  <c r="F385" i="6" s="1"/>
  <c r="F384" i="6"/>
  <c r="B384" i="6"/>
  <c r="A384" i="6"/>
  <c r="F383" i="6"/>
  <c r="B383" i="6"/>
  <c r="E395" i="6" s="1"/>
  <c r="A383" i="6"/>
  <c r="F382" i="6"/>
  <c r="B382" i="6"/>
  <c r="A382" i="6"/>
  <c r="A381" i="6"/>
  <c r="F380" i="6"/>
  <c r="E380" i="6"/>
  <c r="B380" i="6"/>
  <c r="A380" i="6"/>
  <c r="F379" i="6"/>
  <c r="C379" i="6"/>
  <c r="D379" i="6" s="1"/>
  <c r="B379" i="6"/>
  <c r="E391" i="6" s="1"/>
  <c r="A379" i="6"/>
  <c r="G378" i="6"/>
  <c r="H378" i="6" s="1"/>
  <c r="F378" i="6"/>
  <c r="I390" i="6" s="1"/>
  <c r="C378" i="6"/>
  <c r="D378" i="6" s="1"/>
  <c r="B378" i="6"/>
  <c r="A378" i="6"/>
  <c r="E377" i="6"/>
  <c r="B377" i="6"/>
  <c r="E389" i="6" s="1"/>
  <c r="A377" i="6"/>
  <c r="F377" i="6" s="1"/>
  <c r="F376" i="6"/>
  <c r="I388" i="6" s="1"/>
  <c r="B376" i="6"/>
  <c r="A376" i="6"/>
  <c r="F375" i="6"/>
  <c r="E375" i="6"/>
  <c r="C375" i="6"/>
  <c r="D375" i="6" s="1"/>
  <c r="B375" i="6"/>
  <c r="E387" i="6" s="1"/>
  <c r="A375" i="6"/>
  <c r="F374" i="6"/>
  <c r="D374" i="6"/>
  <c r="C374" i="6"/>
  <c r="B374" i="6"/>
  <c r="A374" i="6"/>
  <c r="F373" i="6"/>
  <c r="I373" i="6" s="1"/>
  <c r="B373" i="6"/>
  <c r="A373" i="6"/>
  <c r="A372" i="6"/>
  <c r="F372" i="6" s="1"/>
  <c r="F371" i="6"/>
  <c r="B371" i="6"/>
  <c r="A371" i="6"/>
  <c r="F370" i="6"/>
  <c r="B370" i="6"/>
  <c r="A370" i="6"/>
  <c r="F369" i="6"/>
  <c r="B369" i="6"/>
  <c r="C369" i="6" s="1"/>
  <c r="D369" i="6" s="1"/>
  <c r="A369" i="6"/>
  <c r="F368" i="6"/>
  <c r="B368" i="6"/>
  <c r="A368" i="6"/>
  <c r="F367" i="6"/>
  <c r="E367" i="6"/>
  <c r="B367" i="6"/>
  <c r="A367" i="6"/>
  <c r="F366" i="6"/>
  <c r="G366" i="6" s="1"/>
  <c r="H366" i="6" s="1"/>
  <c r="B366" i="6"/>
  <c r="A366" i="6"/>
  <c r="I365" i="6"/>
  <c r="B365" i="6"/>
  <c r="A365" i="6"/>
  <c r="F365" i="6" s="1"/>
  <c r="A364" i="6"/>
  <c r="F363" i="6"/>
  <c r="C363" i="6"/>
  <c r="D363" i="6" s="1"/>
  <c r="B363" i="6"/>
  <c r="A363" i="6"/>
  <c r="F362" i="6"/>
  <c r="I374" i="6" s="1"/>
  <c r="E362" i="6"/>
  <c r="B362" i="6"/>
  <c r="E374" i="6" s="1"/>
  <c r="A362" i="6"/>
  <c r="F361" i="6"/>
  <c r="B361" i="6"/>
  <c r="A361" i="6"/>
  <c r="F360" i="6"/>
  <c r="B360" i="6"/>
  <c r="A360" i="6"/>
  <c r="F359" i="6"/>
  <c r="G359" i="6" s="1"/>
  <c r="H359" i="6" s="1"/>
  <c r="E359" i="6"/>
  <c r="B359" i="6"/>
  <c r="E371" i="6" s="1"/>
  <c r="A359" i="6"/>
  <c r="A358" i="6"/>
  <c r="F358" i="6" s="1"/>
  <c r="F357" i="6"/>
  <c r="A357" i="6"/>
  <c r="B357" i="6" s="1"/>
  <c r="E369" i="6" s="1"/>
  <c r="F356" i="6"/>
  <c r="B356" i="6"/>
  <c r="A356" i="6"/>
  <c r="F355" i="6"/>
  <c r="I367" i="6" s="1"/>
  <c r="B355" i="6"/>
  <c r="A355" i="6"/>
  <c r="F354" i="6"/>
  <c r="E354" i="6"/>
  <c r="B354" i="6"/>
  <c r="C355" i="6" s="1"/>
  <c r="D355" i="6" s="1"/>
  <c r="A354" i="6"/>
  <c r="A353" i="6"/>
  <c r="F353" i="6" s="1"/>
  <c r="F352" i="6"/>
  <c r="B352" i="6"/>
  <c r="A352" i="6"/>
  <c r="F351" i="6"/>
  <c r="G351" i="6" s="1"/>
  <c r="H351" i="6" s="1"/>
  <c r="B351" i="6"/>
  <c r="A351" i="6"/>
  <c r="G350" i="6"/>
  <c r="H350" i="6" s="1"/>
  <c r="F350" i="6"/>
  <c r="A350" i="6"/>
  <c r="B350" i="6" s="1"/>
  <c r="F349" i="6"/>
  <c r="B349" i="6"/>
  <c r="A349" i="6"/>
  <c r="A348" i="6"/>
  <c r="F348" i="6" s="1"/>
  <c r="F347" i="6"/>
  <c r="E347" i="6"/>
  <c r="B347" i="6"/>
  <c r="A347" i="6"/>
  <c r="B346" i="6"/>
  <c r="A346" i="6"/>
  <c r="F346" i="6" s="1"/>
  <c r="F345" i="6"/>
  <c r="B345" i="6"/>
  <c r="A345" i="6"/>
  <c r="F344" i="6"/>
  <c r="I356" i="6" s="1"/>
  <c r="B344" i="6"/>
  <c r="E356" i="6" s="1"/>
  <c r="A344" i="6"/>
  <c r="F343" i="6"/>
  <c r="I343" i="6" s="1"/>
  <c r="B343" i="6"/>
  <c r="A343" i="6"/>
  <c r="F342" i="6"/>
  <c r="B342" i="6"/>
  <c r="A342" i="6"/>
  <c r="A341" i="6"/>
  <c r="F341" i="6" s="1"/>
  <c r="A340" i="6"/>
  <c r="B340" i="6" s="1"/>
  <c r="C340" i="6" s="1"/>
  <c r="D340" i="6" s="1"/>
  <c r="I339" i="6"/>
  <c r="F339" i="6"/>
  <c r="B339" i="6"/>
  <c r="A339" i="6"/>
  <c r="A338" i="6"/>
  <c r="F338" i="6" s="1"/>
  <c r="A337" i="6"/>
  <c r="F336" i="6"/>
  <c r="B336" i="6"/>
  <c r="A336" i="6"/>
  <c r="F335" i="6"/>
  <c r="E335" i="6"/>
  <c r="B335" i="6"/>
  <c r="C336" i="6" s="1"/>
  <c r="D336" i="6" s="1"/>
  <c r="A335" i="6"/>
  <c r="A334" i="6"/>
  <c r="F333" i="6"/>
  <c r="E333" i="6"/>
  <c r="A333" i="6"/>
  <c r="B333" i="6" s="1"/>
  <c r="B332" i="6"/>
  <c r="A332" i="6"/>
  <c r="F332" i="6" s="1"/>
  <c r="F331" i="6"/>
  <c r="C331" i="6"/>
  <c r="D331" i="6" s="1"/>
  <c r="B331" i="6"/>
  <c r="E331" i="6" s="1"/>
  <c r="A331" i="6"/>
  <c r="F330" i="6"/>
  <c r="I330" i="6" s="1"/>
  <c r="B330" i="6"/>
  <c r="A330" i="6"/>
  <c r="A329" i="6"/>
  <c r="F329" i="6" s="1"/>
  <c r="F328" i="6"/>
  <c r="B328" i="6"/>
  <c r="A328" i="6"/>
  <c r="F327" i="6"/>
  <c r="G328" i="6" s="1"/>
  <c r="H328" i="6" s="1"/>
  <c r="B327" i="6"/>
  <c r="E339" i="6" s="1"/>
  <c r="A327" i="6"/>
  <c r="A326" i="6"/>
  <c r="F325" i="6"/>
  <c r="B325" i="6"/>
  <c r="A325" i="6"/>
  <c r="F324" i="6"/>
  <c r="E324" i="6"/>
  <c r="B324" i="6"/>
  <c r="C324" i="6" s="1"/>
  <c r="D324" i="6" s="1"/>
  <c r="A324" i="6"/>
  <c r="F323" i="6"/>
  <c r="B323" i="6"/>
  <c r="A323" i="6"/>
  <c r="F322" i="6"/>
  <c r="B322" i="6"/>
  <c r="A322" i="6"/>
  <c r="F321" i="6"/>
  <c r="B321" i="6"/>
  <c r="A321" i="6"/>
  <c r="F320" i="6"/>
  <c r="A320" i="6"/>
  <c r="B320" i="6" s="1"/>
  <c r="F319" i="6"/>
  <c r="E319" i="6"/>
  <c r="B319" i="6"/>
  <c r="A319" i="6"/>
  <c r="F318" i="6"/>
  <c r="G318" i="6" s="1"/>
  <c r="H318" i="6" s="1"/>
  <c r="D318" i="6"/>
  <c r="C318" i="6"/>
  <c r="B318" i="6"/>
  <c r="A318" i="6"/>
  <c r="E317" i="6"/>
  <c r="B317" i="6"/>
  <c r="A317" i="6"/>
  <c r="F317" i="6" s="1"/>
  <c r="F316" i="6"/>
  <c r="I328" i="6" s="1"/>
  <c r="A316" i="6"/>
  <c r="B316" i="6" s="1"/>
  <c r="F315" i="6"/>
  <c r="E315" i="6"/>
  <c r="B315" i="6"/>
  <c r="A315" i="6"/>
  <c r="A314" i="6"/>
  <c r="F314" i="6" s="1"/>
  <c r="F313" i="6"/>
  <c r="E313" i="6"/>
  <c r="B313" i="6"/>
  <c r="A313" i="6"/>
  <c r="F312" i="6"/>
  <c r="A312" i="6"/>
  <c r="B312" i="6" s="1"/>
  <c r="F311" i="6"/>
  <c r="B311" i="6"/>
  <c r="E323" i="6" s="1"/>
  <c r="A311" i="6"/>
  <c r="B310" i="6"/>
  <c r="A310" i="6"/>
  <c r="F310" i="6" s="1"/>
  <c r="A309" i="6"/>
  <c r="A308" i="6"/>
  <c r="F308" i="6" s="1"/>
  <c r="F307" i="6"/>
  <c r="C307" i="6"/>
  <c r="D307" i="6" s="1"/>
  <c r="B307" i="6"/>
  <c r="A307" i="6"/>
  <c r="B306" i="6"/>
  <c r="C306" i="6" s="1"/>
  <c r="D306" i="6" s="1"/>
  <c r="A306" i="6"/>
  <c r="F306" i="6" s="1"/>
  <c r="F305" i="6"/>
  <c r="C305" i="6"/>
  <c r="D305" i="6" s="1"/>
  <c r="A305" i="6"/>
  <c r="B305" i="6" s="1"/>
  <c r="F304" i="6"/>
  <c r="I316" i="6" s="1"/>
  <c r="B304" i="6"/>
  <c r="E316" i="6" s="1"/>
  <c r="A304" i="6"/>
  <c r="F303" i="6"/>
  <c r="I303" i="6" s="1"/>
  <c r="B303" i="6"/>
  <c r="C303" i="6" s="1"/>
  <c r="D303" i="6" s="1"/>
  <c r="A303" i="6"/>
  <c r="F302" i="6"/>
  <c r="I302" i="6" s="1"/>
  <c r="A302" i="6"/>
  <c r="B302" i="6" s="1"/>
  <c r="F301" i="6"/>
  <c r="D301" i="6"/>
  <c r="C301" i="6"/>
  <c r="B301" i="6"/>
  <c r="C302" i="6" s="1"/>
  <c r="D302" i="6" s="1"/>
  <c r="A301" i="6"/>
  <c r="F300" i="6"/>
  <c r="B300" i="6"/>
  <c r="A300" i="6"/>
  <c r="F299" i="6"/>
  <c r="E299" i="6"/>
  <c r="B299" i="6"/>
  <c r="A299" i="6"/>
  <c r="G298" i="6"/>
  <c r="H298" i="6" s="1"/>
  <c r="F298" i="6"/>
  <c r="E298" i="6"/>
  <c r="B298" i="6"/>
  <c r="C298" i="6" s="1"/>
  <c r="D298" i="6" s="1"/>
  <c r="A298" i="6"/>
  <c r="E297" i="6"/>
  <c r="B297" i="6"/>
  <c r="C297" i="6" s="1"/>
  <c r="D297" i="6" s="1"/>
  <c r="A297" i="6"/>
  <c r="F297" i="6" s="1"/>
  <c r="F296" i="6"/>
  <c r="I296" i="6" s="1"/>
  <c r="B296" i="6"/>
  <c r="A296" i="6"/>
  <c r="F295" i="6"/>
  <c r="I307" i="6" s="1"/>
  <c r="B295" i="6"/>
  <c r="C296" i="6" s="1"/>
  <c r="D296" i="6" s="1"/>
  <c r="A295" i="6"/>
  <c r="A294" i="6"/>
  <c r="B294" i="6" s="1"/>
  <c r="A293" i="6"/>
  <c r="A292" i="6"/>
  <c r="F291" i="6"/>
  <c r="I291" i="6" s="1"/>
  <c r="E291" i="6"/>
  <c r="B291" i="6"/>
  <c r="A291" i="6"/>
  <c r="F290" i="6"/>
  <c r="G291" i="6" s="1"/>
  <c r="H291" i="6" s="1"/>
  <c r="A290" i="6"/>
  <c r="B290" i="6" s="1"/>
  <c r="F289" i="6"/>
  <c r="B289" i="6"/>
  <c r="E301" i="6" s="1"/>
  <c r="A289" i="6"/>
  <c r="A288" i="6"/>
  <c r="F287" i="6"/>
  <c r="G287" i="6" s="1"/>
  <c r="H287" i="6" s="1"/>
  <c r="D287" i="6"/>
  <c r="B287" i="6"/>
  <c r="A287" i="6"/>
  <c r="B286" i="6"/>
  <c r="C287" i="6" s="1"/>
  <c r="A286" i="6"/>
  <c r="F286" i="6" s="1"/>
  <c r="I286" i="6" s="1"/>
  <c r="D285" i="6"/>
  <c r="A285" i="6"/>
  <c r="B285" i="6" s="1"/>
  <c r="C285" i="6" s="1"/>
  <c r="F284" i="6"/>
  <c r="C284" i="6"/>
  <c r="D284" i="6" s="1"/>
  <c r="B284" i="6"/>
  <c r="E296" i="6" s="1"/>
  <c r="A284" i="6"/>
  <c r="F283" i="6"/>
  <c r="B283" i="6"/>
  <c r="A283" i="6"/>
  <c r="A282" i="6"/>
  <c r="F282" i="6" s="1"/>
  <c r="F281" i="6"/>
  <c r="B281" i="6"/>
  <c r="A281" i="6"/>
  <c r="B280" i="6"/>
  <c r="C280" i="6" s="1"/>
  <c r="D280" i="6" s="1"/>
  <c r="A280" i="6"/>
  <c r="F280" i="6" s="1"/>
  <c r="G280" i="6" s="1"/>
  <c r="H280" i="6" s="1"/>
  <c r="F279" i="6"/>
  <c r="B279" i="6"/>
  <c r="A279" i="6"/>
  <c r="F278" i="6"/>
  <c r="C278" i="6"/>
  <c r="D278" i="6" s="1"/>
  <c r="A278" i="6"/>
  <c r="B278" i="6" s="1"/>
  <c r="E290" i="6" s="1"/>
  <c r="F277" i="6"/>
  <c r="B277" i="6"/>
  <c r="C277" i="6" s="1"/>
  <c r="D277" i="6" s="1"/>
  <c r="A277" i="6"/>
  <c r="A276" i="6"/>
  <c r="B276" i="6" s="1"/>
  <c r="F275" i="6"/>
  <c r="B275" i="6"/>
  <c r="E287" i="6" s="1"/>
  <c r="A275" i="6"/>
  <c r="B274" i="6"/>
  <c r="E286" i="6" s="1"/>
  <c r="A274" i="6"/>
  <c r="F274" i="6" s="1"/>
  <c r="F273" i="6"/>
  <c r="E273" i="6"/>
  <c r="A273" i="6"/>
  <c r="B273" i="6" s="1"/>
  <c r="A272" i="6"/>
  <c r="F271" i="6"/>
  <c r="I283" i="6" s="1"/>
  <c r="E271" i="6"/>
  <c r="B271" i="6"/>
  <c r="A271" i="6"/>
  <c r="F270" i="6"/>
  <c r="B270" i="6"/>
  <c r="A270" i="6"/>
  <c r="A269" i="6"/>
  <c r="F269" i="6" s="1"/>
  <c r="F268" i="6"/>
  <c r="A268" i="6"/>
  <c r="B268" i="6" s="1"/>
  <c r="F267" i="6"/>
  <c r="I279" i="6" s="1"/>
  <c r="B267" i="6"/>
  <c r="A267" i="6"/>
  <c r="A266" i="6"/>
  <c r="A265" i="6"/>
  <c r="F264" i="6"/>
  <c r="I264" i="6" s="1"/>
  <c r="B264" i="6"/>
  <c r="A264" i="6"/>
  <c r="F263" i="6"/>
  <c r="B263" i="6"/>
  <c r="A263" i="6"/>
  <c r="A262" i="6"/>
  <c r="F261" i="6"/>
  <c r="C261" i="6"/>
  <c r="D261" i="6" s="1"/>
  <c r="A261" i="6"/>
  <c r="B261" i="6" s="1"/>
  <c r="B260" i="6"/>
  <c r="A260" i="6"/>
  <c r="F260" i="6" s="1"/>
  <c r="F259" i="6"/>
  <c r="E259" i="6"/>
  <c r="C259" i="6"/>
  <c r="D259" i="6" s="1"/>
  <c r="B259" i="6"/>
  <c r="A259" i="6"/>
  <c r="F258" i="6"/>
  <c r="I270" i="6" s="1"/>
  <c r="B258" i="6"/>
  <c r="A258" i="6"/>
  <c r="B257" i="6"/>
  <c r="C257" i="6" s="1"/>
  <c r="D257" i="6" s="1"/>
  <c r="A257" i="6"/>
  <c r="F257" i="6" s="1"/>
  <c r="F256" i="6"/>
  <c r="B256" i="6"/>
  <c r="A256" i="6"/>
  <c r="F255" i="6"/>
  <c r="B255" i="6"/>
  <c r="E267" i="6" s="1"/>
  <c r="A255" i="6"/>
  <c r="A254" i="6"/>
  <c r="F253" i="6"/>
  <c r="G253" i="6" s="1"/>
  <c r="H253" i="6" s="1"/>
  <c r="B253" i="6"/>
  <c r="C253" i="6" s="1"/>
  <c r="D253" i="6" s="1"/>
  <c r="A253" i="6"/>
  <c r="F252" i="6"/>
  <c r="B252" i="6"/>
  <c r="E264" i="6" s="1"/>
  <c r="A252" i="6"/>
  <c r="F251" i="6"/>
  <c r="B251" i="6"/>
  <c r="C251" i="6" s="1"/>
  <c r="D251" i="6" s="1"/>
  <c r="A251" i="6"/>
  <c r="F250" i="6"/>
  <c r="I250" i="6" s="1"/>
  <c r="E250" i="6"/>
  <c r="B250" i="6"/>
  <c r="A250" i="6"/>
  <c r="A249" i="6"/>
  <c r="F249" i="6" s="1"/>
  <c r="F248" i="6"/>
  <c r="A248" i="6"/>
  <c r="B248" i="6" s="1"/>
  <c r="C248" i="6" s="1"/>
  <c r="D248" i="6" s="1"/>
  <c r="F247" i="6"/>
  <c r="I259" i="6" s="1"/>
  <c r="B247" i="6"/>
  <c r="A247" i="6"/>
  <c r="F246" i="6"/>
  <c r="A246" i="6"/>
  <c r="B246" i="6" s="1"/>
  <c r="A245" i="6"/>
  <c r="G244" i="6"/>
  <c r="H244" i="6" s="1"/>
  <c r="F244" i="6"/>
  <c r="E244" i="6"/>
  <c r="A244" i="6"/>
  <c r="B244" i="6" s="1"/>
  <c r="F243" i="6"/>
  <c r="I243" i="6" s="1"/>
  <c r="B243" i="6"/>
  <c r="A243" i="6"/>
  <c r="A242" i="6"/>
  <c r="F242" i="6" s="1"/>
  <c r="F241" i="6"/>
  <c r="B241" i="6"/>
  <c r="A241" i="6"/>
  <c r="F240" i="6"/>
  <c r="C240" i="6"/>
  <c r="D240" i="6" s="1"/>
  <c r="B240" i="6"/>
  <c r="A240" i="6"/>
  <c r="F239" i="6"/>
  <c r="B239" i="6"/>
  <c r="A239" i="6"/>
  <c r="B238" i="6"/>
  <c r="A238" i="6"/>
  <c r="F238" i="6" s="1"/>
  <c r="I238" i="6" s="1"/>
  <c r="A237" i="6"/>
  <c r="A236" i="6"/>
  <c r="F236" i="6" s="1"/>
  <c r="G236" i="6" s="1"/>
  <c r="H236" i="6" s="1"/>
  <c r="F235" i="6"/>
  <c r="B235" i="6"/>
  <c r="A235" i="6"/>
  <c r="A234" i="6"/>
  <c r="F234" i="6" s="1"/>
  <c r="F233" i="6"/>
  <c r="A233" i="6"/>
  <c r="B233" i="6" s="1"/>
  <c r="F232" i="6"/>
  <c r="G232" i="6" s="1"/>
  <c r="H232" i="6" s="1"/>
  <c r="A232" i="6"/>
  <c r="B232" i="6" s="1"/>
  <c r="F231" i="6"/>
  <c r="I231" i="6" s="1"/>
  <c r="B231" i="6"/>
  <c r="A231" i="6"/>
  <c r="F230" i="6"/>
  <c r="G231" i="6" s="1"/>
  <c r="H231" i="6" s="1"/>
  <c r="A230" i="6"/>
  <c r="B230" i="6" s="1"/>
  <c r="B229" i="6"/>
  <c r="A229" i="6"/>
  <c r="F229" i="6" s="1"/>
  <c r="A228" i="6"/>
  <c r="F228" i="6" s="1"/>
  <c r="F227" i="6"/>
  <c r="I239" i="6" s="1"/>
  <c r="E227" i="6"/>
  <c r="B227" i="6"/>
  <c r="A227" i="6"/>
  <c r="F226" i="6"/>
  <c r="G226" i="6" s="1"/>
  <c r="H226" i="6" s="1"/>
  <c r="A226" i="6"/>
  <c r="B226" i="6" s="1"/>
  <c r="E238" i="6" s="1"/>
  <c r="B225" i="6"/>
  <c r="C225" i="6" s="1"/>
  <c r="D225" i="6" s="1"/>
  <c r="A225" i="6"/>
  <c r="F225" i="6" s="1"/>
  <c r="F224" i="6"/>
  <c r="I236" i="6" s="1"/>
  <c r="C224" i="6"/>
  <c r="D224" i="6" s="1"/>
  <c r="B224" i="6"/>
  <c r="A224" i="6"/>
  <c r="F223" i="6"/>
  <c r="B223" i="6"/>
  <c r="A223" i="6"/>
  <c r="A222" i="6"/>
  <c r="B222" i="6" s="1"/>
  <c r="A221" i="6"/>
  <c r="F220" i="6"/>
  <c r="C220" i="6"/>
  <c r="D220" i="6" s="1"/>
  <c r="A220" i="6"/>
  <c r="B220" i="6" s="1"/>
  <c r="E232" i="6" s="1"/>
  <c r="F219" i="6"/>
  <c r="E219" i="6"/>
  <c r="B219" i="6"/>
  <c r="A219" i="6"/>
  <c r="F218" i="6"/>
  <c r="A218" i="6"/>
  <c r="B218" i="6" s="1"/>
  <c r="F217" i="6"/>
  <c r="B217" i="6"/>
  <c r="A217" i="6"/>
  <c r="A216" i="6"/>
  <c r="F215" i="6"/>
  <c r="E215" i="6"/>
  <c r="B215" i="6"/>
  <c r="A215" i="6"/>
  <c r="A214" i="6"/>
  <c r="F214" i="6" s="1"/>
  <c r="A213" i="6"/>
  <c r="B213" i="6" s="1"/>
  <c r="F212" i="6"/>
  <c r="B212" i="6"/>
  <c r="A212" i="6"/>
  <c r="F211" i="6"/>
  <c r="B211" i="6"/>
  <c r="A211" i="6"/>
  <c r="A210" i="6"/>
  <c r="F210" i="6" s="1"/>
  <c r="F209" i="6"/>
  <c r="E209" i="6"/>
  <c r="B209" i="6"/>
  <c r="A209" i="6"/>
  <c r="A208" i="6"/>
  <c r="F208" i="6" s="1"/>
  <c r="F207" i="6"/>
  <c r="B207" i="6"/>
  <c r="A207" i="6"/>
  <c r="A206" i="6"/>
  <c r="F205" i="6"/>
  <c r="B205" i="6"/>
  <c r="E217" i="6" s="1"/>
  <c r="A205" i="6"/>
  <c r="F204" i="6"/>
  <c r="E204" i="6"/>
  <c r="A204" i="6"/>
  <c r="B204" i="6" s="1"/>
  <c r="F203" i="6"/>
  <c r="E203" i="6"/>
  <c r="D203" i="6"/>
  <c r="B203" i="6"/>
  <c r="C203" i="6" s="1"/>
  <c r="A203" i="6"/>
  <c r="F202" i="6"/>
  <c r="B202" i="6"/>
  <c r="A202" i="6"/>
  <c r="A201" i="6"/>
  <c r="B201" i="6" s="1"/>
  <c r="E201" i="6" s="1"/>
  <c r="F200" i="6"/>
  <c r="I212" i="6" s="1"/>
  <c r="B200" i="6"/>
  <c r="C200" i="6" s="1"/>
  <c r="D200" i="6" s="1"/>
  <c r="A200" i="6"/>
  <c r="F199" i="6"/>
  <c r="B199" i="6"/>
  <c r="A199" i="6"/>
  <c r="F198" i="6"/>
  <c r="G199" i="6" s="1"/>
  <c r="H199" i="6" s="1"/>
  <c r="B198" i="6"/>
  <c r="A198" i="6"/>
  <c r="D197" i="6"/>
  <c r="C197" i="6"/>
  <c r="B197" i="6"/>
  <c r="A197" i="6"/>
  <c r="F197" i="6" s="1"/>
  <c r="F196" i="6"/>
  <c r="A196" i="6"/>
  <c r="B196" i="6" s="1"/>
  <c r="F195" i="6"/>
  <c r="D195" i="6"/>
  <c r="B195" i="6"/>
  <c r="A195" i="6"/>
  <c r="F194" i="6"/>
  <c r="E194" i="6"/>
  <c r="B194" i="6"/>
  <c r="C195" i="6" s="1"/>
  <c r="A194" i="6"/>
  <c r="A193" i="6"/>
  <c r="F192" i="6"/>
  <c r="E192" i="6"/>
  <c r="C192" i="6"/>
  <c r="D192" i="6" s="1"/>
  <c r="B192" i="6"/>
  <c r="A192" i="6"/>
  <c r="F191" i="6"/>
  <c r="B191" i="6"/>
  <c r="A191" i="6"/>
  <c r="A190" i="6"/>
  <c r="F189" i="6"/>
  <c r="C189" i="6"/>
  <c r="D189" i="6" s="1"/>
  <c r="A189" i="6"/>
  <c r="B189" i="6" s="1"/>
  <c r="E188" i="6"/>
  <c r="C188" i="6"/>
  <c r="D188" i="6" s="1"/>
  <c r="B188" i="6"/>
  <c r="E200" i="6" s="1"/>
  <c r="A188" i="6"/>
  <c r="F188" i="6" s="1"/>
  <c r="F187" i="6"/>
  <c r="B187" i="6"/>
  <c r="A187" i="6"/>
  <c r="F186" i="6"/>
  <c r="I186" i="6" s="1"/>
  <c r="E186" i="6"/>
  <c r="B186" i="6"/>
  <c r="A186" i="6"/>
  <c r="F185" i="6"/>
  <c r="B185" i="6"/>
  <c r="E197" i="6" s="1"/>
  <c r="A185" i="6"/>
  <c r="B184" i="6"/>
  <c r="A184" i="6"/>
  <c r="F184" i="6" s="1"/>
  <c r="I196" i="6" s="1"/>
  <c r="A183" i="6"/>
  <c r="F182" i="6"/>
  <c r="G182" i="6" s="1"/>
  <c r="H182" i="6" s="1"/>
  <c r="B182" i="6"/>
  <c r="A182" i="6"/>
  <c r="F181" i="6"/>
  <c r="B181" i="6"/>
  <c r="A181" i="6"/>
  <c r="F180" i="6"/>
  <c r="A180" i="6"/>
  <c r="B180" i="6" s="1"/>
  <c r="F179" i="6"/>
  <c r="B179" i="6"/>
  <c r="E191" i="6" s="1"/>
  <c r="A179" i="6"/>
  <c r="F178" i="6"/>
  <c r="A178" i="6"/>
  <c r="B178" i="6" s="1"/>
  <c r="G177" i="6"/>
  <c r="H177" i="6" s="1"/>
  <c r="F177" i="6"/>
  <c r="B177" i="6"/>
  <c r="A177" i="6"/>
  <c r="F176" i="6"/>
  <c r="I176" i="6" s="1"/>
  <c r="E176" i="6"/>
  <c r="A176" i="6"/>
  <c r="B176" i="6" s="1"/>
  <c r="F175" i="6"/>
  <c r="B175" i="6"/>
  <c r="E187" i="6" s="1"/>
  <c r="A175" i="6"/>
  <c r="F174" i="6"/>
  <c r="B174" i="6"/>
  <c r="A174" i="6"/>
  <c r="F173" i="6"/>
  <c r="B173" i="6"/>
  <c r="A173" i="6"/>
  <c r="F172" i="6"/>
  <c r="I172" i="6" s="1"/>
  <c r="B172" i="6"/>
  <c r="E184" i="6" s="1"/>
  <c r="A172" i="6"/>
  <c r="A171" i="6"/>
  <c r="F171" i="6" s="1"/>
  <c r="A170" i="6"/>
  <c r="F169" i="6"/>
  <c r="I181" i="6" s="1"/>
  <c r="B169" i="6"/>
  <c r="A169" i="6"/>
  <c r="F168" i="6"/>
  <c r="E168" i="6"/>
  <c r="A168" i="6"/>
  <c r="B168" i="6" s="1"/>
  <c r="A167" i="6"/>
  <c r="F166" i="6"/>
  <c r="A166" i="6"/>
  <c r="B166" i="6" s="1"/>
  <c r="F165" i="6"/>
  <c r="G165" i="6" s="1"/>
  <c r="H165" i="6" s="1"/>
  <c r="C165" i="6"/>
  <c r="D165" i="6" s="1"/>
  <c r="B165" i="6"/>
  <c r="A165" i="6"/>
  <c r="B164" i="6"/>
  <c r="A164" i="6"/>
  <c r="F164" i="6" s="1"/>
  <c r="A163" i="6"/>
  <c r="F162" i="6"/>
  <c r="B162" i="6"/>
  <c r="A162" i="6"/>
  <c r="F161" i="6"/>
  <c r="B161" i="6"/>
  <c r="C162" i="6" s="1"/>
  <c r="D162" i="6" s="1"/>
  <c r="A161" i="6"/>
  <c r="I160" i="6"/>
  <c r="B160" i="6"/>
  <c r="E160" i="6" s="1"/>
  <c r="A160" i="6"/>
  <c r="F160" i="6" s="1"/>
  <c r="A159" i="6"/>
  <c r="B159" i="6" s="1"/>
  <c r="C159" i="6" s="1"/>
  <c r="D159" i="6" s="1"/>
  <c r="F158" i="6"/>
  <c r="B158" i="6"/>
  <c r="A158" i="6"/>
  <c r="F157" i="6"/>
  <c r="D157" i="6"/>
  <c r="C157" i="6"/>
  <c r="B157" i="6"/>
  <c r="A157" i="6"/>
  <c r="F156" i="6"/>
  <c r="A156" i="6"/>
  <c r="B156" i="6" s="1"/>
  <c r="F155" i="6"/>
  <c r="B155" i="6"/>
  <c r="C156" i="6" s="1"/>
  <c r="D156" i="6" s="1"/>
  <c r="A155" i="6"/>
  <c r="A154" i="6"/>
  <c r="F154" i="6" s="1"/>
  <c r="F153" i="6"/>
  <c r="B153" i="6"/>
  <c r="E165" i="6" s="1"/>
  <c r="A153" i="6"/>
  <c r="F152" i="6"/>
  <c r="E152" i="6"/>
  <c r="D152" i="6"/>
  <c r="A152" i="6"/>
  <c r="B152" i="6" s="1"/>
  <c r="C152" i="6" s="1"/>
  <c r="F151" i="6"/>
  <c r="B151" i="6"/>
  <c r="A151" i="6"/>
  <c r="A150" i="6"/>
  <c r="B150" i="6" s="1"/>
  <c r="F149" i="6"/>
  <c r="B149" i="6"/>
  <c r="C149" i="6" s="1"/>
  <c r="D149" i="6" s="1"/>
  <c r="A149" i="6"/>
  <c r="F148" i="6"/>
  <c r="B148" i="6"/>
  <c r="A148" i="6"/>
  <c r="B147" i="6"/>
  <c r="A147" i="6"/>
  <c r="F147" i="6" s="1"/>
  <c r="A146" i="6"/>
  <c r="F145" i="6"/>
  <c r="I145" i="6" s="1"/>
  <c r="D145" i="6"/>
  <c r="C145" i="6"/>
  <c r="B145" i="6"/>
  <c r="E157" i="6" s="1"/>
  <c r="A145" i="6"/>
  <c r="F144" i="6"/>
  <c r="B144" i="6"/>
  <c r="E156" i="6" s="1"/>
  <c r="A144" i="6"/>
  <c r="B143" i="6"/>
  <c r="C144" i="6" s="1"/>
  <c r="D144" i="6" s="1"/>
  <c r="A143" i="6"/>
  <c r="F143" i="6" s="1"/>
  <c r="E142" i="6"/>
  <c r="A142" i="6"/>
  <c r="B142" i="6" s="1"/>
  <c r="F141" i="6"/>
  <c r="B141" i="6"/>
  <c r="E153" i="6" s="1"/>
  <c r="A141" i="6"/>
  <c r="B140" i="6"/>
  <c r="C140" i="6" s="1"/>
  <c r="D140" i="6" s="1"/>
  <c r="A140" i="6"/>
  <c r="F140" i="6" s="1"/>
  <c r="F139" i="6"/>
  <c r="I139" i="6" s="1"/>
  <c r="A139" i="6"/>
  <c r="B139" i="6" s="1"/>
  <c r="E151" i="6" s="1"/>
  <c r="A138" i="6"/>
  <c r="F138" i="6" s="1"/>
  <c r="F137" i="6"/>
  <c r="G137" i="6" s="1"/>
  <c r="H137" i="6" s="1"/>
  <c r="B137" i="6"/>
  <c r="E149" i="6" s="1"/>
  <c r="A137" i="6"/>
  <c r="A136" i="6"/>
  <c r="F136" i="6" s="1"/>
  <c r="A135" i="6"/>
  <c r="F134" i="6"/>
  <c r="E134" i="6"/>
  <c r="C134" i="6"/>
  <c r="D134" i="6" s="1"/>
  <c r="A134" i="6"/>
  <c r="B134" i="6" s="1"/>
  <c r="F133" i="6"/>
  <c r="B133" i="6"/>
  <c r="E145" i="6" s="1"/>
  <c r="A133" i="6"/>
  <c r="A132" i="6"/>
  <c r="B132" i="6" s="1"/>
  <c r="E144" i="6" s="1"/>
  <c r="F131" i="6"/>
  <c r="D131" i="6"/>
  <c r="C131" i="6"/>
  <c r="B131" i="6"/>
  <c r="A131" i="6"/>
  <c r="F130" i="6"/>
  <c r="B130" i="6"/>
  <c r="A130" i="6"/>
  <c r="F129" i="6"/>
  <c r="I141" i="6" s="1"/>
  <c r="B129" i="6"/>
  <c r="A129" i="6"/>
  <c r="A128" i="6"/>
  <c r="F127" i="6"/>
  <c r="A127" i="6"/>
  <c r="B127" i="6" s="1"/>
  <c r="A126" i="6"/>
  <c r="F125" i="6"/>
  <c r="B125" i="6"/>
  <c r="A125" i="6"/>
  <c r="F124" i="6"/>
  <c r="I136" i="6" s="1"/>
  <c r="B124" i="6"/>
  <c r="A124" i="6"/>
  <c r="A123" i="6"/>
  <c r="F123" i="6" s="1"/>
  <c r="I122" i="6"/>
  <c r="F122" i="6"/>
  <c r="A122" i="6"/>
  <c r="B122" i="6" s="1"/>
  <c r="F121" i="6"/>
  <c r="G122" i="6" s="1"/>
  <c r="H122" i="6" s="1"/>
  <c r="E121" i="6"/>
  <c r="B121" i="6"/>
  <c r="A121" i="6"/>
  <c r="B120" i="6"/>
  <c r="A120" i="6"/>
  <c r="F120" i="6" s="1"/>
  <c r="G120" i="6" s="1"/>
  <c r="H120" i="6" s="1"/>
  <c r="A119" i="6"/>
  <c r="F119" i="6" s="1"/>
  <c r="I119" i="6" s="1"/>
  <c r="A118" i="6"/>
  <c r="F117" i="6"/>
  <c r="B117" i="6"/>
  <c r="A117" i="6"/>
  <c r="A116" i="6"/>
  <c r="F115" i="6"/>
  <c r="A115" i="6"/>
  <c r="B115" i="6" s="1"/>
  <c r="F114" i="6"/>
  <c r="A114" i="6"/>
  <c r="B114" i="6" s="1"/>
  <c r="F113" i="6"/>
  <c r="B113" i="6"/>
  <c r="A113" i="6"/>
  <c r="A112" i="6"/>
  <c r="F112" i="6" s="1"/>
  <c r="A111" i="6"/>
  <c r="B111" i="6" s="1"/>
  <c r="F110" i="6"/>
  <c r="B110" i="6"/>
  <c r="E122" i="6" s="1"/>
  <c r="A110" i="6"/>
  <c r="F109" i="6"/>
  <c r="B109" i="6"/>
  <c r="C110" i="6" s="1"/>
  <c r="D110" i="6" s="1"/>
  <c r="A109" i="6"/>
  <c r="A108" i="6"/>
  <c r="I107" i="6"/>
  <c r="F107" i="6"/>
  <c r="B107" i="6"/>
  <c r="A107" i="6"/>
  <c r="F106" i="6"/>
  <c r="C106" i="6"/>
  <c r="D106" i="6" s="1"/>
  <c r="B106" i="6"/>
  <c r="A106" i="6"/>
  <c r="B105" i="6"/>
  <c r="A105" i="6"/>
  <c r="F105" i="6" s="1"/>
  <c r="F104" i="6"/>
  <c r="A104" i="6"/>
  <c r="B104" i="6" s="1"/>
  <c r="F103" i="6"/>
  <c r="B103" i="6"/>
  <c r="A103" i="6"/>
  <c r="B102" i="6"/>
  <c r="C102" i="6" s="1"/>
  <c r="D102" i="6" s="1"/>
  <c r="A102" i="6"/>
  <c r="F102" i="6" s="1"/>
  <c r="F101" i="6"/>
  <c r="B101" i="6"/>
  <c r="C101" i="6" s="1"/>
  <c r="D101" i="6" s="1"/>
  <c r="A101" i="6"/>
  <c r="F100" i="6"/>
  <c r="C100" i="6"/>
  <c r="D100" i="6" s="1"/>
  <c r="A100" i="6"/>
  <c r="B100" i="6" s="1"/>
  <c r="F99" i="6"/>
  <c r="B99" i="6"/>
  <c r="A99" i="6"/>
  <c r="F98" i="6"/>
  <c r="I110" i="6" s="1"/>
  <c r="E98" i="6"/>
  <c r="B98" i="6"/>
  <c r="C98" i="6" s="1"/>
  <c r="D98" i="6" s="1"/>
  <c r="A98" i="6"/>
  <c r="B97" i="6"/>
  <c r="A97" i="6"/>
  <c r="F97" i="6" s="1"/>
  <c r="F96" i="6"/>
  <c r="C96" i="6"/>
  <c r="D96" i="6" s="1"/>
  <c r="A96" i="6"/>
  <c r="B96" i="6" s="1"/>
  <c r="F95" i="6"/>
  <c r="G95" i="6" s="1"/>
  <c r="H95" i="6" s="1"/>
  <c r="B95" i="6"/>
  <c r="E107" i="6" s="1"/>
  <c r="A95" i="6"/>
  <c r="A94" i="6"/>
  <c r="F94" i="6" s="1"/>
  <c r="I93" i="6"/>
  <c r="F93" i="6"/>
  <c r="B93" i="6"/>
  <c r="A93" i="6"/>
  <c r="A92" i="6"/>
  <c r="B92" i="6" s="1"/>
  <c r="E104" i="6" s="1"/>
  <c r="F91" i="6"/>
  <c r="B91" i="6"/>
  <c r="A91" i="6"/>
  <c r="F90" i="6"/>
  <c r="I102" i="6" s="1"/>
  <c r="B90" i="6"/>
  <c r="A90" i="6"/>
  <c r="A89" i="6"/>
  <c r="A88" i="6"/>
  <c r="F87" i="6"/>
  <c r="B87" i="6"/>
  <c r="E99" i="6" s="1"/>
  <c r="A87" i="6"/>
  <c r="F86" i="6"/>
  <c r="B86" i="6"/>
  <c r="C87" i="6" s="1"/>
  <c r="D87" i="6" s="1"/>
  <c r="A86" i="6"/>
  <c r="A85" i="6"/>
  <c r="F84" i="6"/>
  <c r="I84" i="6" s="1"/>
  <c r="E84" i="6"/>
  <c r="A84" i="6"/>
  <c r="B84" i="6" s="1"/>
  <c r="C84" i="6" s="1"/>
  <c r="D84" i="6" s="1"/>
  <c r="F83" i="6"/>
  <c r="E83" i="6"/>
  <c r="B83" i="6"/>
  <c r="E95" i="6" s="1"/>
  <c r="A83" i="6"/>
  <c r="A82" i="6"/>
  <c r="F81" i="6"/>
  <c r="A81" i="6"/>
  <c r="B81" i="6" s="1"/>
  <c r="E93" i="6" s="1"/>
  <c r="A80" i="6"/>
  <c r="F79" i="6"/>
  <c r="I91" i="6" s="1"/>
  <c r="B79" i="6"/>
  <c r="A79" i="6"/>
  <c r="F78" i="6"/>
  <c r="A78" i="6"/>
  <c r="B78" i="6" s="1"/>
  <c r="A77" i="6"/>
  <c r="F77" i="6" s="1"/>
  <c r="A76" i="6"/>
  <c r="B76" i="6" s="1"/>
  <c r="E76" i="6" s="1"/>
  <c r="F75" i="6"/>
  <c r="B75" i="6"/>
  <c r="E75" i="6" s="1"/>
  <c r="A75" i="6"/>
  <c r="A74" i="6"/>
  <c r="F74" i="6" s="1"/>
  <c r="F73" i="6"/>
  <c r="A73" i="6"/>
  <c r="B73" i="6" s="1"/>
  <c r="G72" i="6"/>
  <c r="H72" i="6" s="1"/>
  <c r="F72" i="6"/>
  <c r="A72" i="6"/>
  <c r="B72" i="6" s="1"/>
  <c r="F71" i="6"/>
  <c r="I83" i="6" s="1"/>
  <c r="B71" i="6"/>
  <c r="C71" i="6" s="1"/>
  <c r="D71" i="6" s="1"/>
  <c r="A71" i="6"/>
  <c r="F70" i="6"/>
  <c r="A70" i="6"/>
  <c r="B70" i="6" s="1"/>
  <c r="A69" i="6"/>
  <c r="F69" i="6" s="1"/>
  <c r="F68" i="6"/>
  <c r="E68" i="6"/>
  <c r="A68" i="6"/>
  <c r="B68" i="6" s="1"/>
  <c r="I67" i="6"/>
  <c r="F67" i="6"/>
  <c r="G68" i="6" s="1"/>
  <c r="H68" i="6" s="1"/>
  <c r="B67" i="6"/>
  <c r="A67" i="6"/>
  <c r="A66" i="6"/>
  <c r="F65" i="6"/>
  <c r="I65" i="6" s="1"/>
  <c r="C65" i="6"/>
  <c r="D65" i="6" s="1"/>
  <c r="B65" i="6"/>
  <c r="A65" i="6"/>
  <c r="F64" i="6"/>
  <c r="C64" i="6"/>
  <c r="D64" i="6" s="1"/>
  <c r="A64" i="6"/>
  <c r="B64" i="6" s="1"/>
  <c r="G63" i="6"/>
  <c r="H63" i="6" s="1"/>
  <c r="F63" i="6"/>
  <c r="C63" i="6"/>
  <c r="D63" i="6" s="1"/>
  <c r="B63" i="6"/>
  <c r="A63" i="6"/>
  <c r="F62" i="6"/>
  <c r="B62" i="6"/>
  <c r="A62" i="6"/>
  <c r="F61" i="6"/>
  <c r="I61" i="6" s="1"/>
  <c r="B61" i="6"/>
  <c r="A61" i="6"/>
  <c r="A60" i="6"/>
  <c r="F59" i="6"/>
  <c r="B59" i="6"/>
  <c r="E59" i="6" s="1"/>
  <c r="A59" i="6"/>
  <c r="F58" i="6"/>
  <c r="B58" i="6"/>
  <c r="E70" i="6" s="1"/>
  <c r="A58" i="6"/>
  <c r="B57" i="6"/>
  <c r="A57" i="6"/>
  <c r="F57" i="6" s="1"/>
  <c r="F56" i="6"/>
  <c r="I56" i="6" s="1"/>
  <c r="A56" i="6"/>
  <c r="B56" i="6" s="1"/>
  <c r="F55" i="6"/>
  <c r="B55" i="6"/>
  <c r="C56" i="6" s="1"/>
  <c r="A55" i="6"/>
  <c r="A54" i="6"/>
  <c r="F53" i="6"/>
  <c r="B53" i="6"/>
  <c r="E65" i="6" s="1"/>
  <c r="A53" i="6"/>
  <c r="A52" i="6"/>
  <c r="B52" i="6" s="1"/>
  <c r="C52" i="6" s="1"/>
  <c r="F51" i="6"/>
  <c r="G51" i="6" s="1"/>
  <c r="H51" i="6" s="1"/>
  <c r="B51" i="6"/>
  <c r="E63" i="6" s="1"/>
  <c r="A51" i="6"/>
  <c r="F50" i="6"/>
  <c r="B50" i="6"/>
  <c r="C50" i="6" s="1"/>
  <c r="A50" i="6"/>
  <c r="E49" i="6"/>
  <c r="D49" i="6"/>
  <c r="B49" i="6"/>
  <c r="E61" i="6" s="1"/>
  <c r="A49" i="6"/>
  <c r="F49" i="6" s="1"/>
  <c r="A48" i="6"/>
  <c r="F47" i="6"/>
  <c r="G47" i="6" s="1"/>
  <c r="H47" i="6" s="1"/>
  <c r="E47" i="6"/>
  <c r="B47" i="6"/>
  <c r="A47" i="6"/>
  <c r="F46" i="6"/>
  <c r="B46" i="6"/>
  <c r="C47" i="6" s="1"/>
  <c r="A46" i="6"/>
  <c r="A45" i="6"/>
  <c r="F45" i="6" s="1"/>
  <c r="F44" i="6"/>
  <c r="B44" i="6"/>
  <c r="D56" i="6" s="1"/>
  <c r="A44" i="6"/>
  <c r="F43" i="6"/>
  <c r="I55" i="6" s="1"/>
  <c r="C43" i="6"/>
  <c r="B43" i="6"/>
  <c r="A43" i="6"/>
  <c r="B42" i="6"/>
  <c r="A42" i="6"/>
  <c r="F42" i="6" s="1"/>
  <c r="A41" i="6"/>
  <c r="F40" i="6"/>
  <c r="E40" i="6"/>
  <c r="B40" i="6"/>
  <c r="A40" i="6"/>
  <c r="F39" i="6"/>
  <c r="B39" i="6"/>
  <c r="E39" i="6" s="1"/>
  <c r="A39" i="6"/>
  <c r="B38" i="6"/>
  <c r="C38" i="6" s="1"/>
  <c r="A38" i="6"/>
  <c r="F38" i="6" s="1"/>
  <c r="G38" i="6" s="1"/>
  <c r="H38" i="6" s="1"/>
  <c r="F37" i="6"/>
  <c r="I37" i="6" s="1"/>
  <c r="B37" i="6"/>
  <c r="A37" i="6"/>
  <c r="F36" i="6"/>
  <c r="B36" i="6"/>
  <c r="A36" i="6"/>
  <c r="F35" i="6"/>
  <c r="D35" i="6"/>
  <c r="B35" i="6"/>
  <c r="D47" i="6" s="1"/>
  <c r="A35" i="6"/>
  <c r="A34" i="6"/>
  <c r="F33" i="6"/>
  <c r="B33" i="6"/>
  <c r="A33" i="6"/>
  <c r="A32" i="6"/>
  <c r="F32" i="6" s="1"/>
  <c r="F31" i="6"/>
  <c r="B31" i="6"/>
  <c r="A31" i="6"/>
  <c r="F30" i="6"/>
  <c r="I30" i="6" s="1"/>
  <c r="B30" i="6"/>
  <c r="A30" i="6"/>
  <c r="F29" i="6"/>
  <c r="C29" i="6"/>
  <c r="B29" i="6"/>
  <c r="A29" i="6"/>
  <c r="C28" i="6"/>
  <c r="B28" i="6"/>
  <c r="D40" i="6" s="1"/>
  <c r="A28" i="6"/>
  <c r="F28" i="6" s="1"/>
  <c r="F27" i="6"/>
  <c r="G27" i="6" s="1"/>
  <c r="H27" i="6" s="1"/>
  <c r="C27" i="6"/>
  <c r="B27" i="6"/>
  <c r="A27" i="6"/>
  <c r="F26" i="6"/>
  <c r="I26" i="6" s="1"/>
  <c r="B26" i="6"/>
  <c r="A26" i="6"/>
  <c r="B25" i="6"/>
  <c r="A25" i="6"/>
  <c r="F25" i="6" s="1"/>
  <c r="A24" i="6"/>
  <c r="F23" i="6"/>
  <c r="B23" i="6"/>
  <c r="E35" i="6" s="1"/>
  <c r="A23" i="6"/>
  <c r="F22" i="6"/>
  <c r="B22" i="6"/>
  <c r="A22" i="6"/>
  <c r="A21" i="6"/>
  <c r="F21" i="6" s="1"/>
  <c r="F20" i="6"/>
  <c r="G20" i="6" s="1"/>
  <c r="H20" i="6" s="1"/>
  <c r="B20" i="6"/>
  <c r="A20" i="6"/>
  <c r="F19" i="6"/>
  <c r="B19" i="6"/>
  <c r="A19" i="6"/>
  <c r="B18" i="6"/>
  <c r="A18" i="6"/>
  <c r="F18" i="6" s="1"/>
  <c r="A17" i="6"/>
  <c r="F16" i="6"/>
  <c r="B16" i="6"/>
  <c r="E28" i="6" s="1"/>
  <c r="A16" i="6"/>
  <c r="F15" i="6"/>
  <c r="B15" i="6"/>
  <c r="A15" i="6"/>
  <c r="A14" i="6"/>
  <c r="F14" i="6" s="1"/>
  <c r="F13" i="6"/>
  <c r="B13" i="6"/>
  <c r="E13" i="6" s="1"/>
  <c r="A13" i="6"/>
  <c r="F12" i="6"/>
  <c r="I12" i="6" s="1"/>
  <c r="E12" i="6"/>
  <c r="B12" i="6"/>
  <c r="A12" i="6"/>
  <c r="F11" i="6"/>
  <c r="I11" i="6" s="1"/>
  <c r="B11" i="6"/>
  <c r="A11" i="6"/>
  <c r="A10" i="6"/>
  <c r="F9" i="6"/>
  <c r="I9" i="6" s="1"/>
  <c r="E9" i="6"/>
  <c r="D9" i="6"/>
  <c r="B9" i="6"/>
  <c r="A9" i="6"/>
  <c r="F8" i="6"/>
  <c r="A8" i="6"/>
  <c r="B8" i="6" s="1"/>
  <c r="F7" i="6"/>
  <c r="I7" i="6" s="1"/>
  <c r="B7" i="6"/>
  <c r="E19" i="6" s="1"/>
  <c r="A7" i="6"/>
  <c r="F6" i="6"/>
  <c r="B6" i="6"/>
  <c r="E6" i="6" s="1"/>
  <c r="A6" i="6"/>
  <c r="F5" i="6"/>
  <c r="B5" i="6"/>
  <c r="A5" i="6"/>
  <c r="A4" i="6"/>
  <c r="A3" i="6"/>
  <c r="F3" i="6" s="1"/>
  <c r="K2" i="6"/>
  <c r="L2" i="6" s="1"/>
  <c r="Y153" i="5"/>
  <c r="Y8" i="5" s="1"/>
  <c r="X153" i="5"/>
  <c r="X9" i="5" s="1"/>
  <c r="W153" i="5"/>
  <c r="W8" i="5" s="1"/>
  <c r="V153" i="5"/>
  <c r="V9" i="5" s="1"/>
  <c r="U153" i="5"/>
  <c r="T153" i="5"/>
  <c r="S153" i="5"/>
  <c r="R153" i="5"/>
  <c r="Q153" i="5"/>
  <c r="P153" i="5"/>
  <c r="O153" i="5"/>
  <c r="N153" i="5"/>
  <c r="M153" i="5"/>
  <c r="M8" i="5" s="1"/>
  <c r="L153" i="5"/>
  <c r="L9" i="5" s="1"/>
  <c r="K153" i="5"/>
  <c r="K8" i="5" s="1"/>
  <c r="J153" i="5"/>
  <c r="J9" i="5" s="1"/>
  <c r="I153" i="5"/>
  <c r="H153" i="5"/>
  <c r="G153" i="5"/>
  <c r="F153" i="5"/>
  <c r="E153" i="5"/>
  <c r="D153" i="5"/>
  <c r="C153" i="5"/>
  <c r="Y152" i="5"/>
  <c r="X152" i="5"/>
  <c r="W152" i="5"/>
  <c r="V152" i="5"/>
  <c r="U152" i="5"/>
  <c r="T152" i="5"/>
  <c r="S152" i="5"/>
  <c r="R152" i="5"/>
  <c r="Q152" i="5"/>
  <c r="P152" i="5"/>
  <c r="O152" i="5"/>
  <c r="N152" i="5"/>
  <c r="M152" i="5"/>
  <c r="L152" i="5"/>
  <c r="K152" i="5"/>
  <c r="J152" i="5"/>
  <c r="I152" i="5"/>
  <c r="H152" i="5"/>
  <c r="G152" i="5"/>
  <c r="F152" i="5"/>
  <c r="E152" i="5"/>
  <c r="D152" i="5"/>
  <c r="C152" i="5"/>
  <c r="Y151" i="5"/>
  <c r="X151" i="5"/>
  <c r="W151" i="5"/>
  <c r="V151" i="5"/>
  <c r="U151" i="5"/>
  <c r="T151" i="5"/>
  <c r="S151" i="5"/>
  <c r="R151" i="5"/>
  <c r="Q151" i="5"/>
  <c r="P151" i="5"/>
  <c r="O151" i="5"/>
  <c r="N151" i="5"/>
  <c r="M151" i="5"/>
  <c r="L151" i="5"/>
  <c r="K151" i="5"/>
  <c r="J151" i="5"/>
  <c r="I151" i="5"/>
  <c r="H151" i="5"/>
  <c r="G151" i="5"/>
  <c r="F151" i="5"/>
  <c r="E151" i="5"/>
  <c r="D151" i="5"/>
  <c r="C151" i="5"/>
  <c r="Y150" i="5"/>
  <c r="X150" i="5"/>
  <c r="W150" i="5"/>
  <c r="V150" i="5"/>
  <c r="U150" i="5"/>
  <c r="T150" i="5"/>
  <c r="S150" i="5"/>
  <c r="R150" i="5"/>
  <c r="Q150" i="5"/>
  <c r="P150" i="5"/>
  <c r="O150" i="5"/>
  <c r="N150" i="5"/>
  <c r="M150" i="5"/>
  <c r="L150" i="5"/>
  <c r="K150" i="5"/>
  <c r="J150" i="5"/>
  <c r="I150" i="5"/>
  <c r="H150" i="5"/>
  <c r="G150" i="5"/>
  <c r="F150" i="5"/>
  <c r="E150" i="5"/>
  <c r="D150" i="5"/>
  <c r="C150" i="5"/>
  <c r="Y149" i="5"/>
  <c r="X149" i="5"/>
  <c r="W149" i="5"/>
  <c r="V149" i="5"/>
  <c r="U149" i="5"/>
  <c r="T149" i="5"/>
  <c r="S149" i="5"/>
  <c r="R149" i="5"/>
  <c r="Q149" i="5"/>
  <c r="P149" i="5"/>
  <c r="O149" i="5"/>
  <c r="N149" i="5"/>
  <c r="M149" i="5"/>
  <c r="L149" i="5"/>
  <c r="K149" i="5"/>
  <c r="J149" i="5"/>
  <c r="I149" i="5"/>
  <c r="H149" i="5"/>
  <c r="G149" i="5"/>
  <c r="F149" i="5"/>
  <c r="E149" i="5"/>
  <c r="D149" i="5"/>
  <c r="C149" i="5"/>
  <c r="Y148" i="5"/>
  <c r="X148" i="5"/>
  <c r="W148" i="5"/>
  <c r="V148" i="5"/>
  <c r="U148" i="5"/>
  <c r="T148" i="5"/>
  <c r="S148" i="5"/>
  <c r="R148" i="5"/>
  <c r="Q148" i="5"/>
  <c r="P148" i="5"/>
  <c r="O148" i="5"/>
  <c r="N148" i="5"/>
  <c r="M148" i="5"/>
  <c r="L148" i="5"/>
  <c r="K148" i="5"/>
  <c r="J148" i="5"/>
  <c r="I148" i="5"/>
  <c r="H148" i="5"/>
  <c r="G148" i="5"/>
  <c r="F148" i="5"/>
  <c r="E148" i="5"/>
  <c r="D148" i="5"/>
  <c r="C148" i="5"/>
  <c r="Y147" i="5"/>
  <c r="X147" i="5"/>
  <c r="W147" i="5"/>
  <c r="V147" i="5"/>
  <c r="U147" i="5"/>
  <c r="T147" i="5"/>
  <c r="S147" i="5"/>
  <c r="R147" i="5"/>
  <c r="Q147" i="5"/>
  <c r="P147" i="5"/>
  <c r="O147" i="5"/>
  <c r="N147" i="5"/>
  <c r="M147" i="5"/>
  <c r="L147" i="5"/>
  <c r="K147" i="5"/>
  <c r="J147" i="5"/>
  <c r="I147" i="5"/>
  <c r="H147" i="5"/>
  <c r="G147" i="5"/>
  <c r="F147" i="5"/>
  <c r="E147" i="5"/>
  <c r="D147" i="5"/>
  <c r="C147" i="5"/>
  <c r="Y146" i="5"/>
  <c r="X146" i="5"/>
  <c r="W146" i="5"/>
  <c r="V146" i="5"/>
  <c r="U146" i="5"/>
  <c r="T146" i="5"/>
  <c r="S146" i="5"/>
  <c r="R146" i="5"/>
  <c r="Q146" i="5"/>
  <c r="P146" i="5"/>
  <c r="O146" i="5"/>
  <c r="N146" i="5"/>
  <c r="M146" i="5"/>
  <c r="L146" i="5"/>
  <c r="K146" i="5"/>
  <c r="J146" i="5"/>
  <c r="I146" i="5"/>
  <c r="H146" i="5"/>
  <c r="G146" i="5"/>
  <c r="F146" i="5"/>
  <c r="E146" i="5"/>
  <c r="D146" i="5"/>
  <c r="C146" i="5"/>
  <c r="Y145" i="5"/>
  <c r="X145" i="5"/>
  <c r="W145" i="5"/>
  <c r="V145" i="5"/>
  <c r="U145" i="5"/>
  <c r="T145" i="5"/>
  <c r="S145" i="5"/>
  <c r="R145" i="5"/>
  <c r="Q145" i="5"/>
  <c r="P145" i="5"/>
  <c r="O145" i="5"/>
  <c r="N145" i="5"/>
  <c r="M145" i="5"/>
  <c r="L145" i="5"/>
  <c r="K145" i="5"/>
  <c r="J145" i="5"/>
  <c r="I145" i="5"/>
  <c r="H145" i="5"/>
  <c r="G145" i="5"/>
  <c r="F145" i="5"/>
  <c r="E145" i="5"/>
  <c r="D145" i="5"/>
  <c r="C145" i="5"/>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AA4" i="5" s="1"/>
  <c r="Z94" i="5"/>
  <c r="Z5" i="5" s="1"/>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S68" i="5"/>
  <c r="R68" i="5"/>
  <c r="Q68" i="5"/>
  <c r="P68" i="5"/>
  <c r="O68" i="5"/>
  <c r="O6" i="5" s="1"/>
  <c r="N68" i="5"/>
  <c r="M68" i="5"/>
  <c r="L68" i="5"/>
  <c r="K68" i="5"/>
  <c r="J68" i="5"/>
  <c r="I68" i="5"/>
  <c r="H68" i="5"/>
  <c r="G68" i="5"/>
  <c r="F68" i="5"/>
  <c r="E68" i="5"/>
  <c r="D68" i="5"/>
  <c r="C68" i="5"/>
  <c r="C5" i="5" s="1"/>
  <c r="AA67" i="5"/>
  <c r="Z67" i="5"/>
  <c r="Y67" i="5"/>
  <c r="X67" i="5"/>
  <c r="W67" i="5"/>
  <c r="V67" i="5"/>
  <c r="U67" i="5"/>
  <c r="T67" i="5"/>
  <c r="S67" i="5"/>
  <c r="R67" i="5"/>
  <c r="Q67" i="5"/>
  <c r="P67" i="5"/>
  <c r="P4" i="5" s="1"/>
  <c r="O67" i="5"/>
  <c r="N67" i="5"/>
  <c r="M67" i="5"/>
  <c r="L67" i="5"/>
  <c r="K67" i="5"/>
  <c r="J67" i="5"/>
  <c r="I67" i="5"/>
  <c r="H67" i="5"/>
  <c r="G67" i="5"/>
  <c r="F67" i="5"/>
  <c r="E67" i="5"/>
  <c r="D67" i="5"/>
  <c r="C67" i="5"/>
  <c r="AA66" i="5"/>
  <c r="Z66" i="5"/>
  <c r="Y66" i="5"/>
  <c r="X66" i="5"/>
  <c r="W66" i="5"/>
  <c r="V66" i="5"/>
  <c r="U66" i="5"/>
  <c r="T66" i="5"/>
  <c r="S66" i="5"/>
  <c r="R66" i="5"/>
  <c r="Q66" i="5"/>
  <c r="Q4" i="5" s="1"/>
  <c r="P66" i="5"/>
  <c r="O66" i="5"/>
  <c r="N66" i="5"/>
  <c r="M66" i="5"/>
  <c r="L66" i="5"/>
  <c r="K66" i="5"/>
  <c r="J66" i="5"/>
  <c r="I66" i="5"/>
  <c r="H66" i="5"/>
  <c r="G66" i="5"/>
  <c r="F66" i="5"/>
  <c r="E66" i="5"/>
  <c r="E5" i="5" s="1"/>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G64" i="5"/>
  <c r="F64" i="5"/>
  <c r="E64" i="5"/>
  <c r="D64" i="5"/>
  <c r="C64" i="5"/>
  <c r="AA63" i="5"/>
  <c r="Z63" i="5"/>
  <c r="Y63" i="5"/>
  <c r="X63" i="5"/>
  <c r="W63" i="5"/>
  <c r="V63" i="5"/>
  <c r="U63" i="5"/>
  <c r="T63" i="5"/>
  <c r="S63" i="5"/>
  <c r="R63" i="5"/>
  <c r="Q63" i="5"/>
  <c r="P63" i="5"/>
  <c r="O63" i="5"/>
  <c r="N63" i="5"/>
  <c r="M63" i="5"/>
  <c r="L63" i="5"/>
  <c r="K63" i="5"/>
  <c r="J63" i="5"/>
  <c r="I63" i="5"/>
  <c r="H63" i="5"/>
  <c r="G63" i="5"/>
  <c r="F63" i="5"/>
  <c r="E63" i="5"/>
  <c r="D63" i="5"/>
  <c r="C63" i="5"/>
  <c r="AA62" i="5"/>
  <c r="Z62" i="5"/>
  <c r="Y62" i="5"/>
  <c r="X62" i="5"/>
  <c r="W62" i="5"/>
  <c r="V62" i="5"/>
  <c r="U62" i="5"/>
  <c r="T62" i="5"/>
  <c r="S62" i="5"/>
  <c r="R62" i="5"/>
  <c r="Q62" i="5"/>
  <c r="P62" i="5"/>
  <c r="O62" i="5"/>
  <c r="N62" i="5"/>
  <c r="M62" i="5"/>
  <c r="L62" i="5"/>
  <c r="K62" i="5"/>
  <c r="J62" i="5"/>
  <c r="I62" i="5"/>
  <c r="H62" i="5"/>
  <c r="G62" i="5"/>
  <c r="F62" i="5"/>
  <c r="E62" i="5"/>
  <c r="D62" i="5"/>
  <c r="C62" i="5"/>
  <c r="AA61" i="5"/>
  <c r="Z61" i="5"/>
  <c r="Y61" i="5"/>
  <c r="X61" i="5"/>
  <c r="W61" i="5"/>
  <c r="V61" i="5"/>
  <c r="U61" i="5"/>
  <c r="T61" i="5"/>
  <c r="S61" i="5"/>
  <c r="R61" i="5"/>
  <c r="R6" i="5" s="1"/>
  <c r="R7" i="5" s="1"/>
  <c r="Q61" i="5"/>
  <c r="P61" i="5"/>
  <c r="O61" i="5"/>
  <c r="N61" i="5"/>
  <c r="M61" i="5"/>
  <c r="L61" i="5"/>
  <c r="K61" i="5"/>
  <c r="J61" i="5"/>
  <c r="I61" i="5"/>
  <c r="H61" i="5"/>
  <c r="G61" i="5"/>
  <c r="F61" i="5"/>
  <c r="F6" i="5" s="1"/>
  <c r="F7" i="5" s="1"/>
  <c r="E61" i="5"/>
  <c r="D61" i="5"/>
  <c r="C61" i="5"/>
  <c r="AA60" i="5"/>
  <c r="Z60" i="5"/>
  <c r="Y60" i="5"/>
  <c r="X60" i="5"/>
  <c r="W60" i="5"/>
  <c r="V60" i="5"/>
  <c r="U60" i="5"/>
  <c r="T60" i="5"/>
  <c r="S60" i="5"/>
  <c r="S6" i="5" s="1"/>
  <c r="S7" i="5" s="1"/>
  <c r="R60" i="5"/>
  <c r="Q60" i="5"/>
  <c r="P60" i="5"/>
  <c r="O60" i="5"/>
  <c r="N60" i="5"/>
  <c r="M60" i="5"/>
  <c r="L60" i="5"/>
  <c r="K60" i="5"/>
  <c r="J60" i="5"/>
  <c r="I60" i="5"/>
  <c r="H60" i="5"/>
  <c r="G60" i="5"/>
  <c r="F60" i="5"/>
  <c r="E60" i="5"/>
  <c r="D60" i="5"/>
  <c r="C60" i="5"/>
  <c r="AA59" i="5"/>
  <c r="Z59" i="5"/>
  <c r="Y59" i="5"/>
  <c r="X59" i="5"/>
  <c r="W59" i="5"/>
  <c r="V59" i="5"/>
  <c r="U59" i="5"/>
  <c r="T59" i="5"/>
  <c r="T4" i="5" s="1"/>
  <c r="S59" i="5"/>
  <c r="R59" i="5"/>
  <c r="Q59" i="5"/>
  <c r="Q6" i="5" s="1"/>
  <c r="Q7" i="5" s="1"/>
  <c r="P59" i="5"/>
  <c r="P5" i="5" s="1"/>
  <c r="O59" i="5"/>
  <c r="N59" i="5"/>
  <c r="M59" i="5"/>
  <c r="L59" i="5"/>
  <c r="K59" i="5"/>
  <c r="J59" i="5"/>
  <c r="I59" i="5"/>
  <c r="H59" i="5"/>
  <c r="H4" i="5" s="1"/>
  <c r="G59" i="5"/>
  <c r="F59" i="5"/>
  <c r="E59" i="5"/>
  <c r="E6" i="5" s="1"/>
  <c r="E7" i="5" s="1"/>
  <c r="D59" i="5"/>
  <c r="D4" i="5" s="1"/>
  <c r="C59" i="5"/>
  <c r="AA9" i="5"/>
  <c r="Z9" i="5"/>
  <c r="Y9" i="5"/>
  <c r="W9" i="5"/>
  <c r="U9" i="5"/>
  <c r="T9" i="5"/>
  <c r="S9" i="5"/>
  <c r="R9" i="5"/>
  <c r="Q9" i="5"/>
  <c r="P9" i="5"/>
  <c r="O9" i="5"/>
  <c r="N9" i="5"/>
  <c r="M9" i="5"/>
  <c r="K9" i="5"/>
  <c r="I9" i="5"/>
  <c r="H9" i="5"/>
  <c r="G9" i="5"/>
  <c r="F9" i="5"/>
  <c r="E9" i="5"/>
  <c r="D9" i="5"/>
  <c r="C9" i="5"/>
  <c r="AA8" i="5"/>
  <c r="Z8" i="5"/>
  <c r="U8" i="5"/>
  <c r="T8" i="5"/>
  <c r="S8" i="5"/>
  <c r="R8" i="5"/>
  <c r="Q8" i="5"/>
  <c r="P8" i="5"/>
  <c r="O8" i="5"/>
  <c r="N8" i="5"/>
  <c r="I8" i="5"/>
  <c r="H8" i="5"/>
  <c r="G8" i="5"/>
  <c r="F8" i="5"/>
  <c r="E8" i="5"/>
  <c r="D8" i="5"/>
  <c r="C8" i="5"/>
  <c r="O7" i="5"/>
  <c r="AA6" i="5"/>
  <c r="AA7" i="5" s="1"/>
  <c r="Z6" i="5"/>
  <c r="Z7" i="5" s="1"/>
  <c r="G6" i="5"/>
  <c r="G7" i="5" s="1"/>
  <c r="S5" i="5"/>
  <c r="Q5" i="5"/>
  <c r="D5" i="5"/>
  <c r="Z4" i="5"/>
  <c r="K4" i="5"/>
  <c r="Y153" i="4"/>
  <c r="X153" i="4"/>
  <c r="W153" i="4"/>
  <c r="V153" i="4"/>
  <c r="V8" i="4" s="1"/>
  <c r="U153" i="4"/>
  <c r="U9" i="4" s="1"/>
  <c r="T153" i="4"/>
  <c r="T9" i="4" s="1"/>
  <c r="S153" i="4"/>
  <c r="R153" i="4"/>
  <c r="Q153" i="4"/>
  <c r="P153" i="4"/>
  <c r="O153" i="4"/>
  <c r="N153" i="4"/>
  <c r="M153" i="4"/>
  <c r="L153" i="4"/>
  <c r="K153" i="4"/>
  <c r="J153" i="4"/>
  <c r="J8" i="4" s="1"/>
  <c r="I153" i="4"/>
  <c r="I9" i="4" s="1"/>
  <c r="H153" i="4"/>
  <c r="H9" i="4" s="1"/>
  <c r="G153" i="4"/>
  <c r="F153" i="4"/>
  <c r="E153" i="4"/>
  <c r="D153" i="4"/>
  <c r="C153" i="4"/>
  <c r="Y152" i="4"/>
  <c r="X152" i="4"/>
  <c r="W152" i="4"/>
  <c r="V152" i="4"/>
  <c r="U152" i="4"/>
  <c r="T152" i="4"/>
  <c r="S152" i="4"/>
  <c r="R152" i="4"/>
  <c r="Q152" i="4"/>
  <c r="P152" i="4"/>
  <c r="O152" i="4"/>
  <c r="N152" i="4"/>
  <c r="M152" i="4"/>
  <c r="L152" i="4"/>
  <c r="K152" i="4"/>
  <c r="J152" i="4"/>
  <c r="I152" i="4"/>
  <c r="H152" i="4"/>
  <c r="G152" i="4"/>
  <c r="F152" i="4"/>
  <c r="E152" i="4"/>
  <c r="D152" i="4"/>
  <c r="C152" i="4"/>
  <c r="Y151" i="4"/>
  <c r="X151" i="4"/>
  <c r="W151" i="4"/>
  <c r="V151" i="4"/>
  <c r="U151" i="4"/>
  <c r="T151" i="4"/>
  <c r="S151" i="4"/>
  <c r="R151" i="4"/>
  <c r="Q151" i="4"/>
  <c r="P151" i="4"/>
  <c r="O151" i="4"/>
  <c r="N151" i="4"/>
  <c r="M151" i="4"/>
  <c r="L151" i="4"/>
  <c r="K151" i="4"/>
  <c r="J151" i="4"/>
  <c r="I151" i="4"/>
  <c r="H151" i="4"/>
  <c r="G151" i="4"/>
  <c r="F151" i="4"/>
  <c r="E151" i="4"/>
  <c r="D151" i="4"/>
  <c r="C151" i="4"/>
  <c r="Y150" i="4"/>
  <c r="X150" i="4"/>
  <c r="W150" i="4"/>
  <c r="V150" i="4"/>
  <c r="U150" i="4"/>
  <c r="T150" i="4"/>
  <c r="S150" i="4"/>
  <c r="R150" i="4"/>
  <c r="Q150" i="4"/>
  <c r="P150" i="4"/>
  <c r="O150" i="4"/>
  <c r="N150" i="4"/>
  <c r="M150" i="4"/>
  <c r="L150" i="4"/>
  <c r="K150" i="4"/>
  <c r="J150" i="4"/>
  <c r="I150" i="4"/>
  <c r="H150" i="4"/>
  <c r="G150" i="4"/>
  <c r="F150" i="4"/>
  <c r="E150" i="4"/>
  <c r="D150" i="4"/>
  <c r="C150" i="4"/>
  <c r="Y149" i="4"/>
  <c r="X149" i="4"/>
  <c r="W149" i="4"/>
  <c r="V149" i="4"/>
  <c r="U149" i="4"/>
  <c r="T149" i="4"/>
  <c r="S149" i="4"/>
  <c r="R149" i="4"/>
  <c r="Q149" i="4"/>
  <c r="P149" i="4"/>
  <c r="O149" i="4"/>
  <c r="N149" i="4"/>
  <c r="M149" i="4"/>
  <c r="L149" i="4"/>
  <c r="K149" i="4"/>
  <c r="J149" i="4"/>
  <c r="I149" i="4"/>
  <c r="H149" i="4"/>
  <c r="G149" i="4"/>
  <c r="F149" i="4"/>
  <c r="E149" i="4"/>
  <c r="D149" i="4"/>
  <c r="C149" i="4"/>
  <c r="Y148" i="4"/>
  <c r="X148" i="4"/>
  <c r="W148" i="4"/>
  <c r="V148" i="4"/>
  <c r="U148" i="4"/>
  <c r="T148" i="4"/>
  <c r="S148" i="4"/>
  <c r="R148" i="4"/>
  <c r="Q148" i="4"/>
  <c r="P148" i="4"/>
  <c r="O148" i="4"/>
  <c r="N148" i="4"/>
  <c r="M148" i="4"/>
  <c r="L148" i="4"/>
  <c r="K148" i="4"/>
  <c r="J148" i="4"/>
  <c r="I148" i="4"/>
  <c r="H148" i="4"/>
  <c r="G148" i="4"/>
  <c r="F148" i="4"/>
  <c r="E148" i="4"/>
  <c r="D148" i="4"/>
  <c r="C148" i="4"/>
  <c r="Y147" i="4"/>
  <c r="X147" i="4"/>
  <c r="W147" i="4"/>
  <c r="V147" i="4"/>
  <c r="U147" i="4"/>
  <c r="T147" i="4"/>
  <c r="S147" i="4"/>
  <c r="R147" i="4"/>
  <c r="Q147" i="4"/>
  <c r="P147" i="4"/>
  <c r="O147" i="4"/>
  <c r="N147" i="4"/>
  <c r="M147" i="4"/>
  <c r="L147" i="4"/>
  <c r="K147" i="4"/>
  <c r="J147" i="4"/>
  <c r="I147" i="4"/>
  <c r="H147" i="4"/>
  <c r="G147" i="4"/>
  <c r="F147" i="4"/>
  <c r="E147" i="4"/>
  <c r="D147" i="4"/>
  <c r="C147" i="4"/>
  <c r="Y146" i="4"/>
  <c r="X146" i="4"/>
  <c r="W146" i="4"/>
  <c r="V146" i="4"/>
  <c r="U146" i="4"/>
  <c r="T146" i="4"/>
  <c r="S146" i="4"/>
  <c r="R146" i="4"/>
  <c r="Q146" i="4"/>
  <c r="P146" i="4"/>
  <c r="O146" i="4"/>
  <c r="N146" i="4"/>
  <c r="M146" i="4"/>
  <c r="L146" i="4"/>
  <c r="K146" i="4"/>
  <c r="J146" i="4"/>
  <c r="I146" i="4"/>
  <c r="H146" i="4"/>
  <c r="G146" i="4"/>
  <c r="F146" i="4"/>
  <c r="E146" i="4"/>
  <c r="D146" i="4"/>
  <c r="C146" i="4"/>
  <c r="Y145" i="4"/>
  <c r="X145" i="4"/>
  <c r="W145" i="4"/>
  <c r="V145" i="4"/>
  <c r="U145" i="4"/>
  <c r="T145" i="4"/>
  <c r="S145" i="4"/>
  <c r="R145" i="4"/>
  <c r="Q145" i="4"/>
  <c r="P145" i="4"/>
  <c r="O145" i="4"/>
  <c r="N145" i="4"/>
  <c r="M145" i="4"/>
  <c r="L145" i="4"/>
  <c r="K145" i="4"/>
  <c r="J145" i="4"/>
  <c r="I145" i="4"/>
  <c r="H145" i="4"/>
  <c r="G145" i="4"/>
  <c r="F145" i="4"/>
  <c r="E145" i="4"/>
  <c r="D145" i="4"/>
  <c r="C145" i="4"/>
  <c r="Y144" i="4"/>
  <c r="X144" i="4"/>
  <c r="W144" i="4"/>
  <c r="V144" i="4"/>
  <c r="U144" i="4"/>
  <c r="T144" i="4"/>
  <c r="S144" i="4"/>
  <c r="R144" i="4"/>
  <c r="Q144" i="4"/>
  <c r="P144" i="4"/>
  <c r="O144" i="4"/>
  <c r="N144" i="4"/>
  <c r="M144" i="4"/>
  <c r="L144" i="4"/>
  <c r="K144" i="4"/>
  <c r="J144" i="4"/>
  <c r="I144" i="4"/>
  <c r="H144" i="4"/>
  <c r="G144" i="4"/>
  <c r="F144" i="4"/>
  <c r="E144" i="4"/>
  <c r="D144" i="4"/>
  <c r="C144" i="4"/>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Q114" i="4"/>
  <c r="P114" i="4"/>
  <c r="O114" i="4"/>
  <c r="N114" i="4"/>
  <c r="M114" i="4"/>
  <c r="L114" i="4"/>
  <c r="K114" i="4"/>
  <c r="J114" i="4"/>
  <c r="I114" i="4"/>
  <c r="H114" i="4"/>
  <c r="G114" i="4"/>
  <c r="F114" i="4"/>
  <c r="E114" i="4"/>
  <c r="D114" i="4"/>
  <c r="C114" i="4"/>
  <c r="Y113" i="4"/>
  <c r="X113" i="4"/>
  <c r="W113" i="4"/>
  <c r="V113" i="4"/>
  <c r="U113" i="4"/>
  <c r="T113" i="4"/>
  <c r="S113" i="4"/>
  <c r="R113" i="4"/>
  <c r="Q113" i="4"/>
  <c r="P113" i="4"/>
  <c r="O113" i="4"/>
  <c r="N113" i="4"/>
  <c r="M113" i="4"/>
  <c r="L113" i="4"/>
  <c r="K113" i="4"/>
  <c r="J113" i="4"/>
  <c r="I113" i="4"/>
  <c r="H113" i="4"/>
  <c r="G113" i="4"/>
  <c r="F113" i="4"/>
  <c r="E113" i="4"/>
  <c r="D113" i="4"/>
  <c r="C113" i="4"/>
  <c r="Y112" i="4"/>
  <c r="X112" i="4"/>
  <c r="W112" i="4"/>
  <c r="V112" i="4"/>
  <c r="U112" i="4"/>
  <c r="T112" i="4"/>
  <c r="S112" i="4"/>
  <c r="R112" i="4"/>
  <c r="Q112" i="4"/>
  <c r="P112" i="4"/>
  <c r="O112" i="4"/>
  <c r="N112" i="4"/>
  <c r="M112" i="4"/>
  <c r="L112" i="4"/>
  <c r="K112" i="4"/>
  <c r="J112" i="4"/>
  <c r="I112" i="4"/>
  <c r="H112" i="4"/>
  <c r="G112" i="4"/>
  <c r="F112" i="4"/>
  <c r="E112" i="4"/>
  <c r="D112" i="4"/>
  <c r="C112" i="4"/>
  <c r="Y111" i="4"/>
  <c r="X111" i="4"/>
  <c r="W111" i="4"/>
  <c r="V111" i="4"/>
  <c r="U111" i="4"/>
  <c r="T111" i="4"/>
  <c r="S111" i="4"/>
  <c r="R111" i="4"/>
  <c r="Q111" i="4"/>
  <c r="P111" i="4"/>
  <c r="O111" i="4"/>
  <c r="N111" i="4"/>
  <c r="M111" i="4"/>
  <c r="L111" i="4"/>
  <c r="K111" i="4"/>
  <c r="J111" i="4"/>
  <c r="I111" i="4"/>
  <c r="H111" i="4"/>
  <c r="G111" i="4"/>
  <c r="F111" i="4"/>
  <c r="E111" i="4"/>
  <c r="D111" i="4"/>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Z4" i="4" s="1"/>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Q66" i="4"/>
  <c r="P66" i="4"/>
  <c r="O66" i="4"/>
  <c r="N66" i="4"/>
  <c r="M66" i="4"/>
  <c r="L66" i="4"/>
  <c r="K66" i="4"/>
  <c r="J66" i="4"/>
  <c r="I66" i="4"/>
  <c r="H66" i="4"/>
  <c r="G66" i="4"/>
  <c r="F66" i="4"/>
  <c r="E66" i="4"/>
  <c r="D66" i="4"/>
  <c r="C66" i="4"/>
  <c r="AA65" i="4"/>
  <c r="Z65" i="4"/>
  <c r="Y65" i="4"/>
  <c r="X65" i="4"/>
  <c r="W65" i="4"/>
  <c r="V65" i="4"/>
  <c r="U65" i="4"/>
  <c r="T65" i="4"/>
  <c r="S65" i="4"/>
  <c r="R65" i="4"/>
  <c r="Q65" i="4"/>
  <c r="P65" i="4"/>
  <c r="O65" i="4"/>
  <c r="O4" i="4" s="1"/>
  <c r="N65" i="4"/>
  <c r="M65" i="4"/>
  <c r="L65" i="4"/>
  <c r="K65" i="4"/>
  <c r="J65" i="4"/>
  <c r="I65" i="4"/>
  <c r="H65" i="4"/>
  <c r="G65" i="4"/>
  <c r="F65" i="4"/>
  <c r="E65" i="4"/>
  <c r="D65" i="4"/>
  <c r="C65" i="4"/>
  <c r="AA64" i="4"/>
  <c r="Z64" i="4"/>
  <c r="Y64" i="4"/>
  <c r="X64" i="4"/>
  <c r="W64" i="4"/>
  <c r="V64" i="4"/>
  <c r="U64" i="4"/>
  <c r="T64" i="4"/>
  <c r="S64" i="4"/>
  <c r="R64" i="4"/>
  <c r="Q64" i="4"/>
  <c r="P64" i="4"/>
  <c r="O64" i="4"/>
  <c r="N64" i="4"/>
  <c r="M64" i="4"/>
  <c r="L64" i="4"/>
  <c r="K64" i="4"/>
  <c r="J64" i="4"/>
  <c r="I64" i="4"/>
  <c r="H64" i="4"/>
  <c r="G64" i="4"/>
  <c r="F64" i="4"/>
  <c r="E64" i="4"/>
  <c r="D64" i="4"/>
  <c r="C64" i="4"/>
  <c r="AA63" i="4"/>
  <c r="Z63" i="4"/>
  <c r="Y63" i="4"/>
  <c r="X63" i="4"/>
  <c r="W63" i="4"/>
  <c r="V63" i="4"/>
  <c r="U63" i="4"/>
  <c r="T63" i="4"/>
  <c r="S63" i="4"/>
  <c r="R63" i="4"/>
  <c r="Q63" i="4"/>
  <c r="P63" i="4"/>
  <c r="O63" i="4"/>
  <c r="N63" i="4"/>
  <c r="M63" i="4"/>
  <c r="L63" i="4"/>
  <c r="K63" i="4"/>
  <c r="J63" i="4"/>
  <c r="I63" i="4"/>
  <c r="H63" i="4"/>
  <c r="G63" i="4"/>
  <c r="F63" i="4"/>
  <c r="E63" i="4"/>
  <c r="D63" i="4"/>
  <c r="C63" i="4"/>
  <c r="AA62" i="4"/>
  <c r="Z62" i="4"/>
  <c r="Y62" i="4"/>
  <c r="X62" i="4"/>
  <c r="W62" i="4"/>
  <c r="V62" i="4"/>
  <c r="U62" i="4"/>
  <c r="T62" i="4"/>
  <c r="S62" i="4"/>
  <c r="R62" i="4"/>
  <c r="Q62" i="4"/>
  <c r="P62" i="4"/>
  <c r="O62" i="4"/>
  <c r="N62" i="4"/>
  <c r="M62" i="4"/>
  <c r="L62" i="4"/>
  <c r="K62" i="4"/>
  <c r="J62" i="4"/>
  <c r="I62" i="4"/>
  <c r="H62" i="4"/>
  <c r="G62" i="4"/>
  <c r="F62" i="4"/>
  <c r="E62" i="4"/>
  <c r="D62" i="4"/>
  <c r="C62" i="4"/>
  <c r="AA61" i="4"/>
  <c r="Z61" i="4"/>
  <c r="Y61" i="4"/>
  <c r="X61" i="4"/>
  <c r="W61" i="4"/>
  <c r="V61" i="4"/>
  <c r="U61" i="4"/>
  <c r="T61" i="4"/>
  <c r="S61" i="4"/>
  <c r="R61" i="4"/>
  <c r="Q61" i="4"/>
  <c r="P61" i="4"/>
  <c r="O61" i="4"/>
  <c r="N61" i="4"/>
  <c r="M61" i="4"/>
  <c r="L61" i="4"/>
  <c r="K61" i="4"/>
  <c r="J61" i="4"/>
  <c r="I61" i="4"/>
  <c r="H61" i="4"/>
  <c r="G61" i="4"/>
  <c r="F61" i="4"/>
  <c r="E61" i="4"/>
  <c r="D61" i="4"/>
  <c r="C61" i="4"/>
  <c r="AA60" i="4"/>
  <c r="Z60" i="4"/>
  <c r="Y60" i="4"/>
  <c r="X60" i="4"/>
  <c r="W60" i="4"/>
  <c r="V60" i="4"/>
  <c r="U60" i="4"/>
  <c r="T60" i="4"/>
  <c r="S60" i="4"/>
  <c r="R60" i="4"/>
  <c r="Q60" i="4"/>
  <c r="P60" i="4"/>
  <c r="O60" i="4"/>
  <c r="N60" i="4"/>
  <c r="M60" i="4"/>
  <c r="L60" i="4"/>
  <c r="K60" i="4"/>
  <c r="J60" i="4"/>
  <c r="I60" i="4"/>
  <c r="H60" i="4"/>
  <c r="G60" i="4"/>
  <c r="F60" i="4"/>
  <c r="E60" i="4"/>
  <c r="D60" i="4"/>
  <c r="C60" i="4"/>
  <c r="AA59" i="4"/>
  <c r="Z59" i="4"/>
  <c r="Y59" i="4"/>
  <c r="X59" i="4"/>
  <c r="W59" i="4"/>
  <c r="V59" i="4"/>
  <c r="U59" i="4"/>
  <c r="T59" i="4"/>
  <c r="T6" i="4" s="1"/>
  <c r="T7" i="4" s="1"/>
  <c r="S59" i="4"/>
  <c r="R59" i="4"/>
  <c r="Q59" i="4"/>
  <c r="P59" i="4"/>
  <c r="O59" i="4"/>
  <c r="N59" i="4"/>
  <c r="M59" i="4"/>
  <c r="L59" i="4"/>
  <c r="K59" i="4"/>
  <c r="J59" i="4"/>
  <c r="I59" i="4"/>
  <c r="H59" i="4"/>
  <c r="H6" i="4" s="1"/>
  <c r="H7" i="4" s="1"/>
  <c r="G59" i="4"/>
  <c r="F59" i="4"/>
  <c r="E59" i="4"/>
  <c r="D59" i="4"/>
  <c r="C59" i="4"/>
  <c r="AA9" i="4"/>
  <c r="Z9" i="4"/>
  <c r="Y9" i="4"/>
  <c r="X9" i="4"/>
  <c r="W9" i="4"/>
  <c r="V9" i="4"/>
  <c r="R9" i="4"/>
  <c r="Q9" i="4"/>
  <c r="P9" i="4"/>
  <c r="O9" i="4"/>
  <c r="N9" i="4"/>
  <c r="M9" i="4"/>
  <c r="L9" i="4"/>
  <c r="K9" i="4"/>
  <c r="J9" i="4"/>
  <c r="F9" i="4"/>
  <c r="E9" i="4"/>
  <c r="D9" i="4"/>
  <c r="C9" i="4"/>
  <c r="AA8" i="4"/>
  <c r="Z8" i="4"/>
  <c r="Y8" i="4"/>
  <c r="X8" i="4"/>
  <c r="W8" i="4"/>
  <c r="R8" i="4"/>
  <c r="Q8" i="4"/>
  <c r="P8" i="4"/>
  <c r="O8" i="4"/>
  <c r="N8" i="4"/>
  <c r="M8" i="4"/>
  <c r="L8" i="4"/>
  <c r="K8" i="4"/>
  <c r="F8" i="4"/>
  <c r="E8" i="4"/>
  <c r="D8" i="4"/>
  <c r="C8" i="4"/>
  <c r="AA6" i="4"/>
  <c r="AA7" i="4" s="1"/>
  <c r="Z6" i="4"/>
  <c r="Z7" i="4" s="1"/>
  <c r="AA5" i="4"/>
  <c r="Z5" i="4"/>
  <c r="AA4" i="4"/>
  <c r="G753" i="6" l="1"/>
  <c r="H753" i="6" s="1"/>
  <c r="G520" i="6"/>
  <c r="H520" i="6" s="1"/>
  <c r="I125" i="6"/>
  <c r="G463" i="6"/>
  <c r="H463" i="6" s="1"/>
  <c r="G250" i="6"/>
  <c r="H250" i="6" s="1"/>
  <c r="I801" i="6"/>
  <c r="I789" i="6"/>
  <c r="G670" i="6"/>
  <c r="H670" i="6" s="1"/>
  <c r="G583" i="6"/>
  <c r="H583" i="6" s="1"/>
  <c r="I717" i="6"/>
  <c r="I342" i="6"/>
  <c r="I407" i="6"/>
  <c r="I582" i="6"/>
  <c r="I35" i="6"/>
  <c r="G403" i="6"/>
  <c r="H403" i="6" s="1"/>
  <c r="I403" i="6"/>
  <c r="G448" i="6"/>
  <c r="H448" i="6" s="1"/>
  <c r="G515" i="6"/>
  <c r="H515" i="6" s="1"/>
  <c r="I532" i="6"/>
  <c r="G825" i="6"/>
  <c r="H825" i="6" s="1"/>
  <c r="I23" i="6"/>
  <c r="G302" i="6"/>
  <c r="H302" i="6" s="1"/>
  <c r="I444" i="6"/>
  <c r="G40" i="6"/>
  <c r="H40" i="6" s="1"/>
  <c r="I311" i="6"/>
  <c r="I299" i="6"/>
  <c r="I359" i="6"/>
  <c r="I347" i="6"/>
  <c r="I355" i="6"/>
  <c r="G419" i="6"/>
  <c r="H419" i="6" s="1"/>
  <c r="I95" i="6"/>
  <c r="G200" i="6"/>
  <c r="H200" i="6" s="1"/>
  <c r="G224" i="6"/>
  <c r="H224" i="6" s="1"/>
  <c r="G347" i="6"/>
  <c r="H347" i="6" s="1"/>
  <c r="G392" i="6"/>
  <c r="H392" i="6" s="1"/>
  <c r="I392" i="6"/>
  <c r="I492" i="6"/>
  <c r="I637" i="6"/>
  <c r="I633" i="6"/>
  <c r="I813" i="6"/>
  <c r="G801" i="6"/>
  <c r="H801" i="6" s="1"/>
  <c r="I497" i="6"/>
  <c r="I485" i="6"/>
  <c r="G485" i="6"/>
  <c r="H485" i="6" s="1"/>
  <c r="I461" i="6"/>
  <c r="G186" i="6"/>
  <c r="H186" i="6" s="1"/>
  <c r="I68" i="6"/>
  <c r="I548" i="6"/>
  <c r="I51" i="6"/>
  <c r="G422" i="6"/>
  <c r="H422" i="6" s="1"/>
  <c r="I749" i="6"/>
  <c r="I837" i="6"/>
  <c r="G850" i="6"/>
  <c r="H850" i="6" s="1"/>
  <c r="I862" i="6"/>
  <c r="G311" i="6"/>
  <c r="H311" i="6" s="1"/>
  <c r="G729" i="6"/>
  <c r="H729" i="6" s="1"/>
  <c r="G62" i="6"/>
  <c r="H62" i="6" s="1"/>
  <c r="I362" i="6"/>
  <c r="G570" i="6"/>
  <c r="H570" i="6" s="1"/>
  <c r="G28" i="6"/>
  <c r="H28" i="6" s="1"/>
  <c r="G239" i="6"/>
  <c r="H239" i="6" s="1"/>
  <c r="I413" i="6"/>
  <c r="G402" i="6"/>
  <c r="H402" i="6" s="1"/>
  <c r="I401" i="6"/>
  <c r="G641" i="6"/>
  <c r="H641" i="6" s="1"/>
  <c r="I90" i="6"/>
  <c r="G78" i="6"/>
  <c r="H78" i="6" s="1"/>
  <c r="I156" i="6"/>
  <c r="I227" i="6"/>
  <c r="G360" i="6"/>
  <c r="H360" i="6" s="1"/>
  <c r="I371" i="6"/>
  <c r="G611" i="6"/>
  <c r="H611" i="6" s="1"/>
  <c r="G625" i="6"/>
  <c r="H625" i="6" s="1"/>
  <c r="G712" i="6"/>
  <c r="H712" i="6" s="1"/>
  <c r="G609" i="6"/>
  <c r="H609" i="6" s="1"/>
  <c r="G274" i="6"/>
  <c r="H274" i="6" s="1"/>
  <c r="G473" i="6"/>
  <c r="H473" i="6" s="1"/>
  <c r="G567" i="6"/>
  <c r="H567" i="6" s="1"/>
  <c r="G645" i="6"/>
  <c r="H645" i="6" s="1"/>
  <c r="G697" i="6"/>
  <c r="H697" i="6" s="1"/>
  <c r="I165" i="6"/>
  <c r="I184" i="6"/>
  <c r="G271" i="6"/>
  <c r="H271" i="6" s="1"/>
  <c r="I616" i="6"/>
  <c r="I839" i="6"/>
  <c r="G21" i="6"/>
  <c r="H21" i="6" s="1"/>
  <c r="I62" i="6"/>
  <c r="G100" i="6"/>
  <c r="H100" i="6" s="1"/>
  <c r="I161" i="6"/>
  <c r="I268" i="6"/>
  <c r="G270" i="6"/>
  <c r="H270" i="6" s="1"/>
  <c r="I375" i="6"/>
  <c r="I480" i="6"/>
  <c r="G626" i="6"/>
  <c r="H626" i="6" s="1"/>
  <c r="G638" i="6"/>
  <c r="H638" i="6" s="1"/>
  <c r="I670" i="6"/>
  <c r="I28" i="6"/>
  <c r="G97" i="6"/>
  <c r="H97" i="6" s="1"/>
  <c r="I148" i="6"/>
  <c r="G141" i="6"/>
  <c r="H141" i="6" s="1"/>
  <c r="I224" i="6"/>
  <c r="G303" i="6"/>
  <c r="H303" i="6" s="1"/>
  <c r="I348" i="6"/>
  <c r="G363" i="6"/>
  <c r="H363" i="6" s="1"/>
  <c r="G384" i="6"/>
  <c r="H384" i="6" s="1"/>
  <c r="G413" i="6"/>
  <c r="H413" i="6" s="1"/>
  <c r="I447" i="6"/>
  <c r="G445" i="6"/>
  <c r="H445" i="6" s="1"/>
  <c r="G469" i="6"/>
  <c r="H469" i="6" s="1"/>
  <c r="I568" i="6"/>
  <c r="I609" i="6"/>
  <c r="I650" i="6"/>
  <c r="G659" i="6"/>
  <c r="H659" i="6" s="1"/>
  <c r="I700" i="6"/>
  <c r="I728" i="6"/>
  <c r="I726" i="6"/>
  <c r="G786" i="6"/>
  <c r="H786" i="6" s="1"/>
  <c r="I43" i="6"/>
  <c r="G15" i="6"/>
  <c r="H15" i="6" s="1"/>
  <c r="G230" i="6"/>
  <c r="H230" i="6" s="1"/>
  <c r="G259" i="6"/>
  <c r="H259" i="6" s="1"/>
  <c r="G322" i="6"/>
  <c r="H322" i="6" s="1"/>
  <c r="G348" i="6"/>
  <c r="H348" i="6" s="1"/>
  <c r="I395" i="6"/>
  <c r="G575" i="6"/>
  <c r="H575" i="6" s="1"/>
  <c r="I629" i="6"/>
  <c r="I737" i="6"/>
  <c r="G58" i="6"/>
  <c r="H58" i="6" s="1"/>
  <c r="G91" i="6"/>
  <c r="H91" i="6" s="1"/>
  <c r="G180" i="6"/>
  <c r="H180" i="6" s="1"/>
  <c r="I473" i="6"/>
  <c r="I833" i="6"/>
  <c r="G96" i="6"/>
  <c r="H96" i="6" s="1"/>
  <c r="G235" i="6"/>
  <c r="H235" i="6" s="1"/>
  <c r="I360" i="6"/>
  <c r="I431" i="6"/>
  <c r="I733" i="6"/>
  <c r="G29" i="6"/>
  <c r="H29" i="6" s="1"/>
  <c r="I33" i="6"/>
  <c r="G50" i="6"/>
  <c r="H50" i="6" s="1"/>
  <c r="G145" i="6"/>
  <c r="H145" i="6" s="1"/>
  <c r="G185" i="6"/>
  <c r="H185" i="6" s="1"/>
  <c r="I211" i="6"/>
  <c r="G212" i="6"/>
  <c r="H212" i="6" s="1"/>
  <c r="I287" i="6"/>
  <c r="G284" i="6"/>
  <c r="H284" i="6" s="1"/>
  <c r="G307" i="6"/>
  <c r="H307" i="6" s="1"/>
  <c r="I331" i="6"/>
  <c r="G336" i="6"/>
  <c r="H336" i="6" s="1"/>
  <c r="G388" i="6"/>
  <c r="H388" i="6" s="1"/>
  <c r="G435" i="6"/>
  <c r="H435" i="6" s="1"/>
  <c r="I515" i="6"/>
  <c r="G524" i="6"/>
  <c r="H524" i="6" s="1"/>
  <c r="I581" i="6"/>
  <c r="G572" i="6"/>
  <c r="H572" i="6" s="1"/>
  <c r="G650" i="6"/>
  <c r="H650" i="6" s="1"/>
  <c r="G842" i="6"/>
  <c r="H842" i="6" s="1"/>
  <c r="I861" i="6"/>
  <c r="G148" i="6"/>
  <c r="H148" i="6" s="1"/>
  <c r="I290" i="6"/>
  <c r="I19" i="6"/>
  <c r="I31" i="6"/>
  <c r="G264" i="6"/>
  <c r="H264" i="6" s="1"/>
  <c r="G344" i="6"/>
  <c r="H344" i="6" s="1"/>
  <c r="G481" i="6"/>
  <c r="H481" i="6" s="1"/>
  <c r="G834" i="6"/>
  <c r="H834" i="6" s="1"/>
  <c r="I174" i="6"/>
  <c r="G198" i="6"/>
  <c r="H198" i="6" s="1"/>
  <c r="G154" i="6"/>
  <c r="H154" i="6" s="1"/>
  <c r="G162" i="6"/>
  <c r="H162" i="6" s="1"/>
  <c r="G300" i="6"/>
  <c r="H300" i="6" s="1"/>
  <c r="G19" i="6"/>
  <c r="H19" i="6" s="1"/>
  <c r="G23" i="6"/>
  <c r="H23" i="6" s="1"/>
  <c r="I99" i="6"/>
  <c r="G110" i="6"/>
  <c r="H110" i="6" s="1"/>
  <c r="G131" i="6"/>
  <c r="H131" i="6" s="1"/>
  <c r="I204" i="6"/>
  <c r="I215" i="6"/>
  <c r="I256" i="6"/>
  <c r="G299" i="6"/>
  <c r="H299" i="6" s="1"/>
  <c r="G380" i="6"/>
  <c r="H380" i="6" s="1"/>
  <c r="I419" i="6"/>
  <c r="G446" i="6"/>
  <c r="H446" i="6" s="1"/>
  <c r="I462" i="6"/>
  <c r="G752" i="6"/>
  <c r="H752" i="6" s="1"/>
  <c r="G793" i="6"/>
  <c r="H793" i="6" s="1"/>
  <c r="I841" i="6"/>
  <c r="I4" i="5"/>
  <c r="W4" i="5"/>
  <c r="H5" i="5"/>
  <c r="T5" i="5"/>
  <c r="S4" i="5"/>
  <c r="F5" i="5"/>
  <c r="R4" i="5"/>
  <c r="N4" i="5"/>
  <c r="M5" i="5"/>
  <c r="Y5" i="5"/>
  <c r="G4" i="5"/>
  <c r="N6" i="4"/>
  <c r="N7" i="4" s="1"/>
  <c r="Y6" i="4"/>
  <c r="Y7" i="4" s="1"/>
  <c r="D23" i="6"/>
  <c r="E11" i="6"/>
  <c r="D11" i="6"/>
  <c r="E23" i="6"/>
  <c r="G178" i="6"/>
  <c r="H178" i="6" s="1"/>
  <c r="D20" i="6"/>
  <c r="D8" i="6"/>
  <c r="E20" i="6"/>
  <c r="E8" i="6"/>
  <c r="C8" i="6"/>
  <c r="G175" i="6"/>
  <c r="H175" i="6" s="1"/>
  <c r="I187" i="6"/>
  <c r="G176" i="6"/>
  <c r="H176" i="6" s="1"/>
  <c r="F4" i="6"/>
  <c r="G5" i="6" s="1"/>
  <c r="H5" i="6" s="1"/>
  <c r="B4" i="6"/>
  <c r="U6" i="4"/>
  <c r="U7" i="4" s="1"/>
  <c r="U5" i="4"/>
  <c r="U4" i="4"/>
  <c r="R6" i="4"/>
  <c r="R7" i="4" s="1"/>
  <c r="R5" i="4"/>
  <c r="R4" i="4"/>
  <c r="P6" i="4"/>
  <c r="P7" i="4" s="1"/>
  <c r="P5" i="4"/>
  <c r="P4" i="4"/>
  <c r="G9" i="4"/>
  <c r="G8" i="4"/>
  <c r="S9" i="4"/>
  <c r="S8" i="4"/>
  <c r="C73" i="6"/>
  <c r="D73" i="6" s="1"/>
  <c r="F126" i="6"/>
  <c r="B126" i="6"/>
  <c r="G157" i="6"/>
  <c r="H157" i="6" s="1"/>
  <c r="I169" i="6"/>
  <c r="I157" i="6"/>
  <c r="N2" i="6"/>
  <c r="M2" i="6"/>
  <c r="C295" i="6"/>
  <c r="D295" i="6" s="1"/>
  <c r="E306" i="6"/>
  <c r="G228" i="6"/>
  <c r="H228" i="6" s="1"/>
  <c r="I240" i="6"/>
  <c r="G5" i="4"/>
  <c r="G4" i="4"/>
  <c r="G6" i="4"/>
  <c r="G7" i="4" s="1"/>
  <c r="D6" i="4"/>
  <c r="D7" i="4" s="1"/>
  <c r="D5" i="4"/>
  <c r="D4" i="4"/>
  <c r="J6" i="4"/>
  <c r="J7" i="4" s="1"/>
  <c r="V6" i="4"/>
  <c r="V7" i="4" s="1"/>
  <c r="I32" i="6"/>
  <c r="G32" i="6"/>
  <c r="H32" i="6" s="1"/>
  <c r="I44" i="6"/>
  <c r="I48" i="6"/>
  <c r="F89" i="6"/>
  <c r="B89" i="6"/>
  <c r="F116" i="6"/>
  <c r="B116" i="6"/>
  <c r="I8" i="6"/>
  <c r="G8" i="6"/>
  <c r="H8" i="6" s="1"/>
  <c r="I20" i="6"/>
  <c r="F6" i="4"/>
  <c r="F7" i="4" s="1"/>
  <c r="F5" i="4"/>
  <c r="F4" i="4"/>
  <c r="O6" i="4"/>
  <c r="O7" i="4" s="1"/>
  <c r="O5" i="4"/>
  <c r="K6" i="4"/>
  <c r="K7" i="4" s="1"/>
  <c r="W6" i="4"/>
  <c r="W7" i="4" s="1"/>
  <c r="E162" i="6"/>
  <c r="C150" i="6"/>
  <c r="D150" i="6" s="1"/>
  <c r="I232" i="6"/>
  <c r="G220" i="6"/>
  <c r="H220" i="6" s="1"/>
  <c r="T4" i="4"/>
  <c r="T5" i="4"/>
  <c r="C6" i="4"/>
  <c r="C7" i="4" s="1"/>
  <c r="C5" i="4"/>
  <c r="X6" i="4"/>
  <c r="X7" i="4" s="1"/>
  <c r="J6" i="5"/>
  <c r="J7" i="5" s="1"/>
  <c r="J5" i="5"/>
  <c r="J4" i="5"/>
  <c r="V6" i="5"/>
  <c r="V7" i="5" s="1"/>
  <c r="V5" i="5"/>
  <c r="V4" i="5"/>
  <c r="I5" i="5"/>
  <c r="I6" i="5"/>
  <c r="I7" i="5" s="1"/>
  <c r="U6" i="5"/>
  <c r="U7" i="5" s="1"/>
  <c r="U5" i="5"/>
  <c r="U4" i="5"/>
  <c r="E30" i="6"/>
  <c r="D30" i="6"/>
  <c r="C19" i="6"/>
  <c r="E18" i="6"/>
  <c r="D18" i="6"/>
  <c r="G69" i="6"/>
  <c r="H69" i="6" s="1"/>
  <c r="I81" i="6"/>
  <c r="S5" i="4"/>
  <c r="S4" i="4"/>
  <c r="S6" i="4"/>
  <c r="S7" i="4" s="1"/>
  <c r="L6" i="4"/>
  <c r="L7" i="4" s="1"/>
  <c r="M5" i="4"/>
  <c r="Y5" i="4"/>
  <c r="F54" i="6"/>
  <c r="G55" i="6" s="1"/>
  <c r="H55" i="6" s="1"/>
  <c r="B54" i="6"/>
  <c r="C104" i="6"/>
  <c r="D104" i="6" s="1"/>
  <c r="E115" i="6"/>
  <c r="C103" i="6"/>
  <c r="D103" i="6" s="1"/>
  <c r="E125" i="6"/>
  <c r="I180" i="6"/>
  <c r="I168" i="6"/>
  <c r="G169" i="6"/>
  <c r="H169" i="6" s="1"/>
  <c r="G168" i="6"/>
  <c r="H168" i="6" s="1"/>
  <c r="I185" i="6"/>
  <c r="I173" i="6"/>
  <c r="G173" i="6"/>
  <c r="H173" i="6" s="1"/>
  <c r="E224" i="6"/>
  <c r="C212" i="6"/>
  <c r="D212" i="6" s="1"/>
  <c r="C223" i="6"/>
  <c r="D223" i="6" s="1"/>
  <c r="I6" i="4"/>
  <c r="I7" i="4" s="1"/>
  <c r="I5" i="4"/>
  <c r="I4" i="4"/>
  <c r="E6" i="4"/>
  <c r="E7" i="4" s="1"/>
  <c r="E5" i="4"/>
  <c r="E4" i="4"/>
  <c r="N4" i="4"/>
  <c r="G7" i="6"/>
  <c r="H7" i="6" s="1"/>
  <c r="I18" i="6"/>
  <c r="I6" i="6"/>
  <c r="G6" i="6"/>
  <c r="H6" i="6" s="1"/>
  <c r="G71" i="6"/>
  <c r="H71" i="6" s="1"/>
  <c r="I70" i="6"/>
  <c r="G70" i="6"/>
  <c r="H70" i="6" s="1"/>
  <c r="I87" i="6"/>
  <c r="G75" i="6"/>
  <c r="H75" i="6" s="1"/>
  <c r="C130" i="6"/>
  <c r="D130" i="6" s="1"/>
  <c r="E141" i="6"/>
  <c r="H5" i="4"/>
  <c r="H4" i="4"/>
  <c r="Q6" i="4"/>
  <c r="Q7" i="4" s="1"/>
  <c r="Q5" i="4"/>
  <c r="Q4" i="4"/>
  <c r="C4" i="4"/>
  <c r="I71" i="6"/>
  <c r="G59" i="6"/>
  <c r="H59" i="6" s="1"/>
  <c r="F66" i="6"/>
  <c r="B66" i="6"/>
  <c r="E103" i="6"/>
  <c r="C91" i="6"/>
  <c r="D91" i="6" s="1"/>
  <c r="E159" i="6"/>
  <c r="C148" i="6"/>
  <c r="D148" i="6" s="1"/>
  <c r="E348" i="6"/>
  <c r="I448" i="6"/>
  <c r="G436" i="6"/>
  <c r="H436" i="6" s="1"/>
  <c r="G533" i="6"/>
  <c r="H533" i="6" s="1"/>
  <c r="I545" i="6"/>
  <c r="R5" i="5"/>
  <c r="H6" i="5"/>
  <c r="H7" i="5" s="1"/>
  <c r="K6" i="5"/>
  <c r="K7" i="5" s="1"/>
  <c r="W6" i="5"/>
  <c r="W7" i="5" s="1"/>
  <c r="G57" i="6"/>
  <c r="H57" i="6" s="1"/>
  <c r="I69" i="6"/>
  <c r="G73" i="6"/>
  <c r="H73" i="6" s="1"/>
  <c r="B108" i="6"/>
  <c r="F108" i="6"/>
  <c r="G140" i="6"/>
  <c r="H140" i="6" s="1"/>
  <c r="I152" i="6"/>
  <c r="I149" i="6"/>
  <c r="I164" i="6"/>
  <c r="G152" i="6"/>
  <c r="H152" i="6" s="1"/>
  <c r="C181" i="6"/>
  <c r="D181" i="6" s="1"/>
  <c r="G195" i="6"/>
  <c r="H195" i="6" s="1"/>
  <c r="G209" i="6"/>
  <c r="H209" i="6" s="1"/>
  <c r="E245" i="6"/>
  <c r="C233" i="6"/>
  <c r="D233" i="6" s="1"/>
  <c r="E253" i="6"/>
  <c r="E283" i="6"/>
  <c r="C271" i="6"/>
  <c r="D271" i="6" s="1"/>
  <c r="C274" i="6"/>
  <c r="D274" i="6" s="1"/>
  <c r="C289" i="6"/>
  <c r="D289" i="6" s="1"/>
  <c r="G296" i="6"/>
  <c r="H296" i="6" s="1"/>
  <c r="C313" i="6"/>
  <c r="D313" i="6" s="1"/>
  <c r="C312" i="6"/>
  <c r="D312" i="6" s="1"/>
  <c r="G333" i="6"/>
  <c r="H333" i="6" s="1"/>
  <c r="I345" i="6"/>
  <c r="C376" i="6"/>
  <c r="D376" i="6" s="1"/>
  <c r="C377" i="6"/>
  <c r="D377" i="6" s="1"/>
  <c r="G396" i="6"/>
  <c r="H396" i="6" s="1"/>
  <c r="I408" i="6"/>
  <c r="I422" i="6"/>
  <c r="G411" i="6"/>
  <c r="H411" i="6" s="1"/>
  <c r="G416" i="6"/>
  <c r="H416" i="6" s="1"/>
  <c r="I428" i="6"/>
  <c r="I449" i="6"/>
  <c r="G437" i="6"/>
  <c r="H437" i="6" s="1"/>
  <c r="F457" i="6"/>
  <c r="B457" i="6"/>
  <c r="B533" i="6"/>
  <c r="F627" i="6"/>
  <c r="G628" i="6" s="1"/>
  <c r="H628" i="6" s="1"/>
  <c r="B627" i="6"/>
  <c r="G706" i="6"/>
  <c r="H706" i="6" s="1"/>
  <c r="G354" i="6"/>
  <c r="H354" i="6" s="1"/>
  <c r="I366" i="6"/>
  <c r="G456" i="6"/>
  <c r="H456" i="6" s="1"/>
  <c r="I468" i="6"/>
  <c r="F504" i="6"/>
  <c r="G505" i="6" s="1"/>
  <c r="H505" i="6" s="1"/>
  <c r="B504" i="6"/>
  <c r="C614" i="6"/>
  <c r="D614" i="6" s="1"/>
  <c r="E626" i="6"/>
  <c r="E614" i="6"/>
  <c r="L5" i="5"/>
  <c r="L4" i="5"/>
  <c r="G45" i="6"/>
  <c r="H45" i="6" s="1"/>
  <c r="I57" i="6"/>
  <c r="E74" i="6"/>
  <c r="I131" i="6"/>
  <c r="E289" i="6"/>
  <c r="C343" i="6"/>
  <c r="D343" i="6" s="1"/>
  <c r="E355" i="6"/>
  <c r="E343" i="6"/>
  <c r="C437" i="6"/>
  <c r="D437" i="6" s="1"/>
  <c r="E449" i="6"/>
  <c r="F511" i="6"/>
  <c r="B511" i="6"/>
  <c r="E817" i="6"/>
  <c r="C281" i="6"/>
  <c r="D281" i="6" s="1"/>
  <c r="C416" i="6"/>
  <c r="D416" i="6" s="1"/>
  <c r="E428" i="6"/>
  <c r="C441" i="6"/>
  <c r="D441" i="6" s="1"/>
  <c r="E453" i="6"/>
  <c r="E441" i="6"/>
  <c r="F565" i="6"/>
  <c r="B565" i="6"/>
  <c r="E37" i="6"/>
  <c r="D37" i="6"/>
  <c r="E69" i="6"/>
  <c r="C57" i="6"/>
  <c r="E155" i="6"/>
  <c r="G219" i="6"/>
  <c r="H219" i="6" s="1"/>
  <c r="G218" i="6"/>
  <c r="H218" i="6" s="1"/>
  <c r="F265" i="6"/>
  <c r="I265" i="6" s="1"/>
  <c r="B265" i="6"/>
  <c r="E378" i="6"/>
  <c r="C366" i="6"/>
  <c r="D366" i="6" s="1"/>
  <c r="E805" i="6"/>
  <c r="C793" i="6"/>
  <c r="D793" i="6" s="1"/>
  <c r="C794" i="6"/>
  <c r="D794" i="6" s="1"/>
  <c r="G13" i="6"/>
  <c r="H13" i="6" s="1"/>
  <c r="I25" i="6"/>
  <c r="E31" i="6"/>
  <c r="C31" i="6"/>
  <c r="E64" i="6"/>
  <c r="E108" i="6"/>
  <c r="I230" i="6"/>
  <c r="I253" i="6"/>
  <c r="I324" i="6"/>
  <c r="G312" i="6"/>
  <c r="H312" i="6" s="1"/>
  <c r="I433" i="6"/>
  <c r="I445" i="6"/>
  <c r="I508" i="6"/>
  <c r="G497" i="6"/>
  <c r="H497" i="6" s="1"/>
  <c r="G734" i="6"/>
  <c r="H734" i="6" s="1"/>
  <c r="I746" i="6"/>
  <c r="B45" i="6"/>
  <c r="G86" i="6"/>
  <c r="H86" i="6" s="1"/>
  <c r="C115" i="6"/>
  <c r="D115" i="6" s="1"/>
  <c r="C143" i="6"/>
  <c r="D143" i="6" s="1"/>
  <c r="G155" i="6"/>
  <c r="H155" i="6" s="1"/>
  <c r="I167" i="6"/>
  <c r="I466" i="6"/>
  <c r="G454" i="6"/>
  <c r="H454" i="6" s="1"/>
  <c r="G455" i="6"/>
  <c r="H455" i="6" s="1"/>
  <c r="E17" i="6"/>
  <c r="I40" i="6"/>
  <c r="E52" i="6"/>
  <c r="B60" i="6"/>
  <c r="F60" i="6"/>
  <c r="C114" i="6"/>
  <c r="D114" i="6" s="1"/>
  <c r="G124" i="6"/>
  <c r="H124" i="6" s="1"/>
  <c r="G5" i="5"/>
  <c r="I14" i="6"/>
  <c r="G14" i="6"/>
  <c r="H14" i="6" s="1"/>
  <c r="F34" i="6"/>
  <c r="B34" i="6"/>
  <c r="I129" i="6"/>
  <c r="F150" i="6"/>
  <c r="B228" i="6"/>
  <c r="F245" i="6"/>
  <c r="I245" i="6" s="1"/>
  <c r="B245" i="6"/>
  <c r="P6" i="5"/>
  <c r="P7" i="5" s="1"/>
  <c r="L8" i="5"/>
  <c r="D5" i="6"/>
  <c r="D12" i="6"/>
  <c r="B14" i="6"/>
  <c r="G16" i="6"/>
  <c r="H16" i="6" s="1"/>
  <c r="B32" i="6"/>
  <c r="G36" i="6"/>
  <c r="H36" i="6" s="1"/>
  <c r="C39" i="6"/>
  <c r="G43" i="6"/>
  <c r="H43" i="6" s="1"/>
  <c r="I47" i="6"/>
  <c r="E55" i="6"/>
  <c r="D58" i="6"/>
  <c r="C67" i="6"/>
  <c r="D67" i="6" s="1"/>
  <c r="B69" i="6"/>
  <c r="G77" i="6"/>
  <c r="H77" i="6" s="1"/>
  <c r="I89" i="6"/>
  <c r="G84" i="6"/>
  <c r="H84" i="6" s="1"/>
  <c r="E87" i="6"/>
  <c r="F92" i="6"/>
  <c r="I96" i="6"/>
  <c r="I113" i="6"/>
  <c r="G101" i="6"/>
  <c r="H101" i="6" s="1"/>
  <c r="I116" i="6"/>
  <c r="G106" i="6"/>
  <c r="H106" i="6" s="1"/>
  <c r="F111" i="6"/>
  <c r="I111" i="6" s="1"/>
  <c r="I126" i="6"/>
  <c r="I124" i="6"/>
  <c r="G127" i="6"/>
  <c r="H127" i="6" s="1"/>
  <c r="E161" i="6"/>
  <c r="I166" i="6"/>
  <c r="C185" i="6"/>
  <c r="D185" i="6" s="1"/>
  <c r="I198" i="6"/>
  <c r="F201" i="6"/>
  <c r="F216" i="6"/>
  <c r="G217" i="6" s="1"/>
  <c r="H217" i="6" s="1"/>
  <c r="B216" i="6"/>
  <c r="I242" i="6"/>
  <c r="C247" i="6"/>
  <c r="D247" i="6" s="1"/>
  <c r="C246" i="6"/>
  <c r="D246" i="6" s="1"/>
  <c r="E258" i="6"/>
  <c r="B249" i="6"/>
  <c r="I263" i="6"/>
  <c r="G251" i="6"/>
  <c r="H251" i="6" s="1"/>
  <c r="I251" i="6"/>
  <c r="E263" i="6"/>
  <c r="F272" i="6"/>
  <c r="B272" i="6"/>
  <c r="C276" i="6"/>
  <c r="D276" i="6" s="1"/>
  <c r="E288" i="6"/>
  <c r="G278" i="6"/>
  <c r="H278" i="6" s="1"/>
  <c r="G282" i="6"/>
  <c r="H282" i="6" s="1"/>
  <c r="F294" i="6"/>
  <c r="I294" i="6" s="1"/>
  <c r="I310" i="6"/>
  <c r="E325" i="6"/>
  <c r="C325" i="6"/>
  <c r="D325" i="6" s="1"/>
  <c r="G329" i="6"/>
  <c r="H329" i="6" s="1"/>
  <c r="I341" i="6"/>
  <c r="G330" i="6"/>
  <c r="H330" i="6" s="1"/>
  <c r="B338" i="6"/>
  <c r="B341" i="6"/>
  <c r="C342" i="6" s="1"/>
  <c r="D342" i="6" s="1"/>
  <c r="G352" i="6"/>
  <c r="H352" i="6" s="1"/>
  <c r="I363" i="6"/>
  <c r="G369" i="6"/>
  <c r="H369" i="6" s="1"/>
  <c r="B372" i="6"/>
  <c r="C383" i="6"/>
  <c r="D383" i="6" s="1"/>
  <c r="I410" i="6"/>
  <c r="F405" i="6"/>
  <c r="B405" i="6"/>
  <c r="B467" i="6"/>
  <c r="C468" i="6" s="1"/>
  <c r="D468" i="6" s="1"/>
  <c r="F507" i="6"/>
  <c r="B507" i="6"/>
  <c r="I556" i="6"/>
  <c r="G544" i="6"/>
  <c r="H544" i="6" s="1"/>
  <c r="G545" i="6"/>
  <c r="H545" i="6" s="1"/>
  <c r="I672" i="6"/>
  <c r="G660" i="6"/>
  <c r="H660" i="6" s="1"/>
  <c r="C36" i="6"/>
  <c r="D43" i="6"/>
  <c r="I59" i="6"/>
  <c r="I80" i="6"/>
  <c r="G134" i="6"/>
  <c r="H134" i="6" s="1"/>
  <c r="I178" i="6"/>
  <c r="G242" i="6"/>
  <c r="H242" i="6" s="1"/>
  <c r="E275" i="6"/>
  <c r="C264" i="6"/>
  <c r="D264" i="6" s="1"/>
  <c r="G324" i="6"/>
  <c r="H324" i="6" s="1"/>
  <c r="I336" i="6"/>
  <c r="C361" i="6"/>
  <c r="D361" i="6" s="1"/>
  <c r="E373" i="6"/>
  <c r="E366" i="6"/>
  <c r="C512" i="6"/>
  <c r="D512" i="6" s="1"/>
  <c r="F516" i="6"/>
  <c r="E700" i="6"/>
  <c r="C689" i="6"/>
  <c r="D689" i="6" s="1"/>
  <c r="E688" i="6"/>
  <c r="C688" i="6"/>
  <c r="D688" i="6" s="1"/>
  <c r="B734" i="6"/>
  <c r="N5" i="5"/>
  <c r="G64" i="6"/>
  <c r="H64" i="6" s="1"/>
  <c r="C92" i="6"/>
  <c r="D92" i="6" s="1"/>
  <c r="G98" i="6"/>
  <c r="H98" i="6" s="1"/>
  <c r="C127" i="6"/>
  <c r="D127" i="6" s="1"/>
  <c r="C179" i="6"/>
  <c r="D179" i="6" s="1"/>
  <c r="E243" i="6"/>
  <c r="C231" i="6"/>
  <c r="D231" i="6" s="1"/>
  <c r="E322" i="6"/>
  <c r="C322" i="6"/>
  <c r="D322" i="6" s="1"/>
  <c r="F340" i="6"/>
  <c r="G341" i="6" s="1"/>
  <c r="H341" i="6" s="1"/>
  <c r="C352" i="6"/>
  <c r="D352" i="6" s="1"/>
  <c r="B454" i="6"/>
  <c r="E512" i="6"/>
  <c r="F598" i="6"/>
  <c r="I598" i="6" s="1"/>
  <c r="B598" i="6"/>
  <c r="B857" i="6"/>
  <c r="C857" i="6" s="1"/>
  <c r="D857" i="6" s="1"/>
  <c r="C5" i="6"/>
  <c r="G249" i="6"/>
  <c r="H249" i="6" s="1"/>
  <c r="I261" i="6"/>
  <c r="I271" i="6"/>
  <c r="G372" i="6"/>
  <c r="H372" i="6" s="1"/>
  <c r="I384" i="6"/>
  <c r="C432" i="6"/>
  <c r="D432" i="6" s="1"/>
  <c r="E672" i="6"/>
  <c r="C660" i="6"/>
  <c r="D660" i="6" s="1"/>
  <c r="C661" i="6"/>
  <c r="D661" i="6" s="1"/>
  <c r="E5" i="6"/>
  <c r="C12" i="6"/>
  <c r="D19" i="6"/>
  <c r="B21" i="6"/>
  <c r="C26" i="6"/>
  <c r="D39" i="6"/>
  <c r="C46" i="6"/>
  <c r="F48" i="6"/>
  <c r="B48" i="6"/>
  <c r="E48" i="6" s="1"/>
  <c r="E58" i="6"/>
  <c r="E73" i="6"/>
  <c r="C62" i="6"/>
  <c r="D62" i="6" s="1"/>
  <c r="B77" i="6"/>
  <c r="G79" i="6"/>
  <c r="H79" i="6" s="1"/>
  <c r="F82" i="6"/>
  <c r="B82" i="6"/>
  <c r="G104" i="6"/>
  <c r="H104" i="6" s="1"/>
  <c r="G109" i="6"/>
  <c r="H109" i="6" s="1"/>
  <c r="I121" i="6"/>
  <c r="G114" i="6"/>
  <c r="H114" i="6" s="1"/>
  <c r="B136" i="6"/>
  <c r="I153" i="6"/>
  <c r="G156" i="6"/>
  <c r="H156" i="6" s="1"/>
  <c r="E164" i="6"/>
  <c r="F167" i="6"/>
  <c r="B167" i="6"/>
  <c r="C177" i="6"/>
  <c r="D177" i="6" s="1"/>
  <c r="E189" i="6"/>
  <c r="C180" i="6"/>
  <c r="D180" i="6" s="1"/>
  <c r="I194" i="6"/>
  <c r="I192" i="6"/>
  <c r="I208" i="6"/>
  <c r="G196" i="6"/>
  <c r="H196" i="6" s="1"/>
  <c r="I207" i="6"/>
  <c r="C226" i="6"/>
  <c r="D226" i="6" s="1"/>
  <c r="G229" i="6"/>
  <c r="H229" i="6" s="1"/>
  <c r="I241" i="6"/>
  <c r="E252" i="6"/>
  <c r="C241" i="6"/>
  <c r="D241" i="6" s="1"/>
  <c r="C255" i="6"/>
  <c r="D255" i="6" s="1"/>
  <c r="I275" i="6"/>
  <c r="E276" i="6"/>
  <c r="E303" i="6"/>
  <c r="C291" i="6"/>
  <c r="D291" i="6" s="1"/>
  <c r="C300" i="6"/>
  <c r="D300" i="6" s="1"/>
  <c r="E312" i="6"/>
  <c r="G313" i="6"/>
  <c r="H313" i="6" s="1"/>
  <c r="I325" i="6"/>
  <c r="E329" i="6"/>
  <c r="C317" i="6"/>
  <c r="D317" i="6" s="1"/>
  <c r="G319" i="6"/>
  <c r="H319" i="6" s="1"/>
  <c r="G325" i="6"/>
  <c r="H325" i="6" s="1"/>
  <c r="B329" i="6"/>
  <c r="G356" i="6"/>
  <c r="H356" i="6" s="1"/>
  <c r="I368" i="6"/>
  <c r="C362" i="6"/>
  <c r="D362" i="6" s="1"/>
  <c r="F364" i="6"/>
  <c r="I364" i="6" s="1"/>
  <c r="B364" i="6"/>
  <c r="E383" i="6"/>
  <c r="F427" i="6"/>
  <c r="B427" i="6"/>
  <c r="E427" i="6" s="1"/>
  <c r="C483" i="6"/>
  <c r="D483" i="6" s="1"/>
  <c r="F486" i="6"/>
  <c r="B486" i="6"/>
  <c r="E548" i="6"/>
  <c r="F540" i="6"/>
  <c r="I540" i="6" s="1"/>
  <c r="B540" i="6"/>
  <c r="E607" i="6"/>
  <c r="C595" i="6"/>
  <c r="D595" i="6" s="1"/>
  <c r="G655" i="6"/>
  <c r="H655" i="6" s="1"/>
  <c r="I667" i="6"/>
  <c r="Y6" i="5"/>
  <c r="Y7" i="5" s="1"/>
  <c r="Y4" i="5"/>
  <c r="G22" i="6"/>
  <c r="H22" i="6" s="1"/>
  <c r="I73" i="6"/>
  <c r="C111" i="6"/>
  <c r="D111" i="6" s="1"/>
  <c r="I260" i="6"/>
  <c r="G248" i="6"/>
  <c r="H248" i="6" s="1"/>
  <c r="G404" i="6"/>
  <c r="H404" i="6" s="1"/>
  <c r="I416" i="6"/>
  <c r="G433" i="6"/>
  <c r="H433" i="6" s="1"/>
  <c r="I115" i="6"/>
  <c r="G103" i="6"/>
  <c r="H103" i="6" s="1"/>
  <c r="E143" i="6"/>
  <c r="C4" i="5"/>
  <c r="F41" i="6"/>
  <c r="I41" i="6" s="1"/>
  <c r="B41" i="6"/>
  <c r="E41" i="6" s="1"/>
  <c r="C58" i="6"/>
  <c r="E111" i="6"/>
  <c r="E127" i="6"/>
  <c r="I143" i="6"/>
  <c r="F222" i="6"/>
  <c r="I222" i="6" s="1"/>
  <c r="F266" i="6"/>
  <c r="B266" i="6"/>
  <c r="G304" i="6"/>
  <c r="H304" i="6" s="1"/>
  <c r="E4" i="5"/>
  <c r="C6" i="5"/>
  <c r="C7" i="5" s="1"/>
  <c r="I15" i="6"/>
  <c r="I5" i="6"/>
  <c r="F10" i="6"/>
  <c r="B10" i="6"/>
  <c r="I27" i="6"/>
  <c r="C30" i="6"/>
  <c r="E54" i="6"/>
  <c r="D54" i="6"/>
  <c r="I50" i="6"/>
  <c r="E67" i="6"/>
  <c r="C72" i="6"/>
  <c r="D72" i="6" s="1"/>
  <c r="G87" i="6"/>
  <c r="H87" i="6" s="1"/>
  <c r="E109" i="6"/>
  <c r="G99" i="6"/>
  <c r="H99" i="6" s="1"/>
  <c r="C107" i="6"/>
  <c r="D107" i="6" s="1"/>
  <c r="E132" i="6"/>
  <c r="G123" i="6"/>
  <c r="H123" i="6" s="1"/>
  <c r="B128" i="6"/>
  <c r="F128" i="6"/>
  <c r="G151" i="6"/>
  <c r="H151" i="6" s="1"/>
  <c r="E180" i="6"/>
  <c r="C169" i="6"/>
  <c r="D169" i="6" s="1"/>
  <c r="E211" i="6"/>
  <c r="C199" i="6"/>
  <c r="D199" i="6" s="1"/>
  <c r="C202" i="6"/>
  <c r="D202" i="6" s="1"/>
  <c r="I220" i="6"/>
  <c r="G208" i="6"/>
  <c r="H208" i="6" s="1"/>
  <c r="I226" i="6"/>
  <c r="I214" i="6"/>
  <c r="C217" i="6"/>
  <c r="D217" i="6" s="1"/>
  <c r="I219" i="6"/>
  <c r="C230" i="6"/>
  <c r="D230" i="6" s="1"/>
  <c r="E241" i="6"/>
  <c r="C232" i="6"/>
  <c r="D232" i="6" s="1"/>
  <c r="E235" i="6"/>
  <c r="E247" i="6"/>
  <c r="E255" i="6"/>
  <c r="C244" i="6"/>
  <c r="D244" i="6" s="1"/>
  <c r="I258" i="6"/>
  <c r="G247" i="6"/>
  <c r="H247" i="6" s="1"/>
  <c r="F276" i="6"/>
  <c r="I276" i="6" s="1"/>
  <c r="I322" i="6"/>
  <c r="I398" i="6"/>
  <c r="G386" i="6"/>
  <c r="H386" i="6" s="1"/>
  <c r="E433" i="6"/>
  <c r="C421" i="6"/>
  <c r="D421" i="6" s="1"/>
  <c r="C422" i="6"/>
  <c r="D422" i="6" s="1"/>
  <c r="E583" i="6"/>
  <c r="C587" i="6"/>
  <c r="D587" i="6" s="1"/>
  <c r="E645" i="6"/>
  <c r="C645" i="6"/>
  <c r="D645" i="6" s="1"/>
  <c r="E657" i="6"/>
  <c r="C646" i="6"/>
  <c r="D646" i="6" s="1"/>
  <c r="C648" i="6"/>
  <c r="D648" i="6" s="1"/>
  <c r="E660" i="6"/>
  <c r="B652" i="6"/>
  <c r="F652" i="6"/>
  <c r="F656" i="6"/>
  <c r="B656" i="6"/>
  <c r="E677" i="6"/>
  <c r="E689" i="6"/>
  <c r="C677" i="6"/>
  <c r="D677" i="6" s="1"/>
  <c r="I13" i="6"/>
  <c r="D25" i="6"/>
  <c r="E43" i="6"/>
  <c r="D50" i="6"/>
  <c r="C55" i="6"/>
  <c r="I74" i="6"/>
  <c r="G74" i="6"/>
  <c r="H74" i="6" s="1"/>
  <c r="I86" i="6"/>
  <c r="G158" i="6"/>
  <c r="H158" i="6" s="1"/>
  <c r="C161" i="6"/>
  <c r="D161" i="6" s="1"/>
  <c r="G166" i="6"/>
  <c r="H166" i="6" s="1"/>
  <c r="I210" i="6"/>
  <c r="G210" i="6"/>
  <c r="H210" i="6" s="1"/>
  <c r="G215" i="6"/>
  <c r="H215" i="6" s="1"/>
  <c r="B237" i="6"/>
  <c r="F237" i="6"/>
  <c r="B242" i="6"/>
  <c r="C243" i="6" s="1"/>
  <c r="D243" i="6" s="1"/>
  <c r="I244" i="6"/>
  <c r="I248" i="6"/>
  <c r="G361" i="6"/>
  <c r="H361" i="6" s="1"/>
  <c r="G362" i="6"/>
  <c r="H362" i="6" s="1"/>
  <c r="B489" i="6"/>
  <c r="J8" i="5"/>
  <c r="X8" i="5"/>
  <c r="G9" i="6"/>
  <c r="H9" i="6" s="1"/>
  <c r="I21" i="6"/>
  <c r="D31" i="6"/>
  <c r="E51" i="6"/>
  <c r="D51" i="6"/>
  <c r="E91" i="6"/>
  <c r="I98" i="6"/>
  <c r="C109" i="6"/>
  <c r="D109" i="6" s="1"/>
  <c r="B135" i="6"/>
  <c r="F135" i="6"/>
  <c r="I135" i="6" s="1"/>
  <c r="C141" i="6"/>
  <c r="D141" i="6" s="1"/>
  <c r="G153" i="6"/>
  <c r="H153" i="6" s="1"/>
  <c r="C182" i="6"/>
  <c r="D182" i="6" s="1"/>
  <c r="I353" i="6"/>
  <c r="E352" i="6"/>
  <c r="G420" i="6"/>
  <c r="H420" i="6" s="1"/>
  <c r="I432" i="6"/>
  <c r="B518" i="6"/>
  <c r="F518" i="6"/>
  <c r="F578" i="6"/>
  <c r="B578" i="6"/>
  <c r="J4" i="4"/>
  <c r="K4" i="4"/>
  <c r="V5" i="4"/>
  <c r="L4" i="4"/>
  <c r="T8" i="4"/>
  <c r="F4" i="5"/>
  <c r="D6" i="5"/>
  <c r="D7" i="5" s="1"/>
  <c r="G3" i="6"/>
  <c r="H3" i="6" s="1"/>
  <c r="E27" i="6"/>
  <c r="D27" i="6"/>
  <c r="F17" i="6"/>
  <c r="B17" i="6"/>
  <c r="D17" i="6" s="1"/>
  <c r="G31" i="6"/>
  <c r="H31" i="6" s="1"/>
  <c r="I42" i="6"/>
  <c r="C37" i="6"/>
  <c r="I39" i="6"/>
  <c r="G39" i="6"/>
  <c r="H39" i="6" s="1"/>
  <c r="C42" i="6"/>
  <c r="G49" i="6"/>
  <c r="H49" i="6" s="1"/>
  <c r="E90" i="6"/>
  <c r="C79" i="6"/>
  <c r="D79" i="6" s="1"/>
  <c r="I79" i="6"/>
  <c r="F85" i="6"/>
  <c r="B85" i="6"/>
  <c r="G90" i="6"/>
  <c r="H90" i="6" s="1"/>
  <c r="C97" i="6"/>
  <c r="D97" i="6" s="1"/>
  <c r="G102" i="6"/>
  <c r="H102" i="6" s="1"/>
  <c r="I109" i="6"/>
  <c r="I114" i="6"/>
  <c r="B123" i="6"/>
  <c r="C124" i="6" s="1"/>
  <c r="D124" i="6" s="1"/>
  <c r="C133" i="6"/>
  <c r="D133" i="6" s="1"/>
  <c r="E139" i="6"/>
  <c r="G144" i="6"/>
  <c r="H144" i="6" s="1"/>
  <c r="B154" i="6"/>
  <c r="E169" i="6"/>
  <c r="C158" i="6"/>
  <c r="D158" i="6" s="1"/>
  <c r="F159" i="6"/>
  <c r="I159" i="6" s="1"/>
  <c r="C168" i="6"/>
  <c r="D168" i="6" s="1"/>
  <c r="F170" i="6"/>
  <c r="B170" i="6"/>
  <c r="C175" i="6"/>
  <c r="D175" i="6" s="1"/>
  <c r="B183" i="6"/>
  <c r="F183" i="6"/>
  <c r="G184" i="6" s="1"/>
  <c r="H184" i="6" s="1"/>
  <c r="G197" i="6"/>
  <c r="H197" i="6" s="1"/>
  <c r="E199" i="6"/>
  <c r="C205" i="6"/>
  <c r="D205" i="6" s="1"/>
  <c r="B208" i="6"/>
  <c r="B214" i="6"/>
  <c r="C229" i="6"/>
  <c r="D229" i="6" s="1"/>
  <c r="G246" i="6"/>
  <c r="H246" i="6" s="1"/>
  <c r="I267" i="6"/>
  <c r="E270" i="6"/>
  <c r="C258" i="6"/>
  <c r="D258" i="6" s="1"/>
  <c r="G273" i="6"/>
  <c r="H273" i="6" s="1"/>
  <c r="I282" i="6"/>
  <c r="I319" i="6"/>
  <c r="G343" i="6"/>
  <c r="H343" i="6" s="1"/>
  <c r="I354" i="6"/>
  <c r="C357" i="6"/>
  <c r="D357" i="6" s="1"/>
  <c r="C367" i="6"/>
  <c r="D367" i="6" s="1"/>
  <c r="I380" i="6"/>
  <c r="I411" i="6"/>
  <c r="I399" i="6"/>
  <c r="G399" i="6"/>
  <c r="H399" i="6" s="1"/>
  <c r="E436" i="6"/>
  <c r="F483" i="6"/>
  <c r="I483" i="6" s="1"/>
  <c r="E508" i="6"/>
  <c r="E520" i="6"/>
  <c r="G528" i="6"/>
  <c r="H528" i="6" s="1"/>
  <c r="G529" i="6"/>
  <c r="H529" i="6" s="1"/>
  <c r="O4" i="5"/>
  <c r="E25" i="6"/>
  <c r="E50" i="6"/>
  <c r="D55" i="6"/>
  <c r="B74" i="6"/>
  <c r="I350" i="6"/>
  <c r="I404" i="6"/>
  <c r="I479" i="6"/>
  <c r="G467" i="6"/>
  <c r="H467" i="6" s="1"/>
  <c r="G468" i="6"/>
  <c r="H468" i="6" s="1"/>
  <c r="F512" i="6"/>
  <c r="C694" i="6"/>
  <c r="D694" i="6" s="1"/>
  <c r="E706" i="6"/>
  <c r="V4" i="4"/>
  <c r="AA5" i="5"/>
  <c r="W4" i="4"/>
  <c r="J5" i="4"/>
  <c r="X4" i="4"/>
  <c r="K5" i="4"/>
  <c r="W5" i="4"/>
  <c r="H8" i="4"/>
  <c r="M4" i="4"/>
  <c r="Y4" i="4"/>
  <c r="L5" i="4"/>
  <c r="X5" i="4"/>
  <c r="I8" i="4"/>
  <c r="U8" i="4"/>
  <c r="O5" i="5"/>
  <c r="T6" i="5"/>
  <c r="T7" i="5" s="1"/>
  <c r="G12" i="6"/>
  <c r="H12" i="6" s="1"/>
  <c r="I17" i="6"/>
  <c r="C23" i="6"/>
  <c r="E34" i="6"/>
  <c r="I38" i="6"/>
  <c r="G30" i="6"/>
  <c r="H30" i="6" s="1"/>
  <c r="G37" i="6"/>
  <c r="H37" i="6" s="1"/>
  <c r="I49" i="6"/>
  <c r="D42" i="6"/>
  <c r="I58" i="6"/>
  <c r="G56" i="6"/>
  <c r="H56" i="6" s="1"/>
  <c r="G61" i="6"/>
  <c r="H61" i="6" s="1"/>
  <c r="I75" i="6"/>
  <c r="I77" i="6"/>
  <c r="C70" i="6"/>
  <c r="D70" i="6" s="1"/>
  <c r="B80" i="6"/>
  <c r="F80" i="6"/>
  <c r="G81" i="6" s="1"/>
  <c r="H81" i="6" s="1"/>
  <c r="G105" i="6"/>
  <c r="H105" i="6" s="1"/>
  <c r="I117" i="6"/>
  <c r="I105" i="6"/>
  <c r="G107" i="6"/>
  <c r="H107" i="6" s="1"/>
  <c r="I112" i="6"/>
  <c r="E133" i="6"/>
  <c r="C122" i="6"/>
  <c r="D122" i="6" s="1"/>
  <c r="G139" i="6"/>
  <c r="H139" i="6" s="1"/>
  <c r="I151" i="6"/>
  <c r="E177" i="6"/>
  <c r="C173" i="6"/>
  <c r="D173" i="6" s="1"/>
  <c r="C174" i="6"/>
  <c r="D174" i="6" s="1"/>
  <c r="E185" i="6"/>
  <c r="G205" i="6"/>
  <c r="H205" i="6" s="1"/>
  <c r="I217" i="6"/>
  <c r="I229" i="6"/>
  <c r="I252" i="6"/>
  <c r="G240" i="6"/>
  <c r="H240" i="6" s="1"/>
  <c r="G279" i="6"/>
  <c r="H279" i="6" s="1"/>
  <c r="I308" i="6"/>
  <c r="E327" i="6"/>
  <c r="C316" i="6"/>
  <c r="D316" i="6" s="1"/>
  <c r="C319" i="6"/>
  <c r="D319" i="6" s="1"/>
  <c r="E330" i="6"/>
  <c r="C320" i="6"/>
  <c r="D320" i="6" s="1"/>
  <c r="E332" i="6"/>
  <c r="C321" i="6"/>
  <c r="D321" i="6" s="1"/>
  <c r="G342" i="6"/>
  <c r="H342" i="6" s="1"/>
  <c r="E357" i="6"/>
  <c r="E345" i="6"/>
  <c r="C345" i="6"/>
  <c r="D345" i="6" s="1"/>
  <c r="G373" i="6"/>
  <c r="H373" i="6" s="1"/>
  <c r="G374" i="6"/>
  <c r="H374" i="6" s="1"/>
  <c r="I385" i="6"/>
  <c r="G375" i="6"/>
  <c r="H375" i="6" s="1"/>
  <c r="I387" i="6"/>
  <c r="F381" i="6"/>
  <c r="B381" i="6"/>
  <c r="F400" i="6"/>
  <c r="G401" i="6" s="1"/>
  <c r="H401" i="6" s="1"/>
  <c r="B400" i="6"/>
  <c r="I427" i="6"/>
  <c r="G415" i="6"/>
  <c r="H415" i="6" s="1"/>
  <c r="G440" i="6"/>
  <c r="H440" i="6" s="1"/>
  <c r="I440" i="6"/>
  <c r="I452" i="6"/>
  <c r="C456" i="6"/>
  <c r="D456" i="6" s="1"/>
  <c r="E468" i="6"/>
  <c r="E524" i="6"/>
  <c r="F537" i="6"/>
  <c r="I537" i="6" s="1"/>
  <c r="B537" i="6"/>
  <c r="I572" i="6"/>
  <c r="G561" i="6"/>
  <c r="H561" i="6" s="1"/>
  <c r="I560" i="6"/>
  <c r="F580" i="6"/>
  <c r="B580" i="6"/>
  <c r="X5" i="5"/>
  <c r="X4" i="5"/>
  <c r="C9" i="6"/>
  <c r="G33" i="6"/>
  <c r="H33" i="6" s="1"/>
  <c r="I45" i="6"/>
  <c r="G94" i="6"/>
  <c r="H94" i="6" s="1"/>
  <c r="I106" i="6"/>
  <c r="I133" i="6"/>
  <c r="G121" i="6"/>
  <c r="H121" i="6" s="1"/>
  <c r="B163" i="6"/>
  <c r="F163" i="6"/>
  <c r="I163" i="6" s="1"/>
  <c r="I327" i="6"/>
  <c r="G315" i="6"/>
  <c r="H315" i="6" s="1"/>
  <c r="G316" i="6"/>
  <c r="H316" i="6" s="1"/>
  <c r="C453" i="6"/>
  <c r="D453" i="6" s="1"/>
  <c r="E465" i="6"/>
  <c r="C516" i="6"/>
  <c r="D516" i="6" s="1"/>
  <c r="E528" i="6"/>
  <c r="F631" i="6"/>
  <c r="B631" i="6"/>
  <c r="B738" i="6"/>
  <c r="F738" i="6"/>
  <c r="L6" i="5"/>
  <c r="L7" i="5" s="1"/>
  <c r="M6" i="5"/>
  <c r="M7" i="5" s="1"/>
  <c r="M4" i="5"/>
  <c r="B94" i="6"/>
  <c r="C201" i="6"/>
  <c r="D201" i="6" s="1"/>
  <c r="E213" i="6"/>
  <c r="G203" i="6"/>
  <c r="H203" i="6" s="1"/>
  <c r="I209" i="6"/>
  <c r="I301" i="6"/>
  <c r="I312" i="6"/>
  <c r="I315" i="6"/>
  <c r="I333" i="6"/>
  <c r="G489" i="6"/>
  <c r="H489" i="6" s="1"/>
  <c r="I501" i="6"/>
  <c r="N6" i="5"/>
  <c r="N7" i="5" s="1"/>
  <c r="V8" i="5"/>
  <c r="G138" i="6"/>
  <c r="H138" i="6" s="1"/>
  <c r="I150" i="6"/>
  <c r="E7" i="6"/>
  <c r="D7" i="6"/>
  <c r="C7" i="6"/>
  <c r="F52" i="6"/>
  <c r="I52" i="6" s="1"/>
  <c r="E114" i="6"/>
  <c r="B138" i="6"/>
  <c r="I155" i="6"/>
  <c r="G192" i="6"/>
  <c r="H192" i="6" s="1"/>
  <c r="G275" i="6"/>
  <c r="H275" i="6" s="1"/>
  <c r="I3" i="6"/>
  <c r="G18" i="6"/>
  <c r="H18" i="6" s="1"/>
  <c r="F24" i="6"/>
  <c r="B24" i="6"/>
  <c r="D24" i="6" s="1"/>
  <c r="G26" i="6"/>
  <c r="H26" i="6" s="1"/>
  <c r="C33" i="6"/>
  <c r="E42" i="6"/>
  <c r="G44" i="6"/>
  <c r="H44" i="6" s="1"/>
  <c r="G46" i="6"/>
  <c r="H46" i="6" s="1"/>
  <c r="B88" i="6"/>
  <c r="F88" i="6"/>
  <c r="E117" i="6"/>
  <c r="C105" i="6"/>
  <c r="D105" i="6" s="1"/>
  <c r="B118" i="6"/>
  <c r="F118" i="6"/>
  <c r="I118" i="6" s="1"/>
  <c r="C121" i="6"/>
  <c r="D121" i="6" s="1"/>
  <c r="E146" i="6"/>
  <c r="E173" i="6"/>
  <c r="C178" i="6"/>
  <c r="D178" i="6" s="1"/>
  <c r="C186" i="6"/>
  <c r="D186" i="6" s="1"/>
  <c r="B206" i="6"/>
  <c r="F206" i="6"/>
  <c r="E221" i="6"/>
  <c r="E230" i="6"/>
  <c r="C218" i="6"/>
  <c r="D218" i="6" s="1"/>
  <c r="E236" i="6"/>
  <c r="G261" i="6"/>
  <c r="H261" i="6" s="1"/>
  <c r="I273" i="6"/>
  <c r="E295" i="6"/>
  <c r="B292" i="6"/>
  <c r="F292" i="6"/>
  <c r="I292" i="6" s="1"/>
  <c r="B309" i="6"/>
  <c r="F309" i="6"/>
  <c r="I332" i="6"/>
  <c r="G320" i="6"/>
  <c r="H320" i="6" s="1"/>
  <c r="G345" i="6"/>
  <c r="H345" i="6" s="1"/>
  <c r="I357" i="6"/>
  <c r="G357" i="6"/>
  <c r="H357" i="6" s="1"/>
  <c r="I369" i="6"/>
  <c r="G358" i="6"/>
  <c r="H358" i="6" s="1"/>
  <c r="I372" i="6"/>
  <c r="G367" i="6"/>
  <c r="H367" i="6" s="1"/>
  <c r="I379" i="6"/>
  <c r="G368" i="6"/>
  <c r="H368" i="6" s="1"/>
  <c r="I382" i="6"/>
  <c r="G371" i="6"/>
  <c r="H371" i="6" s="1"/>
  <c r="I370" i="6"/>
  <c r="G370" i="6"/>
  <c r="H370" i="6" s="1"/>
  <c r="C396" i="6"/>
  <c r="D396" i="6" s="1"/>
  <c r="E408" i="6"/>
  <c r="C436" i="6"/>
  <c r="D436" i="6" s="1"/>
  <c r="E448" i="6"/>
  <c r="F499" i="6"/>
  <c r="I499" i="6" s="1"/>
  <c r="B499" i="6"/>
  <c r="F552" i="6"/>
  <c r="B552" i="6"/>
  <c r="I576" i="6"/>
  <c r="G564" i="6"/>
  <c r="H564" i="6" s="1"/>
  <c r="C634" i="6"/>
  <c r="D634" i="6" s="1"/>
  <c r="E646" i="6"/>
  <c r="K5" i="5"/>
  <c r="W5" i="5"/>
  <c r="D21" i="6"/>
  <c r="D38" i="6"/>
  <c r="D45" i="6"/>
  <c r="G161" i="6"/>
  <c r="H161" i="6" s="1"/>
  <c r="E172" i="6"/>
  <c r="C176" i="6"/>
  <c r="D176" i="6" s="1"/>
  <c r="F193" i="6"/>
  <c r="B193" i="6"/>
  <c r="E193" i="6" s="1"/>
  <c r="C204" i="6"/>
  <c r="D204" i="6" s="1"/>
  <c r="E206" i="6"/>
  <c r="E212" i="6"/>
  <c r="E216" i="6"/>
  <c r="E251" i="6"/>
  <c r="E302" i="6"/>
  <c r="C290" i="6"/>
  <c r="D290" i="6" s="1"/>
  <c r="G297" i="6"/>
  <c r="H297" i="6" s="1"/>
  <c r="I317" i="6"/>
  <c r="E307" i="6"/>
  <c r="I309" i="6"/>
  <c r="E318" i="6"/>
  <c r="E342" i="6"/>
  <c r="F334" i="6"/>
  <c r="B334" i="6"/>
  <c r="E334" i="6" s="1"/>
  <c r="E336" i="6"/>
  <c r="I358" i="6"/>
  <c r="G346" i="6"/>
  <c r="H346" i="6" s="1"/>
  <c r="G377" i="6"/>
  <c r="H377" i="6" s="1"/>
  <c r="I389" i="6"/>
  <c r="E381" i="6"/>
  <c r="F438" i="6"/>
  <c r="B438" i="6"/>
  <c r="C439" i="6" s="1"/>
  <c r="D439" i="6" s="1"/>
  <c r="F451" i="6"/>
  <c r="I451" i="6" s="1"/>
  <c r="B451" i="6"/>
  <c r="G477" i="6"/>
  <c r="H477" i="6" s="1"/>
  <c r="G478" i="6"/>
  <c r="H478" i="6" s="1"/>
  <c r="G493" i="6"/>
  <c r="H493" i="6" s="1"/>
  <c r="I505" i="6"/>
  <c r="F513" i="6"/>
  <c r="I513" i="6" s="1"/>
  <c r="B513" i="6"/>
  <c r="E534" i="6"/>
  <c r="G530" i="6"/>
  <c r="H530" i="6" s="1"/>
  <c r="G531" i="6"/>
  <c r="H531" i="6" s="1"/>
  <c r="C545" i="6"/>
  <c r="D545" i="6" s="1"/>
  <c r="E557" i="6"/>
  <c r="C625" i="6"/>
  <c r="D625" i="6" s="1"/>
  <c r="C624" i="6"/>
  <c r="D624" i="6" s="1"/>
  <c r="E21" i="6"/>
  <c r="E38" i="6"/>
  <c r="E45" i="6"/>
  <c r="C51" i="6"/>
  <c r="E77" i="6"/>
  <c r="C68" i="6"/>
  <c r="D68" i="6" s="1"/>
  <c r="E88" i="6"/>
  <c r="C99" i="6"/>
  <c r="D99" i="6" s="1"/>
  <c r="E113" i="6"/>
  <c r="C125" i="6"/>
  <c r="D125" i="6" s="1"/>
  <c r="C142" i="6"/>
  <c r="D142" i="6" s="1"/>
  <c r="E154" i="6"/>
  <c r="E170" i="6"/>
  <c r="E181" i="6"/>
  <c r="I177" i="6"/>
  <c r="I191" i="6"/>
  <c r="G179" i="6"/>
  <c r="H179" i="6" s="1"/>
  <c r="G181" i="6"/>
  <c r="H181" i="6" s="1"/>
  <c r="C187" i="6"/>
  <c r="D187" i="6" s="1"/>
  <c r="E214" i="6"/>
  <c r="F221" i="6"/>
  <c r="I221" i="6" s="1"/>
  <c r="B221" i="6"/>
  <c r="C222" i="6" s="1"/>
  <c r="D222" i="6" s="1"/>
  <c r="G225" i="6"/>
  <c r="H225" i="6" s="1"/>
  <c r="E229" i="6"/>
  <c r="G233" i="6"/>
  <c r="H233" i="6" s="1"/>
  <c r="B254" i="6"/>
  <c r="F254" i="6"/>
  <c r="E256" i="6"/>
  <c r="C256" i="6"/>
  <c r="D256" i="6" s="1"/>
  <c r="E268" i="6"/>
  <c r="I272" i="6"/>
  <c r="G260" i="6"/>
  <c r="H260" i="6" s="1"/>
  <c r="F262" i="6"/>
  <c r="G263" i="6" s="1"/>
  <c r="H263" i="6" s="1"/>
  <c r="B262" i="6"/>
  <c r="E280" i="6"/>
  <c r="C268" i="6"/>
  <c r="D268" i="6" s="1"/>
  <c r="C279" i="6"/>
  <c r="D279" i="6" s="1"/>
  <c r="G301" i="6"/>
  <c r="H301" i="6" s="1"/>
  <c r="I313" i="6"/>
  <c r="C323" i="6"/>
  <c r="D323" i="6" s="1"/>
  <c r="G332" i="6"/>
  <c r="H332" i="6" s="1"/>
  <c r="I344" i="6"/>
  <c r="C346" i="6"/>
  <c r="D346" i="6" s="1"/>
  <c r="G355" i="6"/>
  <c r="H355" i="6" s="1"/>
  <c r="C408" i="6"/>
  <c r="D408" i="6" s="1"/>
  <c r="E420" i="6"/>
  <c r="C414" i="6"/>
  <c r="D414" i="6" s="1"/>
  <c r="G424" i="6"/>
  <c r="H424" i="6" s="1"/>
  <c r="I436" i="6"/>
  <c r="I424" i="6"/>
  <c r="F459" i="6"/>
  <c r="I459" i="6" s="1"/>
  <c r="B459" i="6"/>
  <c r="I477" i="6"/>
  <c r="I493" i="6"/>
  <c r="I534" i="6"/>
  <c r="G522" i="6"/>
  <c r="H522" i="6" s="1"/>
  <c r="C567" i="6"/>
  <c r="D567" i="6" s="1"/>
  <c r="E578" i="6"/>
  <c r="C566" i="6"/>
  <c r="D566" i="6" s="1"/>
  <c r="I640" i="6"/>
  <c r="G629" i="6"/>
  <c r="H629" i="6" s="1"/>
  <c r="E636" i="6"/>
  <c r="I657" i="6"/>
  <c r="I669" i="6"/>
  <c r="G657" i="6"/>
  <c r="H657" i="6" s="1"/>
  <c r="D32" i="6"/>
  <c r="E71" i="6"/>
  <c r="E105" i="6"/>
  <c r="E102" i="6"/>
  <c r="I103" i="6"/>
  <c r="G113" i="6"/>
  <c r="H113" i="6" s="1"/>
  <c r="E129" i="6"/>
  <c r="G172" i="6"/>
  <c r="H172" i="6" s="1"/>
  <c r="G187" i="6"/>
  <c r="H187" i="6" s="1"/>
  <c r="G189" i="6"/>
  <c r="H189" i="6" s="1"/>
  <c r="I201" i="6"/>
  <c r="I203" i="6"/>
  <c r="I199" i="6"/>
  <c r="G204" i="6"/>
  <c r="H204" i="6" s="1"/>
  <c r="I216" i="6"/>
  <c r="E272" i="6"/>
  <c r="I280" i="6"/>
  <c r="G268" i="6"/>
  <c r="H268" i="6" s="1"/>
  <c r="G314" i="6"/>
  <c r="H314" i="6" s="1"/>
  <c r="I335" i="6"/>
  <c r="I323" i="6"/>
  <c r="G323" i="6"/>
  <c r="H323" i="6" s="1"/>
  <c r="B326" i="6"/>
  <c r="F326" i="6"/>
  <c r="E328" i="6"/>
  <c r="C328" i="6"/>
  <c r="D328" i="6" s="1"/>
  <c r="E340" i="6"/>
  <c r="E344" i="6"/>
  <c r="C333" i="6"/>
  <c r="D333" i="6" s="1"/>
  <c r="G353" i="6"/>
  <c r="H353" i="6" s="1"/>
  <c r="G379" i="6"/>
  <c r="H379" i="6" s="1"/>
  <c r="I391" i="6"/>
  <c r="I406" i="6"/>
  <c r="G395" i="6"/>
  <c r="H395" i="6" s="1"/>
  <c r="C434" i="6"/>
  <c r="D434" i="6" s="1"/>
  <c r="G441" i="6"/>
  <c r="H441" i="6" s="1"/>
  <c r="I453" i="6"/>
  <c r="C455" i="6"/>
  <c r="D455" i="6" s="1"/>
  <c r="E513" i="6"/>
  <c r="C501" i="6"/>
  <c r="D501" i="6" s="1"/>
  <c r="C514" i="6"/>
  <c r="D514" i="6" s="1"/>
  <c r="G534" i="6"/>
  <c r="H534" i="6" s="1"/>
  <c r="C539" i="6"/>
  <c r="D539" i="6" s="1"/>
  <c r="E551" i="6"/>
  <c r="I570" i="6"/>
  <c r="G558" i="6"/>
  <c r="H558" i="6" s="1"/>
  <c r="C617" i="6"/>
  <c r="D617" i="6" s="1"/>
  <c r="E629" i="6"/>
  <c r="G632" i="6"/>
  <c r="H632" i="6" s="1"/>
  <c r="G633" i="6"/>
  <c r="H633" i="6" s="1"/>
  <c r="I648" i="6"/>
  <c r="I636" i="6"/>
  <c r="G653" i="6"/>
  <c r="H653" i="6" s="1"/>
  <c r="G654" i="6"/>
  <c r="H654" i="6" s="1"/>
  <c r="I653" i="6"/>
  <c r="I665" i="6"/>
  <c r="E679" i="6"/>
  <c r="E667" i="6"/>
  <c r="I734" i="6"/>
  <c r="I722" i="6"/>
  <c r="G722" i="6"/>
  <c r="H722" i="6" s="1"/>
  <c r="B3" i="6"/>
  <c r="C6" i="6"/>
  <c r="C13" i="6"/>
  <c r="C20" i="6"/>
  <c r="C44" i="6"/>
  <c r="C59" i="6"/>
  <c r="D59" i="6" s="1"/>
  <c r="C76" i="6"/>
  <c r="D76" i="6" s="1"/>
  <c r="C93" i="6"/>
  <c r="D93" i="6" s="1"/>
  <c r="E96" i="6"/>
  <c r="E110" i="6"/>
  <c r="B112" i="6"/>
  <c r="C113" i="6" s="1"/>
  <c r="D113" i="6" s="1"/>
  <c r="G115" i="6"/>
  <c r="H115" i="6" s="1"/>
  <c r="I127" i="6"/>
  <c r="C117" i="6"/>
  <c r="D117" i="6" s="1"/>
  <c r="C132" i="6"/>
  <c r="D132" i="6" s="1"/>
  <c r="C137" i="6"/>
  <c r="D137" i="6" s="1"/>
  <c r="F142" i="6"/>
  <c r="C151" i="6"/>
  <c r="D151" i="6" s="1"/>
  <c r="C160" i="6"/>
  <c r="D160" i="6" s="1"/>
  <c r="E174" i="6"/>
  <c r="B171" i="6"/>
  <c r="G174" i="6"/>
  <c r="H174" i="6" s="1"/>
  <c r="I188" i="6"/>
  <c r="C198" i="6"/>
  <c r="D198" i="6" s="1"/>
  <c r="E231" i="6"/>
  <c r="C219" i="6"/>
  <c r="D219" i="6" s="1"/>
  <c r="E223" i="6"/>
  <c r="E225" i="6"/>
  <c r="G227" i="6"/>
  <c r="H227" i="6" s="1"/>
  <c r="G241" i="6"/>
  <c r="H241" i="6" s="1"/>
  <c r="I255" i="6"/>
  <c r="G243" i="6"/>
  <c r="H243" i="6" s="1"/>
  <c r="E262" i="6"/>
  <c r="C250" i="6"/>
  <c r="D250" i="6" s="1"/>
  <c r="C252" i="6"/>
  <c r="D252" i="6" s="1"/>
  <c r="G256" i="6"/>
  <c r="H256" i="6" s="1"/>
  <c r="G258" i="6"/>
  <c r="H258" i="6" s="1"/>
  <c r="C260" i="6"/>
  <c r="D260" i="6" s="1"/>
  <c r="C275" i="6"/>
  <c r="D275" i="6" s="1"/>
  <c r="G281" i="6"/>
  <c r="H281" i="6" s="1"/>
  <c r="I298" i="6"/>
  <c r="G290" i="6"/>
  <c r="H290" i="6" s="1"/>
  <c r="F293" i="6"/>
  <c r="B293" i="6"/>
  <c r="C294" i="6" s="1"/>
  <c r="D294" i="6" s="1"/>
  <c r="I318" i="6"/>
  <c r="G306" i="6"/>
  <c r="H306" i="6" s="1"/>
  <c r="B314" i="6"/>
  <c r="I340" i="6"/>
  <c r="C332" i="6"/>
  <c r="D332" i="6" s="1"/>
  <c r="I394" i="6"/>
  <c r="G382" i="6"/>
  <c r="H382" i="6" s="1"/>
  <c r="C387" i="6"/>
  <c r="D387" i="6" s="1"/>
  <c r="E399" i="6"/>
  <c r="G394" i="6"/>
  <c r="H394" i="6" s="1"/>
  <c r="E413" i="6"/>
  <c r="C401" i="6"/>
  <c r="D401" i="6" s="1"/>
  <c r="I418" i="6"/>
  <c r="G407" i="6"/>
  <c r="H407" i="6" s="1"/>
  <c r="G408" i="6"/>
  <c r="H408" i="6" s="1"/>
  <c r="I420" i="6"/>
  <c r="G425" i="6"/>
  <c r="H425" i="6" s="1"/>
  <c r="I437" i="6"/>
  <c r="B469" i="6"/>
  <c r="C505" i="6"/>
  <c r="D505" i="6" s="1"/>
  <c r="G509" i="6"/>
  <c r="H509" i="6" s="1"/>
  <c r="C515" i="6"/>
  <c r="D515" i="6" s="1"/>
  <c r="I566" i="6"/>
  <c r="G554" i="6"/>
  <c r="H554" i="6" s="1"/>
  <c r="I574" i="6"/>
  <c r="G562" i="6"/>
  <c r="H562" i="6" s="1"/>
  <c r="I588" i="6"/>
  <c r="B618" i="6"/>
  <c r="F618" i="6"/>
  <c r="D6" i="6"/>
  <c r="D13" i="6"/>
  <c r="D28" i="6"/>
  <c r="D52" i="6"/>
  <c r="E62" i="6"/>
  <c r="I63" i="6"/>
  <c r="G65" i="6"/>
  <c r="H65" i="6" s="1"/>
  <c r="E79" i="6"/>
  <c r="I108" i="6"/>
  <c r="I137" i="6"/>
  <c r="G130" i="6"/>
  <c r="H130" i="6" s="1"/>
  <c r="C153" i="6"/>
  <c r="D153" i="6" s="1"/>
  <c r="E196" i="6"/>
  <c r="C184" i="6"/>
  <c r="D184" i="6" s="1"/>
  <c r="I189" i="6"/>
  <c r="E198" i="6"/>
  <c r="G202" i="6"/>
  <c r="H202" i="6" s="1"/>
  <c r="I246" i="6"/>
  <c r="G234" i="6"/>
  <c r="H234" i="6" s="1"/>
  <c r="I235" i="6"/>
  <c r="I247" i="6"/>
  <c r="E260" i="6"/>
  <c r="G269" i="6"/>
  <c r="H269" i="6" s="1"/>
  <c r="C273" i="6"/>
  <c r="D273" i="6" s="1"/>
  <c r="E285" i="6"/>
  <c r="I289" i="6"/>
  <c r="F288" i="6"/>
  <c r="G289" i="6" s="1"/>
  <c r="H289" i="6" s="1"/>
  <c r="B288" i="6"/>
  <c r="I320" i="6"/>
  <c r="G308" i="6"/>
  <c r="H308" i="6" s="1"/>
  <c r="E310" i="6"/>
  <c r="I351" i="6"/>
  <c r="G385" i="6"/>
  <c r="H385" i="6" s="1"/>
  <c r="C392" i="6"/>
  <c r="D392" i="6" s="1"/>
  <c r="E404" i="6"/>
  <c r="E410" i="6"/>
  <c r="C425" i="6"/>
  <c r="D425" i="6" s="1"/>
  <c r="E437" i="6"/>
  <c r="C452" i="6"/>
  <c r="D452" i="6" s="1"/>
  <c r="F460" i="6"/>
  <c r="B460" i="6"/>
  <c r="E478" i="6"/>
  <c r="C466" i="6"/>
  <c r="D466" i="6" s="1"/>
  <c r="C488" i="6"/>
  <c r="D488" i="6" s="1"/>
  <c r="E500" i="6"/>
  <c r="E488" i="6"/>
  <c r="C498" i="6"/>
  <c r="D498" i="6" s="1"/>
  <c r="I514" i="6"/>
  <c r="G502" i="6"/>
  <c r="H502" i="6" s="1"/>
  <c r="G503" i="6"/>
  <c r="H503" i="6" s="1"/>
  <c r="C596" i="6"/>
  <c r="D596" i="6" s="1"/>
  <c r="E608" i="6"/>
  <c r="C597" i="6"/>
  <c r="D597" i="6" s="1"/>
  <c r="C16" i="6"/>
  <c r="C40" i="6"/>
  <c r="C53" i="6"/>
  <c r="E56" i="6"/>
  <c r="F76" i="6"/>
  <c r="I76" i="6" s="1"/>
  <c r="G93" i="6"/>
  <c r="H93" i="6" s="1"/>
  <c r="B119" i="6"/>
  <c r="I134" i="6"/>
  <c r="G125" i="6"/>
  <c r="H125" i="6" s="1"/>
  <c r="F132" i="6"/>
  <c r="E137" i="6"/>
  <c r="C139" i="6"/>
  <c r="D139" i="6" s="1"/>
  <c r="F146" i="6"/>
  <c r="I146" i="6" s="1"/>
  <c r="B146" i="6"/>
  <c r="C147" i="6" s="1"/>
  <c r="D147" i="6" s="1"/>
  <c r="G149" i="6"/>
  <c r="H149" i="6" s="1"/>
  <c r="C166" i="6"/>
  <c r="D166" i="6" s="1"/>
  <c r="E178" i="6"/>
  <c r="I200" i="6"/>
  <c r="G188" i="6"/>
  <c r="H188" i="6" s="1"/>
  <c r="F190" i="6"/>
  <c r="G191" i="6" s="1"/>
  <c r="H191" i="6" s="1"/>
  <c r="B190" i="6"/>
  <c r="C194" i="6"/>
  <c r="D194" i="6" s="1"/>
  <c r="E208" i="6"/>
  <c r="C196" i="6"/>
  <c r="D196" i="6" s="1"/>
  <c r="C207" i="6"/>
  <c r="D207" i="6" s="1"/>
  <c r="C213" i="6"/>
  <c r="D213" i="6" s="1"/>
  <c r="I223" i="6"/>
  <c r="B234" i="6"/>
  <c r="E234" i="6" s="1"/>
  <c r="G252" i="6"/>
  <c r="H252" i="6" s="1"/>
  <c r="G257" i="6"/>
  <c r="H257" i="6" s="1"/>
  <c r="I269" i="6"/>
  <c r="B269" i="6"/>
  <c r="I281" i="6"/>
  <c r="C286" i="6"/>
  <c r="D286" i="6" s="1"/>
  <c r="I295" i="6"/>
  <c r="I314" i="6"/>
  <c r="C304" i="6"/>
  <c r="D304" i="6" s="1"/>
  <c r="G317" i="6"/>
  <c r="H317" i="6" s="1"/>
  <c r="I329" i="6"/>
  <c r="G321" i="6"/>
  <c r="H321" i="6" s="1"/>
  <c r="C335" i="6"/>
  <c r="D335" i="6" s="1"/>
  <c r="F337" i="6"/>
  <c r="G338" i="6" s="1"/>
  <c r="H338" i="6" s="1"/>
  <c r="B337" i="6"/>
  <c r="G339" i="6"/>
  <c r="H339" i="6" s="1"/>
  <c r="C344" i="6"/>
  <c r="D344" i="6" s="1"/>
  <c r="C350" i="6"/>
  <c r="D350" i="6" s="1"/>
  <c r="E361" i="6"/>
  <c r="E363" i="6"/>
  <c r="C351" i="6"/>
  <c r="D351" i="6" s="1"/>
  <c r="E368" i="6"/>
  <c r="C356" i="6"/>
  <c r="D356" i="6" s="1"/>
  <c r="E379" i="6"/>
  <c r="C368" i="6"/>
  <c r="D368" i="6" s="1"/>
  <c r="B385" i="6"/>
  <c r="E392" i="6"/>
  <c r="E407" i="6"/>
  <c r="C395" i="6"/>
  <c r="D395" i="6" s="1"/>
  <c r="C404" i="6"/>
  <c r="D404" i="6" s="1"/>
  <c r="E416" i="6"/>
  <c r="I481" i="6"/>
  <c r="G488" i="6"/>
  <c r="H488" i="6" s="1"/>
  <c r="I488" i="6"/>
  <c r="I500" i="6"/>
  <c r="F495" i="6"/>
  <c r="G496" i="6" s="1"/>
  <c r="H496" i="6" s="1"/>
  <c r="B495" i="6"/>
  <c r="E495" i="6" s="1"/>
  <c r="B502" i="6"/>
  <c r="I509" i="6"/>
  <c r="E536" i="6"/>
  <c r="G555" i="6"/>
  <c r="H555" i="6" s="1"/>
  <c r="I567" i="6"/>
  <c r="I555" i="6"/>
  <c r="E586" i="6"/>
  <c r="G466" i="6"/>
  <c r="H466" i="6" s="1"/>
  <c r="I478" i="6"/>
  <c r="F491" i="6"/>
  <c r="G492" i="6" s="1"/>
  <c r="H492" i="6" s="1"/>
  <c r="B491" i="6"/>
  <c r="G501" i="6"/>
  <c r="H501" i="6" s="1"/>
  <c r="F521" i="6"/>
  <c r="B521" i="6"/>
  <c r="C522" i="6" s="1"/>
  <c r="D522" i="6" s="1"/>
  <c r="I538" i="6"/>
  <c r="G527" i="6"/>
  <c r="H527" i="6" s="1"/>
  <c r="G532" i="6"/>
  <c r="H532" i="6" s="1"/>
  <c r="I544" i="6"/>
  <c r="B599" i="6"/>
  <c r="E599" i="6" s="1"/>
  <c r="F599" i="6"/>
  <c r="I599" i="6" s="1"/>
  <c r="F606" i="6"/>
  <c r="G607" i="6" s="1"/>
  <c r="H607" i="6" s="1"/>
  <c r="B606" i="6"/>
  <c r="E682" i="6"/>
  <c r="C670" i="6"/>
  <c r="D670" i="6" s="1"/>
  <c r="E685" i="6"/>
  <c r="C673" i="6"/>
  <c r="D673" i="6" s="1"/>
  <c r="E765" i="6"/>
  <c r="C753" i="6"/>
  <c r="D753" i="6" s="1"/>
  <c r="I197" i="6"/>
  <c r="G349" i="6"/>
  <c r="H349" i="6" s="1"/>
  <c r="G393" i="6"/>
  <c r="H393" i="6" s="1"/>
  <c r="I396" i="6"/>
  <c r="C399" i="6"/>
  <c r="D399" i="6" s="1"/>
  <c r="G409" i="6"/>
  <c r="H409" i="6" s="1"/>
  <c r="I441" i="6"/>
  <c r="G447" i="6"/>
  <c r="H447" i="6" s="1"/>
  <c r="F470" i="6"/>
  <c r="B470" i="6"/>
  <c r="C471" i="6" s="1"/>
  <c r="D471" i="6" s="1"/>
  <c r="G472" i="6"/>
  <c r="H472" i="6" s="1"/>
  <c r="I484" i="6"/>
  <c r="C484" i="6"/>
  <c r="D484" i="6" s="1"/>
  <c r="C487" i="6"/>
  <c r="D487" i="6" s="1"/>
  <c r="E499" i="6"/>
  <c r="F510" i="6"/>
  <c r="B510" i="6"/>
  <c r="E510" i="6" s="1"/>
  <c r="E540" i="6"/>
  <c r="C555" i="6"/>
  <c r="D555" i="6" s="1"/>
  <c r="E563" i="6"/>
  <c r="C563" i="6"/>
  <c r="D563" i="6" s="1"/>
  <c r="C584" i="6"/>
  <c r="D584" i="6" s="1"/>
  <c r="E596" i="6"/>
  <c r="E584" i="6"/>
  <c r="B591" i="6"/>
  <c r="F591" i="6"/>
  <c r="I591" i="6" s="1"/>
  <c r="I634" i="6"/>
  <c r="I622" i="6"/>
  <c r="B210" i="6"/>
  <c r="C211" i="6" s="1"/>
  <c r="D211" i="6" s="1"/>
  <c r="G211" i="6"/>
  <c r="H211" i="6" s="1"/>
  <c r="B236" i="6"/>
  <c r="C239" i="6"/>
  <c r="D239" i="6" s="1"/>
  <c r="B282" i="6"/>
  <c r="G283" i="6"/>
  <c r="H283" i="6" s="1"/>
  <c r="B308" i="6"/>
  <c r="C311" i="6"/>
  <c r="D311" i="6" s="1"/>
  <c r="B348" i="6"/>
  <c r="B353" i="6"/>
  <c r="B358" i="6"/>
  <c r="E358" i="6" s="1"/>
  <c r="C371" i="6"/>
  <c r="D371" i="6" s="1"/>
  <c r="G383" i="6"/>
  <c r="H383" i="6" s="1"/>
  <c r="G387" i="6"/>
  <c r="H387" i="6" s="1"/>
  <c r="B393" i="6"/>
  <c r="F397" i="6"/>
  <c r="G398" i="6" s="1"/>
  <c r="H398" i="6" s="1"/>
  <c r="B397" i="6"/>
  <c r="B409" i="6"/>
  <c r="C411" i="6"/>
  <c r="D411" i="6" s="1"/>
  <c r="E425" i="6"/>
  <c r="C415" i="6"/>
  <c r="D415" i="6" s="1"/>
  <c r="I429" i="6"/>
  <c r="G434" i="6"/>
  <c r="H434" i="6" s="1"/>
  <c r="B447" i="6"/>
  <c r="F475" i="6"/>
  <c r="B475" i="6"/>
  <c r="E475" i="6" s="1"/>
  <c r="I496" i="6"/>
  <c r="G508" i="6"/>
  <c r="H508" i="6" s="1"/>
  <c r="I526" i="6"/>
  <c r="G514" i="6"/>
  <c r="H514" i="6" s="1"/>
  <c r="I531" i="6"/>
  <c r="G519" i="6"/>
  <c r="H519" i="6" s="1"/>
  <c r="C534" i="6"/>
  <c r="D534" i="6" s="1"/>
  <c r="E555" i="6"/>
  <c r="C575" i="6"/>
  <c r="D575" i="6" s="1"/>
  <c r="E587" i="6"/>
  <c r="C608" i="6"/>
  <c r="D608" i="6" s="1"/>
  <c r="C609" i="6"/>
  <c r="D609" i="6" s="1"/>
  <c r="E620" i="6"/>
  <c r="I626" i="6"/>
  <c r="G614" i="6"/>
  <c r="H614" i="6" s="1"/>
  <c r="I631" i="6"/>
  <c r="G622" i="6"/>
  <c r="H622" i="6" s="1"/>
  <c r="E661" i="6"/>
  <c r="C649" i="6"/>
  <c r="D649" i="6" s="1"/>
  <c r="E649" i="6"/>
  <c r="C683" i="6"/>
  <c r="D683" i="6" s="1"/>
  <c r="C722" i="6"/>
  <c r="D722" i="6" s="1"/>
  <c r="E734" i="6"/>
  <c r="G731" i="6"/>
  <c r="H731" i="6" s="1"/>
  <c r="I743" i="6"/>
  <c r="G732" i="6"/>
  <c r="H732" i="6" s="1"/>
  <c r="I731" i="6"/>
  <c r="E207" i="6"/>
  <c r="C227" i="6"/>
  <c r="D227" i="6" s="1"/>
  <c r="E239" i="6"/>
  <c r="E279" i="6"/>
  <c r="C299" i="6"/>
  <c r="D299" i="6" s="1"/>
  <c r="E311" i="6"/>
  <c r="E351" i="6"/>
  <c r="I361" i="6"/>
  <c r="I377" i="6"/>
  <c r="I378" i="6"/>
  <c r="I386" i="6"/>
  <c r="I405" i="6"/>
  <c r="E457" i="6"/>
  <c r="F458" i="6"/>
  <c r="B458" i="6"/>
  <c r="G482" i="6"/>
  <c r="H482" i="6" s="1"/>
  <c r="G525" i="6"/>
  <c r="H525" i="6" s="1"/>
  <c r="F546" i="6"/>
  <c r="I546" i="6" s="1"/>
  <c r="B546" i="6"/>
  <c r="F585" i="6"/>
  <c r="G586" i="6" s="1"/>
  <c r="H586" i="6" s="1"/>
  <c r="B585" i="6"/>
  <c r="C586" i="6" s="1"/>
  <c r="D586" i="6" s="1"/>
  <c r="F588" i="6"/>
  <c r="B588" i="6"/>
  <c r="I692" i="6"/>
  <c r="G680" i="6"/>
  <c r="H680" i="6" s="1"/>
  <c r="I696" i="6"/>
  <c r="G685" i="6"/>
  <c r="H685" i="6" s="1"/>
  <c r="G684" i="6"/>
  <c r="H684" i="6" s="1"/>
  <c r="F213" i="6"/>
  <c r="G214" i="6" s="1"/>
  <c r="H214" i="6" s="1"/>
  <c r="F285" i="6"/>
  <c r="I285" i="6" s="1"/>
  <c r="C360" i="6"/>
  <c r="D360" i="6" s="1"/>
  <c r="I383" i="6"/>
  <c r="G376" i="6"/>
  <c r="H376" i="6" s="1"/>
  <c r="C380" i="6"/>
  <c r="D380" i="6" s="1"/>
  <c r="C384" i="6"/>
  <c r="D384" i="6" s="1"/>
  <c r="I415" i="6"/>
  <c r="I421" i="6"/>
  <c r="I425" i="6"/>
  <c r="E432" i="6"/>
  <c r="E447" i="6"/>
  <c r="C435" i="6"/>
  <c r="D435" i="6" s="1"/>
  <c r="C440" i="6"/>
  <c r="D440" i="6" s="1"/>
  <c r="E462" i="6"/>
  <c r="C473" i="6"/>
  <c r="D473" i="6" s="1"/>
  <c r="E485" i="6"/>
  <c r="C482" i="6"/>
  <c r="D482" i="6" s="1"/>
  <c r="C485" i="6"/>
  <c r="D485" i="6" s="1"/>
  <c r="E497" i="6"/>
  <c r="E515" i="6"/>
  <c r="C503" i="6"/>
  <c r="D503" i="6" s="1"/>
  <c r="B535" i="6"/>
  <c r="C536" i="6" s="1"/>
  <c r="D536" i="6" s="1"/>
  <c r="F535" i="6"/>
  <c r="E543" i="6"/>
  <c r="I562" i="6"/>
  <c r="C556" i="6"/>
  <c r="D556" i="6" s="1"/>
  <c r="E567" i="6"/>
  <c r="G663" i="6"/>
  <c r="H663" i="6" s="1"/>
  <c r="I663" i="6"/>
  <c r="C684" i="6"/>
  <c r="D684" i="6" s="1"/>
  <c r="E696" i="6"/>
  <c r="C685" i="6"/>
  <c r="D685" i="6" s="1"/>
  <c r="C710" i="6"/>
  <c r="D710" i="6" s="1"/>
  <c r="E722" i="6"/>
  <c r="E710" i="6"/>
  <c r="G305" i="6"/>
  <c r="H305" i="6" s="1"/>
  <c r="G331" i="6"/>
  <c r="H331" i="6" s="1"/>
  <c r="C347" i="6"/>
  <c r="D347" i="6" s="1"/>
  <c r="C370" i="6"/>
  <c r="D370" i="6" s="1"/>
  <c r="E382" i="6"/>
  <c r="C388" i="6"/>
  <c r="D388" i="6" s="1"/>
  <c r="E400" i="6"/>
  <c r="E430" i="6"/>
  <c r="F443" i="6"/>
  <c r="G444" i="6" s="1"/>
  <c r="H444" i="6" s="1"/>
  <c r="B443" i="6"/>
  <c r="E443" i="6" s="1"/>
  <c r="G453" i="6"/>
  <c r="H453" i="6" s="1"/>
  <c r="I465" i="6"/>
  <c r="E505" i="6"/>
  <c r="F506" i="6"/>
  <c r="B506" i="6"/>
  <c r="C541" i="6"/>
  <c r="D541" i="6" s="1"/>
  <c r="E553" i="6"/>
  <c r="F547" i="6"/>
  <c r="G548" i="6" s="1"/>
  <c r="H548" i="6" s="1"/>
  <c r="B547" i="6"/>
  <c r="E562" i="6"/>
  <c r="E550" i="6"/>
  <c r="C576" i="6"/>
  <c r="D576" i="6" s="1"/>
  <c r="E588" i="6"/>
  <c r="G579" i="6"/>
  <c r="H579" i="6" s="1"/>
  <c r="I594" i="6"/>
  <c r="G582" i="6"/>
  <c r="H582" i="6" s="1"/>
  <c r="E617" i="6"/>
  <c r="C605" i="6"/>
  <c r="D605" i="6" s="1"/>
  <c r="B612" i="6"/>
  <c r="F612" i="6"/>
  <c r="G613" i="6" s="1"/>
  <c r="H613" i="6" s="1"/>
  <c r="G634" i="6"/>
  <c r="H634" i="6" s="1"/>
  <c r="I646" i="6"/>
  <c r="C672" i="6"/>
  <c r="D672" i="6" s="1"/>
  <c r="E684" i="6"/>
  <c r="G559" i="6"/>
  <c r="H559" i="6" s="1"/>
  <c r="G577" i="6"/>
  <c r="H577" i="6" s="1"/>
  <c r="F589" i="6"/>
  <c r="I589" i="6" s="1"/>
  <c r="B589" i="6"/>
  <c r="G615" i="6"/>
  <c r="H615" i="6" s="1"/>
  <c r="E654" i="6"/>
  <c r="C642" i="6"/>
  <c r="D642" i="6" s="1"/>
  <c r="C658" i="6"/>
  <c r="D658" i="6" s="1"/>
  <c r="E670" i="6"/>
  <c r="E658" i="6"/>
  <c r="G662" i="6"/>
  <c r="H662" i="6" s="1"/>
  <c r="F674" i="6"/>
  <c r="I674" i="6" s="1"/>
  <c r="B674" i="6"/>
  <c r="G678" i="6"/>
  <c r="H678" i="6" s="1"/>
  <c r="G707" i="6"/>
  <c r="H707" i="6" s="1"/>
  <c r="G708" i="6"/>
  <c r="H708" i="6" s="1"/>
  <c r="I843" i="6"/>
  <c r="B851" i="6"/>
  <c r="C851" i="6" s="1"/>
  <c r="D851" i="6" s="1"/>
  <c r="F851" i="6"/>
  <c r="G851" i="6" s="1"/>
  <c r="H851" i="6" s="1"/>
  <c r="G417" i="6"/>
  <c r="H417" i="6" s="1"/>
  <c r="I435" i="6"/>
  <c r="C429" i="6"/>
  <c r="D429" i="6" s="1"/>
  <c r="I430" i="6"/>
  <c r="F442" i="6"/>
  <c r="B442" i="6"/>
  <c r="C477" i="6"/>
  <c r="D477" i="6" s="1"/>
  <c r="F490" i="6"/>
  <c r="B490" i="6"/>
  <c r="E509" i="6"/>
  <c r="C497" i="6"/>
  <c r="D497" i="6" s="1"/>
  <c r="G523" i="6"/>
  <c r="H523" i="6" s="1"/>
  <c r="B525" i="6"/>
  <c r="C544" i="6"/>
  <c r="D544" i="6" s="1"/>
  <c r="I557" i="6"/>
  <c r="I569" i="6"/>
  <c r="B559" i="6"/>
  <c r="B577" i="6"/>
  <c r="F603" i="6"/>
  <c r="B603" i="6"/>
  <c r="B615" i="6"/>
  <c r="C616" i="6" s="1"/>
  <c r="D616" i="6" s="1"/>
  <c r="E642" i="6"/>
  <c r="C630" i="6"/>
  <c r="D630" i="6" s="1"/>
  <c r="E652" i="6"/>
  <c r="C640" i="6"/>
  <c r="D640" i="6" s="1"/>
  <c r="C641" i="6"/>
  <c r="D641" i="6" s="1"/>
  <c r="G643" i="6"/>
  <c r="H643" i="6" s="1"/>
  <c r="I655" i="6"/>
  <c r="I660" i="6"/>
  <c r="G648" i="6"/>
  <c r="H648" i="6" s="1"/>
  <c r="B662" i="6"/>
  <c r="C663" i="6" s="1"/>
  <c r="D663" i="6" s="1"/>
  <c r="I677" i="6"/>
  <c r="I680" i="6"/>
  <c r="G668" i="6"/>
  <c r="H668" i="6" s="1"/>
  <c r="G669" i="6"/>
  <c r="H669" i="6" s="1"/>
  <c r="B707" i="6"/>
  <c r="G389" i="6"/>
  <c r="H389" i="6" s="1"/>
  <c r="I402" i="6"/>
  <c r="B417" i="6"/>
  <c r="E434" i="6"/>
  <c r="G423" i="6"/>
  <c r="H423" i="6" s="1"/>
  <c r="B444" i="6"/>
  <c r="I456" i="6"/>
  <c r="B492" i="6"/>
  <c r="E492" i="6" s="1"/>
  <c r="I504" i="6"/>
  <c r="F517" i="6"/>
  <c r="B517" i="6"/>
  <c r="B523" i="6"/>
  <c r="I535" i="6"/>
  <c r="B542" i="6"/>
  <c r="F542" i="6"/>
  <c r="I542" i="6" s="1"/>
  <c r="E544" i="6"/>
  <c r="B557" i="6"/>
  <c r="C558" i="6" s="1"/>
  <c r="D558" i="6" s="1"/>
  <c r="I575" i="6"/>
  <c r="C592" i="6"/>
  <c r="D592" i="6" s="1"/>
  <c r="E604" i="6"/>
  <c r="C622" i="6"/>
  <c r="D622" i="6" s="1"/>
  <c r="E634" i="6"/>
  <c r="C628" i="6"/>
  <c r="D628" i="6" s="1"/>
  <c r="B643" i="6"/>
  <c r="C655" i="6"/>
  <c r="D655" i="6" s="1"/>
  <c r="I662" i="6"/>
  <c r="C678" i="6"/>
  <c r="D678" i="6" s="1"/>
  <c r="C679" i="6"/>
  <c r="D679" i="6" s="1"/>
  <c r="I719" i="6"/>
  <c r="B784" i="6"/>
  <c r="F784" i="6"/>
  <c r="E821" i="6"/>
  <c r="C809" i="6"/>
  <c r="D809" i="6" s="1"/>
  <c r="I414" i="6"/>
  <c r="G412" i="6"/>
  <c r="H412" i="6" s="1"/>
  <c r="E431" i="6"/>
  <c r="F426" i="6"/>
  <c r="B426" i="6"/>
  <c r="E426" i="6" s="1"/>
  <c r="G428" i="6"/>
  <c r="H428" i="6" s="1"/>
  <c r="C433" i="6"/>
  <c r="D433" i="6" s="1"/>
  <c r="C461" i="6"/>
  <c r="D461" i="6" s="1"/>
  <c r="F474" i="6"/>
  <c r="B474" i="6"/>
  <c r="G476" i="6"/>
  <c r="H476" i="6" s="1"/>
  <c r="C481" i="6"/>
  <c r="D481" i="6" s="1"/>
  <c r="C509" i="6"/>
  <c r="D509" i="6" s="1"/>
  <c r="F549" i="6"/>
  <c r="G550" i="6" s="1"/>
  <c r="H550" i="6" s="1"/>
  <c r="B549" i="6"/>
  <c r="C560" i="6"/>
  <c r="D560" i="6" s="1"/>
  <c r="C564" i="6"/>
  <c r="D564" i="6" s="1"/>
  <c r="I578" i="6"/>
  <c r="F573" i="6"/>
  <c r="B573" i="6"/>
  <c r="E573" i="6" s="1"/>
  <c r="G584" i="6"/>
  <c r="H584" i="6" s="1"/>
  <c r="I595" i="6"/>
  <c r="I613" i="6"/>
  <c r="G601" i="6"/>
  <c r="H601" i="6" s="1"/>
  <c r="C604" i="6"/>
  <c r="D604" i="6" s="1"/>
  <c r="G608" i="6"/>
  <c r="H608" i="6" s="1"/>
  <c r="I619" i="6"/>
  <c r="I625" i="6"/>
  <c r="G617" i="6"/>
  <c r="H617" i="6" s="1"/>
  <c r="I628" i="6"/>
  <c r="B620" i="6"/>
  <c r="F620" i="6"/>
  <c r="B635" i="6"/>
  <c r="F635" i="6"/>
  <c r="G649" i="6"/>
  <c r="H649" i="6" s="1"/>
  <c r="I687" i="6"/>
  <c r="G679" i="6"/>
  <c r="H679" i="6" s="1"/>
  <c r="E698" i="6"/>
  <c r="C686" i="6"/>
  <c r="D686" i="6" s="1"/>
  <c r="I689" i="6"/>
  <c r="C712" i="6"/>
  <c r="D712" i="6" s="1"/>
  <c r="E724" i="6"/>
  <c r="F742" i="6"/>
  <c r="B742" i="6"/>
  <c r="G746" i="6"/>
  <c r="H746" i="6" s="1"/>
  <c r="G421" i="6"/>
  <c r="H421" i="6" s="1"/>
  <c r="I434" i="6"/>
  <c r="C424" i="6"/>
  <c r="D424" i="6" s="1"/>
  <c r="I467" i="6"/>
  <c r="I475" i="6"/>
  <c r="G464" i="6"/>
  <c r="H464" i="6" s="1"/>
  <c r="C472" i="6"/>
  <c r="D472" i="6" s="1"/>
  <c r="E542" i="6"/>
  <c r="C530" i="6"/>
  <c r="D530" i="6" s="1"/>
  <c r="I550" i="6"/>
  <c r="E574" i="6"/>
  <c r="G571" i="6"/>
  <c r="H571" i="6" s="1"/>
  <c r="E595" i="6"/>
  <c r="E605" i="6"/>
  <c r="E622" i="6"/>
  <c r="C610" i="6"/>
  <c r="D610" i="6" s="1"/>
  <c r="C611" i="6"/>
  <c r="D611" i="6" s="1"/>
  <c r="E625" i="6"/>
  <c r="C613" i="6"/>
  <c r="D613" i="6" s="1"/>
  <c r="G616" i="6"/>
  <c r="H616" i="6" s="1"/>
  <c r="E635" i="6"/>
  <c r="E650" i="6"/>
  <c r="C638" i="6"/>
  <c r="D638" i="6" s="1"/>
  <c r="I656" i="6"/>
  <c r="G644" i="6"/>
  <c r="H644" i="6" s="1"/>
  <c r="F690" i="6"/>
  <c r="B690" i="6"/>
  <c r="E741" i="6"/>
  <c r="C729" i="6"/>
  <c r="D729" i="6" s="1"/>
  <c r="G747" i="6"/>
  <c r="H747" i="6" s="1"/>
  <c r="I759" i="6"/>
  <c r="F778" i="6"/>
  <c r="B778" i="6"/>
  <c r="E648" i="6"/>
  <c r="C636" i="6"/>
  <c r="D636" i="6" s="1"/>
  <c r="I652" i="6"/>
  <c r="G651" i="6"/>
  <c r="H651" i="6" s="1"/>
  <c r="G672" i="6"/>
  <c r="H672" i="6" s="1"/>
  <c r="I706" i="6"/>
  <c r="G713" i="6"/>
  <c r="H713" i="6" s="1"/>
  <c r="I725" i="6"/>
  <c r="E676" i="6"/>
  <c r="C665" i="6"/>
  <c r="D665" i="6" s="1"/>
  <c r="G666" i="6"/>
  <c r="H666" i="6" s="1"/>
  <c r="I666" i="6"/>
  <c r="C676" i="6"/>
  <c r="D676" i="6" s="1"/>
  <c r="I678" i="6"/>
  <c r="C702" i="6"/>
  <c r="D702" i="6" s="1"/>
  <c r="E714" i="6"/>
  <c r="F718" i="6"/>
  <c r="I718" i="6" s="1"/>
  <c r="B718" i="6"/>
  <c r="E781" i="6"/>
  <c r="C769" i="6"/>
  <c r="D769" i="6" s="1"/>
  <c r="C770" i="6"/>
  <c r="D770" i="6" s="1"/>
  <c r="C532" i="6"/>
  <c r="D532" i="6" s="1"/>
  <c r="C561" i="6"/>
  <c r="D561" i="6" s="1"/>
  <c r="C582" i="6"/>
  <c r="D582" i="6" s="1"/>
  <c r="G587" i="6"/>
  <c r="H587" i="6" s="1"/>
  <c r="E631" i="6"/>
  <c r="C619" i="6"/>
  <c r="D619" i="6" s="1"/>
  <c r="F639" i="6"/>
  <c r="B639" i="6"/>
  <c r="B650" i="6"/>
  <c r="G661" i="6"/>
  <c r="H661" i="6" s="1"/>
  <c r="C664" i="6"/>
  <c r="D664" i="6" s="1"/>
  <c r="B666" i="6"/>
  <c r="E683" i="6"/>
  <c r="I693" i="6"/>
  <c r="I681" i="6"/>
  <c r="G687" i="6"/>
  <c r="H687" i="6" s="1"/>
  <c r="I699" i="6"/>
  <c r="G689" i="6"/>
  <c r="H689" i="6" s="1"/>
  <c r="F695" i="6"/>
  <c r="B695" i="6"/>
  <c r="G699" i="6"/>
  <c r="H699" i="6" s="1"/>
  <c r="I711" i="6"/>
  <c r="C715" i="6"/>
  <c r="D715" i="6" s="1"/>
  <c r="E727" i="6"/>
  <c r="I781" i="6"/>
  <c r="G770" i="6"/>
  <c r="H770" i="6" s="1"/>
  <c r="B430" i="6"/>
  <c r="C431" i="6" s="1"/>
  <c r="D431" i="6" s="1"/>
  <c r="B446" i="6"/>
  <c r="E446" i="6" s="1"/>
  <c r="B462" i="6"/>
  <c r="B478" i="6"/>
  <c r="B494" i="6"/>
  <c r="B520" i="6"/>
  <c r="B527" i="6"/>
  <c r="C528" i="6" s="1"/>
  <c r="D528" i="6" s="1"/>
  <c r="B568" i="6"/>
  <c r="C594" i="6"/>
  <c r="D594" i="6" s="1"/>
  <c r="C602" i="6"/>
  <c r="D602" i="6" s="1"/>
  <c r="E619" i="6"/>
  <c r="I661" i="6"/>
  <c r="C671" i="6"/>
  <c r="D671" i="6" s="1"/>
  <c r="G681" i="6"/>
  <c r="H681" i="6" s="1"/>
  <c r="B699" i="6"/>
  <c r="F702" i="6"/>
  <c r="C529" i="6"/>
  <c r="D529" i="6" s="1"/>
  <c r="C548" i="6"/>
  <c r="D548" i="6" s="1"/>
  <c r="I563" i="6"/>
  <c r="G556" i="6"/>
  <c r="H556" i="6" s="1"/>
  <c r="I593" i="6"/>
  <c r="I596" i="6"/>
  <c r="I614" i="6"/>
  <c r="G602" i="6"/>
  <c r="H602" i="6" s="1"/>
  <c r="E623" i="6"/>
  <c r="I641" i="6"/>
  <c r="I658" i="6"/>
  <c r="G646" i="6"/>
  <c r="H646" i="6" s="1"/>
  <c r="C651" i="6"/>
  <c r="D651" i="6" s="1"/>
  <c r="E663" i="6"/>
  <c r="G667" i="6"/>
  <c r="H667" i="6" s="1"/>
  <c r="I679" i="6"/>
  <c r="G682" i="6"/>
  <c r="H682" i="6" s="1"/>
  <c r="I682" i="6"/>
  <c r="I697" i="6"/>
  <c r="G686" i="6"/>
  <c r="H686" i="6" s="1"/>
  <c r="G721" i="6"/>
  <c r="H721" i="6" s="1"/>
  <c r="I732" i="6"/>
  <c r="G720" i="6"/>
  <c r="H720" i="6" s="1"/>
  <c r="C572" i="6"/>
  <c r="D572" i="6" s="1"/>
  <c r="I602" i="6"/>
  <c r="G590" i="6"/>
  <c r="H590" i="6" s="1"/>
  <c r="G594" i="6"/>
  <c r="H594" i="6" s="1"/>
  <c r="I608" i="6"/>
  <c r="G596" i="6"/>
  <c r="H596" i="6" s="1"/>
  <c r="G605" i="6"/>
  <c r="H605" i="6" s="1"/>
  <c r="I617" i="6"/>
  <c r="G642" i="6"/>
  <c r="H642" i="6" s="1"/>
  <c r="I654" i="6"/>
  <c r="I684" i="6"/>
  <c r="C675" i="6"/>
  <c r="D675" i="6" s="1"/>
  <c r="E687" i="6"/>
  <c r="E692" i="6"/>
  <c r="C680" i="6"/>
  <c r="D680" i="6" s="1"/>
  <c r="E680" i="6"/>
  <c r="G683" i="6"/>
  <c r="H683" i="6" s="1"/>
  <c r="G709" i="6"/>
  <c r="H709" i="6" s="1"/>
  <c r="I721" i="6"/>
  <c r="C713" i="6"/>
  <c r="D713" i="6" s="1"/>
  <c r="C735" i="6"/>
  <c r="D735" i="6" s="1"/>
  <c r="E747" i="6"/>
  <c r="E690" i="6"/>
  <c r="C708" i="6"/>
  <c r="D708" i="6" s="1"/>
  <c r="F790" i="6"/>
  <c r="G791" i="6" s="1"/>
  <c r="H791" i="6" s="1"/>
  <c r="B790" i="6"/>
  <c r="C600" i="6"/>
  <c r="D600" i="6" s="1"/>
  <c r="G623" i="6"/>
  <c r="H623" i="6" s="1"/>
  <c r="G658" i="6"/>
  <c r="H658" i="6" s="1"/>
  <c r="G664" i="6"/>
  <c r="H664" i="6" s="1"/>
  <c r="G688" i="6"/>
  <c r="H688" i="6" s="1"/>
  <c r="C693" i="6"/>
  <c r="D693" i="6" s="1"/>
  <c r="G700" i="6"/>
  <c r="H700" i="6" s="1"/>
  <c r="C703" i="6"/>
  <c r="D703" i="6" s="1"/>
  <c r="E715" i="6"/>
  <c r="I720" i="6"/>
  <c r="C711" i="6"/>
  <c r="D711" i="6" s="1"/>
  <c r="B836" i="6"/>
  <c r="F836" i="6"/>
  <c r="G714" i="6"/>
  <c r="H714" i="6" s="1"/>
  <c r="G730" i="6"/>
  <c r="H730" i="6" s="1"/>
  <c r="G637" i="6"/>
  <c r="H637" i="6" s="1"/>
  <c r="F676" i="6"/>
  <c r="I676" i="6" s="1"/>
  <c r="B696" i="6"/>
  <c r="G698" i="6"/>
  <c r="H698" i="6" s="1"/>
  <c r="I710" i="6"/>
  <c r="G717" i="6"/>
  <c r="H717" i="6" s="1"/>
  <c r="B730" i="6"/>
  <c r="G849" i="6"/>
  <c r="H849" i="6" s="1"/>
  <c r="I604" i="6"/>
  <c r="E659" i="6"/>
  <c r="E699" i="6"/>
  <c r="C687" i="6"/>
  <c r="D687" i="6" s="1"/>
  <c r="G693" i="6"/>
  <c r="H693" i="6" s="1"/>
  <c r="I705" i="6"/>
  <c r="C727" i="6"/>
  <c r="D727" i="6" s="1"/>
  <c r="E773" i="6"/>
  <c r="G809" i="6"/>
  <c r="H809" i="6" s="1"/>
  <c r="I821" i="6"/>
  <c r="I831" i="6"/>
  <c r="G819" i="6"/>
  <c r="H819" i="6" s="1"/>
  <c r="C644" i="6"/>
  <c r="D644" i="6" s="1"/>
  <c r="G647" i="6"/>
  <c r="H647" i="6" s="1"/>
  <c r="C668" i="6"/>
  <c r="D668" i="6" s="1"/>
  <c r="G671" i="6"/>
  <c r="H671" i="6" s="1"/>
  <c r="F691" i="6"/>
  <c r="I691" i="6" s="1"/>
  <c r="B691" i="6"/>
  <c r="C692" i="6" s="1"/>
  <c r="D692" i="6" s="1"/>
  <c r="F704" i="6"/>
  <c r="I704" i="6" s="1"/>
  <c r="B704" i="6"/>
  <c r="G710" i="6"/>
  <c r="H710" i="6" s="1"/>
  <c r="G735" i="6"/>
  <c r="H735" i="6" s="1"/>
  <c r="I747" i="6"/>
  <c r="I735" i="6"/>
  <c r="E756" i="6"/>
  <c r="F754" i="6"/>
  <c r="B754" i="6"/>
  <c r="F826" i="6"/>
  <c r="G827" i="6" s="1"/>
  <c r="H827" i="6" s="1"/>
  <c r="B826" i="6"/>
  <c r="I659" i="6"/>
  <c r="I690" i="6"/>
  <c r="I683" i="6"/>
  <c r="G701" i="6"/>
  <c r="H701" i="6" s="1"/>
  <c r="I713" i="6"/>
  <c r="I739" i="6"/>
  <c r="G727" i="6"/>
  <c r="H727" i="6" s="1"/>
  <c r="G736" i="6"/>
  <c r="H736" i="6" s="1"/>
  <c r="G761" i="6"/>
  <c r="H761" i="6" s="1"/>
  <c r="I773" i="6"/>
  <c r="B832" i="6"/>
  <c r="F832" i="6"/>
  <c r="E749" i="6"/>
  <c r="C737" i="6"/>
  <c r="D737" i="6" s="1"/>
  <c r="G762" i="6"/>
  <c r="H762" i="6" s="1"/>
  <c r="B828" i="6"/>
  <c r="F828" i="6"/>
  <c r="G829" i="6" s="1"/>
  <c r="H829" i="6" s="1"/>
  <c r="C714" i="6"/>
  <c r="D714" i="6" s="1"/>
  <c r="E726" i="6"/>
  <c r="C762" i="6"/>
  <c r="D762" i="6" s="1"/>
  <c r="E774" i="6"/>
  <c r="C802" i="6"/>
  <c r="D802" i="6" s="1"/>
  <c r="C858" i="6"/>
  <c r="D858" i="6" s="1"/>
  <c r="C739" i="6"/>
  <c r="D739" i="6" s="1"/>
  <c r="G858" i="6"/>
  <c r="H858" i="6" s="1"/>
  <c r="I724" i="6"/>
  <c r="G716" i="6"/>
  <c r="H716" i="6" s="1"/>
  <c r="E731" i="6"/>
  <c r="G725" i="6"/>
  <c r="H725" i="6" s="1"/>
  <c r="I751" i="6"/>
  <c r="B787" i="6"/>
  <c r="F787" i="6"/>
  <c r="I823" i="6"/>
  <c r="G811" i="6"/>
  <c r="H811" i="6" s="1"/>
  <c r="C842" i="6"/>
  <c r="D842" i="6" s="1"/>
  <c r="I752" i="6"/>
  <c r="G740" i="6"/>
  <c r="H740" i="6" s="1"/>
  <c r="I748" i="6"/>
  <c r="B759" i="6"/>
  <c r="F759" i="6"/>
  <c r="B812" i="6"/>
  <c r="F812" i="6"/>
  <c r="C700" i="6"/>
  <c r="D700" i="6" s="1"/>
  <c r="E712" i="6"/>
  <c r="C717" i="6"/>
  <c r="D717" i="6" s="1"/>
  <c r="I736" i="6"/>
  <c r="G724" i="6"/>
  <c r="H724" i="6" s="1"/>
  <c r="C736" i="6"/>
  <c r="D736" i="6" s="1"/>
  <c r="E748" i="6"/>
  <c r="F743" i="6"/>
  <c r="B743" i="6"/>
  <c r="E779" i="6"/>
  <c r="C767" i="6"/>
  <c r="D767" i="6" s="1"/>
  <c r="B772" i="6"/>
  <c r="F772" i="6"/>
  <c r="E837" i="6"/>
  <c r="C825" i="6"/>
  <c r="D825" i="6" s="1"/>
  <c r="B835" i="6"/>
  <c r="F835" i="6"/>
  <c r="G715" i="6"/>
  <c r="H715" i="6" s="1"/>
  <c r="I727" i="6"/>
  <c r="B724" i="6"/>
  <c r="G728" i="6"/>
  <c r="H728" i="6" s="1"/>
  <c r="C731" i="6"/>
  <c r="D731" i="6" s="1"/>
  <c r="E743" i="6"/>
  <c r="C740" i="6"/>
  <c r="D740" i="6" s="1"/>
  <c r="G783" i="6"/>
  <c r="H783" i="6" s="1"/>
  <c r="I795" i="6"/>
  <c r="B855" i="6"/>
  <c r="F855" i="6"/>
  <c r="I855" i="6" s="1"/>
  <c r="E718" i="6"/>
  <c r="E721" i="6"/>
  <c r="G723" i="6"/>
  <c r="H723" i="6" s="1"/>
  <c r="C747" i="6"/>
  <c r="D747" i="6" s="1"/>
  <c r="C768" i="6"/>
  <c r="D768" i="6" s="1"/>
  <c r="E791" i="6"/>
  <c r="B788" i="6"/>
  <c r="F788" i="6"/>
  <c r="I788" i="6" s="1"/>
  <c r="B803" i="6"/>
  <c r="F803" i="6"/>
  <c r="I803" i="6" s="1"/>
  <c r="E852" i="6"/>
  <c r="C840" i="6"/>
  <c r="D840" i="6" s="1"/>
  <c r="F846" i="6"/>
  <c r="B846" i="6"/>
  <c r="E846" i="6" s="1"/>
  <c r="G703" i="6"/>
  <c r="H703" i="6" s="1"/>
  <c r="B720" i="6"/>
  <c r="C721" i="6" s="1"/>
  <c r="D721" i="6" s="1"/>
  <c r="B723" i="6"/>
  <c r="B726" i="6"/>
  <c r="C745" i="6"/>
  <c r="D745" i="6" s="1"/>
  <c r="E769" i="6"/>
  <c r="E777" i="6"/>
  <c r="C765" i="6"/>
  <c r="D765" i="6" s="1"/>
  <c r="F779" i="6"/>
  <c r="G781" i="6"/>
  <c r="H781" i="6" s="1"/>
  <c r="C810" i="6"/>
  <c r="D810" i="6" s="1"/>
  <c r="B817" i="6"/>
  <c r="C818" i="6" s="1"/>
  <c r="D818" i="6" s="1"/>
  <c r="E823" i="6"/>
  <c r="E849" i="6"/>
  <c r="C837" i="6"/>
  <c r="D837" i="6" s="1"/>
  <c r="G843" i="6"/>
  <c r="H843" i="6" s="1"/>
  <c r="C859" i="6"/>
  <c r="D859" i="6" s="1"/>
  <c r="E729" i="6"/>
  <c r="E753" i="6"/>
  <c r="C741" i="6"/>
  <c r="D741" i="6" s="1"/>
  <c r="I761" i="6"/>
  <c r="E767" i="6"/>
  <c r="B760" i="6"/>
  <c r="C761" i="6" s="1"/>
  <c r="D761" i="6" s="1"/>
  <c r="F760" i="6"/>
  <c r="B763" i="6"/>
  <c r="F763" i="6"/>
  <c r="I777" i="6"/>
  <c r="F768" i="6"/>
  <c r="G769" i="6" s="1"/>
  <c r="H769" i="6" s="1"/>
  <c r="E788" i="6"/>
  <c r="C776" i="6"/>
  <c r="D776" i="6" s="1"/>
  <c r="B807" i="6"/>
  <c r="C808" i="6" s="1"/>
  <c r="D808" i="6" s="1"/>
  <c r="F807" i="6"/>
  <c r="I807" i="6" s="1"/>
  <c r="I822" i="6"/>
  <c r="F814" i="6"/>
  <c r="I814" i="6" s="1"/>
  <c r="B814" i="6"/>
  <c r="E814" i="6" s="1"/>
  <c r="I829" i="6"/>
  <c r="F840" i="6"/>
  <c r="G841" i="6" s="1"/>
  <c r="H841" i="6" s="1"/>
  <c r="B844" i="6"/>
  <c r="F844" i="6"/>
  <c r="G845" i="6" s="1"/>
  <c r="H845" i="6" s="1"/>
  <c r="G711" i="6"/>
  <c r="H711" i="6" s="1"/>
  <c r="I741" i="6"/>
  <c r="E745" i="6"/>
  <c r="G745" i="6"/>
  <c r="H745" i="6" s="1"/>
  <c r="G749" i="6"/>
  <c r="H749" i="6" s="1"/>
  <c r="C755" i="6"/>
  <c r="D755" i="6" s="1"/>
  <c r="C771" i="6"/>
  <c r="D771" i="6" s="1"/>
  <c r="F782" i="6"/>
  <c r="B782" i="6"/>
  <c r="C792" i="6"/>
  <c r="D792" i="6" s="1"/>
  <c r="F798" i="6"/>
  <c r="B798" i="6"/>
  <c r="E798" i="6" s="1"/>
  <c r="G810" i="6"/>
  <c r="H810" i="6" s="1"/>
  <c r="E833" i="6"/>
  <c r="F830" i="6"/>
  <c r="G831" i="6" s="1"/>
  <c r="H831" i="6" s="1"/>
  <c r="B830" i="6"/>
  <c r="G859" i="6"/>
  <c r="H859" i="6" s="1"/>
  <c r="I753" i="6"/>
  <c r="G748" i="6"/>
  <c r="H748" i="6" s="1"/>
  <c r="I769" i="6"/>
  <c r="I783" i="6"/>
  <c r="G771" i="6"/>
  <c r="H771" i="6" s="1"/>
  <c r="G776" i="6"/>
  <c r="H776" i="6" s="1"/>
  <c r="E801" i="6"/>
  <c r="G795" i="6"/>
  <c r="H795" i="6" s="1"/>
  <c r="B815" i="6"/>
  <c r="C816" i="6" s="1"/>
  <c r="D816" i="6" s="1"/>
  <c r="F815" i="6"/>
  <c r="G816" i="6" s="1"/>
  <c r="H816" i="6" s="1"/>
  <c r="G818" i="6"/>
  <c r="H818" i="6" s="1"/>
  <c r="C853" i="6"/>
  <c r="D853" i="6" s="1"/>
  <c r="B860" i="6"/>
  <c r="C860" i="6" s="1"/>
  <c r="D860" i="6" s="1"/>
  <c r="F860" i="6"/>
  <c r="G860" i="6" s="1"/>
  <c r="H860" i="6" s="1"/>
  <c r="G719" i="6"/>
  <c r="H719" i="6" s="1"/>
  <c r="G741" i="6"/>
  <c r="H741" i="6" s="1"/>
  <c r="B748" i="6"/>
  <c r="F750" i="6"/>
  <c r="G751" i="6" s="1"/>
  <c r="H751" i="6" s="1"/>
  <c r="B750" i="6"/>
  <c r="I767" i="6"/>
  <c r="F758" i="6"/>
  <c r="B758" i="6"/>
  <c r="E758" i="6" s="1"/>
  <c r="I760" i="6"/>
  <c r="F774" i="6"/>
  <c r="G775" i="6" s="1"/>
  <c r="H775" i="6" s="1"/>
  <c r="B774" i="6"/>
  <c r="E789" i="6"/>
  <c r="C777" i="6"/>
  <c r="D777" i="6" s="1"/>
  <c r="B780" i="6"/>
  <c r="F780" i="6"/>
  <c r="B796" i="6"/>
  <c r="F796" i="6"/>
  <c r="G797" i="6" s="1"/>
  <c r="H797" i="6" s="1"/>
  <c r="F838" i="6"/>
  <c r="G839" i="6" s="1"/>
  <c r="H839" i="6" s="1"/>
  <c r="B838" i="6"/>
  <c r="E853" i="6"/>
  <c r="C841" i="6"/>
  <c r="D841" i="6" s="1"/>
  <c r="E764" i="6"/>
  <c r="C752" i="6"/>
  <c r="D752" i="6" s="1"/>
  <c r="E811" i="6"/>
  <c r="I825" i="6"/>
  <c r="E836" i="6"/>
  <c r="C824" i="6"/>
  <c r="D824" i="6" s="1"/>
  <c r="B756" i="6"/>
  <c r="F756" i="6"/>
  <c r="G757" i="6" s="1"/>
  <c r="H757" i="6" s="1"/>
  <c r="C795" i="6"/>
  <c r="D795" i="6" s="1"/>
  <c r="E809" i="6"/>
  <c r="E813" i="6"/>
  <c r="C801" i="6"/>
  <c r="D801" i="6" s="1"/>
  <c r="B820" i="6"/>
  <c r="E820" i="6" s="1"/>
  <c r="F820" i="6"/>
  <c r="I820" i="6" s="1"/>
  <c r="F822" i="6"/>
  <c r="B822" i="6"/>
  <c r="E830" i="6"/>
  <c r="C843" i="6"/>
  <c r="D843" i="6" s="1"/>
  <c r="E857" i="6"/>
  <c r="C847" i="6"/>
  <c r="D847" i="6" s="1"/>
  <c r="C849" i="6"/>
  <c r="D849" i="6" s="1"/>
  <c r="E855" i="6"/>
  <c r="E785" i="6"/>
  <c r="E787" i="6"/>
  <c r="E803" i="6"/>
  <c r="I817" i="6"/>
  <c r="E828" i="6"/>
  <c r="E851" i="6"/>
  <c r="C845" i="6"/>
  <c r="D845" i="6" s="1"/>
  <c r="B764" i="6"/>
  <c r="F764" i="6"/>
  <c r="I809" i="6"/>
  <c r="F799" i="6"/>
  <c r="G800" i="6" s="1"/>
  <c r="H800" i="6" s="1"/>
  <c r="I805" i="6"/>
  <c r="I857" i="6"/>
  <c r="F847" i="6"/>
  <c r="I853" i="6"/>
  <c r="C856" i="6"/>
  <c r="D856" i="6" s="1"/>
  <c r="B732" i="6"/>
  <c r="I745" i="6"/>
  <c r="E761" i="6"/>
  <c r="E763" i="6"/>
  <c r="F766" i="6"/>
  <c r="G767" i="6" s="1"/>
  <c r="H767" i="6" s="1"/>
  <c r="B766" i="6"/>
  <c r="I785" i="6"/>
  <c r="E793" i="6"/>
  <c r="C783" i="6"/>
  <c r="D783" i="6" s="1"/>
  <c r="B785" i="6"/>
  <c r="B804" i="6"/>
  <c r="E804" i="6" s="1"/>
  <c r="F804" i="6"/>
  <c r="F806" i="6"/>
  <c r="B806" i="6"/>
  <c r="E806" i="6" s="1"/>
  <c r="C827" i="6"/>
  <c r="D827" i="6" s="1"/>
  <c r="E841" i="6"/>
  <c r="C831" i="6"/>
  <c r="D831" i="6" s="1"/>
  <c r="B833" i="6"/>
  <c r="E839" i="6"/>
  <c r="B852" i="6"/>
  <c r="C852" i="6" s="1"/>
  <c r="D852" i="6" s="1"/>
  <c r="F852" i="6"/>
  <c r="F854" i="6"/>
  <c r="G854" i="6" s="1"/>
  <c r="H854" i="6" s="1"/>
  <c r="B854" i="6"/>
  <c r="C854" i="6" s="1"/>
  <c r="D854" i="6" s="1"/>
  <c r="E812" i="6"/>
  <c r="C800" i="6"/>
  <c r="D800" i="6" s="1"/>
  <c r="E835" i="6"/>
  <c r="C848" i="6"/>
  <c r="D848" i="6" s="1"/>
  <c r="G861" i="6"/>
  <c r="H861" i="6" s="1"/>
  <c r="B861" i="6"/>
  <c r="E861" i="6" s="1"/>
  <c r="I612" i="6" l="1"/>
  <c r="G295" i="6"/>
  <c r="H295" i="6" s="1"/>
  <c r="G223" i="6"/>
  <c r="H223" i="6" s="1"/>
  <c r="I54" i="6"/>
  <c r="I606" i="6"/>
  <c r="I627" i="6"/>
  <c r="I860" i="6"/>
  <c r="G365" i="6"/>
  <c r="H365" i="6" s="1"/>
  <c r="I830" i="6"/>
  <c r="I491" i="6"/>
  <c r="G119" i="6"/>
  <c r="H119" i="6" s="1"/>
  <c r="I443" i="6"/>
  <c r="I851" i="6"/>
  <c r="G277" i="6"/>
  <c r="H277" i="6" s="1"/>
  <c r="I183" i="6"/>
  <c r="G692" i="6"/>
  <c r="H692" i="6" s="1"/>
  <c r="I858" i="6"/>
  <c r="I846" i="6"/>
  <c r="G846" i="6"/>
  <c r="H846" i="6" s="1"/>
  <c r="C238" i="6"/>
  <c r="D238" i="6" s="1"/>
  <c r="E249" i="6"/>
  <c r="C237" i="6"/>
  <c r="D237" i="6" s="1"/>
  <c r="E610" i="6"/>
  <c r="C598" i="6"/>
  <c r="D598" i="6" s="1"/>
  <c r="C507" i="6"/>
  <c r="D507" i="6" s="1"/>
  <c r="E519" i="6"/>
  <c r="E14" i="6"/>
  <c r="D14" i="6"/>
  <c r="C15" i="6"/>
  <c r="E26" i="6"/>
  <c r="D26" i="6"/>
  <c r="C14" i="6"/>
  <c r="E101" i="6"/>
  <c r="C89" i="6"/>
  <c r="D89" i="6" s="1"/>
  <c r="C126" i="6"/>
  <c r="D126" i="6" s="1"/>
  <c r="E138" i="6"/>
  <c r="G804" i="6"/>
  <c r="H804" i="6" s="1"/>
  <c r="I816" i="6"/>
  <c r="G805" i="6"/>
  <c r="H805" i="6" s="1"/>
  <c r="E744" i="6"/>
  <c r="C733" i="6"/>
  <c r="D733" i="6" s="1"/>
  <c r="C732" i="6"/>
  <c r="D732" i="6" s="1"/>
  <c r="E776" i="6"/>
  <c r="C764" i="6"/>
  <c r="D764" i="6" s="1"/>
  <c r="C799" i="6"/>
  <c r="D799" i="6" s="1"/>
  <c r="E784" i="6"/>
  <c r="C773" i="6"/>
  <c r="D773" i="6" s="1"/>
  <c r="C772" i="6"/>
  <c r="D772" i="6" s="1"/>
  <c r="I774" i="6"/>
  <c r="E678" i="6"/>
  <c r="C666" i="6"/>
  <c r="D666" i="6" s="1"/>
  <c r="E790" i="6"/>
  <c r="C778" i="6"/>
  <c r="D778" i="6" s="1"/>
  <c r="I754" i="6"/>
  <c r="G742" i="6"/>
  <c r="H742" i="6" s="1"/>
  <c r="C635" i="6"/>
  <c r="D635" i="6" s="1"/>
  <c r="E647" i="6"/>
  <c r="C523" i="6"/>
  <c r="D523" i="6" s="1"/>
  <c r="E535" i="6"/>
  <c r="C674" i="6"/>
  <c r="D674" i="6" s="1"/>
  <c r="E686" i="6"/>
  <c r="G589" i="6"/>
  <c r="H589" i="6" s="1"/>
  <c r="I601" i="6"/>
  <c r="E360" i="6"/>
  <c r="C348" i="6"/>
  <c r="D348" i="6" s="1"/>
  <c r="C349" i="6"/>
  <c r="D349" i="6" s="1"/>
  <c r="I533" i="6"/>
  <c r="G521" i="6"/>
  <c r="H521" i="6" s="1"/>
  <c r="E460" i="6"/>
  <c r="C460" i="6"/>
  <c r="D460" i="6" s="1"/>
  <c r="E472" i="6"/>
  <c r="E630" i="6"/>
  <c r="C618" i="6"/>
  <c r="D618" i="6" s="1"/>
  <c r="I266" i="6"/>
  <c r="G254" i="6"/>
  <c r="H254" i="6" s="1"/>
  <c r="G255" i="6"/>
  <c r="H255" i="6" s="1"/>
  <c r="E463" i="6"/>
  <c r="C451" i="6"/>
  <c r="D451" i="6" s="1"/>
  <c r="E451" i="6"/>
  <c r="G147" i="6"/>
  <c r="H147" i="6" s="1"/>
  <c r="G163" i="6"/>
  <c r="H163" i="6" s="1"/>
  <c r="I175" i="6"/>
  <c r="G164" i="6"/>
  <c r="H164" i="6" s="1"/>
  <c r="G580" i="6"/>
  <c r="H580" i="6" s="1"/>
  <c r="I580" i="6"/>
  <c r="G581" i="6"/>
  <c r="H581" i="6" s="1"/>
  <c r="I592" i="6"/>
  <c r="G136" i="6"/>
  <c r="H136" i="6" s="1"/>
  <c r="C508" i="6"/>
  <c r="D508" i="6" s="1"/>
  <c r="C235" i="6"/>
  <c r="D235" i="6" s="1"/>
  <c r="G276" i="6"/>
  <c r="H276" i="6" s="1"/>
  <c r="I288" i="6"/>
  <c r="C90" i="6"/>
  <c r="D90" i="6" s="1"/>
  <c r="G42" i="6"/>
  <c r="H42" i="6" s="1"/>
  <c r="I610" i="6"/>
  <c r="G598" i="6"/>
  <c r="H598" i="6" s="1"/>
  <c r="G516" i="6"/>
  <c r="H516" i="6" s="1"/>
  <c r="I528" i="6"/>
  <c r="I519" i="6"/>
  <c r="G507" i="6"/>
  <c r="H507" i="6" s="1"/>
  <c r="E81" i="6"/>
  <c r="C69" i="6"/>
  <c r="D69" i="6" s="1"/>
  <c r="E24" i="6"/>
  <c r="E126" i="6"/>
  <c r="E577" i="6"/>
  <c r="C565" i="6"/>
  <c r="D565" i="6" s="1"/>
  <c r="E565" i="6"/>
  <c r="G89" i="6"/>
  <c r="H89" i="6" s="1"/>
  <c r="I101" i="6"/>
  <c r="G126" i="6"/>
  <c r="H126" i="6" s="1"/>
  <c r="I138" i="6"/>
  <c r="E719" i="6"/>
  <c r="C707" i="6"/>
  <c r="D707" i="6" s="1"/>
  <c r="I518" i="6"/>
  <c r="G506" i="6"/>
  <c r="H506" i="6" s="1"/>
  <c r="I506" i="6"/>
  <c r="E320" i="6"/>
  <c r="C308" i="6"/>
  <c r="D308" i="6" s="1"/>
  <c r="I522" i="6"/>
  <c r="G510" i="6"/>
  <c r="H510" i="6" s="1"/>
  <c r="I618" i="6"/>
  <c r="G606" i="6"/>
  <c r="H606" i="6" s="1"/>
  <c r="C524" i="6"/>
  <c r="D524" i="6" s="1"/>
  <c r="E202" i="6"/>
  <c r="C190" i="6"/>
  <c r="D190" i="6" s="1"/>
  <c r="C191" i="6"/>
  <c r="D191" i="6" s="1"/>
  <c r="I338" i="6"/>
  <c r="G326" i="6"/>
  <c r="H326" i="6" s="1"/>
  <c r="G327" i="6"/>
  <c r="H327" i="6" s="1"/>
  <c r="E237" i="6"/>
  <c r="E450" i="6"/>
  <c r="C438" i="6"/>
  <c r="D438" i="6" s="1"/>
  <c r="E205" i="6"/>
  <c r="C193" i="6"/>
  <c r="D193" i="6" s="1"/>
  <c r="C738" i="6"/>
  <c r="D738" i="6" s="1"/>
  <c r="E750" i="6"/>
  <c r="C400" i="6"/>
  <c r="D400" i="6" s="1"/>
  <c r="E412" i="6"/>
  <c r="C215" i="6"/>
  <c r="D215" i="6" s="1"/>
  <c r="C214" i="6"/>
  <c r="D214" i="6" s="1"/>
  <c r="E226" i="6"/>
  <c r="E97" i="6"/>
  <c r="C85" i="6"/>
  <c r="D85" i="6" s="1"/>
  <c r="C86" i="6"/>
  <c r="D86" i="6" s="1"/>
  <c r="E140" i="6"/>
  <c r="C128" i="6"/>
  <c r="D128" i="6" s="1"/>
  <c r="C267" i="6"/>
  <c r="D267" i="6" s="1"/>
  <c r="C266" i="6"/>
  <c r="D266" i="6" s="1"/>
  <c r="E278" i="6"/>
  <c r="I439" i="6"/>
  <c r="G427" i="6"/>
  <c r="H427" i="6" s="1"/>
  <c r="E167" i="6"/>
  <c r="C167" i="6"/>
  <c r="D167" i="6" s="1"/>
  <c r="E179" i="6"/>
  <c r="G82" i="6"/>
  <c r="H82" i="6" s="1"/>
  <c r="I94" i="6"/>
  <c r="G83" i="6"/>
  <c r="H83" i="6" s="1"/>
  <c r="E466" i="6"/>
  <c r="C454" i="6"/>
  <c r="D454" i="6" s="1"/>
  <c r="E417" i="6"/>
  <c r="C405" i="6"/>
  <c r="D405" i="6" s="1"/>
  <c r="C406" i="6"/>
  <c r="D406" i="6" s="1"/>
  <c r="E350" i="6"/>
  <c r="C339" i="6"/>
  <c r="D339" i="6" s="1"/>
  <c r="C338" i="6"/>
  <c r="D338" i="6" s="1"/>
  <c r="G34" i="6"/>
  <c r="H34" i="6" s="1"/>
  <c r="G35" i="6"/>
  <c r="H35" i="6" s="1"/>
  <c r="I46" i="6"/>
  <c r="E57" i="6"/>
  <c r="D57" i="6"/>
  <c r="C45" i="6"/>
  <c r="G265" i="6"/>
  <c r="H265" i="6" s="1"/>
  <c r="I277" i="6"/>
  <c r="G511" i="6"/>
  <c r="H511" i="6" s="1"/>
  <c r="I523" i="6"/>
  <c r="D41" i="6"/>
  <c r="I82" i="6"/>
  <c r="E85" i="6"/>
  <c r="G635" i="6"/>
  <c r="H635" i="6" s="1"/>
  <c r="I635" i="6"/>
  <c r="I647" i="6"/>
  <c r="C589" i="6"/>
  <c r="D589" i="6" s="1"/>
  <c r="E601" i="6"/>
  <c r="I182" i="6"/>
  <c r="G170" i="6"/>
  <c r="H170" i="6" s="1"/>
  <c r="I632" i="6"/>
  <c r="G620" i="6"/>
  <c r="H620" i="6" s="1"/>
  <c r="I620" i="6"/>
  <c r="G621" i="6"/>
  <c r="H621" i="6" s="1"/>
  <c r="E266" i="6"/>
  <c r="C254" i="6"/>
  <c r="D254" i="6" s="1"/>
  <c r="I750" i="6"/>
  <c r="G738" i="6"/>
  <c r="H738" i="6" s="1"/>
  <c r="G159" i="6"/>
  <c r="H159" i="6" s="1"/>
  <c r="I171" i="6"/>
  <c r="I140" i="6"/>
  <c r="G128" i="6"/>
  <c r="H128" i="6" s="1"/>
  <c r="E523" i="6"/>
  <c r="C511" i="6"/>
  <c r="D511" i="6" s="1"/>
  <c r="G852" i="6"/>
  <c r="H852" i="6" s="1"/>
  <c r="G853" i="6"/>
  <c r="H853" i="6" s="1"/>
  <c r="I850" i="6"/>
  <c r="G838" i="6"/>
  <c r="H838" i="6" s="1"/>
  <c r="I770" i="6"/>
  <c r="G758" i="6"/>
  <c r="H758" i="6" s="1"/>
  <c r="I810" i="6"/>
  <c r="I798" i="6"/>
  <c r="G798" i="6"/>
  <c r="H798" i="6" s="1"/>
  <c r="G844" i="6"/>
  <c r="H844" i="6" s="1"/>
  <c r="I856" i="6"/>
  <c r="G768" i="6"/>
  <c r="H768" i="6" s="1"/>
  <c r="I780" i="6"/>
  <c r="I815" i="6"/>
  <c r="G803" i="6"/>
  <c r="H803" i="6" s="1"/>
  <c r="I738" i="6"/>
  <c r="G812" i="6"/>
  <c r="H812" i="6" s="1"/>
  <c r="I824" i="6"/>
  <c r="G813" i="6"/>
  <c r="H813" i="6" s="1"/>
  <c r="I812" i="6"/>
  <c r="I799" i="6"/>
  <c r="G787" i="6"/>
  <c r="H787" i="6" s="1"/>
  <c r="E539" i="6"/>
  <c r="C527" i="6"/>
  <c r="D527" i="6" s="1"/>
  <c r="C620" i="6"/>
  <c r="D620" i="6" s="1"/>
  <c r="E632" i="6"/>
  <c r="C474" i="6"/>
  <c r="D474" i="6" s="1"/>
  <c r="E486" i="6"/>
  <c r="G517" i="6"/>
  <c r="H517" i="6" s="1"/>
  <c r="I529" i="6"/>
  <c r="E797" i="6"/>
  <c r="C785" i="6"/>
  <c r="D785" i="6" s="1"/>
  <c r="C786" i="6"/>
  <c r="D786" i="6" s="1"/>
  <c r="G847" i="6"/>
  <c r="H847" i="6" s="1"/>
  <c r="I859" i="6"/>
  <c r="G848" i="6"/>
  <c r="H848" i="6" s="1"/>
  <c r="G756" i="6"/>
  <c r="H756" i="6" s="1"/>
  <c r="I768" i="6"/>
  <c r="I756" i="6"/>
  <c r="E856" i="6"/>
  <c r="C844" i="6"/>
  <c r="D844" i="6" s="1"/>
  <c r="C803" i="6"/>
  <c r="D803" i="6" s="1"/>
  <c r="E815" i="6"/>
  <c r="E736" i="6"/>
  <c r="C724" i="6"/>
  <c r="D724" i="6" s="1"/>
  <c r="E755" i="6"/>
  <c r="C743" i="6"/>
  <c r="D743" i="6" s="1"/>
  <c r="C744" i="6"/>
  <c r="D744" i="6" s="1"/>
  <c r="E824" i="6"/>
  <c r="C812" i="6"/>
  <c r="D812" i="6" s="1"/>
  <c r="C813" i="6"/>
  <c r="D813" i="6" s="1"/>
  <c r="C787" i="6"/>
  <c r="D787" i="6" s="1"/>
  <c r="E799" i="6"/>
  <c r="G832" i="6"/>
  <c r="H832" i="6" s="1"/>
  <c r="G833" i="6"/>
  <c r="H833" i="6" s="1"/>
  <c r="I844" i="6"/>
  <c r="I742" i="6"/>
  <c r="I714" i="6"/>
  <c r="G702" i="6"/>
  <c r="H702" i="6" s="1"/>
  <c r="C520" i="6"/>
  <c r="D520" i="6" s="1"/>
  <c r="E532" i="6"/>
  <c r="E662" i="6"/>
  <c r="C650" i="6"/>
  <c r="D650" i="6" s="1"/>
  <c r="I486" i="6"/>
  <c r="I474" i="6"/>
  <c r="G474" i="6"/>
  <c r="H474" i="6" s="1"/>
  <c r="G784" i="6"/>
  <c r="H784" i="6" s="1"/>
  <c r="G785" i="6"/>
  <c r="H785" i="6" s="1"/>
  <c r="I796" i="6"/>
  <c r="I510" i="6"/>
  <c r="E666" i="6"/>
  <c r="C409" i="6"/>
  <c r="D409" i="6" s="1"/>
  <c r="E421" i="6"/>
  <c r="C410" i="6"/>
  <c r="D410" i="6" s="1"/>
  <c r="I603" i="6"/>
  <c r="G591" i="6"/>
  <c r="H591" i="6" s="1"/>
  <c r="G592" i="6"/>
  <c r="H592" i="6" s="1"/>
  <c r="I611" i="6"/>
  <c r="G600" i="6"/>
  <c r="H600" i="6" s="1"/>
  <c r="G599" i="6"/>
  <c r="H599" i="6" s="1"/>
  <c r="C491" i="6"/>
  <c r="D491" i="6" s="1"/>
  <c r="E503" i="6"/>
  <c r="E491" i="6"/>
  <c r="E281" i="6"/>
  <c r="C269" i="6"/>
  <c r="D269" i="6" s="1"/>
  <c r="G190" i="6"/>
  <c r="H190" i="6" s="1"/>
  <c r="I202" i="6"/>
  <c r="C326" i="6"/>
  <c r="D326" i="6" s="1"/>
  <c r="C327" i="6"/>
  <c r="D327" i="6" s="1"/>
  <c r="E338" i="6"/>
  <c r="I170" i="6"/>
  <c r="I450" i="6"/>
  <c r="G438" i="6"/>
  <c r="H438" i="6" s="1"/>
  <c r="G439" i="6"/>
  <c r="H439" i="6" s="1"/>
  <c r="G193" i="6"/>
  <c r="H193" i="6" s="1"/>
  <c r="I205" i="6"/>
  <c r="I193" i="6"/>
  <c r="G309" i="6"/>
  <c r="H309" i="6" s="1"/>
  <c r="I321" i="6"/>
  <c r="G310" i="6"/>
  <c r="H310" i="6" s="1"/>
  <c r="I130" i="6"/>
  <c r="G118" i="6"/>
  <c r="H118" i="6" s="1"/>
  <c r="D36" i="6"/>
  <c r="C24" i="6"/>
  <c r="E36" i="6"/>
  <c r="C631" i="6"/>
  <c r="D631" i="6" s="1"/>
  <c r="E643" i="6"/>
  <c r="C632" i="6"/>
  <c r="D632" i="6" s="1"/>
  <c r="G400" i="6"/>
  <c r="H400" i="6" s="1"/>
  <c r="I400" i="6"/>
  <c r="I412" i="6"/>
  <c r="I495" i="6"/>
  <c r="G484" i="6"/>
  <c r="H484" i="6" s="1"/>
  <c r="G483" i="6"/>
  <c r="H483" i="6" s="1"/>
  <c r="C209" i="6"/>
  <c r="D209" i="6" s="1"/>
  <c r="C208" i="6"/>
  <c r="D208" i="6" s="1"/>
  <c r="E220" i="6"/>
  <c r="G85" i="6"/>
  <c r="H85" i="6" s="1"/>
  <c r="I97" i="6"/>
  <c r="I278" i="6"/>
  <c r="G266" i="6"/>
  <c r="H266" i="6" s="1"/>
  <c r="G267" i="6"/>
  <c r="H267" i="6" s="1"/>
  <c r="G167" i="6"/>
  <c r="H167" i="6" s="1"/>
  <c r="I179" i="6"/>
  <c r="I34" i="6"/>
  <c r="G405" i="6"/>
  <c r="H405" i="6" s="1"/>
  <c r="I417" i="6"/>
  <c r="G406" i="6"/>
  <c r="H406" i="6" s="1"/>
  <c r="C272" i="6"/>
  <c r="D272" i="6" s="1"/>
  <c r="E284" i="6"/>
  <c r="E228" i="6"/>
  <c r="C216" i="6"/>
  <c r="D216" i="6" s="1"/>
  <c r="C627" i="6"/>
  <c r="D627" i="6" s="1"/>
  <c r="E639" i="6"/>
  <c r="I818" i="6"/>
  <c r="G806" i="6"/>
  <c r="H806" i="6" s="1"/>
  <c r="G773" i="6"/>
  <c r="H773" i="6" s="1"/>
  <c r="I784" i="6"/>
  <c r="G772" i="6"/>
  <c r="H772" i="6" s="1"/>
  <c r="G334" i="6"/>
  <c r="H334" i="6" s="1"/>
  <c r="I346" i="6"/>
  <c r="I791" i="6"/>
  <c r="G779" i="6"/>
  <c r="H779" i="6" s="1"/>
  <c r="C568" i="6"/>
  <c r="D568" i="6" s="1"/>
  <c r="E580" i="6"/>
  <c r="C569" i="6"/>
  <c r="D569" i="6" s="1"/>
  <c r="E568" i="6"/>
  <c r="I686" i="6"/>
  <c r="G674" i="6"/>
  <c r="H674" i="6" s="1"/>
  <c r="I154" i="6"/>
  <c r="G142" i="6"/>
  <c r="H142" i="6" s="1"/>
  <c r="I142" i="6"/>
  <c r="E175" i="6"/>
  <c r="C163" i="6"/>
  <c r="D163" i="6" s="1"/>
  <c r="C427" i="6"/>
  <c r="D427" i="6" s="1"/>
  <c r="C428" i="6"/>
  <c r="D428" i="6" s="1"/>
  <c r="E439" i="6"/>
  <c r="G565" i="6"/>
  <c r="H565" i="6" s="1"/>
  <c r="G566" i="6"/>
  <c r="H566" i="6" s="1"/>
  <c r="I577" i="6"/>
  <c r="I565" i="6"/>
  <c r="C750" i="6"/>
  <c r="D750" i="6" s="1"/>
  <c r="C751" i="6"/>
  <c r="D751" i="6" s="1"/>
  <c r="E762" i="6"/>
  <c r="C821" i="6"/>
  <c r="D821" i="6" s="1"/>
  <c r="G763" i="6"/>
  <c r="H763" i="6" s="1"/>
  <c r="I775" i="6"/>
  <c r="I763" i="6"/>
  <c r="G788" i="6"/>
  <c r="H788" i="6" s="1"/>
  <c r="I800" i="6"/>
  <c r="G789" i="6"/>
  <c r="H789" i="6" s="1"/>
  <c r="C704" i="6"/>
  <c r="D704" i="6" s="1"/>
  <c r="E716" i="6"/>
  <c r="C705" i="6"/>
  <c r="D705" i="6" s="1"/>
  <c r="E704" i="6"/>
  <c r="E711" i="6"/>
  <c r="C699" i="6"/>
  <c r="D699" i="6" s="1"/>
  <c r="C494" i="6"/>
  <c r="D494" i="6" s="1"/>
  <c r="E506" i="6"/>
  <c r="C695" i="6"/>
  <c r="D695" i="6" s="1"/>
  <c r="E707" i="6"/>
  <c r="C639" i="6"/>
  <c r="D639" i="6" s="1"/>
  <c r="E651" i="6"/>
  <c r="E585" i="6"/>
  <c r="C573" i="6"/>
  <c r="D573" i="6" s="1"/>
  <c r="E796" i="6"/>
  <c r="C784" i="6"/>
  <c r="D784" i="6" s="1"/>
  <c r="C492" i="6"/>
  <c r="D492" i="6" s="1"/>
  <c r="E504" i="6"/>
  <c r="E494" i="6"/>
  <c r="C458" i="6"/>
  <c r="D458" i="6" s="1"/>
  <c r="E470" i="6"/>
  <c r="C475" i="6"/>
  <c r="D475" i="6" s="1"/>
  <c r="C476" i="6"/>
  <c r="D476" i="6" s="1"/>
  <c r="E487" i="6"/>
  <c r="C397" i="6"/>
  <c r="D397" i="6" s="1"/>
  <c r="E409" i="6"/>
  <c r="E294" i="6"/>
  <c r="C282" i="6"/>
  <c r="D282" i="6" s="1"/>
  <c r="E591" i="6"/>
  <c r="C591" i="6"/>
  <c r="D591" i="6" s="1"/>
  <c r="E603" i="6"/>
  <c r="E611" i="6"/>
  <c r="C599" i="6"/>
  <c r="D599" i="6" s="1"/>
  <c r="I503" i="6"/>
  <c r="G491" i="6"/>
  <c r="H491" i="6" s="1"/>
  <c r="E514" i="6"/>
  <c r="C502" i="6"/>
  <c r="D502" i="6" s="1"/>
  <c r="C386" i="6"/>
  <c r="D386" i="6" s="1"/>
  <c r="E397" i="6"/>
  <c r="E385" i="6"/>
  <c r="C385" i="6"/>
  <c r="D385" i="6" s="1"/>
  <c r="C337" i="6"/>
  <c r="D337" i="6" s="1"/>
  <c r="E349" i="6"/>
  <c r="E337" i="6"/>
  <c r="C119" i="6"/>
  <c r="D119" i="6" s="1"/>
  <c r="E119" i="6"/>
  <c r="E131" i="6"/>
  <c r="E300" i="6"/>
  <c r="C288" i="6"/>
  <c r="D288" i="6" s="1"/>
  <c r="E326" i="6"/>
  <c r="C314" i="6"/>
  <c r="D314" i="6" s="1"/>
  <c r="E314" i="6"/>
  <c r="C315" i="6"/>
  <c r="D315" i="6" s="1"/>
  <c r="C552" i="6"/>
  <c r="D552" i="6" s="1"/>
  <c r="E564" i="6"/>
  <c r="C310" i="6"/>
  <c r="D310" i="6" s="1"/>
  <c r="E321" i="6"/>
  <c r="E309" i="6"/>
  <c r="C309" i="6"/>
  <c r="D309" i="6" s="1"/>
  <c r="E130" i="6"/>
  <c r="C118" i="6"/>
  <c r="D118" i="6" s="1"/>
  <c r="G24" i="6"/>
  <c r="H24" i="6" s="1"/>
  <c r="I36" i="6"/>
  <c r="I24" i="6"/>
  <c r="G631" i="6"/>
  <c r="H631" i="6" s="1"/>
  <c r="I643" i="6"/>
  <c r="C537" i="6"/>
  <c r="D537" i="6" s="1"/>
  <c r="E549" i="6"/>
  <c r="C538" i="6"/>
  <c r="D538" i="6" s="1"/>
  <c r="E393" i="6"/>
  <c r="C382" i="6"/>
  <c r="D382" i="6" s="1"/>
  <c r="C381" i="6"/>
  <c r="D381" i="6" s="1"/>
  <c r="C74" i="6"/>
  <c r="D74" i="6" s="1"/>
  <c r="E86" i="6"/>
  <c r="C154" i="6"/>
  <c r="D154" i="6" s="1"/>
  <c r="E166" i="6"/>
  <c r="C155" i="6"/>
  <c r="D155" i="6" s="1"/>
  <c r="C17" i="6"/>
  <c r="E29" i="6"/>
  <c r="D29" i="6"/>
  <c r="E590" i="6"/>
  <c r="C579" i="6"/>
  <c r="D579" i="6" s="1"/>
  <c r="C578" i="6"/>
  <c r="D578" i="6" s="1"/>
  <c r="G135" i="6"/>
  <c r="H135" i="6" s="1"/>
  <c r="I147" i="6"/>
  <c r="C489" i="6"/>
  <c r="D489" i="6" s="1"/>
  <c r="E501" i="6"/>
  <c r="E489" i="6"/>
  <c r="I234" i="6"/>
  <c r="G222" i="6"/>
  <c r="H222" i="6" s="1"/>
  <c r="C365" i="6"/>
  <c r="D365" i="6" s="1"/>
  <c r="E376" i="6"/>
  <c r="C364" i="6"/>
  <c r="D364" i="6" s="1"/>
  <c r="E89" i="6"/>
  <c r="C78" i="6"/>
  <c r="D78" i="6" s="1"/>
  <c r="C77" i="6"/>
  <c r="D77" i="6" s="1"/>
  <c r="I352" i="6"/>
  <c r="G340" i="6"/>
  <c r="H340" i="6" s="1"/>
  <c r="G272" i="6"/>
  <c r="H272" i="6" s="1"/>
  <c r="I284" i="6"/>
  <c r="I228" i="6"/>
  <c r="G216" i="6"/>
  <c r="H216" i="6" s="1"/>
  <c r="G627" i="6"/>
  <c r="H627" i="6" s="1"/>
  <c r="I639" i="6"/>
  <c r="G143" i="6"/>
  <c r="H143" i="6" s="1"/>
  <c r="G25" i="6"/>
  <c r="H25" i="6" s="1"/>
  <c r="I190" i="6"/>
  <c r="C742" i="6"/>
  <c r="D742" i="6" s="1"/>
  <c r="E754" i="6"/>
  <c r="C580" i="6"/>
  <c r="D580" i="6" s="1"/>
  <c r="C581" i="6"/>
  <c r="D581" i="6" s="1"/>
  <c r="E592" i="6"/>
  <c r="E518" i="6"/>
  <c r="C506" i="6"/>
  <c r="D506" i="6" s="1"/>
  <c r="G111" i="6"/>
  <c r="H111" i="6" s="1"/>
  <c r="I123" i="6"/>
  <c r="G112" i="6"/>
  <c r="H112" i="6" s="1"/>
  <c r="C861" i="6"/>
  <c r="D861" i="6" s="1"/>
  <c r="E768" i="6"/>
  <c r="C757" i="6"/>
  <c r="D757" i="6" s="1"/>
  <c r="C756" i="6"/>
  <c r="D756" i="6" s="1"/>
  <c r="G855" i="6"/>
  <c r="H855" i="6" s="1"/>
  <c r="G856" i="6"/>
  <c r="H856" i="6" s="1"/>
  <c r="E808" i="6"/>
  <c r="C796" i="6"/>
  <c r="D796" i="6" s="1"/>
  <c r="C782" i="6"/>
  <c r="D782" i="6" s="1"/>
  <c r="E794" i="6"/>
  <c r="E800" i="6"/>
  <c r="C788" i="6"/>
  <c r="D788" i="6" s="1"/>
  <c r="C855" i="6"/>
  <c r="D855" i="6" s="1"/>
  <c r="G739" i="6"/>
  <c r="H739" i="6" s="1"/>
  <c r="I716" i="6"/>
  <c r="G705" i="6"/>
  <c r="H705" i="6" s="1"/>
  <c r="G704" i="6"/>
  <c r="H704" i="6" s="1"/>
  <c r="G695" i="6"/>
  <c r="H695" i="6" s="1"/>
  <c r="I707" i="6"/>
  <c r="G696" i="6"/>
  <c r="H696" i="6" s="1"/>
  <c r="I573" i="6"/>
  <c r="I585" i="6"/>
  <c r="G574" i="6"/>
  <c r="H574" i="6" s="1"/>
  <c r="G573" i="6"/>
  <c r="H573" i="6" s="1"/>
  <c r="C615" i="6"/>
  <c r="D615" i="6" s="1"/>
  <c r="E627" i="6"/>
  <c r="C493" i="6"/>
  <c r="D493" i="6" s="1"/>
  <c r="C588" i="6"/>
  <c r="D588" i="6" s="1"/>
  <c r="E600" i="6"/>
  <c r="I470" i="6"/>
  <c r="G458" i="6"/>
  <c r="H458" i="6" s="1"/>
  <c r="I458" i="6"/>
  <c r="E695" i="6"/>
  <c r="I487" i="6"/>
  <c r="G475" i="6"/>
  <c r="H475" i="6" s="1"/>
  <c r="G397" i="6"/>
  <c r="H397" i="6" s="1"/>
  <c r="I409" i="6"/>
  <c r="E598" i="6"/>
  <c r="E507" i="6"/>
  <c r="C496" i="6"/>
  <c r="D496" i="6" s="1"/>
  <c r="C495" i="6"/>
  <c r="D495" i="6" s="1"/>
  <c r="G337" i="6"/>
  <c r="H337" i="6" s="1"/>
  <c r="I349" i="6"/>
  <c r="C398" i="6"/>
  <c r="D398" i="6" s="1"/>
  <c r="I300" i="6"/>
  <c r="G288" i="6"/>
  <c r="H288" i="6" s="1"/>
  <c r="E210" i="6"/>
  <c r="E3" i="6"/>
  <c r="D15" i="6"/>
  <c r="E15" i="6"/>
  <c r="E274" i="6"/>
  <c r="C262" i="6"/>
  <c r="D262" i="6" s="1"/>
  <c r="G160" i="6"/>
  <c r="H160" i="6" s="1"/>
  <c r="G553" i="6"/>
  <c r="H553" i="6" s="1"/>
  <c r="G552" i="6"/>
  <c r="H552" i="6" s="1"/>
  <c r="I564" i="6"/>
  <c r="E308" i="6"/>
  <c r="G206" i="6"/>
  <c r="H206" i="6" s="1"/>
  <c r="I218" i="6"/>
  <c r="I549" i="6"/>
  <c r="G537" i="6"/>
  <c r="H537" i="6" s="1"/>
  <c r="G538" i="6"/>
  <c r="H538" i="6" s="1"/>
  <c r="G381" i="6"/>
  <c r="H381" i="6" s="1"/>
  <c r="I393" i="6"/>
  <c r="G17" i="6"/>
  <c r="H17" i="6" s="1"/>
  <c r="I29" i="6"/>
  <c r="I590" i="6"/>
  <c r="G578" i="6"/>
  <c r="H578" i="6" s="1"/>
  <c r="E147" i="6"/>
  <c r="C135" i="6"/>
  <c r="D135" i="6" s="1"/>
  <c r="E668" i="6"/>
  <c r="C656" i="6"/>
  <c r="D656" i="6" s="1"/>
  <c r="C657" i="6"/>
  <c r="D657" i="6" s="1"/>
  <c r="E656" i="6"/>
  <c r="C120" i="6"/>
  <c r="D120" i="6" s="1"/>
  <c r="C540" i="6"/>
  <c r="D540" i="6" s="1"/>
  <c r="E552" i="6"/>
  <c r="G364" i="6"/>
  <c r="H364" i="6" s="1"/>
  <c r="I376" i="6"/>
  <c r="C22" i="6"/>
  <c r="C21" i="6"/>
  <c r="E33" i="6"/>
  <c r="D33" i="6"/>
  <c r="I334" i="6"/>
  <c r="C25" i="6"/>
  <c r="E269" i="6"/>
  <c r="G201" i="6"/>
  <c r="H201" i="6" s="1"/>
  <c r="I213" i="6"/>
  <c r="C533" i="6"/>
  <c r="D533" i="6" s="1"/>
  <c r="E545" i="6"/>
  <c r="E118" i="6"/>
  <c r="I454" i="6"/>
  <c r="G442" i="6"/>
  <c r="H442" i="6" s="1"/>
  <c r="I442" i="6"/>
  <c r="C469" i="6"/>
  <c r="D469" i="6" s="1"/>
  <c r="E481" i="6"/>
  <c r="E850" i="6"/>
  <c r="C838" i="6"/>
  <c r="D838" i="6" s="1"/>
  <c r="C839" i="6"/>
  <c r="D839" i="6" s="1"/>
  <c r="C607" i="6"/>
  <c r="D607" i="6" s="1"/>
  <c r="C606" i="6"/>
  <c r="D606" i="6" s="1"/>
  <c r="E618" i="6"/>
  <c r="E353" i="6"/>
  <c r="C341" i="6"/>
  <c r="D341" i="6" s="1"/>
  <c r="E277" i="6"/>
  <c r="C265" i="6"/>
  <c r="D265" i="6" s="1"/>
  <c r="I808" i="6"/>
  <c r="G796" i="6"/>
  <c r="H796" i="6" s="1"/>
  <c r="G840" i="6"/>
  <c r="H840" i="6" s="1"/>
  <c r="I852" i="6"/>
  <c r="G743" i="6"/>
  <c r="H743" i="6" s="1"/>
  <c r="I755" i="6"/>
  <c r="G744" i="6"/>
  <c r="H744" i="6" s="1"/>
  <c r="E844" i="6"/>
  <c r="C832" i="6"/>
  <c r="D832" i="6" s="1"/>
  <c r="C822" i="6"/>
  <c r="D822" i="6" s="1"/>
  <c r="E834" i="6"/>
  <c r="C823" i="6"/>
  <c r="D823" i="6" s="1"/>
  <c r="E822" i="6"/>
  <c r="I762" i="6"/>
  <c r="G750" i="6"/>
  <c r="H750" i="6" s="1"/>
  <c r="E775" i="6"/>
  <c r="C763" i="6"/>
  <c r="D763" i="6" s="1"/>
  <c r="I836" i="6"/>
  <c r="G836" i="6"/>
  <c r="H836" i="6" s="1"/>
  <c r="G837" i="6"/>
  <c r="H837" i="6" s="1"/>
  <c r="I848" i="6"/>
  <c r="E490" i="6"/>
  <c r="C478" i="6"/>
  <c r="D478" i="6" s="1"/>
  <c r="C479" i="6"/>
  <c r="D479" i="6" s="1"/>
  <c r="G639" i="6"/>
  <c r="H639" i="6" s="1"/>
  <c r="I651" i="6"/>
  <c r="G640" i="6"/>
  <c r="H640" i="6" s="1"/>
  <c r="E845" i="6"/>
  <c r="C833" i="6"/>
  <c r="D833" i="6" s="1"/>
  <c r="C834" i="6"/>
  <c r="D834" i="6" s="1"/>
  <c r="C797" i="6"/>
  <c r="D797" i="6" s="1"/>
  <c r="I834" i="6"/>
  <c r="G822" i="6"/>
  <c r="H822" i="6" s="1"/>
  <c r="I792" i="6"/>
  <c r="G780" i="6"/>
  <c r="H780" i="6" s="1"/>
  <c r="E760" i="6"/>
  <c r="C749" i="6"/>
  <c r="D749" i="6" s="1"/>
  <c r="C748" i="6"/>
  <c r="D748" i="6" s="1"/>
  <c r="G815" i="6"/>
  <c r="H815" i="6" s="1"/>
  <c r="I827" i="6"/>
  <c r="I794" i="6"/>
  <c r="G782" i="6"/>
  <c r="H782" i="6" s="1"/>
  <c r="I782" i="6"/>
  <c r="G823" i="6"/>
  <c r="H823" i="6" s="1"/>
  <c r="I772" i="6"/>
  <c r="G760" i="6"/>
  <c r="H760" i="6" s="1"/>
  <c r="C726" i="6"/>
  <c r="D726" i="6" s="1"/>
  <c r="E738" i="6"/>
  <c r="C779" i="6"/>
  <c r="D779" i="6" s="1"/>
  <c r="I854" i="6"/>
  <c r="G759" i="6"/>
  <c r="H759" i="6" s="1"/>
  <c r="I771" i="6"/>
  <c r="C725" i="6"/>
  <c r="D725" i="6" s="1"/>
  <c r="I787" i="6"/>
  <c r="E854" i="6"/>
  <c r="E703" i="6"/>
  <c r="C691" i="6"/>
  <c r="D691" i="6" s="1"/>
  <c r="I804" i="6"/>
  <c r="E742" i="6"/>
  <c r="C730" i="6"/>
  <c r="D730" i="6" s="1"/>
  <c r="E848" i="6"/>
  <c r="C836" i="6"/>
  <c r="D836" i="6" s="1"/>
  <c r="I695" i="6"/>
  <c r="C462" i="6"/>
  <c r="D462" i="6" s="1"/>
  <c r="C463" i="6"/>
  <c r="D463" i="6" s="1"/>
  <c r="E474" i="6"/>
  <c r="C621" i="6"/>
  <c r="D621" i="6" s="1"/>
  <c r="E730" i="6"/>
  <c r="C718" i="6"/>
  <c r="D718" i="6" s="1"/>
  <c r="C719" i="6"/>
  <c r="D719" i="6" s="1"/>
  <c r="C690" i="6"/>
  <c r="D690" i="6" s="1"/>
  <c r="E702" i="6"/>
  <c r="E691" i="6"/>
  <c r="E615" i="6"/>
  <c r="C603" i="6"/>
  <c r="D603" i="6" s="1"/>
  <c r="C490" i="6"/>
  <c r="D490" i="6" s="1"/>
  <c r="E502" i="6"/>
  <c r="C553" i="6"/>
  <c r="D553" i="6" s="1"/>
  <c r="G588" i="6"/>
  <c r="H588" i="6" s="1"/>
  <c r="I600" i="6"/>
  <c r="E459" i="6"/>
  <c r="C448" i="6"/>
  <c r="D448" i="6" s="1"/>
  <c r="C447" i="6"/>
  <c r="D447" i="6" s="1"/>
  <c r="E405" i="6"/>
  <c r="C394" i="6"/>
  <c r="D394" i="6" s="1"/>
  <c r="C393" i="6"/>
  <c r="D393" i="6" s="1"/>
  <c r="I507" i="6"/>
  <c r="G495" i="6"/>
  <c r="H495" i="6" s="1"/>
  <c r="I88" i="6"/>
  <c r="G76" i="6"/>
  <c r="H76" i="6" s="1"/>
  <c r="G636" i="6"/>
  <c r="H636" i="6" s="1"/>
  <c r="I521" i="6"/>
  <c r="G262" i="6"/>
  <c r="H262" i="6" s="1"/>
  <c r="I262" i="6"/>
  <c r="I274" i="6"/>
  <c r="C513" i="6"/>
  <c r="D513" i="6" s="1"/>
  <c r="E525" i="6"/>
  <c r="C499" i="6"/>
  <c r="D499" i="6" s="1"/>
  <c r="E511" i="6"/>
  <c r="I304" i="6"/>
  <c r="G292" i="6"/>
  <c r="H292" i="6" s="1"/>
  <c r="E218" i="6"/>
  <c r="C206" i="6"/>
  <c r="D206" i="6" s="1"/>
  <c r="C270" i="6"/>
  <c r="D270" i="6" s="1"/>
  <c r="I530" i="6"/>
  <c r="G518" i="6"/>
  <c r="H518" i="6" s="1"/>
  <c r="G656" i="6"/>
  <c r="H656" i="6" s="1"/>
  <c r="I668" i="6"/>
  <c r="E10" i="6"/>
  <c r="D10" i="6"/>
  <c r="C10" i="6"/>
  <c r="E22" i="6"/>
  <c r="D22" i="6"/>
  <c r="G540" i="6"/>
  <c r="H540" i="6" s="1"/>
  <c r="I552" i="6"/>
  <c r="G541" i="6"/>
  <c r="H541" i="6" s="1"/>
  <c r="E257" i="6"/>
  <c r="C245" i="6"/>
  <c r="D245" i="6" s="1"/>
  <c r="E364" i="6"/>
  <c r="C457" i="6"/>
  <c r="D457" i="6" s="1"/>
  <c r="E469" i="6"/>
  <c r="G207" i="6"/>
  <c r="H207" i="6" s="1"/>
  <c r="C18" i="6"/>
  <c r="D16" i="6"/>
  <c r="D4" i="6"/>
  <c r="E4" i="6"/>
  <c r="E16" i="6"/>
  <c r="C4" i="6"/>
  <c r="C11" i="6"/>
  <c r="I776" i="6"/>
  <c r="G765" i="6"/>
  <c r="H765" i="6" s="1"/>
  <c r="G764" i="6"/>
  <c r="H764" i="6" s="1"/>
  <c r="I764" i="6"/>
  <c r="G677" i="6"/>
  <c r="H677" i="6" s="1"/>
  <c r="C521" i="6"/>
  <c r="D521" i="6" s="1"/>
  <c r="E533" i="6"/>
  <c r="E521" i="6"/>
  <c r="E529" i="6"/>
  <c r="C517" i="6"/>
  <c r="D517" i="6" s="1"/>
  <c r="I144" i="6"/>
  <c r="G132" i="6"/>
  <c r="H132" i="6" s="1"/>
  <c r="I132" i="6"/>
  <c r="G52" i="6"/>
  <c r="H52" i="6" s="1"/>
  <c r="I64" i="6"/>
  <c r="C82" i="6"/>
  <c r="D82" i="6" s="1"/>
  <c r="E94" i="6"/>
  <c r="C83" i="6"/>
  <c r="D83" i="6" s="1"/>
  <c r="C34" i="6"/>
  <c r="C35" i="6"/>
  <c r="E46" i="6"/>
  <c r="D46" i="6"/>
  <c r="E860" i="6"/>
  <c r="E792" i="6"/>
  <c r="C781" i="6"/>
  <c r="D781" i="6" s="1"/>
  <c r="C780" i="6"/>
  <c r="D780" i="6" s="1"/>
  <c r="C814" i="6"/>
  <c r="D814" i="6" s="1"/>
  <c r="E826" i="6"/>
  <c r="E772" i="6"/>
  <c r="C760" i="6"/>
  <c r="D760" i="6" s="1"/>
  <c r="C723" i="6"/>
  <c r="D723" i="6" s="1"/>
  <c r="E735" i="6"/>
  <c r="I847" i="6"/>
  <c r="G835" i="6"/>
  <c r="H835" i="6" s="1"/>
  <c r="I835" i="6"/>
  <c r="E771" i="6"/>
  <c r="C759" i="6"/>
  <c r="D759" i="6" s="1"/>
  <c r="C826" i="6"/>
  <c r="D826" i="6" s="1"/>
  <c r="E838" i="6"/>
  <c r="G691" i="6"/>
  <c r="H691" i="6" s="1"/>
  <c r="I703" i="6"/>
  <c r="E782" i="6"/>
  <c r="C446" i="6"/>
  <c r="D446" i="6" s="1"/>
  <c r="E458" i="6"/>
  <c r="G718" i="6"/>
  <c r="H718" i="6" s="1"/>
  <c r="I730" i="6"/>
  <c r="G690" i="6"/>
  <c r="H690" i="6" s="1"/>
  <c r="I702" i="6"/>
  <c r="C426" i="6"/>
  <c r="D426" i="6" s="1"/>
  <c r="E438" i="6"/>
  <c r="E569" i="6"/>
  <c r="C557" i="6"/>
  <c r="D557" i="6" s="1"/>
  <c r="E456" i="6"/>
  <c r="C444" i="6"/>
  <c r="D444" i="6" s="1"/>
  <c r="C662" i="6"/>
  <c r="D662" i="6" s="1"/>
  <c r="E674" i="6"/>
  <c r="I615" i="6"/>
  <c r="G604" i="6"/>
  <c r="H604" i="6" s="1"/>
  <c r="G603" i="6"/>
  <c r="H603" i="6" s="1"/>
  <c r="I502" i="6"/>
  <c r="G490" i="6"/>
  <c r="H490" i="6" s="1"/>
  <c r="I490" i="6"/>
  <c r="E597" i="6"/>
  <c r="C585" i="6"/>
  <c r="D585" i="6" s="1"/>
  <c r="C445" i="6"/>
  <c r="D445" i="6" s="1"/>
  <c r="E248" i="6"/>
  <c r="C236" i="6"/>
  <c r="D236" i="6" s="1"/>
  <c r="C234" i="6"/>
  <c r="D234" i="6" s="1"/>
  <c r="E246" i="6"/>
  <c r="E527" i="6"/>
  <c r="E305" i="6"/>
  <c r="C293" i="6"/>
  <c r="D293" i="6" s="1"/>
  <c r="E293" i="6"/>
  <c r="C112" i="6"/>
  <c r="D112" i="6" s="1"/>
  <c r="E124" i="6"/>
  <c r="I517" i="6"/>
  <c r="E233" i="6"/>
  <c r="C221" i="6"/>
  <c r="D221" i="6" s="1"/>
  <c r="G513" i="6"/>
  <c r="H513" i="6" s="1"/>
  <c r="I525" i="6"/>
  <c r="I511" i="6"/>
  <c r="G499" i="6"/>
  <c r="H499" i="6" s="1"/>
  <c r="G500" i="6"/>
  <c r="H500" i="6" s="1"/>
  <c r="E304" i="6"/>
  <c r="C292" i="6"/>
  <c r="D292" i="6" s="1"/>
  <c r="E112" i="6"/>
  <c r="E282" i="6"/>
  <c r="G183" i="6"/>
  <c r="H183" i="6" s="1"/>
  <c r="I195" i="6"/>
  <c r="C75" i="6"/>
  <c r="D75" i="6" s="1"/>
  <c r="E530" i="6"/>
  <c r="C519" i="6"/>
  <c r="D519" i="6" s="1"/>
  <c r="C518" i="6"/>
  <c r="D518" i="6" s="1"/>
  <c r="G652" i="6"/>
  <c r="H652" i="6" s="1"/>
  <c r="I664" i="6"/>
  <c r="G10" i="6"/>
  <c r="H10" i="6" s="1"/>
  <c r="G11" i="6"/>
  <c r="H11" i="6" s="1"/>
  <c r="I22" i="6"/>
  <c r="I10" i="6"/>
  <c r="E148" i="6"/>
  <c r="E136" i="6"/>
  <c r="C136" i="6"/>
  <c r="D136" i="6" s="1"/>
  <c r="E746" i="6"/>
  <c r="C734" i="6"/>
  <c r="D734" i="6" s="1"/>
  <c r="E384" i="6"/>
  <c r="C373" i="6"/>
  <c r="D373" i="6" s="1"/>
  <c r="E372" i="6"/>
  <c r="C372" i="6"/>
  <c r="D372" i="6" s="1"/>
  <c r="I104" i="6"/>
  <c r="G92" i="6"/>
  <c r="H92" i="6" s="1"/>
  <c r="G245" i="6"/>
  <c r="H245" i="6" s="1"/>
  <c r="I257" i="6"/>
  <c r="E265" i="6"/>
  <c r="C504" i="6"/>
  <c r="D504" i="6" s="1"/>
  <c r="E516" i="6"/>
  <c r="G457" i="6"/>
  <c r="H457" i="6" s="1"/>
  <c r="I469" i="6"/>
  <c r="I457" i="6"/>
  <c r="I120" i="6"/>
  <c r="G108" i="6"/>
  <c r="H108" i="6" s="1"/>
  <c r="I4" i="6"/>
  <c r="G4" i="6"/>
  <c r="H4" i="6" s="1"/>
  <c r="I16" i="6"/>
  <c r="G676" i="6"/>
  <c r="H676" i="6" s="1"/>
  <c r="I688" i="6"/>
  <c r="G213" i="6"/>
  <c r="H213" i="6" s="1"/>
  <c r="I225" i="6"/>
  <c r="G618" i="6"/>
  <c r="H618" i="6" s="1"/>
  <c r="I630" i="6"/>
  <c r="G619" i="6"/>
  <c r="H619" i="6" s="1"/>
  <c r="E150" i="6"/>
  <c r="C138" i="6"/>
  <c r="D138" i="6" s="1"/>
  <c r="E810" i="6"/>
  <c r="C798" i="6"/>
  <c r="D798" i="6" s="1"/>
  <c r="C510" i="6"/>
  <c r="D510" i="6" s="1"/>
  <c r="E522" i="6"/>
  <c r="G820" i="6"/>
  <c r="H820" i="6" s="1"/>
  <c r="I832" i="6"/>
  <c r="G821" i="6"/>
  <c r="H821" i="6" s="1"/>
  <c r="E832" i="6"/>
  <c r="C820" i="6"/>
  <c r="D820" i="6" s="1"/>
  <c r="I826" i="6"/>
  <c r="G814" i="6"/>
  <c r="H814" i="6" s="1"/>
  <c r="E829" i="6"/>
  <c r="C817" i="6"/>
  <c r="D817" i="6" s="1"/>
  <c r="C720" i="6"/>
  <c r="D720" i="6" s="1"/>
  <c r="E732" i="6"/>
  <c r="I779" i="6"/>
  <c r="C835" i="6"/>
  <c r="D835" i="6" s="1"/>
  <c r="E847" i="6"/>
  <c r="G826" i="6"/>
  <c r="H826" i="6" s="1"/>
  <c r="I838" i="6"/>
  <c r="E723" i="6"/>
  <c r="C791" i="6"/>
  <c r="D791" i="6" s="1"/>
  <c r="E802" i="6"/>
  <c r="C790" i="6"/>
  <c r="D790" i="6" s="1"/>
  <c r="E442" i="6"/>
  <c r="C430" i="6"/>
  <c r="D430" i="6" s="1"/>
  <c r="I438" i="6"/>
  <c r="G426" i="6"/>
  <c r="H426" i="6" s="1"/>
  <c r="I426" i="6"/>
  <c r="C577" i="6"/>
  <c r="D577" i="6" s="1"/>
  <c r="E589" i="6"/>
  <c r="G612" i="6"/>
  <c r="H612" i="6" s="1"/>
  <c r="I624" i="6"/>
  <c r="I597" i="6"/>
  <c r="G585" i="6"/>
  <c r="H585" i="6" s="1"/>
  <c r="E482" i="6"/>
  <c r="C470" i="6"/>
  <c r="D470" i="6" s="1"/>
  <c r="G293" i="6"/>
  <c r="H293" i="6" s="1"/>
  <c r="I305" i="6"/>
  <c r="I293" i="6"/>
  <c r="I326" i="6"/>
  <c r="C459" i="6"/>
  <c r="D459" i="6" s="1"/>
  <c r="E471" i="6"/>
  <c r="G221" i="6"/>
  <c r="H221" i="6" s="1"/>
  <c r="I233" i="6"/>
  <c r="C283" i="6"/>
  <c r="D283" i="6" s="1"/>
  <c r="G88" i="6"/>
  <c r="H88" i="6" s="1"/>
  <c r="I100" i="6"/>
  <c r="G129" i="6"/>
  <c r="H129" i="6" s="1"/>
  <c r="G80" i="6"/>
  <c r="H80" i="6" s="1"/>
  <c r="I92" i="6"/>
  <c r="C183" i="6"/>
  <c r="D183" i="6" s="1"/>
  <c r="E195" i="6"/>
  <c r="E135" i="6"/>
  <c r="C123" i="6"/>
  <c r="D123" i="6" s="1"/>
  <c r="G53" i="6"/>
  <c r="H53" i="6" s="1"/>
  <c r="C652" i="6"/>
  <c r="D652" i="6" s="1"/>
  <c r="C653" i="6"/>
  <c r="D653" i="6" s="1"/>
  <c r="E664" i="6"/>
  <c r="I381" i="6"/>
  <c r="C228" i="6"/>
  <c r="D228" i="6" s="1"/>
  <c r="E240" i="6"/>
  <c r="G60" i="6"/>
  <c r="H60" i="6" s="1"/>
  <c r="I72" i="6"/>
  <c r="G504" i="6"/>
  <c r="H504" i="6" s="1"/>
  <c r="I516" i="6"/>
  <c r="E120" i="6"/>
  <c r="C108" i="6"/>
  <c r="D108" i="6" s="1"/>
  <c r="C66" i="6"/>
  <c r="D66" i="6" s="1"/>
  <c r="E78" i="6"/>
  <c r="C54" i="6"/>
  <c r="E66" i="6"/>
  <c r="E128" i="6"/>
  <c r="E116" i="6"/>
  <c r="C116" i="6"/>
  <c r="D116" i="6" s="1"/>
  <c r="E819" i="6"/>
  <c r="C807" i="6"/>
  <c r="D807" i="6" s="1"/>
  <c r="E655" i="6"/>
  <c r="C643" i="6"/>
  <c r="D643" i="6" s="1"/>
  <c r="C353" i="6"/>
  <c r="D353" i="6" s="1"/>
  <c r="E365" i="6"/>
  <c r="C354" i="6"/>
  <c r="D354" i="6" s="1"/>
  <c r="E816" i="6"/>
  <c r="C804" i="6"/>
  <c r="D804" i="6" s="1"/>
  <c r="C525" i="6"/>
  <c r="D525" i="6" s="1"/>
  <c r="C526" i="6"/>
  <c r="D526" i="6" s="1"/>
  <c r="E537" i="6"/>
  <c r="G460" i="6"/>
  <c r="H460" i="6" s="1"/>
  <c r="I472" i="6"/>
  <c r="G461" i="6"/>
  <c r="H461" i="6" s="1"/>
  <c r="E807" i="6"/>
  <c r="E780" i="6"/>
  <c r="G828" i="6"/>
  <c r="H828" i="6" s="1"/>
  <c r="I840" i="6"/>
  <c r="I828" i="6"/>
  <c r="C754" i="6"/>
  <c r="D754" i="6" s="1"/>
  <c r="E766" i="6"/>
  <c r="I802" i="6"/>
  <c r="G790" i="6"/>
  <c r="H790" i="6" s="1"/>
  <c r="E606" i="6"/>
  <c r="G675" i="6"/>
  <c r="H675" i="6" s="1"/>
  <c r="C549" i="6"/>
  <c r="D549" i="6" s="1"/>
  <c r="E561" i="6"/>
  <c r="C550" i="6"/>
  <c r="D550" i="6" s="1"/>
  <c r="I554" i="6"/>
  <c r="G543" i="6"/>
  <c r="H543" i="6" s="1"/>
  <c r="G542" i="6"/>
  <c r="H542" i="6" s="1"/>
  <c r="E571" i="6"/>
  <c r="C559" i="6"/>
  <c r="D559" i="6" s="1"/>
  <c r="E624" i="6"/>
  <c r="C612" i="6"/>
  <c r="D612" i="6" s="1"/>
  <c r="E612" i="6"/>
  <c r="E559" i="6"/>
  <c r="C547" i="6"/>
  <c r="D547" i="6" s="1"/>
  <c r="C443" i="6"/>
  <c r="D443" i="6" s="1"/>
  <c r="E455" i="6"/>
  <c r="I547" i="6"/>
  <c r="G535" i="6"/>
  <c r="H535" i="6" s="1"/>
  <c r="G536" i="6"/>
  <c r="H536" i="6" s="1"/>
  <c r="E558" i="6"/>
  <c r="C546" i="6"/>
  <c r="D546" i="6" s="1"/>
  <c r="E546" i="6"/>
  <c r="E444" i="6"/>
  <c r="E222" i="6"/>
  <c r="C210" i="6"/>
  <c r="D210" i="6" s="1"/>
  <c r="I482" i="6"/>
  <c r="G470" i="6"/>
  <c r="H470" i="6" s="1"/>
  <c r="G471" i="6"/>
  <c r="H471" i="6" s="1"/>
  <c r="C574" i="6"/>
  <c r="D574" i="6" s="1"/>
  <c r="E158" i="6"/>
  <c r="C146" i="6"/>
  <c r="D146" i="6" s="1"/>
  <c r="I397" i="6"/>
  <c r="E517" i="6"/>
  <c r="C171" i="6"/>
  <c r="D171" i="6" s="1"/>
  <c r="E183" i="6"/>
  <c r="E171" i="6"/>
  <c r="G171" i="6"/>
  <c r="H171" i="6" s="1"/>
  <c r="I471" i="6"/>
  <c r="G459" i="6"/>
  <c r="H459" i="6" s="1"/>
  <c r="G133" i="6"/>
  <c r="H133" i="6" s="1"/>
  <c r="E190" i="6"/>
  <c r="C88" i="6"/>
  <c r="D88" i="6" s="1"/>
  <c r="E100" i="6"/>
  <c r="C172" i="6"/>
  <c r="D172" i="6" s="1"/>
  <c r="C95" i="6"/>
  <c r="D95" i="6" s="1"/>
  <c r="E106" i="6"/>
  <c r="C94" i="6"/>
  <c r="D94" i="6" s="1"/>
  <c r="C80" i="6"/>
  <c r="D80" i="6" s="1"/>
  <c r="E92" i="6"/>
  <c r="C81" i="6"/>
  <c r="D81" i="6" s="1"/>
  <c r="E80" i="6"/>
  <c r="I524" i="6"/>
  <c r="G512" i="6"/>
  <c r="H512" i="6" s="1"/>
  <c r="I512" i="6"/>
  <c r="E254" i="6"/>
  <c r="C242" i="6"/>
  <c r="D242" i="6" s="1"/>
  <c r="E242" i="6"/>
  <c r="E53" i="6"/>
  <c r="C41" i="6"/>
  <c r="D53" i="6"/>
  <c r="E498" i="6"/>
  <c r="C486" i="6"/>
  <c r="D486" i="6" s="1"/>
  <c r="E341" i="6"/>
  <c r="C330" i="6"/>
  <c r="D330" i="6" s="1"/>
  <c r="C329" i="6"/>
  <c r="D329" i="6" s="1"/>
  <c r="C48" i="6"/>
  <c r="E60" i="6"/>
  <c r="C49" i="6"/>
  <c r="C263" i="6"/>
  <c r="D263" i="6" s="1"/>
  <c r="I306" i="6"/>
  <c r="G294" i="6"/>
  <c r="H294" i="6" s="1"/>
  <c r="D44" i="6"/>
  <c r="E44" i="6"/>
  <c r="E32" i="6"/>
  <c r="C32" i="6"/>
  <c r="C164" i="6"/>
  <c r="D164" i="6" s="1"/>
  <c r="C60" i="6"/>
  <c r="D60" i="6" s="1"/>
  <c r="E72" i="6"/>
  <c r="C61" i="6"/>
  <c r="D61" i="6" s="1"/>
  <c r="D48" i="6"/>
  <c r="E292" i="6"/>
  <c r="G194" i="6"/>
  <c r="H194" i="6" s="1"/>
  <c r="I85" i="6"/>
  <c r="G66" i="6"/>
  <c r="H66" i="6" s="1"/>
  <c r="G67" i="6"/>
  <c r="H67" i="6" s="1"/>
  <c r="I78" i="6"/>
  <c r="C129" i="6"/>
  <c r="D129" i="6" s="1"/>
  <c r="G54" i="6"/>
  <c r="H54" i="6" s="1"/>
  <c r="I66" i="6"/>
  <c r="I128" i="6"/>
  <c r="G116" i="6"/>
  <c r="H116" i="6" s="1"/>
  <c r="I786" i="6"/>
  <c r="G774" i="6"/>
  <c r="H774" i="6" s="1"/>
  <c r="C417" i="6"/>
  <c r="D417" i="6" s="1"/>
  <c r="E429" i="6"/>
  <c r="C418" i="6"/>
  <c r="D418" i="6" s="1"/>
  <c r="E770" i="6"/>
  <c r="C758" i="6"/>
  <c r="D758" i="6" s="1"/>
  <c r="G778" i="6"/>
  <c r="H778" i="6" s="1"/>
  <c r="I790" i="6"/>
  <c r="C590" i="6"/>
  <c r="D590" i="6" s="1"/>
  <c r="I463" i="6"/>
  <c r="G451" i="6"/>
  <c r="H451" i="6" s="1"/>
  <c r="G452" i="6"/>
  <c r="H452" i="6" s="1"/>
  <c r="G335" i="6"/>
  <c r="H335" i="6" s="1"/>
  <c r="E479" i="6"/>
  <c r="C467" i="6"/>
  <c r="D467" i="6" s="1"/>
  <c r="E467" i="6"/>
  <c r="E778" i="6"/>
  <c r="C766" i="6"/>
  <c r="D766" i="6" s="1"/>
  <c r="E827" i="6"/>
  <c r="C815" i="6"/>
  <c r="D815" i="6" s="1"/>
  <c r="I778" i="6"/>
  <c r="G766" i="6"/>
  <c r="H766" i="6" s="1"/>
  <c r="G799" i="6"/>
  <c r="H799" i="6" s="1"/>
  <c r="I811" i="6"/>
  <c r="C830" i="6"/>
  <c r="D830" i="6" s="1"/>
  <c r="E842" i="6"/>
  <c r="C806" i="6"/>
  <c r="D806" i="6" s="1"/>
  <c r="E818" i="6"/>
  <c r="E786" i="6"/>
  <c r="C775" i="6"/>
  <c r="D775" i="6" s="1"/>
  <c r="C774" i="6"/>
  <c r="D774" i="6" s="1"/>
  <c r="C789" i="6"/>
  <c r="D789" i="6" s="1"/>
  <c r="I842" i="6"/>
  <c r="G830" i="6"/>
  <c r="H830" i="6" s="1"/>
  <c r="G807" i="6"/>
  <c r="H807" i="6" s="1"/>
  <c r="I819" i="6"/>
  <c r="G808" i="6"/>
  <c r="H808" i="6" s="1"/>
  <c r="I806" i="6"/>
  <c r="E858" i="6"/>
  <c r="C846" i="6"/>
  <c r="D846" i="6" s="1"/>
  <c r="E759" i="6"/>
  <c r="E840" i="6"/>
  <c r="C829" i="6"/>
  <c r="D829" i="6" s="1"/>
  <c r="C828" i="6"/>
  <c r="D828" i="6" s="1"/>
  <c r="G754" i="6"/>
  <c r="H754" i="6" s="1"/>
  <c r="I766" i="6"/>
  <c r="G755" i="6"/>
  <c r="H755" i="6" s="1"/>
  <c r="E708" i="6"/>
  <c r="C696" i="6"/>
  <c r="D696" i="6" s="1"/>
  <c r="C697" i="6"/>
  <c r="D697" i="6" s="1"/>
  <c r="E720" i="6"/>
  <c r="I758" i="6"/>
  <c r="G549" i="6"/>
  <c r="H549" i="6" s="1"/>
  <c r="I561" i="6"/>
  <c r="E554" i="6"/>
  <c r="C542" i="6"/>
  <c r="D542" i="6" s="1"/>
  <c r="C543" i="6"/>
  <c r="D543" i="6" s="1"/>
  <c r="C442" i="6"/>
  <c r="D442" i="6" s="1"/>
  <c r="E454" i="6"/>
  <c r="I559" i="6"/>
  <c r="G547" i="6"/>
  <c r="H547" i="6" s="1"/>
  <c r="I455" i="6"/>
  <c r="G443" i="6"/>
  <c r="H443" i="6" s="1"/>
  <c r="E547" i="6"/>
  <c r="C535" i="6"/>
  <c r="D535" i="6" s="1"/>
  <c r="G285" i="6"/>
  <c r="H285" i="6" s="1"/>
  <c r="I297" i="6"/>
  <c r="I558" i="6"/>
  <c r="G546" i="6"/>
  <c r="H546" i="6" s="1"/>
  <c r="C358" i="6"/>
  <c r="D358" i="6" s="1"/>
  <c r="E370" i="6"/>
  <c r="C359" i="6"/>
  <c r="D359" i="6" s="1"/>
  <c r="I158" i="6"/>
  <c r="G146" i="6"/>
  <c r="H146" i="6" s="1"/>
  <c r="G286" i="6"/>
  <c r="H286" i="6" s="1"/>
  <c r="C667" i="6"/>
  <c r="D667" i="6" s="1"/>
  <c r="E163" i="6"/>
  <c r="I460" i="6"/>
  <c r="C334" i="6"/>
  <c r="D334" i="6" s="1"/>
  <c r="E346" i="6"/>
  <c r="E82" i="6"/>
  <c r="D34" i="6"/>
  <c r="C170" i="6"/>
  <c r="D170" i="6" s="1"/>
  <c r="E182" i="6"/>
  <c r="G237" i="6"/>
  <c r="H237" i="6" s="1"/>
  <c r="I249" i="6"/>
  <c r="I237" i="6"/>
  <c r="G238" i="6"/>
  <c r="H238" i="6" s="1"/>
  <c r="G41" i="6"/>
  <c r="H41" i="6" s="1"/>
  <c r="I53" i="6"/>
  <c r="I498" i="6"/>
  <c r="G486" i="6"/>
  <c r="H486" i="6" s="1"/>
  <c r="G487" i="6"/>
  <c r="H487" i="6" s="1"/>
  <c r="I337" i="6"/>
  <c r="I60" i="6"/>
  <c r="G48" i="6"/>
  <c r="H48" i="6" s="1"/>
  <c r="I254" i="6"/>
  <c r="E261" i="6"/>
  <c r="C249" i="6"/>
  <c r="D249" i="6" s="1"/>
  <c r="G150" i="6"/>
  <c r="H150" i="6" s="1"/>
  <c r="I162" i="6"/>
  <c r="C500" i="6"/>
  <c r="D500" i="6" s="1"/>
  <c r="C805" i="6"/>
  <c r="D805" i="6" s="1"/>
  <c r="E123" i="6"/>
  <c r="I206" i="6"/>
  <c r="G117" i="6"/>
  <c r="H117" i="6" s="1"/>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<sst xmlns="http://schemas.openxmlformats.org/spreadsheetml/2006/main" count="792" uniqueCount="563">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</sst>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1" fillId="0" borderId="0"/>
    <xf numFmtId="9" fontId="6" fillId="0" borderId="0"/>
    <xf numFmtId="0" fontId="10" fillId="0" borderId="0"/>
  </cellStyleXfs>
  <cellXfs count="90">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4" fillId="8" borderId="20" xfId="0" applyFont="1" applyFill="1" applyBorder="1" applyAlignment="1">
      <alignment horizontal="center" textRotation="90"/>
    </xf>
    <xf numFmtId="2" fontId="5" fillId="8" borderId="20" xfId="0" applyNumberFormat="1" applyFont="1" applyFill="1" applyBorder="1" applyAlignment="1">
      <alignment horizontal="center" vertical="center"/>
    </xf>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164" fontId="0" fillId="2" borderId="0" xfId="0" applyNumberFormat="1" applyFill="1" applyAlignment="1">
      <alignment horizontal="left" vertical="center" wrapText="1"/>
    </xf>
    <xf numFmtId="0" fontId="0" fillId="2" borderId="0" xfId="0" applyFill="1"/>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xf numFmtId="0" fontId="0" fillId="2" borderId="0" xfId="0" applyFill="1" applyAlignment="1">
      <alignment wrapText="1"/>
    </xf>
    <xf numFmtId="164" fontId="13" fillId="2" borderId="0" xfId="0" applyNumberFormat="1" applyFont="1" applyFill="1" applyAlignment="1">
      <alignment horizontal="left" vertical="center" wrapText="1"/>
    </xf>
  </cellXfs>
  <cellStyles count="4">
    <cellStyle name="Hyperlink" xfId="1" builtinId="8"/>
    <cellStyle name="Normal" xfId="0" builtinId="0"/>
    <cellStyle name="Normal 2" xfId="3" xr:uid="{00000000-0005-0000-0000-000003000000}"/>
    <cellStyle name="Per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United States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Country!$E$707:$E$950</c:f>
              <c:numCache>
                <c:formatCode>0.00%</c:formatCode>
                <c:ptCount val="244"/>
                <c:pt idx="0">
                  <c:v>8.1852028862257398E-2</c:v>
                </c:pt>
                <c:pt idx="1">
                  <c:v>0.10127843480629287</c:v>
                </c:pt>
                <c:pt idx="2">
                  <c:v>9.5608277641027278E-2</c:v>
                </c:pt>
                <c:pt idx="3">
                  <c:v>0.10194248713306381</c:v>
                </c:pt>
                <c:pt idx="4">
                  <c:v>9.0998280544604945E-2</c:v>
                </c:pt>
                <c:pt idx="5">
                  <c:v>8.3675274410206335E-2</c:v>
                </c:pt>
                <c:pt idx="6">
                  <c:v>7.5772514915858749E-2</c:v>
                </c:pt>
                <c:pt idx="7">
                  <c:v>8.3348746506103813E-2</c:v>
                </c:pt>
                <c:pt idx="8">
                  <c:v>9.2356591205155922E-2</c:v>
                </c:pt>
                <c:pt idx="9">
                  <c:v>8.6192503819988442E-2</c:v>
                </c:pt>
                <c:pt idx="10">
                  <c:v>7.2877962811191188E-2</c:v>
                </c:pt>
                <c:pt idx="11">
                  <c:v>6.4010359363679187E-2</c:v>
                </c:pt>
                <c:pt idx="12">
                  <c:v>4.9003214086290735E-2</c:v>
                </c:pt>
                <c:pt idx="13">
                  <c:v>4.1565369447405978E-2</c:v>
                </c:pt>
                <c:pt idx="14">
                  <c:v>3.986032104095507E-2</c:v>
                </c:pt>
                <c:pt idx="15">
                  <c:v>4.26462243245068E-2</c:v>
                </c:pt>
                <c:pt idx="16">
                  <c:v>7.1725416842302422E-2</c:v>
                </c:pt>
                <c:pt idx="17">
                  <c:v>6.2358614913721168E-2</c:v>
                </c:pt>
                <c:pt idx="18">
                  <c:v>6.3113655516684131E-2</c:v>
                </c:pt>
                <c:pt idx="19">
                  <c:v>6.6534758709195257E-2</c:v>
                </c:pt>
                <c:pt idx="20">
                  <c:v>6.1540232420808208E-2</c:v>
                </c:pt>
                <c:pt idx="21">
                  <c:v>7.655596818219422E-2</c:v>
                </c:pt>
                <c:pt idx="22">
                  <c:v>9.4846516996957633E-2</c:v>
                </c:pt>
                <c:pt idx="23">
                  <c:v>0.10448176112759584</c:v>
                </c:pt>
                <c:pt idx="24">
                  <c:v>0.10613373748271458</c:v>
                </c:pt>
                <c:pt idx="25">
                  <c:v>0.10433302400702704</c:v>
                </c:pt>
                <c:pt idx="26">
                  <c:v>0.10427731888918265</c:v>
                </c:pt>
                <c:pt idx="27">
                  <c:v>0.11137945132802514</c:v>
                </c:pt>
                <c:pt idx="28">
                  <c:v>8.2804872902506668E-2</c:v>
                </c:pt>
                <c:pt idx="29">
                  <c:v>8.8685777527894874E-2</c:v>
                </c:pt>
                <c:pt idx="30">
                  <c:v>9.06517448801889E-2</c:v>
                </c:pt>
                <c:pt idx="31">
                  <c:v>8.8832316241101134E-2</c:v>
                </c:pt>
                <c:pt idx="32">
                  <c:v>9.1851102047351627E-2</c:v>
                </c:pt>
                <c:pt idx="33">
                  <c:v>7.7989002093865945E-2</c:v>
                </c:pt>
                <c:pt idx="34">
                  <c:v>6.3695614786196217E-2</c:v>
                </c:pt>
                <c:pt idx="35">
                  <c:v>6.1637919066985021E-2</c:v>
                </c:pt>
                <c:pt idx="36">
                  <c:v>7.3076427856868395E-2</c:v>
                </c:pt>
                <c:pt idx="37">
                  <c:v>7.0254166608401156E-2</c:v>
                </c:pt>
                <c:pt idx="38">
                  <c:v>7.2906431003940828E-2</c:v>
                </c:pt>
                <c:pt idx="39">
                  <c:v>6.1337845021838699E-2</c:v>
                </c:pt>
                <c:pt idx="40">
                  <c:v>6.5146879708764344E-2</c:v>
                </c:pt>
                <c:pt idx="41">
                  <c:v>8.297511805291756E-2</c:v>
                </c:pt>
                <c:pt idx="42">
                  <c:v>8.8844451066039984E-2</c:v>
                </c:pt>
                <c:pt idx="43">
                  <c:v>8.1682356988391935E-2</c:v>
                </c:pt>
                <c:pt idx="44">
                  <c:v>7.8824488488118419E-2</c:v>
                </c:pt>
                <c:pt idx="45">
                  <c:v>7.7119340215853732E-2</c:v>
                </c:pt>
                <c:pt idx="46">
                  <c:v>7.3156887450763222E-2</c:v>
                </c:pt>
                <c:pt idx="47">
                  <c:v>7.4004655163269248E-2</c:v>
                </c:pt>
                <c:pt idx="48">
                  <c:v>7.7512320799707712E-2</c:v>
                </c:pt>
                <c:pt idx="49">
                  <c:v>7.8890398715762755E-2</c:v>
                </c:pt>
                <c:pt idx="50">
                  <c:v>8.3855066968783115E-2</c:v>
                </c:pt>
                <c:pt idx="51">
                  <c:v>9.3833841518548233E-2</c:v>
                </c:pt>
                <c:pt idx="52">
                  <c:v>9.6560199847748357E-2</c:v>
                </c:pt>
                <c:pt idx="53">
                  <c:v>9.1634851009418733E-2</c:v>
                </c:pt>
                <c:pt idx="54">
                  <c:v>9.319357056594052E-2</c:v>
                </c:pt>
                <c:pt idx="55">
                  <c:v>9.5360200915829377E-2</c:v>
                </c:pt>
                <c:pt idx="56">
                  <c:v>8.8562354307606991E-2</c:v>
                </c:pt>
                <c:pt idx="57">
                  <c:v>8.9628822433402491E-2</c:v>
                </c:pt>
                <c:pt idx="58">
                  <c:v>9.1507336126425892E-2</c:v>
                </c:pt>
                <c:pt idx="59">
                  <c:v>8.1699504443576793E-2</c:v>
                </c:pt>
                <c:pt idx="60">
                  <c:v>7.2407235635494713E-2</c:v>
                </c:pt>
                <c:pt idx="61">
                  <c:v>7.5466878684093561E-2</c:v>
                </c:pt>
                <c:pt idx="62">
                  <c:v>7.6102506430301031E-2</c:v>
                </c:pt>
                <c:pt idx="63">
                  <c:v>7.9128102083151491E-2</c:v>
                </c:pt>
                <c:pt idx="64">
                  <c:v>8.0929933821431543E-2</c:v>
                </c:pt>
                <c:pt idx="65">
                  <c:v>7.2045121128363976E-2</c:v>
                </c:pt>
                <c:pt idx="66">
                  <c:v>6.8141632560683577E-2</c:v>
                </c:pt>
                <c:pt idx="67">
                  <c:v>7.1404788725940541E-2</c:v>
                </c:pt>
                <c:pt idx="68">
                  <c:v>7.9470191595294504E-2</c:v>
                </c:pt>
                <c:pt idx="69">
                  <c:v>7.5814109108703134E-2</c:v>
                </c:pt>
                <c:pt idx="70">
                  <c:v>8.1022433224178528E-2</c:v>
                </c:pt>
                <c:pt idx="71">
                  <c:v>8.8083348489943966E-2</c:v>
                </c:pt>
                <c:pt idx="72">
                  <c:v>9.5787803789111087E-2</c:v>
                </c:pt>
                <c:pt idx="73">
                  <c:v>8.7773982802670958E-2</c:v>
                </c:pt>
                <c:pt idx="74">
                  <c:v>7.4598899933748547E-2</c:v>
                </c:pt>
                <c:pt idx="75">
                  <c:v>6.5653875542462631E-2</c:v>
                </c:pt>
                <c:pt idx="76">
                  <c:v>6.582305795006492E-2</c:v>
                </c:pt>
                <c:pt idx="77">
                  <c:v>7.6374475260238633E-2</c:v>
                </c:pt>
                <c:pt idx="78">
                  <c:v>8.7933843072932616E-2</c:v>
                </c:pt>
                <c:pt idx="79">
                  <c:v>8.0450822784557202E-2</c:v>
                </c:pt>
                <c:pt idx="80">
                  <c:v>7.2821361011795829E-2</c:v>
                </c:pt>
                <c:pt idx="81">
                  <c:v>7.1594571794984324E-2</c:v>
                </c:pt>
                <c:pt idx="82">
                  <c:v>7.0004727692653465E-2</c:v>
                </c:pt>
                <c:pt idx="83">
                  <c:v>8.5330613468166491E-2</c:v>
                </c:pt>
                <c:pt idx="84">
                  <c:v>9.2187483680207072E-2</c:v>
                </c:pt>
                <c:pt idx="85">
                  <c:v>0.10128222052749496</c:v>
                </c:pt>
                <c:pt idx="86">
                  <c:v>0.11291799839622389</c:v>
                </c:pt>
                <c:pt idx="87">
                  <c:v>0.11869618870119442</c:v>
                </c:pt>
                <c:pt idx="88">
                  <c:v>0.11722202591228652</c:v>
                </c:pt>
                <c:pt idx="89">
                  <c:v>0.1090113757003696</c:v>
                </c:pt>
                <c:pt idx="90">
                  <c:v>9.7884002855019206E-2</c:v>
                </c:pt>
                <c:pt idx="91">
                  <c:v>0.10679309952564557</c:v>
                </c:pt>
                <c:pt idx="92">
                  <c:v>0.11198494853755059</c:v>
                </c:pt>
                <c:pt idx="93">
                  <c:v>0.11898831176277326</c:v>
                </c:pt>
                <c:pt idx="94">
                  <c:v>0.12984347328506918</c:v>
                </c:pt>
                <c:pt idx="95">
                  <c:v>0.11919709823735021</c:v>
                </c:pt>
                <c:pt idx="96">
                  <c:v>0.10345678969413817</c:v>
                </c:pt>
                <c:pt idx="97">
                  <c:v>0.1025911901088582</c:v>
                </c:pt>
                <c:pt idx="98">
                  <c:v>0.10234564149145782</c:v>
                </c:pt>
                <c:pt idx="99">
                  <c:v>0.10849549497925295</c:v>
                </c:pt>
                <c:pt idx="100">
                  <c:v>0.1214701352045182</c:v>
                </c:pt>
                <c:pt idx="101">
                  <c:v>0.1538509421788764</c:v>
                </c:pt>
                <c:pt idx="102">
                  <c:v>0.15849034733468165</c:v>
                </c:pt>
                <c:pt idx="103">
                  <c:v>0.17896434450544407</c:v>
                </c:pt>
                <c:pt idx="104">
                  <c:v>0.24518875137917898</c:v>
                </c:pt>
                <c:pt idx="105">
                  <c:v>0.25240313255109026</c:v>
                </c:pt>
                <c:pt idx="106">
                  <c:v>0.2161873890622934</c:v>
                </c:pt>
                <c:pt idx="107">
                  <c:v>0.20301772783781499</c:v>
                </c:pt>
                <c:pt idx="108">
                  <c:v>0.20353670642736707</c:v>
                </c:pt>
                <c:pt idx="109">
                  <c:v>0.19671642631551767</c:v>
                </c:pt>
                <c:pt idx="110">
                  <c:v>0.19712944376293337</c:v>
                </c:pt>
                <c:pt idx="111">
                  <c:v>0.19502290134367234</c:v>
                </c:pt>
                <c:pt idx="112">
                  <c:v>0.1871164703338892</c:v>
                </c:pt>
                <c:pt idx="113">
                  <c:v>0.15720104426460063</c:v>
                </c:pt>
                <c:pt idx="114">
                  <c:v>0.16646740277094033</c:v>
                </c:pt>
                <c:pt idx="115">
                  <c:v>0.15008483934390907</c:v>
                </c:pt>
                <c:pt idx="116">
                  <c:v>9.2620891605594058E-2</c:v>
                </c:pt>
                <c:pt idx="117">
                  <c:v>8.5528686956979141E-2</c:v>
                </c:pt>
                <c:pt idx="118">
                  <c:v>0.1056183787958057</c:v>
                </c:pt>
                <c:pt idx="119">
                  <c:v>0.11836083100345217</c:v>
                </c:pt>
                <c:pt idx="120">
                  <c:v>0.1215363174022536</c:v>
                </c:pt>
                <c:pt idx="121">
                  <c:v>0.12367382391636406</c:v>
                </c:pt>
                <c:pt idx="122">
                  <c:v>0.11859171129861661</c:v>
                </c:pt>
                <c:pt idx="123">
                  <c:v>0.10936707797829835</c:v>
                </c:pt>
                <c:pt idx="124">
                  <c:v>0.11390007253176183</c:v>
                </c:pt>
                <c:pt idx="125">
                  <c:v>0.12622400244942233</c:v>
                </c:pt>
                <c:pt idx="126">
                  <c:v>0.11764113567398171</c:v>
                </c:pt>
                <c:pt idx="127">
                  <c:v>0.1177038647107799</c:v>
                </c:pt>
                <c:pt idx="128">
                  <c:v>0.11748355783042697</c:v>
                </c:pt>
                <c:pt idx="129">
                  <c:v>0.11889613749824259</c:v>
                </c:pt>
                <c:pt idx="130">
                  <c:v>0.14026299870973885</c:v>
                </c:pt>
                <c:pt idx="131">
                  <c:v>0.14599329045264897</c:v>
                </c:pt>
                <c:pt idx="132">
                  <c:v>0.14973734284346799</c:v>
                </c:pt>
                <c:pt idx="133">
                  <c:v>0.15610966186525208</c:v>
                </c:pt>
                <c:pt idx="134">
                  <c:v>0.16190303792299965</c:v>
                </c:pt>
                <c:pt idx="135">
                  <c:v>0.17140130880264973</c:v>
                </c:pt>
                <c:pt idx="136">
                  <c:v>0.16592877048354918</c:v>
                </c:pt>
                <c:pt idx="137">
                  <c:v>0.17525326262677113</c:v>
                </c:pt>
                <c:pt idx="138">
                  <c:v>0.1895169811824429</c:v>
                </c:pt>
                <c:pt idx="139">
                  <c:v>0.19252667273178392</c:v>
                </c:pt>
                <c:pt idx="140">
                  <c:v>0.19582559521826798</c:v>
                </c:pt>
                <c:pt idx="141">
                  <c:v>0.19890019408339715</c:v>
                </c:pt>
                <c:pt idx="142">
                  <c:v>0.21312542139015636</c:v>
                </c:pt>
                <c:pt idx="143">
                  <c:v>0.36080916035262944</c:v>
                </c:pt>
                <c:pt idx="144">
                  <c:v>0.48690805508582369</c:v>
                </c:pt>
                <c:pt idx="145">
                  <c:v>0.54438536949069305</c:v>
                </c:pt>
                <c:pt idx="146">
                  <c:v>0.61144507099599454</c:v>
                </c:pt>
                <c:pt idx="147">
                  <c:v>0.69971088531947523</c:v>
                </c:pt>
                <c:pt idx="148">
                  <c:v>0.73495929042087604</c:v>
                </c:pt>
                <c:pt idx="149">
                  <c:v>0.78618396784334832</c:v>
                </c:pt>
                <c:pt idx="150">
                  <c:v>0.79602034709754632</c:v>
                </c:pt>
                <c:pt idx="151">
                  <c:v>0.80207608009150988</c:v>
                </c:pt>
                <c:pt idx="152">
                  <c:v>0.83452492991749938</c:v>
                </c:pt>
                <c:pt idx="153">
                  <c:v>0.85514812880657198</c:v>
                </c:pt>
                <c:pt idx="154">
                  <c:v>0.84389283460105957</c:v>
                </c:pt>
                <c:pt idx="155">
                  <c:v>0.64269603335730729</c:v>
                </c:pt>
              </c:numCache>
            </c:numRef>
          </c:val>
          <c:extLst>
            <c:ext xmlns:c16="http://schemas.microsoft.com/office/drawing/2014/chart" uri="{C3380CC4-5D6E-409C-BE32-E72D297353CC}">
              <c16:uniqueId val="{00000000-A464-4E16-84B1-BC388B3E9A4E}"/>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United States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Country!$I$707:$I$950</c:f>
              <c:numCache>
                <c:formatCode>0.00%</c:formatCode>
                <c:ptCount val="244"/>
                <c:pt idx="0">
                  <c:v>7.7906156600745874E-2</c:v>
                </c:pt>
                <c:pt idx="1">
                  <c:v>8.1762239150786897E-2</c:v>
                </c:pt>
                <c:pt idx="2">
                  <c:v>8.8246779097560318E-2</c:v>
                </c:pt>
                <c:pt idx="3">
                  <c:v>9.1974717197165171E-2</c:v>
                </c:pt>
                <c:pt idx="4">
                  <c:v>9.131256879476457E-2</c:v>
                </c:pt>
                <c:pt idx="5">
                  <c:v>8.6962028108735864E-2</c:v>
                </c:pt>
                <c:pt idx="6">
                  <c:v>7.3214997685070088E-2</c:v>
                </c:pt>
                <c:pt idx="7">
                  <c:v>6.7780692275743001E-2</c:v>
                </c:pt>
                <c:pt idx="8">
                  <c:v>6.0673914346279195E-2</c:v>
                </c:pt>
                <c:pt idx="9">
                  <c:v>4.8784986328461719E-2</c:v>
                </c:pt>
                <c:pt idx="10">
                  <c:v>4.8906151625002718E-2</c:v>
                </c:pt>
                <c:pt idx="11">
                  <c:v>5.4484637488552971E-2</c:v>
                </c:pt>
                <c:pt idx="12">
                  <c:v>3.6526977618706095E-2</c:v>
                </c:pt>
                <c:pt idx="13">
                  <c:v>3.6832913640164638E-2</c:v>
                </c:pt>
                <c:pt idx="14">
                  <c:v>3.6556348376065299E-2</c:v>
                </c:pt>
                <c:pt idx="15">
                  <c:v>4.2467904985415486E-2</c:v>
                </c:pt>
                <c:pt idx="16">
                  <c:v>4.4509005151897076E-2</c:v>
                </c:pt>
                <c:pt idx="17">
                  <c:v>4.8640488014223521E-2</c:v>
                </c:pt>
                <c:pt idx="18">
                  <c:v>5.1150464387101219E-2</c:v>
                </c:pt>
                <c:pt idx="19">
                  <c:v>6.0605895385256285E-2</c:v>
                </c:pt>
                <c:pt idx="20">
                  <c:v>6.9595378614518963E-2</c:v>
                </c:pt>
                <c:pt idx="21">
                  <c:v>8.9421884753183065E-2</c:v>
                </c:pt>
                <c:pt idx="22">
                  <c:v>9.7469412855242438E-2</c:v>
                </c:pt>
                <c:pt idx="23">
                  <c:v>9.5207818818213386E-2</c:v>
                </c:pt>
                <c:pt idx="24">
                  <c:v>9.7746925552704797E-2</c:v>
                </c:pt>
                <c:pt idx="25">
                  <c:v>9.5887240090903963E-2</c:v>
                </c:pt>
                <c:pt idx="26">
                  <c:v>9.3509503914584305E-2</c:v>
                </c:pt>
                <c:pt idx="27">
                  <c:v>9.6639070976491895E-2</c:v>
                </c:pt>
                <c:pt idx="28">
                  <c:v>9.095456193825785E-2</c:v>
                </c:pt>
                <c:pt idx="29">
                  <c:v>8.90645532805798E-2</c:v>
                </c:pt>
                <c:pt idx="30">
                  <c:v>8.7014312195559981E-2</c:v>
                </c:pt>
                <c:pt idx="31">
                  <c:v>8.1348504974804489E-2</c:v>
                </c:pt>
                <c:pt idx="32">
                  <c:v>7.6488105439097606E-2</c:v>
                </c:pt>
                <c:pt idx="33">
                  <c:v>6.0118586030468241E-2</c:v>
                </c:pt>
                <c:pt idx="34">
                  <c:v>5.2434743151296224E-2</c:v>
                </c:pt>
                <c:pt idx="35">
                  <c:v>5.2653768872655327E-2</c:v>
                </c:pt>
                <c:pt idx="36">
                  <c:v>6.3730134212504091E-2</c:v>
                </c:pt>
                <c:pt idx="37">
                  <c:v>6.5517571070000474E-2</c:v>
                </c:pt>
                <c:pt idx="38">
                  <c:v>6.539548496606673E-2</c:v>
                </c:pt>
                <c:pt idx="39">
                  <c:v>6.1448787078165007E-2</c:v>
                </c:pt>
                <c:pt idx="40">
                  <c:v>6.2006077206207752E-2</c:v>
                </c:pt>
                <c:pt idx="41">
                  <c:v>6.1119923014177908E-2</c:v>
                </c:pt>
                <c:pt idx="42">
                  <c:v>6.7353431026012781E-2</c:v>
                </c:pt>
                <c:pt idx="43">
                  <c:v>7.0578097357615499E-2</c:v>
                </c:pt>
                <c:pt idx="44">
                  <c:v>7.5031743219362443E-2</c:v>
                </c:pt>
                <c:pt idx="45">
                  <c:v>7.7779939952953944E-2</c:v>
                </c:pt>
                <c:pt idx="46">
                  <c:v>7.4983836365239434E-2</c:v>
                </c:pt>
                <c:pt idx="47">
                  <c:v>7.1228591450183801E-2</c:v>
                </c:pt>
                <c:pt idx="48">
                  <c:v>6.9954968827693753E-2</c:v>
                </c:pt>
                <c:pt idx="49">
                  <c:v>7.7071455437197497E-2</c:v>
                </c:pt>
                <c:pt idx="50">
                  <c:v>8.5095823982456575E-2</c:v>
                </c:pt>
                <c:pt idx="51">
                  <c:v>8.9146039757112883E-2</c:v>
                </c:pt>
                <c:pt idx="52">
                  <c:v>9.0411451913512381E-2</c:v>
                </c:pt>
                <c:pt idx="53">
                  <c:v>8.9412978508122617E-2</c:v>
                </c:pt>
                <c:pt idx="54">
                  <c:v>9.3245392964957777E-2</c:v>
                </c:pt>
                <c:pt idx="55">
                  <c:v>9.1655513581600456E-2</c:v>
                </c:pt>
                <c:pt idx="56">
                  <c:v>8.6544019886381746E-2</c:v>
                </c:pt>
                <c:pt idx="57">
                  <c:v>8.6431938610806738E-2</c:v>
                </c:pt>
                <c:pt idx="58">
                  <c:v>8.6737942647053007E-2</c:v>
                </c:pt>
                <c:pt idx="59">
                  <c:v>8.7084283722947728E-2</c:v>
                </c:pt>
                <c:pt idx="60">
                  <c:v>8.4986426969079917E-2</c:v>
                </c:pt>
                <c:pt idx="61">
                  <c:v>7.6930185944231788E-2</c:v>
                </c:pt>
                <c:pt idx="62">
                  <c:v>7.1425401538831354E-2</c:v>
                </c:pt>
                <c:pt idx="63">
                  <c:v>7.1807898148847998E-2</c:v>
                </c:pt>
                <c:pt idx="64">
                  <c:v>7.6089877423316563E-2</c:v>
                </c:pt>
                <c:pt idx="65">
                  <c:v>7.6673566931873854E-2</c:v>
                </c:pt>
                <c:pt idx="66">
                  <c:v>7.2664556020353072E-2</c:v>
                </c:pt>
                <c:pt idx="67">
                  <c:v>7.665709173797905E-2</c:v>
                </c:pt>
                <c:pt idx="68">
                  <c:v>8.4105216235891039E-2</c:v>
                </c:pt>
                <c:pt idx="69">
                  <c:v>8.971550797224942E-2</c:v>
                </c:pt>
                <c:pt idx="70">
                  <c:v>9.1761132678119375E-2</c:v>
                </c:pt>
                <c:pt idx="71">
                  <c:v>9.4454733104175431E-2</c:v>
                </c:pt>
                <c:pt idx="72">
                  <c:v>9.81033394024831E-2</c:v>
                </c:pt>
                <c:pt idx="73">
                  <c:v>0.100392412659265</c:v>
                </c:pt>
                <c:pt idx="74">
                  <c:v>9.8426620757926048E-2</c:v>
                </c:pt>
                <c:pt idx="75">
                  <c:v>9.6685515086805549E-2</c:v>
                </c:pt>
                <c:pt idx="76">
                  <c:v>9.1251578289942625E-2</c:v>
                </c:pt>
                <c:pt idx="77">
                  <c:v>9.0300325485732469E-2</c:v>
                </c:pt>
                <c:pt idx="78">
                  <c:v>9.7152503973690935E-2</c:v>
                </c:pt>
                <c:pt idx="79">
                  <c:v>9.7396367222881253E-2</c:v>
                </c:pt>
                <c:pt idx="80">
                  <c:v>8.9542893541662893E-2</c:v>
                </c:pt>
                <c:pt idx="81">
                  <c:v>8.3356220552851953E-2</c:v>
                </c:pt>
                <c:pt idx="82">
                  <c:v>8.4127645520424926E-2</c:v>
                </c:pt>
                <c:pt idx="83">
                  <c:v>9.5055328290154992E-2</c:v>
                </c:pt>
                <c:pt idx="84">
                  <c:v>9.4190396750148717E-2</c:v>
                </c:pt>
                <c:pt idx="85">
                  <c:v>0.1001857628610896</c:v>
                </c:pt>
                <c:pt idx="86">
                  <c:v>0.10786803349724076</c:v>
                </c:pt>
                <c:pt idx="87">
                  <c:v>0.10805648705117822</c:v>
                </c:pt>
                <c:pt idx="88">
                  <c:v>0.10626954614841627</c:v>
                </c:pt>
                <c:pt idx="89">
                  <c:v>0.1044813158697208</c:v>
                </c:pt>
                <c:pt idx="90">
                  <c:v>0.10113653404830604</c:v>
                </c:pt>
                <c:pt idx="91">
                  <c:v>0.10281704049931731</c:v>
                </c:pt>
                <c:pt idx="92">
                  <c:v>0.11042894260764745</c:v>
                </c:pt>
                <c:pt idx="93">
                  <c:v>0.11840471465769731</c:v>
                </c:pt>
                <c:pt idx="94">
                  <c:v>0.12151821161409379</c:v>
                </c:pt>
                <c:pt idx="95">
                  <c:v>0.11590524460462584</c:v>
                </c:pt>
                <c:pt idx="96">
                  <c:v>0.11027161347066677</c:v>
                </c:pt>
                <c:pt idx="97">
                  <c:v>0.10783085309033653</c:v>
                </c:pt>
                <c:pt idx="98">
                  <c:v>0.10405679997679682</c:v>
                </c:pt>
                <c:pt idx="99">
                  <c:v>0.11194533752618074</c:v>
                </c:pt>
                <c:pt idx="100">
                  <c:v>0.11802552315836635</c:v>
                </c:pt>
                <c:pt idx="101">
                  <c:v>0.13605456841323288</c:v>
                </c:pt>
                <c:pt idx="102">
                  <c:v>0.14107430710831467</c:v>
                </c:pt>
                <c:pt idx="103">
                  <c:v>0.16364026220166911</c:v>
                </c:pt>
                <c:pt idx="104">
                  <c:v>0.22509645523938998</c:v>
                </c:pt>
                <c:pt idx="105">
                  <c:v>0.22640941691795163</c:v>
                </c:pt>
                <c:pt idx="106">
                  <c:v>0.19176810129380978</c:v>
                </c:pt>
                <c:pt idx="107">
                  <c:v>0.18216883004567858</c:v>
                </c:pt>
                <c:pt idx="108">
                  <c:v>0.17589415304922304</c:v>
                </c:pt>
                <c:pt idx="109">
                  <c:v>0.16719715103041624</c:v>
                </c:pt>
                <c:pt idx="110">
                  <c:v>0.16195281382438273</c:v>
                </c:pt>
                <c:pt idx="111">
                  <c:v>0.15605035722125546</c:v>
                </c:pt>
                <c:pt idx="112">
                  <c:v>0.15819839664188357</c:v>
                </c:pt>
                <c:pt idx="113">
                  <c:v>0.14802326930697834</c:v>
                </c:pt>
                <c:pt idx="114">
                  <c:v>0.15956561868884156</c:v>
                </c:pt>
                <c:pt idx="115">
                  <c:v>0.1491077145957517</c:v>
                </c:pt>
                <c:pt idx="116">
                  <c:v>9.5062088124822919E-2</c:v>
                </c:pt>
                <c:pt idx="117">
                  <c:v>8.8132524514158594E-2</c:v>
                </c:pt>
                <c:pt idx="118">
                  <c:v>0.11213677048486255</c:v>
                </c:pt>
                <c:pt idx="119">
                  <c:v>0.11725710211779984</c:v>
                </c:pt>
                <c:pt idx="120">
                  <c:v>0.12151878362174841</c:v>
                </c:pt>
                <c:pt idx="121">
                  <c:v>0.12297686714430241</c:v>
                </c:pt>
                <c:pt idx="122">
                  <c:v>0.12786267156080453</c:v>
                </c:pt>
                <c:pt idx="123">
                  <c:v>0.12003194744332372</c:v>
                </c:pt>
                <c:pt idx="124">
                  <c:v>0.11753307419924114</c:v>
                </c:pt>
                <c:pt idx="125">
                  <c:v>0.12989871211239876</c:v>
                </c:pt>
                <c:pt idx="126">
                  <c:v>0.11956518348889975</c:v>
                </c:pt>
                <c:pt idx="127">
                  <c:v>0.11555352668746605</c:v>
                </c:pt>
                <c:pt idx="128">
                  <c:v>0.11587089829060757</c:v>
                </c:pt>
                <c:pt idx="129">
                  <c:v>0.11815557822990905</c:v>
                </c:pt>
                <c:pt idx="130">
                  <c:v>0.13444002387820686</c:v>
                </c:pt>
                <c:pt idx="131">
                  <c:v>0.14191213061356656</c:v>
                </c:pt>
                <c:pt idx="132">
                  <c:v>0.15202780831616663</c:v>
                </c:pt>
                <c:pt idx="133">
                  <c:v>0.15769100802972202</c:v>
                </c:pt>
                <c:pt idx="134">
                  <c:v>0.16319846709411154</c:v>
                </c:pt>
                <c:pt idx="135">
                  <c:v>0.16940368244558004</c:v>
                </c:pt>
                <c:pt idx="136">
                  <c:v>0.16248949255792136</c:v>
                </c:pt>
                <c:pt idx="137">
                  <c:v>0.1664942215410688</c:v>
                </c:pt>
                <c:pt idx="138">
                  <c:v>0.16156062890516595</c:v>
                </c:pt>
                <c:pt idx="139">
                  <c:v>0.15204646154778198</c:v>
                </c:pt>
                <c:pt idx="140">
                  <c:v>0.15636958539646065</c:v>
                </c:pt>
                <c:pt idx="141">
                  <c:v>0.15979472981531248</c:v>
                </c:pt>
                <c:pt idx="142">
                  <c:v>0.16986647256716542</c:v>
                </c:pt>
                <c:pt idx="143">
                  <c:v>0.31071132372404875</c:v>
                </c:pt>
                <c:pt idx="144">
                  <c:v>0.39740897331764463</c:v>
                </c:pt>
                <c:pt idx="145">
                  <c:v>0.44100954139735293</c:v>
                </c:pt>
                <c:pt idx="146">
                  <c:v>0.48652055572169312</c:v>
                </c:pt>
                <c:pt idx="147">
                  <c:v>0.53042579776051146</c:v>
                </c:pt>
                <c:pt idx="148">
                  <c:v>0.57192322717353994</c:v>
                </c:pt>
                <c:pt idx="149">
                  <c:v>0.58841846331934589</c:v>
                </c:pt>
                <c:pt idx="150">
                  <c:v>0.63767828130418958</c:v>
                </c:pt>
                <c:pt idx="151">
                  <c:v>0.67921061878365874</c:v>
                </c:pt>
                <c:pt idx="152">
                  <c:v>0.69668230826487498</c:v>
                </c:pt>
                <c:pt idx="153">
                  <c:v>0.71718986218556846</c:v>
                </c:pt>
                <c:pt idx="154">
                  <c:v>0.70580041425117412</c:v>
                </c:pt>
                <c:pt idx="155">
                  <c:v>0.54278563494295085</c:v>
                </c:pt>
              </c:numCache>
            </c:numRef>
          </c:val>
          <c:smooth val="0"/>
          <c:extLst>
            <c:ext xmlns:c16="http://schemas.microsoft.com/office/drawing/2014/chart" uri="{C3380CC4-5D6E-409C-BE32-E72D297353CC}">
              <c16:uniqueId val="{00000000-DE76-4C7A-8F77-7B85EFB94A8D}"/>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411841</xdr:colOff>
      <xdr:row>798</xdr:row>
      <xdr:rowOff>132443</xdr:rowOff>
    </xdr:from>
    <xdr:to>
      <xdr:col>25</xdr:col>
      <xdr:colOff>142875</xdr:colOff>
      <xdr:row>831</xdr:row>
      <xdr:rowOff>31750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322941</xdr:colOff>
      <xdr:row>835</xdr:row>
      <xdr:rowOff>66674</xdr:rowOff>
    </xdr:from>
    <xdr:to>
      <xdr:col>25</xdr:col>
      <xdr:colOff>190500</xdr:colOff>
      <xdr:row>865</xdr:row>
      <xdr:rowOff>111125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62" totalsRowShown="0" headerRowDxfId="11" dataDxfId="9" headerRowBorderDxfId="10">
  <autoFilter ref="A2:I862" xr:uid="{00000000-0009-0000-0100-000001000000}"/>
  <tableColumns count="9">
    <tableColumn id="1" xr3:uid="{00000000-0010-0000-0000-000001000000}" name="Date" dataDxfId="8">
      <calculatedColumnFormula>IF(Data!A30="",#N/A,Data!A30)</calculatedColumnFormula>
    </tableColumn>
    <tableColumn id="2" xr3:uid="{00000000-0010-0000-0000-000002000000}" name="USA"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zoomScale="120" zoomScaleNormal="120" workbookViewId="0">
      <selection activeCell="T26" sqref="T26"/>
    </sheetView>
  </sheetViews>
  <sheetFormatPr defaultColWidth="9.1796875" defaultRowHeight="14.5" x14ac:dyDescent="0.35"/>
  <cols>
    <col min="1" max="1" width="9.1796875" style="72" customWidth="1"/>
    <col min="2" max="10" width="12.81640625" style="72" customWidth="1"/>
    <col min="11" max="14" width="9.1796875" style="72" customWidth="1"/>
    <col min="15" max="16" width="19.1796875" style="72" customWidth="1"/>
    <col min="17" max="38" width="9.1796875" style="72" customWidth="1"/>
    <col min="39" max="16384" width="9.1796875" style="72"/>
  </cols>
  <sheetData>
    <row r="1" spans="2:16" x14ac:dyDescent="0.35">
      <c r="B1" s="78"/>
      <c r="C1" s="77"/>
      <c r="D1" s="77"/>
      <c r="E1" s="77"/>
      <c r="F1" s="77"/>
      <c r="G1" s="77"/>
      <c r="H1" s="77"/>
      <c r="I1" s="77"/>
      <c r="J1" s="77"/>
    </row>
    <row r="2" spans="2:16" ht="16" customHeight="1" thickBot="1" x14ac:dyDescent="0.4">
      <c r="B2" s="79"/>
      <c r="C2" s="79"/>
      <c r="D2" s="79"/>
      <c r="E2" s="79"/>
      <c r="F2" s="79"/>
      <c r="G2" s="79"/>
      <c r="H2" s="79"/>
      <c r="I2" s="79"/>
      <c r="J2" s="79"/>
    </row>
    <row r="3" spans="2:16" ht="16" customHeight="1" thickBot="1" x14ac:dyDescent="0.4">
      <c r="B3" s="80" t="s">
        <v>0</v>
      </c>
      <c r="C3" s="81"/>
      <c r="D3" s="81"/>
      <c r="E3" s="81"/>
      <c r="F3" s="81"/>
      <c r="G3" s="81"/>
      <c r="H3" s="81"/>
      <c r="I3" s="81"/>
      <c r="J3" s="82"/>
    </row>
    <row r="5" spans="2:16" x14ac:dyDescent="0.35">
      <c r="B5" s="83" t="s">
        <v>1</v>
      </c>
      <c r="C5" s="84"/>
      <c r="D5" s="84"/>
      <c r="E5" s="84"/>
      <c r="F5" s="84"/>
      <c r="G5" s="84"/>
      <c r="H5" s="84"/>
      <c r="I5" s="84"/>
      <c r="J5" s="85"/>
    </row>
    <row r="7" spans="2:16" ht="139.5" customHeight="1" x14ac:dyDescent="0.35">
      <c r="B7" s="86" t="s">
        <v>2</v>
      </c>
      <c r="C7" s="77"/>
      <c r="D7" s="77"/>
      <c r="E7" s="77"/>
      <c r="F7" s="77"/>
      <c r="G7" s="77"/>
      <c r="H7" s="77"/>
      <c r="I7" s="77"/>
      <c r="J7" s="77"/>
    </row>
    <row r="8" spans="2:16" ht="33.75" customHeight="1" x14ac:dyDescent="0.35">
      <c r="B8" s="87" t="s">
        <v>3</v>
      </c>
      <c r="C8" s="77"/>
      <c r="D8" s="77"/>
      <c r="E8" s="77"/>
      <c r="F8" s="77"/>
      <c r="G8" s="77"/>
      <c r="H8" s="77"/>
      <c r="I8" s="77"/>
      <c r="J8" s="77"/>
    </row>
    <row r="9" spans="2:16" x14ac:dyDescent="0.35">
      <c r="B9" s="66"/>
      <c r="C9" s="66"/>
      <c r="D9" s="66"/>
      <c r="E9" s="66"/>
    </row>
    <row r="10" spans="2:16" x14ac:dyDescent="0.35">
      <c r="B10" s="83" t="s">
        <v>4</v>
      </c>
      <c r="C10" s="84"/>
      <c r="D10" s="84"/>
      <c r="E10" s="84"/>
      <c r="F10" s="84"/>
      <c r="G10" s="84"/>
      <c r="H10" s="84"/>
      <c r="I10" s="84"/>
      <c r="J10" s="85"/>
    </row>
    <row r="12" spans="2:16" x14ac:dyDescent="0.35">
      <c r="B12" s="83" t="s">
        <v>5</v>
      </c>
      <c r="C12" s="84"/>
      <c r="D12" s="84"/>
      <c r="E12" s="84"/>
      <c r="F12" s="85"/>
      <c r="G12" s="83" t="s">
        <v>6</v>
      </c>
      <c r="H12" s="84"/>
      <c r="I12" s="84"/>
      <c r="J12" s="85"/>
      <c r="O12" s="73" t="s">
        <v>7</v>
      </c>
      <c r="P12" s="73" t="s">
        <v>8</v>
      </c>
    </row>
    <row r="13" spans="2:16" x14ac:dyDescent="0.35">
      <c r="O13" s="69" t="s">
        <v>9</v>
      </c>
      <c r="P13" s="69" t="s">
        <v>10</v>
      </c>
    </row>
    <row r="14" spans="2:16" x14ac:dyDescent="0.35">
      <c r="B14" s="74" t="s">
        <v>3</v>
      </c>
      <c r="G14" s="77" t="s">
        <v>11</v>
      </c>
      <c r="H14" s="77"/>
      <c r="I14" s="77"/>
      <c r="J14" s="77"/>
      <c r="O14" s="69" t="s">
        <v>12</v>
      </c>
      <c r="P14" s="69" t="s">
        <v>13</v>
      </c>
    </row>
    <row r="15" spans="2:16" x14ac:dyDescent="0.35">
      <c r="B15" s="72" t="s">
        <v>14</v>
      </c>
      <c r="G15" s="77" t="s">
        <v>15</v>
      </c>
      <c r="H15" s="77"/>
      <c r="I15" s="77"/>
      <c r="J15" s="77"/>
      <c r="O15" s="69" t="s">
        <v>16</v>
      </c>
      <c r="P15" s="69" t="s">
        <v>17</v>
      </c>
    </row>
    <row r="16" spans="2:16" ht="15.75" customHeight="1" x14ac:dyDescent="0.35">
      <c r="B16" s="72" t="s">
        <v>18</v>
      </c>
      <c r="G16" s="76" t="s">
        <v>19</v>
      </c>
      <c r="H16" s="77"/>
      <c r="I16" s="77"/>
      <c r="J16" s="77"/>
      <c r="O16" s="69" t="s">
        <v>20</v>
      </c>
      <c r="P16" s="69" t="s">
        <v>21</v>
      </c>
    </row>
    <row r="17" spans="2:16" ht="15.75" customHeight="1" x14ac:dyDescent="0.35">
      <c r="B17" s="72" t="s">
        <v>22</v>
      </c>
      <c r="G17" s="76"/>
      <c r="H17" s="77"/>
      <c r="I17" s="77"/>
      <c r="J17" s="77"/>
      <c r="O17" s="69" t="s">
        <v>23</v>
      </c>
      <c r="P17" s="69" t="s">
        <v>24</v>
      </c>
    </row>
    <row r="18" spans="2:16" ht="15.75" customHeight="1" x14ac:dyDescent="0.35">
      <c r="B18" s="72" t="s">
        <v>25</v>
      </c>
      <c r="G18" s="89"/>
      <c r="H18" s="77"/>
      <c r="I18" s="77"/>
      <c r="J18" s="77"/>
      <c r="O18" s="69" t="s">
        <v>26</v>
      </c>
      <c r="P18" s="69" t="s">
        <v>27</v>
      </c>
    </row>
    <row r="19" spans="2:16" ht="15.75" customHeight="1" x14ac:dyDescent="0.35">
      <c r="B19" s="72" t="s">
        <v>28</v>
      </c>
      <c r="G19" s="76"/>
      <c r="H19" s="77"/>
      <c r="I19" s="77"/>
      <c r="J19" s="77"/>
      <c r="O19" s="69" t="s">
        <v>29</v>
      </c>
      <c r="P19" s="69" t="s">
        <v>30</v>
      </c>
    </row>
    <row r="20" spans="2:16" ht="15.75" customHeight="1" x14ac:dyDescent="0.35">
      <c r="G20" s="76"/>
      <c r="H20" s="77"/>
      <c r="I20" s="77"/>
      <c r="J20" s="77"/>
      <c r="O20" s="69" t="s">
        <v>31</v>
      </c>
      <c r="P20" s="69" t="s">
        <v>32</v>
      </c>
    </row>
    <row r="21" spans="2:16" ht="15.75" customHeight="1" x14ac:dyDescent="0.35">
      <c r="B21" s="74" t="s">
        <v>3</v>
      </c>
      <c r="G21" s="76" t="s">
        <v>33</v>
      </c>
      <c r="H21" s="77"/>
      <c r="I21" s="77"/>
      <c r="J21" s="77"/>
      <c r="O21" s="69" t="s">
        <v>34</v>
      </c>
      <c r="P21" s="69" t="s">
        <v>35</v>
      </c>
    </row>
    <row r="22" spans="2:16" ht="15.75" customHeight="1" x14ac:dyDescent="0.35">
      <c r="B22" s="72" t="s">
        <v>36</v>
      </c>
      <c r="G22" s="76" t="s">
        <v>37</v>
      </c>
      <c r="H22" s="77"/>
      <c r="I22" s="77"/>
      <c r="J22" s="77"/>
      <c r="O22" s="69" t="s">
        <v>38</v>
      </c>
      <c r="P22" s="69" t="s">
        <v>39</v>
      </c>
    </row>
    <row r="23" spans="2:16" ht="15.75" customHeight="1" x14ac:dyDescent="0.35">
      <c r="B23" s="72" t="s">
        <v>18</v>
      </c>
      <c r="G23" s="76" t="s">
        <v>19</v>
      </c>
      <c r="H23" s="77"/>
      <c r="I23" s="77"/>
      <c r="J23" s="77"/>
      <c r="O23" s="69" t="s">
        <v>40</v>
      </c>
      <c r="P23" s="69" t="s">
        <v>41</v>
      </c>
    </row>
    <row r="24" spans="2:16" ht="15.75" customHeight="1" x14ac:dyDescent="0.35">
      <c r="B24" s="72" t="s">
        <v>22</v>
      </c>
      <c r="G24" s="76"/>
      <c r="H24" s="77"/>
      <c r="I24" s="77"/>
      <c r="J24" s="77"/>
      <c r="O24" s="69" t="s">
        <v>42</v>
      </c>
      <c r="P24" s="69" t="s">
        <v>43</v>
      </c>
    </row>
    <row r="25" spans="2:16" ht="15.75" customHeight="1" x14ac:dyDescent="0.35">
      <c r="B25" s="72" t="s">
        <v>25</v>
      </c>
      <c r="G25" s="76"/>
      <c r="H25" s="77"/>
      <c r="I25" s="77"/>
      <c r="J25" s="77"/>
      <c r="O25" s="69" t="s">
        <v>44</v>
      </c>
      <c r="P25" s="69" t="s">
        <v>45</v>
      </c>
    </row>
    <row r="26" spans="2:16" ht="15.75" customHeight="1" x14ac:dyDescent="0.35">
      <c r="B26" s="72" t="s">
        <v>46</v>
      </c>
      <c r="G26" s="76"/>
      <c r="H26" s="77"/>
      <c r="I26" s="77"/>
      <c r="J26" s="77"/>
      <c r="O26" s="69" t="s">
        <v>47</v>
      </c>
      <c r="P26" s="69" t="s">
        <v>48</v>
      </c>
    </row>
    <row r="27" spans="2:16" ht="15.75" customHeight="1" x14ac:dyDescent="0.35">
      <c r="B27" s="77"/>
      <c r="C27" s="77"/>
      <c r="D27" s="77"/>
      <c r="E27" s="77"/>
      <c r="F27" s="77"/>
      <c r="G27" s="76"/>
      <c r="H27" s="77"/>
      <c r="I27" s="77"/>
      <c r="J27" s="77"/>
      <c r="O27" s="69" t="s">
        <v>49</v>
      </c>
      <c r="P27" s="69" t="s">
        <v>50</v>
      </c>
    </row>
    <row r="28" spans="2:16" x14ac:dyDescent="0.35">
      <c r="O28" s="69" t="s">
        <v>51</v>
      </c>
      <c r="P28" s="69" t="s">
        <v>52</v>
      </c>
    </row>
    <row r="29" spans="2:16" x14ac:dyDescent="0.35">
      <c r="O29" s="69" t="s">
        <v>53</v>
      </c>
      <c r="P29" s="69" t="s">
        <v>54</v>
      </c>
    </row>
    <row r="30" spans="2:16" x14ac:dyDescent="0.35">
      <c r="B30" s="67"/>
      <c r="O30" s="69" t="s">
        <v>55</v>
      </c>
      <c r="P30" s="69" t="s">
        <v>56</v>
      </c>
    </row>
    <row r="31" spans="2:16" ht="33.75" customHeight="1" x14ac:dyDescent="0.35">
      <c r="B31" s="88"/>
      <c r="C31" s="77"/>
      <c r="D31" s="77"/>
      <c r="E31" s="77"/>
      <c r="F31" s="77"/>
      <c r="G31" s="77"/>
      <c r="H31" s="77"/>
      <c r="I31" s="77"/>
      <c r="J31" s="77"/>
      <c r="O31" s="69" t="s">
        <v>57</v>
      </c>
      <c r="P31" s="69" t="s">
        <v>58</v>
      </c>
    </row>
    <row r="32" spans="2:16" x14ac:dyDescent="0.35">
      <c r="B32" s="68"/>
      <c r="O32" s="69" t="s">
        <v>59</v>
      </c>
      <c r="P32" s="69" t="s">
        <v>60</v>
      </c>
    </row>
    <row r="33" spans="15:16" x14ac:dyDescent="0.35">
      <c r="O33" s="69" t="s">
        <v>61</v>
      </c>
      <c r="P33" s="69" t="s">
        <v>62</v>
      </c>
    </row>
    <row r="34" spans="15:16" x14ac:dyDescent="0.35">
      <c r="O34" s="69" t="s">
        <v>63</v>
      </c>
      <c r="P34" s="69" t="s">
        <v>64</v>
      </c>
    </row>
    <row r="35" spans="15:16" x14ac:dyDescent="0.35">
      <c r="O35" s="69" t="s">
        <v>65</v>
      </c>
      <c r="P35" s="69" t="s">
        <v>66</v>
      </c>
    </row>
    <row r="36" spans="15:16" x14ac:dyDescent="0.35">
      <c r="O36" s="69" t="s">
        <v>67</v>
      </c>
      <c r="P36" s="69" t="s">
        <v>68</v>
      </c>
    </row>
    <row r="37" spans="15:16" x14ac:dyDescent="0.35">
      <c r="O37" s="69" t="s">
        <v>69</v>
      </c>
      <c r="P37" s="69" t="s">
        <v>70</v>
      </c>
    </row>
    <row r="38" spans="15:16" x14ac:dyDescent="0.35">
      <c r="O38" s="69" t="s">
        <v>71</v>
      </c>
      <c r="P38" s="69" t="s">
        <v>72</v>
      </c>
    </row>
    <row r="39" spans="15:16" x14ac:dyDescent="0.35">
      <c r="O39" s="69" t="s">
        <v>73</v>
      </c>
      <c r="P39" s="69" t="s">
        <v>74</v>
      </c>
    </row>
    <row r="40" spans="15:16" x14ac:dyDescent="0.35">
      <c r="O40" s="69" t="s">
        <v>75</v>
      </c>
      <c r="P40" s="69" t="s">
        <v>76</v>
      </c>
    </row>
    <row r="41" spans="15:16" x14ac:dyDescent="0.35">
      <c r="O41" s="69" t="s">
        <v>77</v>
      </c>
      <c r="P41" s="69" t="s">
        <v>78</v>
      </c>
    </row>
    <row r="42" spans="15:16" x14ac:dyDescent="0.35">
      <c r="O42" s="69" t="s">
        <v>79</v>
      </c>
      <c r="P42" s="69" t="s">
        <v>80</v>
      </c>
    </row>
    <row r="43" spans="15:16" x14ac:dyDescent="0.35">
      <c r="O43" s="69" t="s">
        <v>81</v>
      </c>
      <c r="P43" s="69" t="s">
        <v>82</v>
      </c>
    </row>
    <row r="44" spans="15:16" x14ac:dyDescent="0.35">
      <c r="O44" s="69" t="s">
        <v>83</v>
      </c>
      <c r="P44" s="69" t="s">
        <v>84</v>
      </c>
    </row>
    <row r="45" spans="15:16" x14ac:dyDescent="0.35">
      <c r="O45" s="69" t="s">
        <v>85</v>
      </c>
      <c r="P45" s="69" t="s">
        <v>86</v>
      </c>
    </row>
    <row r="46" spans="15:16" x14ac:dyDescent="0.35">
      <c r="O46" s="69" t="s">
        <v>87</v>
      </c>
      <c r="P46" s="69" t="s">
        <v>88</v>
      </c>
    </row>
    <row r="47" spans="15:16" x14ac:dyDescent="0.35">
      <c r="O47" s="69" t="s">
        <v>89</v>
      </c>
      <c r="P47" s="69" t="s">
        <v>90</v>
      </c>
    </row>
    <row r="48" spans="15:16" x14ac:dyDescent="0.35">
      <c r="O48" s="69" t="s">
        <v>91</v>
      </c>
      <c r="P48" s="69" t="s">
        <v>92</v>
      </c>
    </row>
    <row r="49" spans="15:16" x14ac:dyDescent="0.35">
      <c r="O49" s="69" t="s">
        <v>93</v>
      </c>
      <c r="P49" s="69" t="s">
        <v>94</v>
      </c>
    </row>
    <row r="50" spans="15:16" x14ac:dyDescent="0.35">
      <c r="O50" s="69" t="s">
        <v>95</v>
      </c>
      <c r="P50" s="69" t="s">
        <v>96</v>
      </c>
    </row>
    <row r="51" spans="15:16" x14ac:dyDescent="0.35">
      <c r="O51" s="69" t="s">
        <v>97</v>
      </c>
      <c r="P51" s="69" t="s">
        <v>98</v>
      </c>
    </row>
    <row r="52" spans="15:16" x14ac:dyDescent="0.35">
      <c r="O52" s="69" t="s">
        <v>99</v>
      </c>
      <c r="P52" s="69" t="s">
        <v>100</v>
      </c>
    </row>
    <row r="53" spans="15:16" x14ac:dyDescent="0.35">
      <c r="O53" s="69" t="s">
        <v>101</v>
      </c>
      <c r="P53" s="69" t="s">
        <v>102</v>
      </c>
    </row>
    <row r="54" spans="15:16" x14ac:dyDescent="0.35">
      <c r="O54" s="69" t="s">
        <v>103</v>
      </c>
      <c r="P54" s="69" t="s">
        <v>104</v>
      </c>
    </row>
    <row r="55" spans="15:16" x14ac:dyDescent="0.35">
      <c r="O55" s="69" t="s">
        <v>105</v>
      </c>
      <c r="P55" s="69" t="s">
        <v>106</v>
      </c>
    </row>
    <row r="56" spans="15:16" x14ac:dyDescent="0.35">
      <c r="O56" s="69" t="s">
        <v>107</v>
      </c>
      <c r="P56" s="69" t="s">
        <v>108</v>
      </c>
    </row>
    <row r="57" spans="15:16" x14ac:dyDescent="0.35">
      <c r="O57" s="69" t="s">
        <v>109</v>
      </c>
      <c r="P57" s="69" t="s">
        <v>110</v>
      </c>
    </row>
    <row r="58" spans="15:16" x14ac:dyDescent="0.35">
      <c r="O58" s="69" t="s">
        <v>111</v>
      </c>
      <c r="P58" s="69" t="s">
        <v>112</v>
      </c>
    </row>
    <row r="59" spans="15:16" x14ac:dyDescent="0.35">
      <c r="O59" s="69" t="s">
        <v>113</v>
      </c>
      <c r="P59" s="69" t="s">
        <v>114</v>
      </c>
    </row>
    <row r="60" spans="15:16" x14ac:dyDescent="0.35">
      <c r="O60" s="69" t="s">
        <v>115</v>
      </c>
      <c r="P60" s="69" t="s">
        <v>116</v>
      </c>
    </row>
    <row r="61" spans="15:16" x14ac:dyDescent="0.35">
      <c r="O61" s="69" t="s">
        <v>117</v>
      </c>
      <c r="P61" s="69" t="s">
        <v>118</v>
      </c>
    </row>
    <row r="62" spans="15:16" x14ac:dyDescent="0.35">
      <c r="O62" s="69" t="s">
        <v>119</v>
      </c>
      <c r="P62" s="69" t="s">
        <v>120</v>
      </c>
    </row>
    <row r="63" spans="15:16" x14ac:dyDescent="0.35">
      <c r="O63" s="69" t="s">
        <v>121</v>
      </c>
      <c r="P63" s="69" t="s">
        <v>122</v>
      </c>
    </row>
    <row r="64" spans="15:16" x14ac:dyDescent="0.35">
      <c r="O64" s="69" t="s">
        <v>123</v>
      </c>
      <c r="P64" s="69" t="s">
        <v>124</v>
      </c>
    </row>
    <row r="65" spans="15:16" x14ac:dyDescent="0.35">
      <c r="O65" s="69" t="s">
        <v>125</v>
      </c>
      <c r="P65" s="69" t="s">
        <v>126</v>
      </c>
    </row>
    <row r="66" spans="15:16" x14ac:dyDescent="0.35">
      <c r="O66" s="69" t="s">
        <v>127</v>
      </c>
      <c r="P66" s="69" t="s">
        <v>128</v>
      </c>
    </row>
    <row r="67" spans="15:16" x14ac:dyDescent="0.35">
      <c r="O67" s="69" t="s">
        <v>129</v>
      </c>
      <c r="P67" s="69" t="s">
        <v>130</v>
      </c>
    </row>
    <row r="68" spans="15:16" x14ac:dyDescent="0.35">
      <c r="O68" s="69" t="s">
        <v>131</v>
      </c>
      <c r="P68" s="69" t="s">
        <v>132</v>
      </c>
    </row>
    <row r="69" spans="15:16" x14ac:dyDescent="0.35">
      <c r="O69" s="69" t="s">
        <v>133</v>
      </c>
      <c r="P69" s="69" t="s">
        <v>134</v>
      </c>
    </row>
    <row r="70" spans="15:16" x14ac:dyDescent="0.35">
      <c r="O70" s="69" t="s">
        <v>135</v>
      </c>
      <c r="P70" s="69" t="s">
        <v>136</v>
      </c>
    </row>
    <row r="71" spans="15:16" x14ac:dyDescent="0.35">
      <c r="O71" s="69" t="s">
        <v>137</v>
      </c>
      <c r="P71" s="69" t="s">
        <v>138</v>
      </c>
    </row>
    <row r="72" spans="15:16" x14ac:dyDescent="0.35">
      <c r="O72" s="69" t="s">
        <v>139</v>
      </c>
      <c r="P72" s="69" t="s">
        <v>140</v>
      </c>
    </row>
    <row r="73" spans="15:16" x14ac:dyDescent="0.35">
      <c r="O73" s="69" t="s">
        <v>141</v>
      </c>
      <c r="P73" s="69" t="s">
        <v>142</v>
      </c>
    </row>
    <row r="74" spans="15:16" x14ac:dyDescent="0.35">
      <c r="O74" s="69" t="s">
        <v>143</v>
      </c>
      <c r="P74" s="69" t="s">
        <v>144</v>
      </c>
    </row>
    <row r="75" spans="15:16" x14ac:dyDescent="0.35">
      <c r="O75" s="69" t="s">
        <v>145</v>
      </c>
      <c r="P75" s="69" t="s">
        <v>146</v>
      </c>
    </row>
    <row r="76" spans="15:16" x14ac:dyDescent="0.35">
      <c r="O76" s="69" t="s">
        <v>147</v>
      </c>
      <c r="P76" s="69" t="s">
        <v>148</v>
      </c>
    </row>
    <row r="77" spans="15:16" x14ac:dyDescent="0.35">
      <c r="O77" s="69" t="s">
        <v>149</v>
      </c>
      <c r="P77" s="69" t="s">
        <v>150</v>
      </c>
    </row>
    <row r="78" spans="15:16" x14ac:dyDescent="0.35">
      <c r="O78" s="69" t="s">
        <v>151</v>
      </c>
      <c r="P78" s="69" t="s">
        <v>152</v>
      </c>
    </row>
    <row r="79" spans="15:16" x14ac:dyDescent="0.35">
      <c r="O79" s="69" t="s">
        <v>153</v>
      </c>
      <c r="P79" s="69" t="s">
        <v>154</v>
      </c>
    </row>
    <row r="80" spans="15:16" x14ac:dyDescent="0.35">
      <c r="O80" s="69" t="s">
        <v>155</v>
      </c>
      <c r="P80" s="69" t="s">
        <v>156</v>
      </c>
    </row>
    <row r="81" spans="15:16" x14ac:dyDescent="0.35">
      <c r="O81" s="69" t="s">
        <v>157</v>
      </c>
      <c r="P81" s="69" t="s">
        <v>158</v>
      </c>
    </row>
    <row r="82" spans="15:16" x14ac:dyDescent="0.35">
      <c r="O82" s="69" t="s">
        <v>159</v>
      </c>
      <c r="P82" s="69" t="s">
        <v>160</v>
      </c>
    </row>
    <row r="83" spans="15:16" x14ac:dyDescent="0.35">
      <c r="O83" s="69" t="s">
        <v>161</v>
      </c>
      <c r="P83" s="69" t="s">
        <v>162</v>
      </c>
    </row>
    <row r="84" spans="15:16" x14ac:dyDescent="0.35">
      <c r="O84" s="69" t="s">
        <v>163</v>
      </c>
      <c r="P84" s="69" t="s">
        <v>164</v>
      </c>
    </row>
    <row r="85" spans="15:16" x14ac:dyDescent="0.35">
      <c r="O85" s="69" t="s">
        <v>165</v>
      </c>
      <c r="P85" s="69" t="s">
        <v>166</v>
      </c>
    </row>
    <row r="86" spans="15:16" x14ac:dyDescent="0.35">
      <c r="O86" s="69" t="s">
        <v>167</v>
      </c>
      <c r="P86" s="69" t="s">
        <v>168</v>
      </c>
    </row>
    <row r="87" spans="15:16" x14ac:dyDescent="0.35">
      <c r="O87" s="69" t="s">
        <v>169</v>
      </c>
      <c r="P87" s="69" t="s">
        <v>170</v>
      </c>
    </row>
    <row r="88" spans="15:16" x14ac:dyDescent="0.35">
      <c r="O88" s="69" t="s">
        <v>171</v>
      </c>
      <c r="P88" s="69" t="s">
        <v>172</v>
      </c>
    </row>
    <row r="89" spans="15:16" x14ac:dyDescent="0.35">
      <c r="O89" s="69" t="s">
        <v>173</v>
      </c>
      <c r="P89" s="69" t="s">
        <v>174</v>
      </c>
    </row>
    <row r="90" spans="15:16" x14ac:dyDescent="0.35">
      <c r="O90" s="69" t="s">
        <v>175</v>
      </c>
      <c r="P90" s="69" t="s">
        <v>176</v>
      </c>
    </row>
    <row r="91" spans="15:16" x14ac:dyDescent="0.35">
      <c r="O91" s="69" t="s">
        <v>177</v>
      </c>
      <c r="P91" s="69" t="s">
        <v>178</v>
      </c>
    </row>
    <row r="92" spans="15:16" x14ac:dyDescent="0.35">
      <c r="O92" s="69" t="s">
        <v>179</v>
      </c>
      <c r="P92" s="69" t="s">
        <v>180</v>
      </c>
    </row>
    <row r="93" spans="15:16" x14ac:dyDescent="0.35">
      <c r="O93" s="69" t="s">
        <v>181</v>
      </c>
      <c r="P93" s="69" t="s">
        <v>182</v>
      </c>
    </row>
    <row r="94" spans="15:16" x14ac:dyDescent="0.35">
      <c r="O94" s="69" t="s">
        <v>183</v>
      </c>
      <c r="P94" s="69" t="s">
        <v>184</v>
      </c>
    </row>
    <row r="95" spans="15:16" x14ac:dyDescent="0.35">
      <c r="O95" s="69" t="s">
        <v>185</v>
      </c>
      <c r="P95" s="69" t="s">
        <v>186</v>
      </c>
    </row>
    <row r="96" spans="15:16" x14ac:dyDescent="0.35">
      <c r="O96" s="69" t="s">
        <v>187</v>
      </c>
      <c r="P96" s="69" t="s">
        <v>188</v>
      </c>
    </row>
    <row r="97" spans="15:16" x14ac:dyDescent="0.35">
      <c r="O97" s="69" t="s">
        <v>189</v>
      </c>
      <c r="P97" s="69" t="s">
        <v>190</v>
      </c>
    </row>
    <row r="98" spans="15:16" x14ac:dyDescent="0.35">
      <c r="O98" s="69" t="s">
        <v>191</v>
      </c>
      <c r="P98" s="69" t="s">
        <v>192</v>
      </c>
    </row>
    <row r="99" spans="15:16" x14ac:dyDescent="0.35">
      <c r="O99" s="69" t="s">
        <v>193</v>
      </c>
      <c r="P99" s="69" t="s">
        <v>194</v>
      </c>
    </row>
    <row r="100" spans="15:16" x14ac:dyDescent="0.35">
      <c r="O100" s="69" t="s">
        <v>195</v>
      </c>
      <c r="P100" s="69" t="s">
        <v>196</v>
      </c>
    </row>
    <row r="101" spans="15:16" x14ac:dyDescent="0.35">
      <c r="O101" s="69" t="s">
        <v>197</v>
      </c>
      <c r="P101" s="69" t="s">
        <v>198</v>
      </c>
    </row>
    <row r="102" spans="15:16" x14ac:dyDescent="0.35">
      <c r="O102" s="69" t="s">
        <v>199</v>
      </c>
      <c r="P102" s="69" t="s">
        <v>200</v>
      </c>
    </row>
    <row r="103" spans="15:16" x14ac:dyDescent="0.35">
      <c r="O103" s="69" t="s">
        <v>201</v>
      </c>
      <c r="P103" s="69" t="s">
        <v>202</v>
      </c>
    </row>
    <row r="104" spans="15:16" x14ac:dyDescent="0.35">
      <c r="O104" s="69" t="s">
        <v>203</v>
      </c>
      <c r="P104" s="69" t="s">
        <v>204</v>
      </c>
    </row>
    <row r="105" spans="15:16" x14ac:dyDescent="0.35">
      <c r="O105" s="69" t="s">
        <v>205</v>
      </c>
      <c r="P105" s="69" t="s">
        <v>206</v>
      </c>
    </row>
    <row r="106" spans="15:16" x14ac:dyDescent="0.35">
      <c r="O106" s="69" t="s">
        <v>207</v>
      </c>
      <c r="P106" s="69" t="s">
        <v>208</v>
      </c>
    </row>
    <row r="107" spans="15:16" x14ac:dyDescent="0.35">
      <c r="O107" s="69" t="s">
        <v>209</v>
      </c>
      <c r="P107" s="69" t="s">
        <v>210</v>
      </c>
    </row>
    <row r="108" spans="15:16" x14ac:dyDescent="0.35">
      <c r="O108" s="69" t="s">
        <v>211</v>
      </c>
      <c r="P108" s="69" t="s">
        <v>212</v>
      </c>
    </row>
    <row r="109" spans="15:16" x14ac:dyDescent="0.35">
      <c r="O109" s="69" t="s">
        <v>213</v>
      </c>
      <c r="P109" s="69" t="s">
        <v>214</v>
      </c>
    </row>
    <row r="110" spans="15:16" x14ac:dyDescent="0.35">
      <c r="O110" s="69" t="s">
        <v>215</v>
      </c>
      <c r="P110" s="69" t="s">
        <v>216</v>
      </c>
    </row>
    <row r="111" spans="15:16" x14ac:dyDescent="0.35">
      <c r="O111" s="69" t="s">
        <v>217</v>
      </c>
      <c r="P111" s="69" t="s">
        <v>218</v>
      </c>
    </row>
    <row r="112" spans="15:16" x14ac:dyDescent="0.35">
      <c r="O112" s="69" t="s">
        <v>219</v>
      </c>
      <c r="P112" s="69" t="s">
        <v>220</v>
      </c>
    </row>
    <row r="113" spans="15:16" x14ac:dyDescent="0.35">
      <c r="O113" s="69" t="s">
        <v>221</v>
      </c>
      <c r="P113" s="69" t="s">
        <v>222</v>
      </c>
    </row>
    <row r="114" spans="15:16" x14ac:dyDescent="0.35">
      <c r="O114" s="69" t="s">
        <v>223</v>
      </c>
      <c r="P114" s="69" t="s">
        <v>224</v>
      </c>
    </row>
    <row r="115" spans="15:16" x14ac:dyDescent="0.35">
      <c r="O115" s="69" t="s">
        <v>225</v>
      </c>
      <c r="P115" s="69" t="s">
        <v>226</v>
      </c>
    </row>
    <row r="116" spans="15:16" x14ac:dyDescent="0.35">
      <c r="O116" s="69" t="s">
        <v>227</v>
      </c>
      <c r="P116" s="69" t="s">
        <v>228</v>
      </c>
    </row>
    <row r="117" spans="15:16" x14ac:dyDescent="0.35">
      <c r="O117" s="69" t="s">
        <v>229</v>
      </c>
      <c r="P117" s="69" t="s">
        <v>230</v>
      </c>
    </row>
    <row r="118" spans="15:16" x14ac:dyDescent="0.35">
      <c r="O118" s="69" t="s">
        <v>231</v>
      </c>
      <c r="P118" s="69" t="s">
        <v>232</v>
      </c>
    </row>
    <row r="119" spans="15:16" x14ac:dyDescent="0.35">
      <c r="O119" s="69" t="s">
        <v>233</v>
      </c>
      <c r="P119" s="69" t="s">
        <v>234</v>
      </c>
    </row>
    <row r="120" spans="15:16" x14ac:dyDescent="0.35">
      <c r="O120" s="69" t="s">
        <v>235</v>
      </c>
      <c r="P120" s="69" t="s">
        <v>236</v>
      </c>
    </row>
    <row r="121" spans="15:16" x14ac:dyDescent="0.35">
      <c r="O121" s="69" t="s">
        <v>237</v>
      </c>
      <c r="P121" s="69" t="s">
        <v>238</v>
      </c>
    </row>
    <row r="122" spans="15:16" x14ac:dyDescent="0.35">
      <c r="O122" s="69" t="s">
        <v>239</v>
      </c>
      <c r="P122" s="69" t="s">
        <v>240</v>
      </c>
    </row>
    <row r="123" spans="15:16" x14ac:dyDescent="0.35">
      <c r="O123" s="69" t="s">
        <v>241</v>
      </c>
      <c r="P123" s="69" t="s">
        <v>242</v>
      </c>
    </row>
    <row r="124" spans="15:16" x14ac:dyDescent="0.35">
      <c r="O124" s="69" t="s">
        <v>243</v>
      </c>
      <c r="P124" s="69" t="s">
        <v>244</v>
      </c>
    </row>
    <row r="125" spans="15:16" x14ac:dyDescent="0.35">
      <c r="O125" s="69" t="s">
        <v>245</v>
      </c>
      <c r="P125" s="69" t="s">
        <v>246</v>
      </c>
    </row>
    <row r="126" spans="15:16" x14ac:dyDescent="0.35">
      <c r="O126" s="69" t="s">
        <v>247</v>
      </c>
      <c r="P126" s="69" t="s">
        <v>248</v>
      </c>
    </row>
    <row r="127" spans="15:16" x14ac:dyDescent="0.35">
      <c r="O127" s="69" t="s">
        <v>249</v>
      </c>
      <c r="P127" s="69" t="s">
        <v>250</v>
      </c>
    </row>
    <row r="128" spans="15:16" x14ac:dyDescent="0.35">
      <c r="O128" s="69" t="s">
        <v>251</v>
      </c>
      <c r="P128" s="69" t="s">
        <v>252</v>
      </c>
    </row>
    <row r="129" spans="15:16" x14ac:dyDescent="0.35">
      <c r="O129" s="69" t="s">
        <v>253</v>
      </c>
      <c r="P129" s="69" t="s">
        <v>254</v>
      </c>
    </row>
    <row r="130" spans="15:16" x14ac:dyDescent="0.35">
      <c r="O130" s="69" t="s">
        <v>255</v>
      </c>
      <c r="P130" s="69" t="s">
        <v>256</v>
      </c>
    </row>
    <row r="131" spans="15:16" x14ac:dyDescent="0.35">
      <c r="O131" s="69" t="s">
        <v>257</v>
      </c>
      <c r="P131" s="69" t="s">
        <v>258</v>
      </c>
    </row>
    <row r="132" spans="15:16" x14ac:dyDescent="0.35">
      <c r="O132" s="69" t="s">
        <v>259</v>
      </c>
      <c r="P132" s="69" t="s">
        <v>260</v>
      </c>
    </row>
    <row r="133" spans="15:16" x14ac:dyDescent="0.35">
      <c r="O133" s="69" t="s">
        <v>261</v>
      </c>
      <c r="P133" s="69" t="s">
        <v>262</v>
      </c>
    </row>
    <row r="134" spans="15:16" x14ac:dyDescent="0.35">
      <c r="O134" s="69" t="s">
        <v>263</v>
      </c>
      <c r="P134" s="69" t="s">
        <v>264</v>
      </c>
    </row>
    <row r="135" spans="15:16" x14ac:dyDescent="0.35">
      <c r="O135" s="69" t="s">
        <v>265</v>
      </c>
      <c r="P135" s="69" t="s">
        <v>266</v>
      </c>
    </row>
    <row r="136" spans="15:16" x14ac:dyDescent="0.35">
      <c r="O136" s="69" t="s">
        <v>267</v>
      </c>
      <c r="P136" s="69" t="s">
        <v>268</v>
      </c>
    </row>
    <row r="137" spans="15:16" x14ac:dyDescent="0.35">
      <c r="O137" s="69" t="s">
        <v>269</v>
      </c>
      <c r="P137" s="69" t="s">
        <v>270</v>
      </c>
    </row>
    <row r="138" spans="15:16" x14ac:dyDescent="0.35">
      <c r="O138" s="69" t="s">
        <v>271</v>
      </c>
      <c r="P138" s="69" t="s">
        <v>272</v>
      </c>
    </row>
    <row r="139" spans="15:16" x14ac:dyDescent="0.35">
      <c r="O139" s="69" t="s">
        <v>273</v>
      </c>
      <c r="P139" s="69" t="s">
        <v>274</v>
      </c>
    </row>
    <row r="140" spans="15:16" x14ac:dyDescent="0.35">
      <c r="O140" s="69" t="s">
        <v>275</v>
      </c>
      <c r="P140" s="69" t="s">
        <v>276</v>
      </c>
    </row>
    <row r="141" spans="15:16" x14ac:dyDescent="0.35">
      <c r="O141" s="69" t="s">
        <v>277</v>
      </c>
      <c r="P141" s="69" t="s">
        <v>278</v>
      </c>
    </row>
    <row r="142" spans="15:16" x14ac:dyDescent="0.35">
      <c r="O142" s="69" t="s">
        <v>279</v>
      </c>
      <c r="P142" s="69" t="s">
        <v>280</v>
      </c>
    </row>
    <row r="143" spans="15:16" x14ac:dyDescent="0.35">
      <c r="O143" s="69" t="s">
        <v>281</v>
      </c>
      <c r="P143" s="69" t="s">
        <v>282</v>
      </c>
    </row>
    <row r="144" spans="15:16" x14ac:dyDescent="0.35">
      <c r="O144" s="69" t="s">
        <v>283</v>
      </c>
      <c r="P144" s="69" t="s">
        <v>284</v>
      </c>
    </row>
    <row r="145" spans="15:16" x14ac:dyDescent="0.35">
      <c r="O145" s="69" t="s">
        <v>285</v>
      </c>
      <c r="P145" s="69" t="s">
        <v>286</v>
      </c>
    </row>
    <row r="146" spans="15:16" x14ac:dyDescent="0.35">
      <c r="O146" s="69" t="s">
        <v>287</v>
      </c>
      <c r="P146" s="69" t="s">
        <v>288</v>
      </c>
    </row>
    <row r="147" spans="15:16" x14ac:dyDescent="0.35">
      <c r="O147" s="69" t="s">
        <v>289</v>
      </c>
      <c r="P147" s="69" t="s">
        <v>290</v>
      </c>
    </row>
    <row r="148" spans="15:16" x14ac:dyDescent="0.35">
      <c r="O148" s="69" t="s">
        <v>291</v>
      </c>
      <c r="P148" s="69" t="s">
        <v>292</v>
      </c>
    </row>
    <row r="149" spans="15:16" x14ac:dyDescent="0.35">
      <c r="O149" s="69" t="s">
        <v>293</v>
      </c>
      <c r="P149" s="69" t="s">
        <v>294</v>
      </c>
    </row>
    <row r="150" spans="15:16" x14ac:dyDescent="0.35">
      <c r="O150" s="69" t="s">
        <v>295</v>
      </c>
      <c r="P150" s="69" t="s">
        <v>296</v>
      </c>
    </row>
    <row r="151" spans="15:16" x14ac:dyDescent="0.35">
      <c r="O151" s="69" t="s">
        <v>297</v>
      </c>
      <c r="P151" s="69" t="s">
        <v>298</v>
      </c>
    </row>
    <row r="152" spans="15:16" x14ac:dyDescent="0.35">
      <c r="O152" s="69" t="s">
        <v>299</v>
      </c>
      <c r="P152" s="69" t="s">
        <v>300</v>
      </c>
    </row>
    <row r="153" spans="15:16" x14ac:dyDescent="0.35">
      <c r="O153" s="69" t="s">
        <v>301</v>
      </c>
      <c r="P153" s="69" t="s">
        <v>302</v>
      </c>
    </row>
    <row r="154" spans="15:16" x14ac:dyDescent="0.35">
      <c r="O154" s="69" t="s">
        <v>303</v>
      </c>
      <c r="P154" s="69" t="s">
        <v>304</v>
      </c>
    </row>
    <row r="155" spans="15:16" x14ac:dyDescent="0.35">
      <c r="O155" s="69" t="s">
        <v>305</v>
      </c>
      <c r="P155" s="69" t="s">
        <v>306</v>
      </c>
    </row>
    <row r="156" spans="15:16" x14ac:dyDescent="0.35">
      <c r="O156" s="69" t="s">
        <v>307</v>
      </c>
      <c r="P156" s="69" t="s">
        <v>308</v>
      </c>
    </row>
    <row r="157" spans="15:16" x14ac:dyDescent="0.35">
      <c r="O157" s="69" t="s">
        <v>309</v>
      </c>
      <c r="P157" s="69" t="s">
        <v>310</v>
      </c>
    </row>
    <row r="158" spans="15:16" x14ac:dyDescent="0.35">
      <c r="O158" s="69" t="s">
        <v>311</v>
      </c>
      <c r="P158" s="69" t="s">
        <v>312</v>
      </c>
    </row>
    <row r="159" spans="15:16" x14ac:dyDescent="0.35">
      <c r="O159" s="69" t="s">
        <v>313</v>
      </c>
      <c r="P159" s="69" t="s">
        <v>314</v>
      </c>
    </row>
    <row r="160" spans="15:16" x14ac:dyDescent="0.35">
      <c r="O160" s="69" t="s">
        <v>315</v>
      </c>
      <c r="P160" s="69" t="s">
        <v>316</v>
      </c>
    </row>
    <row r="161" spans="15:16" x14ac:dyDescent="0.35">
      <c r="O161" s="69" t="s">
        <v>317</v>
      </c>
      <c r="P161" s="69" t="s">
        <v>318</v>
      </c>
    </row>
    <row r="162" spans="15:16" x14ac:dyDescent="0.35">
      <c r="O162" s="69" t="s">
        <v>319</v>
      </c>
      <c r="P162" s="69" t="s">
        <v>320</v>
      </c>
    </row>
    <row r="163" spans="15:16" x14ac:dyDescent="0.35">
      <c r="O163" s="69" t="s">
        <v>321</v>
      </c>
      <c r="P163" s="69" t="s">
        <v>322</v>
      </c>
    </row>
    <row r="164" spans="15:16" x14ac:dyDescent="0.35">
      <c r="O164" s="69" t="s">
        <v>323</v>
      </c>
      <c r="P164" s="69" t="s">
        <v>324</v>
      </c>
    </row>
    <row r="165" spans="15:16" x14ac:dyDescent="0.35">
      <c r="O165" s="69" t="s">
        <v>325</v>
      </c>
      <c r="P165" s="69" t="s">
        <v>326</v>
      </c>
    </row>
    <row r="166" spans="15:16" x14ac:dyDescent="0.35">
      <c r="O166" s="69" t="s">
        <v>327</v>
      </c>
      <c r="P166" s="69" t="s">
        <v>328</v>
      </c>
    </row>
    <row r="167" spans="15:16" x14ac:dyDescent="0.35">
      <c r="O167" s="69" t="s">
        <v>329</v>
      </c>
      <c r="P167" s="69" t="s">
        <v>330</v>
      </c>
    </row>
    <row r="168" spans="15:16" x14ac:dyDescent="0.35">
      <c r="O168" s="69" t="s">
        <v>331</v>
      </c>
      <c r="P168" s="69" t="s">
        <v>332</v>
      </c>
    </row>
    <row r="169" spans="15:16" x14ac:dyDescent="0.35">
      <c r="O169" s="69" t="s">
        <v>333</v>
      </c>
      <c r="P169" s="69" t="s">
        <v>334</v>
      </c>
    </row>
    <row r="170" spans="15:16" x14ac:dyDescent="0.35">
      <c r="O170" s="69" t="s">
        <v>335</v>
      </c>
      <c r="P170" s="69" t="s">
        <v>336</v>
      </c>
    </row>
    <row r="171" spans="15:16" x14ac:dyDescent="0.35">
      <c r="O171" s="69" t="s">
        <v>337</v>
      </c>
      <c r="P171" s="69" t="s">
        <v>338</v>
      </c>
    </row>
    <row r="172" spans="15:16" x14ac:dyDescent="0.35">
      <c r="O172" s="69" t="s">
        <v>339</v>
      </c>
      <c r="P172" s="69" t="s">
        <v>340</v>
      </c>
    </row>
    <row r="173" spans="15:16" x14ac:dyDescent="0.35">
      <c r="O173" s="69" t="s">
        <v>341</v>
      </c>
      <c r="P173" s="69" t="s">
        <v>342</v>
      </c>
    </row>
    <row r="174" spans="15:16" x14ac:dyDescent="0.35">
      <c r="O174" s="69" t="s">
        <v>343</v>
      </c>
      <c r="P174" s="69" t="s">
        <v>344</v>
      </c>
    </row>
    <row r="175" spans="15:16" x14ac:dyDescent="0.35">
      <c r="O175" s="69" t="s">
        <v>345</v>
      </c>
      <c r="P175" s="69" t="s">
        <v>346</v>
      </c>
    </row>
    <row r="176" spans="15:16" x14ac:dyDescent="0.35">
      <c r="O176" s="69" t="s">
        <v>347</v>
      </c>
      <c r="P176" s="69" t="s">
        <v>348</v>
      </c>
    </row>
    <row r="177" spans="15:16" x14ac:dyDescent="0.35">
      <c r="O177" s="69" t="s">
        <v>349</v>
      </c>
      <c r="P177" s="69" t="s">
        <v>350</v>
      </c>
    </row>
    <row r="178" spans="15:16" x14ac:dyDescent="0.35">
      <c r="O178" s="69" t="s">
        <v>351</v>
      </c>
      <c r="P178" s="69" t="s">
        <v>352</v>
      </c>
    </row>
    <row r="179" spans="15:16" x14ac:dyDescent="0.35">
      <c r="O179" s="69" t="s">
        <v>353</v>
      </c>
      <c r="P179" s="69" t="s">
        <v>354</v>
      </c>
    </row>
    <row r="180" spans="15:16" x14ac:dyDescent="0.35">
      <c r="O180" s="69" t="s">
        <v>355</v>
      </c>
      <c r="P180" s="69" t="s">
        <v>356</v>
      </c>
    </row>
    <row r="181" spans="15:16" x14ac:dyDescent="0.35">
      <c r="O181" s="69" t="s">
        <v>357</v>
      </c>
      <c r="P181" s="69" t="s">
        <v>358</v>
      </c>
    </row>
    <row r="182" spans="15:16" x14ac:dyDescent="0.35">
      <c r="O182" s="69" t="s">
        <v>359</v>
      </c>
      <c r="P182" s="69" t="s">
        <v>360</v>
      </c>
    </row>
    <row r="183" spans="15:16" x14ac:dyDescent="0.35">
      <c r="O183" s="69" t="s">
        <v>361</v>
      </c>
      <c r="P183" s="69" t="s">
        <v>362</v>
      </c>
    </row>
    <row r="184" spans="15:16" x14ac:dyDescent="0.35">
      <c r="O184" s="69" t="s">
        <v>363</v>
      </c>
      <c r="P184" s="69" t="s">
        <v>364</v>
      </c>
    </row>
    <row r="185" spans="15:16" x14ac:dyDescent="0.35">
      <c r="O185" s="69" t="s">
        <v>365</v>
      </c>
      <c r="P185" s="69" t="s">
        <v>366</v>
      </c>
    </row>
    <row r="186" spans="15:16" x14ac:dyDescent="0.35">
      <c r="O186" s="69" t="s">
        <v>367</v>
      </c>
      <c r="P186" s="69" t="s">
        <v>368</v>
      </c>
    </row>
    <row r="187" spans="15:16" x14ac:dyDescent="0.35">
      <c r="O187" s="69" t="s">
        <v>369</v>
      </c>
      <c r="P187" s="69" t="s">
        <v>370</v>
      </c>
    </row>
    <row r="188" spans="15:16" x14ac:dyDescent="0.35">
      <c r="O188" s="69" t="s">
        <v>371</v>
      </c>
      <c r="P188" s="69" t="s">
        <v>372</v>
      </c>
    </row>
    <row r="189" spans="15:16" x14ac:dyDescent="0.35">
      <c r="O189" s="69" t="s">
        <v>373</v>
      </c>
      <c r="P189" s="69" t="s">
        <v>374</v>
      </c>
    </row>
    <row r="190" spans="15:16" x14ac:dyDescent="0.35">
      <c r="O190" s="69" t="s">
        <v>375</v>
      </c>
      <c r="P190" s="69" t="s">
        <v>376</v>
      </c>
    </row>
    <row r="191" spans="15:16" x14ac:dyDescent="0.35">
      <c r="O191" s="69" t="s">
        <v>377</v>
      </c>
      <c r="P191" s="69" t="s">
        <v>378</v>
      </c>
    </row>
    <row r="192" spans="15:16" x14ac:dyDescent="0.35">
      <c r="O192" s="69" t="s">
        <v>379</v>
      </c>
      <c r="P192" s="69" t="s">
        <v>380</v>
      </c>
    </row>
    <row r="193" spans="15:16" x14ac:dyDescent="0.35">
      <c r="O193" s="69" t="s">
        <v>381</v>
      </c>
      <c r="P193" s="69" t="s">
        <v>382</v>
      </c>
    </row>
    <row r="194" spans="15:16" x14ac:dyDescent="0.35">
      <c r="O194" s="69" t="s">
        <v>383</v>
      </c>
      <c r="P194" s="69" t="s">
        <v>384</v>
      </c>
    </row>
    <row r="195" spans="15:16" x14ac:dyDescent="0.35">
      <c r="O195" s="69" t="s">
        <v>385</v>
      </c>
      <c r="P195" s="69" t="s">
        <v>386</v>
      </c>
    </row>
    <row r="196" spans="15:16" x14ac:dyDescent="0.35">
      <c r="O196" s="69" t="s">
        <v>387</v>
      </c>
      <c r="P196" s="69" t="s">
        <v>388</v>
      </c>
    </row>
    <row r="197" spans="15:16" x14ac:dyDescent="0.35">
      <c r="O197" s="69" t="s">
        <v>389</v>
      </c>
      <c r="P197" s="69" t="s">
        <v>390</v>
      </c>
    </row>
    <row r="198" spans="15:16" x14ac:dyDescent="0.35">
      <c r="O198" s="69" t="s">
        <v>391</v>
      </c>
      <c r="P198" s="69" t="s">
        <v>392</v>
      </c>
    </row>
    <row r="199" spans="15:16" x14ac:dyDescent="0.35">
      <c r="O199" s="69" t="s">
        <v>393</v>
      </c>
      <c r="P199" s="69" t="s">
        <v>394</v>
      </c>
    </row>
    <row r="200" spans="15:16" x14ac:dyDescent="0.35">
      <c r="O200" s="69" t="s">
        <v>395</v>
      </c>
      <c r="P200" s="69" t="s">
        <v>396</v>
      </c>
    </row>
    <row r="201" spans="15:16" x14ac:dyDescent="0.35">
      <c r="O201" s="69" t="s">
        <v>397</v>
      </c>
      <c r="P201" s="69" t="s">
        <v>398</v>
      </c>
    </row>
    <row r="202" spans="15:16" x14ac:dyDescent="0.35">
      <c r="O202" s="69" t="s">
        <v>399</v>
      </c>
      <c r="P202" s="69" t="s">
        <v>400</v>
      </c>
    </row>
    <row r="203" spans="15:16" x14ac:dyDescent="0.35">
      <c r="O203" s="69" t="s">
        <v>401</v>
      </c>
      <c r="P203" s="69" t="s">
        <v>402</v>
      </c>
    </row>
    <row r="204" spans="15:16" x14ac:dyDescent="0.35">
      <c r="O204" s="69" t="s">
        <v>403</v>
      </c>
      <c r="P204" s="69" t="s">
        <v>404</v>
      </c>
    </row>
    <row r="205" spans="15:16" x14ac:dyDescent="0.35">
      <c r="O205" s="69" t="s">
        <v>405</v>
      </c>
      <c r="P205" s="69" t="s">
        <v>406</v>
      </c>
    </row>
    <row r="206" spans="15:16" x14ac:dyDescent="0.35">
      <c r="O206" s="69" t="s">
        <v>407</v>
      </c>
      <c r="P206" s="69" t="s">
        <v>408</v>
      </c>
    </row>
    <row r="207" spans="15:16" x14ac:dyDescent="0.35">
      <c r="O207" s="69" t="s">
        <v>409</v>
      </c>
      <c r="P207" s="69" t="s">
        <v>410</v>
      </c>
    </row>
    <row r="208" spans="15:16" x14ac:dyDescent="0.35">
      <c r="O208" s="69" t="s">
        <v>411</v>
      </c>
      <c r="P208" s="69" t="s">
        <v>412</v>
      </c>
    </row>
    <row r="209" spans="15:16" x14ac:dyDescent="0.35">
      <c r="O209" s="69" t="s">
        <v>413</v>
      </c>
      <c r="P209" s="69" t="s">
        <v>414</v>
      </c>
    </row>
    <row r="210" spans="15:16" x14ac:dyDescent="0.35">
      <c r="O210" s="69" t="s">
        <v>415</v>
      </c>
      <c r="P210" s="69" t="s">
        <v>416</v>
      </c>
    </row>
    <row r="211" spans="15:16" x14ac:dyDescent="0.35">
      <c r="O211" s="69" t="s">
        <v>417</v>
      </c>
      <c r="P211" s="69" t="s">
        <v>418</v>
      </c>
    </row>
    <row r="212" spans="15:16" x14ac:dyDescent="0.35">
      <c r="O212" s="69" t="s">
        <v>419</v>
      </c>
      <c r="P212" s="69" t="s">
        <v>420</v>
      </c>
    </row>
    <row r="213" spans="15:16" x14ac:dyDescent="0.35">
      <c r="O213" s="69" t="s">
        <v>421</v>
      </c>
      <c r="P213" s="69" t="s">
        <v>422</v>
      </c>
    </row>
    <row r="214" spans="15:16" x14ac:dyDescent="0.35">
      <c r="O214" s="69" t="s">
        <v>423</v>
      </c>
      <c r="P214" s="69" t="s">
        <v>424</v>
      </c>
    </row>
    <row r="215" spans="15:16" x14ac:dyDescent="0.35">
      <c r="O215" s="69" t="s">
        <v>425</v>
      </c>
      <c r="P215" s="69" t="s">
        <v>426</v>
      </c>
    </row>
    <row r="216" spans="15:16" x14ac:dyDescent="0.35">
      <c r="O216" s="69" t="s">
        <v>427</v>
      </c>
      <c r="P216" s="69" t="s">
        <v>426</v>
      </c>
    </row>
    <row r="217" spans="15:16" x14ac:dyDescent="0.35">
      <c r="O217" s="69" t="s">
        <v>428</v>
      </c>
      <c r="P217" s="69" t="s">
        <v>429</v>
      </c>
    </row>
    <row r="218" spans="15:16" x14ac:dyDescent="0.35">
      <c r="O218" s="69" t="s">
        <v>430</v>
      </c>
      <c r="P218" s="69" t="s">
        <v>431</v>
      </c>
    </row>
    <row r="219" spans="15:16" x14ac:dyDescent="0.35">
      <c r="O219" s="69" t="s">
        <v>432</v>
      </c>
      <c r="P219" s="69" t="s">
        <v>433</v>
      </c>
    </row>
    <row r="220" spans="15:16" x14ac:dyDescent="0.35">
      <c r="O220" s="69" t="s">
        <v>434</v>
      </c>
      <c r="P220" s="69" t="s">
        <v>435</v>
      </c>
    </row>
    <row r="221" spans="15:16" x14ac:dyDescent="0.35">
      <c r="O221" s="69" t="s">
        <v>436</v>
      </c>
      <c r="P221" s="69" t="s">
        <v>437</v>
      </c>
    </row>
    <row r="222" spans="15:16" x14ac:dyDescent="0.35">
      <c r="O222" s="69" t="s">
        <v>438</v>
      </c>
      <c r="P222" s="69" t="s">
        <v>439</v>
      </c>
    </row>
    <row r="223" spans="15:16" x14ac:dyDescent="0.35">
      <c r="O223" s="69" t="s">
        <v>440</v>
      </c>
      <c r="P223" s="69" t="s">
        <v>441</v>
      </c>
    </row>
    <row r="224" spans="15:16" x14ac:dyDescent="0.35">
      <c r="O224" s="69" t="s">
        <v>442</v>
      </c>
      <c r="P224" s="69" t="s">
        <v>443</v>
      </c>
    </row>
    <row r="225" spans="15:16" x14ac:dyDescent="0.35">
      <c r="O225" s="69" t="s">
        <v>444</v>
      </c>
      <c r="P225" s="69" t="s">
        <v>445</v>
      </c>
    </row>
    <row r="226" spans="15:16" x14ac:dyDescent="0.35">
      <c r="O226" s="69" t="s">
        <v>446</v>
      </c>
      <c r="P226" s="69" t="s">
        <v>447</v>
      </c>
    </row>
    <row r="227" spans="15:16" x14ac:dyDescent="0.35">
      <c r="O227" s="69" t="s">
        <v>448</v>
      </c>
      <c r="P227" s="69" t="s">
        <v>449</v>
      </c>
    </row>
    <row r="228" spans="15:16" x14ac:dyDescent="0.35">
      <c r="O228" s="69" t="s">
        <v>450</v>
      </c>
      <c r="P228" s="69" t="s">
        <v>451</v>
      </c>
    </row>
    <row r="229" spans="15:16" x14ac:dyDescent="0.35">
      <c r="O229" s="69" t="s">
        <v>452</v>
      </c>
      <c r="P229" s="69" t="s">
        <v>453</v>
      </c>
    </row>
    <row r="230" spans="15:16" x14ac:dyDescent="0.35">
      <c r="O230" s="69" t="s">
        <v>454</v>
      </c>
      <c r="P230" s="69" t="s">
        <v>455</v>
      </c>
    </row>
    <row r="231" spans="15:16" x14ac:dyDescent="0.35">
      <c r="O231" s="69" t="s">
        <v>456</v>
      </c>
      <c r="P231" s="69" t="s">
        <v>457</v>
      </c>
    </row>
    <row r="232" spans="15:16" x14ac:dyDescent="0.35">
      <c r="O232" s="69" t="s">
        <v>458</v>
      </c>
      <c r="P232" s="69" t="s">
        <v>459</v>
      </c>
    </row>
    <row r="233" spans="15:16" x14ac:dyDescent="0.35">
      <c r="O233" s="69" t="s">
        <v>460</v>
      </c>
      <c r="P233" s="69" t="s">
        <v>461</v>
      </c>
    </row>
    <row r="234" spans="15:16" x14ac:dyDescent="0.35">
      <c r="O234" s="69" t="s">
        <v>462</v>
      </c>
      <c r="P234" s="69" t="s">
        <v>463</v>
      </c>
    </row>
    <row r="235" spans="15:16" x14ac:dyDescent="0.35">
      <c r="O235" s="69" t="s">
        <v>464</v>
      </c>
      <c r="P235" s="69" t="s">
        <v>465</v>
      </c>
    </row>
    <row r="236" spans="15:16" x14ac:dyDescent="0.35">
      <c r="O236" s="69" t="s">
        <v>466</v>
      </c>
      <c r="P236" s="69" t="s">
        <v>467</v>
      </c>
    </row>
    <row r="237" spans="15:16" x14ac:dyDescent="0.35">
      <c r="O237" s="69" t="s">
        <v>468</v>
      </c>
      <c r="P237" s="69" t="s">
        <v>469</v>
      </c>
    </row>
    <row r="238" spans="15:16" x14ac:dyDescent="0.35">
      <c r="O238" s="69" t="s">
        <v>470</v>
      </c>
      <c r="P238" s="69" t="s">
        <v>471</v>
      </c>
    </row>
    <row r="239" spans="15:16" x14ac:dyDescent="0.35">
      <c r="O239" s="69" t="s">
        <v>472</v>
      </c>
      <c r="P239" s="69" t="s">
        <v>473</v>
      </c>
    </row>
    <row r="240" spans="15:16" x14ac:dyDescent="0.35">
      <c r="O240" s="69" t="s">
        <v>474</v>
      </c>
      <c r="P240" s="69" t="s">
        <v>475</v>
      </c>
    </row>
    <row r="241" spans="15:16" x14ac:dyDescent="0.35">
      <c r="O241" s="69" t="s">
        <v>476</v>
      </c>
      <c r="P241" s="69" t="s">
        <v>477</v>
      </c>
    </row>
    <row r="242" spans="15:16" x14ac:dyDescent="0.35">
      <c r="O242" s="69" t="s">
        <v>478</v>
      </c>
      <c r="P242" s="69" t="s">
        <v>479</v>
      </c>
    </row>
    <row r="243" spans="15:16" x14ac:dyDescent="0.35">
      <c r="O243" s="69" t="s">
        <v>480</v>
      </c>
      <c r="P243" s="69" t="s">
        <v>481</v>
      </c>
    </row>
    <row r="244" spans="15:16" x14ac:dyDescent="0.35">
      <c r="O244" s="69" t="s">
        <v>482</v>
      </c>
      <c r="P244" s="69" t="s">
        <v>483</v>
      </c>
    </row>
    <row r="245" spans="15:16" x14ac:dyDescent="0.35">
      <c r="O245" s="69" t="s">
        <v>484</v>
      </c>
      <c r="P245" s="69" t="s">
        <v>485</v>
      </c>
    </row>
    <row r="246" spans="15:16" x14ac:dyDescent="0.35">
      <c r="O246" s="69" t="s">
        <v>486</v>
      </c>
      <c r="P246" s="69" t="s">
        <v>487</v>
      </c>
    </row>
  </sheetData>
  <autoFilter ref="O12:P12" xr:uid="{00000000-0009-0000-0000-000000000000}"/>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902"/>
  <sheetViews>
    <sheetView workbookViewId="0">
      <pane xSplit="1" ySplit="1" topLeftCell="B870" activePane="bottomRight" state="frozen"/>
      <selection sqref="A1:XFD1048576"/>
      <selection pane="topRight" sqref="A1:XFD1048576"/>
      <selection pane="bottomLeft" sqref="A1:XFD1048576"/>
      <selection pane="bottomRight" activeCell="A9" sqref="A9"/>
    </sheetView>
  </sheetViews>
  <sheetFormatPr defaultColWidth="9.1796875" defaultRowHeight="14.5" x14ac:dyDescent="0.35"/>
  <cols>
    <col min="1" max="1" width="11.1796875" style="72" customWidth="1"/>
    <col min="2" max="4" width="9.1796875" style="72" customWidth="1"/>
    <col min="5" max="5" width="10.6328125" style="72" bestFit="1" customWidth="1"/>
    <col min="6" max="27" width="9.1796875" style="72" customWidth="1"/>
    <col min="28"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E2">
        <v>9.5601789999999998</v>
      </c>
    </row>
    <row r="3" spans="1:50" x14ac:dyDescent="0.35">
      <c r="A3" s="75">
        <v>17930</v>
      </c>
      <c r="E3">
        <v>9.5601789999999998</v>
      </c>
    </row>
    <row r="4" spans="1:50" x14ac:dyDescent="0.35">
      <c r="A4" s="75">
        <v>17958</v>
      </c>
      <c r="E4">
        <v>9.5601789999999998</v>
      </c>
    </row>
    <row r="5" spans="1:50" x14ac:dyDescent="0.35">
      <c r="A5" s="75">
        <v>17989</v>
      </c>
      <c r="E5">
        <v>9.5601789999999998</v>
      </c>
    </row>
    <row r="6" spans="1:50" x14ac:dyDescent="0.35">
      <c r="A6" s="75">
        <v>18019</v>
      </c>
      <c r="E6">
        <v>9.5601789999999998</v>
      </c>
    </row>
    <row r="7" spans="1:50" x14ac:dyDescent="0.35">
      <c r="A7" s="75">
        <v>18050</v>
      </c>
      <c r="E7">
        <v>9.5601789999999998</v>
      </c>
    </row>
    <row r="8" spans="1:50" x14ac:dyDescent="0.35">
      <c r="A8" s="75">
        <v>18080</v>
      </c>
      <c r="E8">
        <v>9.5601789999999998</v>
      </c>
    </row>
    <row r="9" spans="1:50" x14ac:dyDescent="0.35">
      <c r="A9" s="75">
        <v>18111</v>
      </c>
      <c r="E9">
        <v>9.639189</v>
      </c>
    </row>
    <row r="10" spans="1:50" x14ac:dyDescent="0.35">
      <c r="A10" s="75">
        <v>18142</v>
      </c>
      <c r="E10">
        <v>9.639189</v>
      </c>
    </row>
    <row r="11" spans="1:50" x14ac:dyDescent="0.35">
      <c r="A11" s="75">
        <v>18172</v>
      </c>
      <c r="E11">
        <v>9.7181990000000003</v>
      </c>
    </row>
    <row r="12" spans="1:50" x14ac:dyDescent="0.35">
      <c r="A12" s="75">
        <v>18203</v>
      </c>
      <c r="E12">
        <v>9.7181990000000003</v>
      </c>
    </row>
    <row r="13" spans="1:50" x14ac:dyDescent="0.35">
      <c r="A13" s="75">
        <v>18233</v>
      </c>
      <c r="E13">
        <v>9.639189</v>
      </c>
    </row>
    <row r="14" spans="1:50" x14ac:dyDescent="0.35">
      <c r="A14" s="75">
        <v>18264</v>
      </c>
      <c r="E14">
        <v>9.5601789999999998</v>
      </c>
    </row>
    <row r="15" spans="1:50" x14ac:dyDescent="0.35">
      <c r="A15" s="75">
        <v>18295</v>
      </c>
      <c r="E15">
        <v>9.639189</v>
      </c>
    </row>
    <row r="16" spans="1:50" x14ac:dyDescent="0.35">
      <c r="A16" s="75">
        <v>18323</v>
      </c>
      <c r="E16">
        <v>9.7181990000000003</v>
      </c>
    </row>
    <row r="17" spans="1:5" x14ac:dyDescent="0.35">
      <c r="A17" s="75">
        <v>18354</v>
      </c>
      <c r="E17">
        <v>9.7181990000000003</v>
      </c>
    </row>
    <row r="18" spans="1:5" x14ac:dyDescent="0.35">
      <c r="A18" s="75">
        <v>18384</v>
      </c>
      <c r="E18">
        <v>9.7181990000000003</v>
      </c>
    </row>
    <row r="19" spans="1:5" x14ac:dyDescent="0.35">
      <c r="A19" s="75">
        <v>18415</v>
      </c>
      <c r="E19">
        <v>9.7181990000000003</v>
      </c>
    </row>
    <row r="20" spans="1:5" x14ac:dyDescent="0.35">
      <c r="A20" s="75">
        <v>18445</v>
      </c>
      <c r="E20">
        <v>9.7972090000000005</v>
      </c>
    </row>
    <row r="21" spans="1:5" x14ac:dyDescent="0.35">
      <c r="A21" s="75">
        <v>18476</v>
      </c>
      <c r="E21">
        <v>9.8762179999999997</v>
      </c>
    </row>
    <row r="22" spans="1:5" x14ac:dyDescent="0.35">
      <c r="A22" s="75">
        <v>18507</v>
      </c>
      <c r="E22">
        <v>10.03424</v>
      </c>
    </row>
    <row r="23" spans="1:5" x14ac:dyDescent="0.35">
      <c r="A23" s="75">
        <v>18537</v>
      </c>
      <c r="E23">
        <v>10.192259999999999</v>
      </c>
    </row>
    <row r="24" spans="1:5" x14ac:dyDescent="0.35">
      <c r="A24" s="75">
        <v>18568</v>
      </c>
      <c r="E24">
        <v>10.192259999999999</v>
      </c>
    </row>
    <row r="25" spans="1:5" x14ac:dyDescent="0.35">
      <c r="A25" s="75">
        <v>18598</v>
      </c>
      <c r="E25">
        <v>10.192259999999999</v>
      </c>
    </row>
    <row r="26" spans="1:5" x14ac:dyDescent="0.35">
      <c r="A26" s="75">
        <v>18629</v>
      </c>
      <c r="E26">
        <v>10.271269999999999</v>
      </c>
    </row>
    <row r="27" spans="1:5" x14ac:dyDescent="0.35">
      <c r="A27" s="75">
        <v>18660</v>
      </c>
      <c r="E27">
        <v>10.5083</v>
      </c>
    </row>
    <row r="28" spans="1:5" x14ac:dyDescent="0.35">
      <c r="A28" s="75">
        <v>18688</v>
      </c>
      <c r="E28">
        <v>10.58731</v>
      </c>
    </row>
    <row r="29" spans="1:5" x14ac:dyDescent="0.35">
      <c r="A29" s="75">
        <v>18719</v>
      </c>
      <c r="E29">
        <v>10.745329999999999</v>
      </c>
    </row>
    <row r="30" spans="1:5" x14ac:dyDescent="0.35">
      <c r="A30" s="75">
        <v>18749</v>
      </c>
      <c r="E30">
        <v>10.745329999999999</v>
      </c>
    </row>
    <row r="31" spans="1:5" x14ac:dyDescent="0.35">
      <c r="A31" s="75">
        <v>18780</v>
      </c>
      <c r="E31">
        <v>10.98235</v>
      </c>
    </row>
    <row r="32" spans="1:5" x14ac:dyDescent="0.35">
      <c r="A32" s="75">
        <v>18810</v>
      </c>
      <c r="E32">
        <v>10.98235</v>
      </c>
    </row>
    <row r="33" spans="1:32" x14ac:dyDescent="0.35">
      <c r="A33" s="75">
        <v>18841</v>
      </c>
      <c r="E33">
        <v>11.061360000000001</v>
      </c>
      <c r="AF33">
        <v>0.13468269999999999</v>
      </c>
    </row>
    <row r="34" spans="1:32" x14ac:dyDescent="0.35">
      <c r="A34" s="75">
        <v>18872</v>
      </c>
      <c r="E34">
        <v>11.140370000000001</v>
      </c>
      <c r="AF34">
        <v>0.13333130000000001</v>
      </c>
    </row>
    <row r="35" spans="1:32" x14ac:dyDescent="0.35">
      <c r="A35" s="75">
        <v>18902</v>
      </c>
      <c r="E35">
        <v>11.219379999999999</v>
      </c>
      <c r="AF35">
        <v>0.1158228</v>
      </c>
    </row>
    <row r="36" spans="1:32" x14ac:dyDescent="0.35">
      <c r="A36" s="75">
        <v>18933</v>
      </c>
      <c r="E36">
        <v>11.298389999999999</v>
      </c>
      <c r="AF36">
        <v>0.11717420000000001</v>
      </c>
    </row>
    <row r="37" spans="1:32" x14ac:dyDescent="0.35">
      <c r="A37" s="75">
        <v>18963</v>
      </c>
      <c r="E37">
        <v>11.298389999999999</v>
      </c>
      <c r="AF37">
        <v>0.12794559999999999</v>
      </c>
    </row>
    <row r="38" spans="1:32" x14ac:dyDescent="0.35">
      <c r="A38" s="75">
        <v>18994</v>
      </c>
      <c r="E38">
        <v>11.3774</v>
      </c>
      <c r="AF38">
        <v>0.142758</v>
      </c>
    </row>
    <row r="39" spans="1:32" x14ac:dyDescent="0.35">
      <c r="A39" s="75">
        <v>19025</v>
      </c>
      <c r="E39">
        <v>11.298389999999999</v>
      </c>
      <c r="AF39">
        <v>0.17104459999999999</v>
      </c>
    </row>
    <row r="40" spans="1:32" x14ac:dyDescent="0.35">
      <c r="A40" s="75">
        <v>19054</v>
      </c>
      <c r="E40">
        <v>11.219379999999999</v>
      </c>
      <c r="AF40">
        <v>0.2087513</v>
      </c>
    </row>
    <row r="41" spans="1:32" x14ac:dyDescent="0.35">
      <c r="A41" s="75">
        <v>19085</v>
      </c>
      <c r="E41">
        <v>11.219379999999999</v>
      </c>
      <c r="AF41">
        <v>0.21953600000000001</v>
      </c>
    </row>
    <row r="42" spans="1:32" x14ac:dyDescent="0.35">
      <c r="A42" s="75">
        <v>19115</v>
      </c>
      <c r="E42">
        <v>11.140370000000001</v>
      </c>
      <c r="AF42">
        <v>0.2370379</v>
      </c>
    </row>
    <row r="43" spans="1:32" x14ac:dyDescent="0.35">
      <c r="A43" s="75">
        <v>19146</v>
      </c>
      <c r="E43">
        <v>11.140370000000001</v>
      </c>
      <c r="AF43">
        <v>0.24107880000000001</v>
      </c>
    </row>
    <row r="44" spans="1:32" x14ac:dyDescent="0.35">
      <c r="A44" s="75">
        <v>19176</v>
      </c>
      <c r="E44">
        <v>11.140370000000001</v>
      </c>
      <c r="AF44">
        <v>0.25320169999999997</v>
      </c>
    </row>
    <row r="45" spans="1:32" x14ac:dyDescent="0.35">
      <c r="A45" s="75">
        <v>19207</v>
      </c>
      <c r="E45">
        <v>11.140370000000001</v>
      </c>
      <c r="AF45">
        <v>0.2747445</v>
      </c>
    </row>
    <row r="46" spans="1:32" x14ac:dyDescent="0.35">
      <c r="A46" s="75">
        <v>19238</v>
      </c>
      <c r="E46">
        <v>11.140370000000001</v>
      </c>
      <c r="AF46">
        <v>0.29495589999999999</v>
      </c>
    </row>
    <row r="47" spans="1:32" x14ac:dyDescent="0.35">
      <c r="A47" s="75">
        <v>19268</v>
      </c>
      <c r="E47">
        <v>11.140370000000001</v>
      </c>
      <c r="AF47">
        <v>0.25724259999999999</v>
      </c>
    </row>
    <row r="48" spans="1:32" x14ac:dyDescent="0.35">
      <c r="A48" s="75">
        <v>19299</v>
      </c>
      <c r="E48">
        <v>11.140370000000001</v>
      </c>
      <c r="AF48">
        <v>0.24780930000000001</v>
      </c>
    </row>
    <row r="49" spans="1:32" x14ac:dyDescent="0.35">
      <c r="A49" s="75">
        <v>19329</v>
      </c>
      <c r="E49">
        <v>11.140370000000001</v>
      </c>
      <c r="AF49">
        <v>0.26801409999999998</v>
      </c>
    </row>
    <row r="50" spans="1:32" x14ac:dyDescent="0.35">
      <c r="A50" s="75">
        <v>19360</v>
      </c>
      <c r="E50">
        <v>11.140370000000001</v>
      </c>
      <c r="AF50">
        <v>0.28956359999999998</v>
      </c>
    </row>
    <row r="51" spans="1:32" x14ac:dyDescent="0.35">
      <c r="A51" s="75">
        <v>19391</v>
      </c>
      <c r="E51">
        <v>11.061360000000001</v>
      </c>
      <c r="AF51">
        <v>0.3313178</v>
      </c>
    </row>
    <row r="52" spans="1:32" x14ac:dyDescent="0.35">
      <c r="A52" s="75">
        <v>19419</v>
      </c>
      <c r="E52">
        <v>10.98235</v>
      </c>
      <c r="AF52">
        <v>0.33266259999999997</v>
      </c>
    </row>
    <row r="53" spans="1:32" x14ac:dyDescent="0.35">
      <c r="A53" s="75">
        <v>19450</v>
      </c>
      <c r="E53">
        <v>10.98235</v>
      </c>
      <c r="AF53">
        <v>0.35017110000000001</v>
      </c>
    </row>
    <row r="54" spans="1:32" x14ac:dyDescent="0.35">
      <c r="A54" s="75">
        <v>19480</v>
      </c>
      <c r="E54">
        <v>10.98235</v>
      </c>
      <c r="AF54">
        <v>0.3259321</v>
      </c>
    </row>
    <row r="55" spans="1:32" x14ac:dyDescent="0.35">
      <c r="A55" s="75">
        <v>19511</v>
      </c>
      <c r="E55">
        <v>10.98235</v>
      </c>
      <c r="AF55">
        <v>0.3313178</v>
      </c>
    </row>
    <row r="56" spans="1:32" x14ac:dyDescent="0.35">
      <c r="A56" s="75">
        <v>19541</v>
      </c>
      <c r="E56">
        <v>10.98235</v>
      </c>
      <c r="AF56">
        <v>0.35825299999999999</v>
      </c>
    </row>
    <row r="57" spans="1:32" x14ac:dyDescent="0.35">
      <c r="A57" s="75">
        <v>19572</v>
      </c>
      <c r="E57">
        <v>11.140370000000001</v>
      </c>
      <c r="AF57">
        <v>0.38114730000000002</v>
      </c>
    </row>
    <row r="58" spans="1:32" x14ac:dyDescent="0.35">
      <c r="A58" s="75">
        <v>19603</v>
      </c>
      <c r="E58">
        <v>11.140370000000001</v>
      </c>
      <c r="AF58">
        <v>0.39192539999999998</v>
      </c>
    </row>
    <row r="59" spans="1:32" x14ac:dyDescent="0.35">
      <c r="A59" s="75">
        <v>19633</v>
      </c>
      <c r="E59">
        <v>11.219379999999999</v>
      </c>
      <c r="AF59">
        <v>0.37172060000000001</v>
      </c>
    </row>
    <row r="60" spans="1:32" x14ac:dyDescent="0.35">
      <c r="A60" s="75">
        <v>19664</v>
      </c>
      <c r="E60">
        <v>11.140370000000001</v>
      </c>
      <c r="AF60">
        <v>0.3905806</v>
      </c>
    </row>
    <row r="61" spans="1:32" x14ac:dyDescent="0.35">
      <c r="A61" s="75">
        <v>19694</v>
      </c>
      <c r="E61">
        <v>11.140370000000001</v>
      </c>
      <c r="AF61">
        <v>0.44041010000000003</v>
      </c>
    </row>
    <row r="62" spans="1:32" x14ac:dyDescent="0.35">
      <c r="A62" s="75">
        <v>19725</v>
      </c>
      <c r="E62">
        <v>11.140370000000001</v>
      </c>
      <c r="AF62">
        <v>0.41886060000000003</v>
      </c>
    </row>
    <row r="63" spans="1:32" x14ac:dyDescent="0.35">
      <c r="A63" s="75">
        <v>19756</v>
      </c>
      <c r="E63">
        <v>11.140370000000001</v>
      </c>
      <c r="AF63">
        <v>0.40942729999999999</v>
      </c>
    </row>
    <row r="64" spans="1:32" x14ac:dyDescent="0.35">
      <c r="A64" s="75">
        <v>19784</v>
      </c>
      <c r="E64">
        <v>11.061360000000001</v>
      </c>
      <c r="O64">
        <v>1.7859100000000001</v>
      </c>
      <c r="AF64">
        <v>0.43636920000000001</v>
      </c>
    </row>
    <row r="65" spans="1:49" x14ac:dyDescent="0.35">
      <c r="A65" s="75">
        <v>19815</v>
      </c>
      <c r="E65">
        <v>11.061360000000001</v>
      </c>
      <c r="O65">
        <v>1.7897190000000001</v>
      </c>
      <c r="AF65">
        <v>0.4336796</v>
      </c>
    </row>
    <row r="66" spans="1:49" x14ac:dyDescent="0.35">
      <c r="A66" s="75">
        <v>19845</v>
      </c>
      <c r="E66">
        <v>11.061360000000001</v>
      </c>
      <c r="O66">
        <v>1.7897190000000001</v>
      </c>
      <c r="AF66">
        <v>0.40135199999999999</v>
      </c>
    </row>
    <row r="67" spans="1:49" x14ac:dyDescent="0.35">
      <c r="A67" s="75">
        <v>19876</v>
      </c>
      <c r="E67">
        <v>11.140370000000001</v>
      </c>
      <c r="O67">
        <v>1.7831900000000001</v>
      </c>
      <c r="AF67">
        <v>0.40135199999999999</v>
      </c>
    </row>
    <row r="68" spans="1:49" x14ac:dyDescent="0.35">
      <c r="A68" s="75">
        <v>19906</v>
      </c>
      <c r="E68">
        <v>11.140370000000001</v>
      </c>
      <c r="O68">
        <v>1.7848219999999999</v>
      </c>
      <c r="AF68">
        <v>0.44310630000000001</v>
      </c>
    </row>
    <row r="69" spans="1:49" x14ac:dyDescent="0.35">
      <c r="A69" s="75">
        <v>19937</v>
      </c>
      <c r="E69">
        <v>11.219379999999999</v>
      </c>
      <c r="O69">
        <v>1.7777480000000001</v>
      </c>
      <c r="AF69">
        <v>0.47677199999999997</v>
      </c>
    </row>
    <row r="70" spans="1:49" x14ac:dyDescent="0.35">
      <c r="A70" s="75">
        <v>19968</v>
      </c>
      <c r="E70">
        <v>11.219379999999999</v>
      </c>
      <c r="O70">
        <v>1.7788360000000001</v>
      </c>
      <c r="AF70">
        <v>0.54815100000000005</v>
      </c>
    </row>
    <row r="71" spans="1:49" x14ac:dyDescent="0.35">
      <c r="A71" s="75">
        <v>19998</v>
      </c>
      <c r="E71">
        <v>11.219379999999999</v>
      </c>
      <c r="O71">
        <v>1.788087</v>
      </c>
      <c r="AF71">
        <v>0.61010330000000002</v>
      </c>
    </row>
    <row r="72" spans="1:49" x14ac:dyDescent="0.35">
      <c r="A72" s="75">
        <v>20029</v>
      </c>
      <c r="E72">
        <v>11.219379999999999</v>
      </c>
      <c r="O72">
        <v>1.803323</v>
      </c>
      <c r="AF72">
        <v>0.65859469999999998</v>
      </c>
    </row>
    <row r="73" spans="1:49" x14ac:dyDescent="0.35">
      <c r="A73" s="75">
        <v>20059</v>
      </c>
      <c r="E73">
        <v>11.140370000000001</v>
      </c>
      <c r="O73">
        <v>1.819647</v>
      </c>
      <c r="AF73">
        <v>0.65185760000000004</v>
      </c>
    </row>
    <row r="74" spans="1:49" x14ac:dyDescent="0.35">
      <c r="A74" s="75">
        <v>20090</v>
      </c>
      <c r="C74">
        <v>13.146660000000001</v>
      </c>
      <c r="E74">
        <v>11.140370000000001</v>
      </c>
      <c r="F74">
        <v>23.0275</v>
      </c>
      <c r="L74">
        <v>20.94136</v>
      </c>
      <c r="O74">
        <v>1.831075</v>
      </c>
      <c r="R74">
        <v>5.3455120000000003</v>
      </c>
      <c r="S74">
        <v>7.4273819999999997</v>
      </c>
      <c r="V74">
        <v>4.8595129999999997</v>
      </c>
      <c r="W74">
        <v>0.96489800000000003</v>
      </c>
      <c r="AB74">
        <v>2.7481700000000001E-2</v>
      </c>
      <c r="AD74">
        <v>3.506081</v>
      </c>
      <c r="AE74">
        <v>17.098590000000002</v>
      </c>
      <c r="AF74">
        <v>0.71919560000000005</v>
      </c>
      <c r="AH74">
        <v>14.76643</v>
      </c>
      <c r="AL74">
        <v>7.23881</v>
      </c>
      <c r="AP74">
        <v>0.99834179999999995</v>
      </c>
      <c r="AU74">
        <v>7.2192119999999997</v>
      </c>
      <c r="AV74">
        <v>1.8266000000000001E-5</v>
      </c>
      <c r="AW74">
        <v>11.26501</v>
      </c>
    </row>
    <row r="75" spans="1:49" x14ac:dyDescent="0.35">
      <c r="A75" s="75">
        <v>20121</v>
      </c>
      <c r="C75">
        <v>13.081390000000001</v>
      </c>
      <c r="E75">
        <v>11.140370000000001</v>
      </c>
      <c r="F75">
        <v>22.947590000000002</v>
      </c>
      <c r="L75">
        <v>20.810880000000001</v>
      </c>
      <c r="O75">
        <v>1.8370599999999999</v>
      </c>
      <c r="R75">
        <v>5.3455120000000003</v>
      </c>
      <c r="S75">
        <v>7.4120470000000003</v>
      </c>
      <c r="V75">
        <v>4.8595129999999997</v>
      </c>
      <c r="W75">
        <v>0.95815039999999996</v>
      </c>
      <c r="AA75">
        <v>4.2043629999999999</v>
      </c>
      <c r="AB75">
        <v>2.7481700000000001E-2</v>
      </c>
      <c r="AD75">
        <v>3.496054</v>
      </c>
      <c r="AE75">
        <v>17.098590000000002</v>
      </c>
      <c r="AF75">
        <v>0.74748219999999999</v>
      </c>
      <c r="AH75">
        <v>14.69866</v>
      </c>
      <c r="AL75">
        <v>7.1671389999999997</v>
      </c>
      <c r="AP75">
        <v>0.9943919</v>
      </c>
      <c r="AU75">
        <v>7.2315060000000004</v>
      </c>
      <c r="AV75">
        <v>1.8266000000000001E-5</v>
      </c>
      <c r="AW75">
        <v>11.26501</v>
      </c>
    </row>
    <row r="76" spans="1:49" x14ac:dyDescent="0.35">
      <c r="A76" s="75">
        <v>20149</v>
      </c>
      <c r="C76">
        <v>13.05528</v>
      </c>
      <c r="E76">
        <v>11.140370000000001</v>
      </c>
      <c r="F76">
        <v>22.920369999999998</v>
      </c>
      <c r="L76">
        <v>20.810880000000001</v>
      </c>
      <c r="O76">
        <v>1.8441339999999999</v>
      </c>
      <c r="R76">
        <v>5.3455120000000003</v>
      </c>
      <c r="S76">
        <v>7.4069349999999998</v>
      </c>
      <c r="V76">
        <v>4.8595129999999997</v>
      </c>
      <c r="W76">
        <v>0.9798926</v>
      </c>
      <c r="AB76">
        <v>2.7481700000000001E-2</v>
      </c>
      <c r="AD76">
        <v>3.496054</v>
      </c>
      <c r="AE76">
        <v>16.988520000000001</v>
      </c>
      <c r="AF76">
        <v>0.75555749999999999</v>
      </c>
      <c r="AH76">
        <v>14.55837</v>
      </c>
      <c r="AL76">
        <v>7.1671389999999997</v>
      </c>
      <c r="AP76">
        <v>1.001304</v>
      </c>
      <c r="AU76">
        <v>7.2454770000000002</v>
      </c>
      <c r="AV76">
        <v>1.8105E-5</v>
      </c>
      <c r="AW76">
        <v>11.26501</v>
      </c>
    </row>
    <row r="77" spans="1:49" x14ac:dyDescent="0.35">
      <c r="A77" s="75">
        <v>20180</v>
      </c>
      <c r="C77">
        <v>13.00306</v>
      </c>
      <c r="E77">
        <v>11.140370000000001</v>
      </c>
      <c r="F77">
        <v>22.934419999999999</v>
      </c>
      <c r="L77">
        <v>20.810880000000001</v>
      </c>
      <c r="O77">
        <v>1.854473</v>
      </c>
      <c r="R77">
        <v>5.4000589999999997</v>
      </c>
      <c r="S77">
        <v>7.4018240000000004</v>
      </c>
      <c r="V77">
        <v>4.8859719999999998</v>
      </c>
      <c r="W77">
        <v>0.97689360000000003</v>
      </c>
      <c r="AB77">
        <v>2.7481700000000001E-2</v>
      </c>
      <c r="AD77">
        <v>3.502739</v>
      </c>
      <c r="AE77">
        <v>17.135280000000002</v>
      </c>
      <c r="AF77">
        <v>0.76634219999999997</v>
      </c>
      <c r="AH77">
        <v>14.5227</v>
      </c>
      <c r="AL77">
        <v>7.1671389999999997</v>
      </c>
      <c r="AP77">
        <v>0.99142940000000002</v>
      </c>
      <c r="AU77">
        <v>7.3063919999999998</v>
      </c>
      <c r="AV77">
        <v>1.8105E-5</v>
      </c>
      <c r="AW77">
        <v>11.26501</v>
      </c>
    </row>
    <row r="78" spans="1:49" x14ac:dyDescent="0.35">
      <c r="A78" s="75">
        <v>20210</v>
      </c>
      <c r="C78">
        <v>12.950839999999999</v>
      </c>
      <c r="E78">
        <v>11.140370000000001</v>
      </c>
      <c r="F78">
        <v>23.014320000000001</v>
      </c>
      <c r="L78">
        <v>20.745640000000002</v>
      </c>
      <c r="O78">
        <v>1.8555619999999999</v>
      </c>
      <c r="R78">
        <v>5.4000589999999997</v>
      </c>
      <c r="S78">
        <v>7.4427180000000002</v>
      </c>
      <c r="V78">
        <v>4.8771519999999997</v>
      </c>
      <c r="W78">
        <v>0.99113839999999997</v>
      </c>
      <c r="AA78">
        <v>4.2375990000000003</v>
      </c>
      <c r="AB78">
        <v>2.7481700000000001E-2</v>
      </c>
      <c r="AD78">
        <v>3.506081</v>
      </c>
      <c r="AE78">
        <v>16.97017</v>
      </c>
      <c r="AF78">
        <v>0.80000789999999999</v>
      </c>
      <c r="AH78">
        <v>14.50605</v>
      </c>
      <c r="AL78">
        <v>7.23881</v>
      </c>
      <c r="AP78">
        <v>0.98451710000000003</v>
      </c>
      <c r="AU78">
        <v>7.3276279999999998</v>
      </c>
      <c r="AV78">
        <v>1.8266000000000001E-5</v>
      </c>
      <c r="AW78">
        <v>11.26501</v>
      </c>
    </row>
    <row r="79" spans="1:49" x14ac:dyDescent="0.35">
      <c r="A79" s="75">
        <v>20241</v>
      </c>
      <c r="C79">
        <v>13.029170000000001</v>
      </c>
      <c r="E79">
        <v>11.140370000000001</v>
      </c>
      <c r="F79">
        <v>23.014320000000001</v>
      </c>
      <c r="L79">
        <v>20.810880000000001</v>
      </c>
      <c r="O79">
        <v>1.8506640000000001</v>
      </c>
      <c r="R79">
        <v>5.4000589999999997</v>
      </c>
      <c r="S79">
        <v>7.396712</v>
      </c>
      <c r="V79">
        <v>4.9785760000000003</v>
      </c>
      <c r="W79">
        <v>1.004634</v>
      </c>
      <c r="AB79">
        <v>2.7825220000000001E-2</v>
      </c>
      <c r="AD79">
        <v>3.509423</v>
      </c>
      <c r="AE79">
        <v>16.988520000000001</v>
      </c>
      <c r="AF79">
        <v>0.84849260000000004</v>
      </c>
      <c r="AH79">
        <v>14.52983</v>
      </c>
      <c r="AL79">
        <v>7.23881</v>
      </c>
      <c r="AP79">
        <v>0.97562979999999999</v>
      </c>
      <c r="AU79">
        <v>7.3421580000000004</v>
      </c>
      <c r="AV79">
        <v>1.8913E-5</v>
      </c>
      <c r="AW79">
        <v>11.26501</v>
      </c>
    </row>
    <row r="80" spans="1:49" x14ac:dyDescent="0.35">
      <c r="A80" s="75">
        <v>20271</v>
      </c>
      <c r="C80">
        <v>13.172779999999999</v>
      </c>
      <c r="E80">
        <v>11.140370000000001</v>
      </c>
      <c r="F80">
        <v>23.0275</v>
      </c>
      <c r="L80">
        <v>21.071829999999999</v>
      </c>
      <c r="O80">
        <v>1.8506640000000001</v>
      </c>
      <c r="R80">
        <v>5.4000589999999997</v>
      </c>
      <c r="S80">
        <v>7.3149240000000004</v>
      </c>
      <c r="V80">
        <v>4.9962140000000002</v>
      </c>
      <c r="W80">
        <v>0.99938539999999998</v>
      </c>
      <c r="AB80">
        <v>2.8168740000000001E-2</v>
      </c>
      <c r="AD80">
        <v>3.509423</v>
      </c>
      <c r="AE80">
        <v>16.915130000000001</v>
      </c>
      <c r="AF80">
        <v>0.87946880000000005</v>
      </c>
      <c r="AH80">
        <v>14.654669999999999</v>
      </c>
      <c r="AL80">
        <v>7.23881</v>
      </c>
      <c r="AP80">
        <v>0.98056719999999997</v>
      </c>
      <c r="AU80">
        <v>7.435486</v>
      </c>
      <c r="AV80">
        <v>1.9398E-5</v>
      </c>
      <c r="AW80">
        <v>11.30721</v>
      </c>
    </row>
    <row r="81" spans="1:49" x14ac:dyDescent="0.35">
      <c r="A81" s="75">
        <v>20302</v>
      </c>
      <c r="C81">
        <v>13.238049999999999</v>
      </c>
      <c r="E81">
        <v>11.140370000000001</v>
      </c>
      <c r="F81">
        <v>23.081060000000001</v>
      </c>
      <c r="L81">
        <v>20.94136</v>
      </c>
      <c r="O81">
        <v>1.854473</v>
      </c>
      <c r="R81">
        <v>5.4546049999999999</v>
      </c>
      <c r="S81">
        <v>7.309812</v>
      </c>
      <c r="V81">
        <v>4.9609370000000004</v>
      </c>
      <c r="W81">
        <v>1.0016350000000001</v>
      </c>
      <c r="AA81">
        <v>4.2666810000000002</v>
      </c>
      <c r="AB81">
        <v>2.8168740000000001E-2</v>
      </c>
      <c r="AD81">
        <v>3.516108</v>
      </c>
      <c r="AE81">
        <v>17.025210000000001</v>
      </c>
      <c r="AF81">
        <v>0.9104449</v>
      </c>
      <c r="AH81">
        <v>14.676069999999999</v>
      </c>
      <c r="AL81">
        <v>7.23881</v>
      </c>
      <c r="AP81">
        <v>0.98550459999999995</v>
      </c>
      <c r="AU81">
        <v>7.4544870000000003</v>
      </c>
      <c r="AV81">
        <v>1.9721E-5</v>
      </c>
      <c r="AW81">
        <v>11.30721</v>
      </c>
    </row>
    <row r="82" spans="1:49" x14ac:dyDescent="0.35">
      <c r="A82" s="75">
        <v>20333</v>
      </c>
      <c r="C82">
        <v>13.29027</v>
      </c>
      <c r="E82">
        <v>11.219379999999999</v>
      </c>
      <c r="F82">
        <v>23.120570000000001</v>
      </c>
      <c r="L82">
        <v>20.94136</v>
      </c>
      <c r="O82">
        <v>1.866989</v>
      </c>
      <c r="R82">
        <v>5.4546049999999999</v>
      </c>
      <c r="S82">
        <v>7.3864879999999999</v>
      </c>
      <c r="V82">
        <v>4.9918050000000003</v>
      </c>
      <c r="W82">
        <v>1.0091319999999999</v>
      </c>
      <c r="AB82">
        <v>2.8168740000000001E-2</v>
      </c>
      <c r="AD82">
        <v>3.516108</v>
      </c>
      <c r="AE82">
        <v>17.098590000000002</v>
      </c>
      <c r="AF82">
        <v>0.95758489999999996</v>
      </c>
      <c r="AH82">
        <v>14.72719</v>
      </c>
      <c r="AL82">
        <v>7.23881</v>
      </c>
      <c r="AP82">
        <v>1.0003169999999999</v>
      </c>
      <c r="AU82">
        <v>7.4947239999999997</v>
      </c>
      <c r="AV82">
        <v>1.9721E-5</v>
      </c>
      <c r="AW82">
        <v>11.349399999999999</v>
      </c>
    </row>
    <row r="83" spans="1:49" x14ac:dyDescent="0.35">
      <c r="A83" s="75">
        <v>20363</v>
      </c>
      <c r="C83">
        <v>13.29027</v>
      </c>
      <c r="E83">
        <v>11.219379999999999</v>
      </c>
      <c r="F83">
        <v>23.160959999999999</v>
      </c>
      <c r="L83">
        <v>21.202310000000001</v>
      </c>
      <c r="O83">
        <v>1.882226</v>
      </c>
      <c r="R83">
        <v>5.5091510000000001</v>
      </c>
      <c r="S83">
        <v>7.463165</v>
      </c>
      <c r="V83">
        <v>5.0447220000000002</v>
      </c>
      <c r="W83">
        <v>1.01363</v>
      </c>
      <c r="AB83">
        <v>2.9199309999999999E-2</v>
      </c>
      <c r="AD83">
        <v>3.529477</v>
      </c>
      <c r="AE83">
        <v>17.208670000000001</v>
      </c>
      <c r="AF83">
        <v>0.89159160000000004</v>
      </c>
      <c r="AH83">
        <v>14.715310000000001</v>
      </c>
      <c r="AL83">
        <v>7.23881</v>
      </c>
      <c r="AP83">
        <v>1.012167</v>
      </c>
      <c r="AU83">
        <v>7.5707269999999998</v>
      </c>
      <c r="AV83">
        <v>2.0044E-5</v>
      </c>
      <c r="AW83">
        <v>11.349399999999999</v>
      </c>
    </row>
    <row r="84" spans="1:49" x14ac:dyDescent="0.35">
      <c r="A84" s="75">
        <v>20394</v>
      </c>
      <c r="C84">
        <v>13.32944</v>
      </c>
      <c r="E84">
        <v>11.219379999999999</v>
      </c>
      <c r="F84">
        <v>23.18731</v>
      </c>
      <c r="L84">
        <v>21.26755</v>
      </c>
      <c r="O84">
        <v>1.890388</v>
      </c>
      <c r="R84">
        <v>5.5091510000000001</v>
      </c>
      <c r="S84">
        <v>7.4682769999999996</v>
      </c>
      <c r="V84">
        <v>5.1240959999999998</v>
      </c>
      <c r="W84">
        <v>1.0143800000000001</v>
      </c>
      <c r="AA84">
        <v>4.3622350000000001</v>
      </c>
      <c r="AB84">
        <v>2.9542829999999999E-2</v>
      </c>
      <c r="AD84">
        <v>3.539504</v>
      </c>
      <c r="AE84">
        <v>16.805060000000001</v>
      </c>
      <c r="AF84">
        <v>0.80943449999999995</v>
      </c>
      <c r="AH84">
        <v>14.7379</v>
      </c>
      <c r="AL84">
        <v>7.23881</v>
      </c>
      <c r="AP84">
        <v>1.022041</v>
      </c>
      <c r="AU84">
        <v>7.634995</v>
      </c>
      <c r="AV84">
        <v>2.0690999999999999E-5</v>
      </c>
      <c r="AW84">
        <v>11.349399999999999</v>
      </c>
    </row>
    <row r="85" spans="1:49" x14ac:dyDescent="0.35">
      <c r="A85" s="75">
        <v>20424</v>
      </c>
      <c r="C85">
        <v>13.34249</v>
      </c>
      <c r="E85">
        <v>11.219379999999999</v>
      </c>
      <c r="F85">
        <v>23.18731</v>
      </c>
      <c r="L85">
        <v>21.33278</v>
      </c>
      <c r="O85">
        <v>1.8963730000000001</v>
      </c>
      <c r="R85">
        <v>5.5091510000000001</v>
      </c>
      <c r="S85">
        <v>7.4785000000000004</v>
      </c>
      <c r="V85">
        <v>5.1240959999999998</v>
      </c>
      <c r="W85">
        <v>1.020378</v>
      </c>
      <c r="AB85">
        <v>2.9542829999999999E-2</v>
      </c>
      <c r="AD85">
        <v>3.5629</v>
      </c>
      <c r="AE85">
        <v>16.731670000000001</v>
      </c>
      <c r="AF85">
        <v>0.82694310000000004</v>
      </c>
      <c r="AH85">
        <v>14.743840000000001</v>
      </c>
      <c r="AL85">
        <v>7.23881</v>
      </c>
      <c r="AP85">
        <v>1.0289539999999999</v>
      </c>
      <c r="AU85">
        <v>7.667967</v>
      </c>
      <c r="AV85">
        <v>2.1013999999999999E-5</v>
      </c>
      <c r="AW85">
        <v>11.30721</v>
      </c>
    </row>
    <row r="86" spans="1:49" x14ac:dyDescent="0.35">
      <c r="A86" s="75">
        <v>20455</v>
      </c>
      <c r="C86">
        <v>13.34249</v>
      </c>
      <c r="E86">
        <v>11.219379999999999</v>
      </c>
      <c r="F86">
        <v>23.053840000000001</v>
      </c>
      <c r="L86">
        <v>21.202310000000001</v>
      </c>
      <c r="O86">
        <v>1.89855</v>
      </c>
      <c r="R86">
        <v>5.6727889999999999</v>
      </c>
      <c r="S86">
        <v>7.5040589999999998</v>
      </c>
      <c r="V86">
        <v>5.1064579999999999</v>
      </c>
      <c r="W86">
        <v>1.022627</v>
      </c>
      <c r="AB86">
        <v>2.9886349999999999E-2</v>
      </c>
      <c r="AD86">
        <v>3.569585</v>
      </c>
      <c r="AE86">
        <v>16.823399999999999</v>
      </c>
      <c r="AF86">
        <v>0.84849260000000004</v>
      </c>
      <c r="AH86">
        <v>14.731949999999999</v>
      </c>
      <c r="AL86">
        <v>7.23881</v>
      </c>
      <c r="AP86">
        <v>1.0259910000000001</v>
      </c>
      <c r="AU86">
        <v>7.667408</v>
      </c>
      <c r="AV86">
        <v>2.1498999999999999E-5</v>
      </c>
      <c r="AW86">
        <v>11.30721</v>
      </c>
    </row>
    <row r="87" spans="1:49" x14ac:dyDescent="0.35">
      <c r="A87" s="75">
        <v>20486</v>
      </c>
      <c r="C87">
        <v>13.368600000000001</v>
      </c>
      <c r="E87">
        <v>11.140370000000001</v>
      </c>
      <c r="F87">
        <v>23.107399999999998</v>
      </c>
      <c r="L87">
        <v>21.26755</v>
      </c>
      <c r="O87">
        <v>1.921948</v>
      </c>
      <c r="R87">
        <v>5.8364269999999996</v>
      </c>
      <c r="S87">
        <v>7.5602879999999999</v>
      </c>
      <c r="V87">
        <v>5.1064579999999999</v>
      </c>
      <c r="W87">
        <v>1.0286249999999999</v>
      </c>
      <c r="AA87">
        <v>4.3830070000000001</v>
      </c>
      <c r="AB87">
        <v>2.9886349999999999E-2</v>
      </c>
      <c r="AD87">
        <v>3.6063499999999999</v>
      </c>
      <c r="AE87">
        <v>16.97017</v>
      </c>
      <c r="AF87">
        <v>0.88081350000000003</v>
      </c>
      <c r="AH87">
        <v>14.62138</v>
      </c>
      <c r="AL87">
        <v>7.3104820000000004</v>
      </c>
      <c r="AP87">
        <v>1.0398160000000001</v>
      </c>
      <c r="AU87">
        <v>7.6802619999999999</v>
      </c>
      <c r="AV87">
        <v>2.2306999999999998E-5</v>
      </c>
      <c r="AW87">
        <v>11.30721</v>
      </c>
    </row>
    <row r="88" spans="1:49" x14ac:dyDescent="0.35">
      <c r="A88" s="75">
        <v>20515</v>
      </c>
      <c r="C88">
        <v>13.43388</v>
      </c>
      <c r="E88">
        <v>11.140370000000001</v>
      </c>
      <c r="F88">
        <v>23.174130000000002</v>
      </c>
      <c r="L88">
        <v>21.59374</v>
      </c>
      <c r="O88">
        <v>1.9404490000000001</v>
      </c>
      <c r="R88">
        <v>5.8909729999999998</v>
      </c>
      <c r="S88">
        <v>7.5705109999999998</v>
      </c>
      <c r="V88">
        <v>5.1728420000000002</v>
      </c>
      <c r="W88">
        <v>1.033123</v>
      </c>
      <c r="AB88">
        <v>3.0229869999999999E-2</v>
      </c>
      <c r="AD88">
        <v>3.6297459999999999</v>
      </c>
      <c r="AE88">
        <v>17.00686</v>
      </c>
      <c r="AF88">
        <v>0.89832869999999998</v>
      </c>
      <c r="AH88">
        <v>14.74146</v>
      </c>
      <c r="AL88">
        <v>7.3104820000000004</v>
      </c>
      <c r="AP88">
        <v>1.043766</v>
      </c>
      <c r="AU88">
        <v>7.7294409999999996</v>
      </c>
      <c r="AV88">
        <v>2.2146000000000001E-5</v>
      </c>
      <c r="AW88">
        <v>11.30721</v>
      </c>
    </row>
    <row r="89" spans="1:49" x14ac:dyDescent="0.35">
      <c r="A89" s="75">
        <v>20546</v>
      </c>
      <c r="C89">
        <v>13.43388</v>
      </c>
      <c r="E89">
        <v>11.140370000000001</v>
      </c>
      <c r="F89">
        <v>23.134620000000002</v>
      </c>
      <c r="L89">
        <v>21.59374</v>
      </c>
      <c r="O89">
        <v>1.9611270000000001</v>
      </c>
      <c r="R89">
        <v>5.8909729999999998</v>
      </c>
      <c r="S89">
        <v>7.539841</v>
      </c>
      <c r="V89">
        <v>5.244332</v>
      </c>
      <c r="W89">
        <v>1.0376209999999999</v>
      </c>
      <c r="AB89">
        <v>3.0573389999999999E-2</v>
      </c>
      <c r="AD89">
        <v>3.643116</v>
      </c>
      <c r="AE89">
        <v>17.04355</v>
      </c>
      <c r="AF89">
        <v>0.94411730000000005</v>
      </c>
      <c r="AH89">
        <v>14.598789999999999</v>
      </c>
      <c r="AL89">
        <v>7.4538250000000001</v>
      </c>
      <c r="AP89">
        <v>1.0408029999999999</v>
      </c>
      <c r="AU89">
        <v>7.7378229999999997</v>
      </c>
      <c r="AV89">
        <v>2.2306999999999998E-5</v>
      </c>
      <c r="AW89">
        <v>11.349399999999999</v>
      </c>
    </row>
    <row r="90" spans="1:49" x14ac:dyDescent="0.35">
      <c r="A90" s="75">
        <v>20576</v>
      </c>
      <c r="C90">
        <v>13.4861</v>
      </c>
      <c r="E90">
        <v>11.140370000000001</v>
      </c>
      <c r="F90">
        <v>23.375209999999999</v>
      </c>
      <c r="L90">
        <v>21.528500000000001</v>
      </c>
      <c r="O90">
        <v>1.970378</v>
      </c>
      <c r="R90">
        <v>6.0000650000000002</v>
      </c>
      <c r="S90">
        <v>7.5909589999999998</v>
      </c>
      <c r="V90">
        <v>5.2341189999999997</v>
      </c>
      <c r="W90">
        <v>1.023377</v>
      </c>
      <c r="AA90">
        <v>4.4660970000000004</v>
      </c>
      <c r="AB90">
        <v>3.0916909999999999E-2</v>
      </c>
      <c r="AD90">
        <v>3.6497999999999999</v>
      </c>
      <c r="AE90">
        <v>16.97017</v>
      </c>
      <c r="AF90">
        <v>1.0330109999999999</v>
      </c>
      <c r="AH90">
        <v>14.5334</v>
      </c>
      <c r="AL90">
        <v>7.5971669999999998</v>
      </c>
      <c r="AP90">
        <v>1.0210539999999999</v>
      </c>
      <c r="AU90">
        <v>7.7769430000000002</v>
      </c>
      <c r="AV90">
        <v>2.2306999999999998E-5</v>
      </c>
      <c r="AW90">
        <v>11.391590000000001</v>
      </c>
    </row>
    <row r="91" spans="1:49" x14ac:dyDescent="0.35">
      <c r="A91" s="75">
        <v>20607</v>
      </c>
      <c r="C91">
        <v>13.52266</v>
      </c>
      <c r="E91">
        <v>11.298389999999999</v>
      </c>
      <c r="F91">
        <v>23.427900000000001</v>
      </c>
      <c r="L91">
        <v>21.528500000000001</v>
      </c>
      <c r="O91">
        <v>1.963848</v>
      </c>
      <c r="R91">
        <v>6.0000650000000002</v>
      </c>
      <c r="S91">
        <v>7.5193940000000001</v>
      </c>
      <c r="V91">
        <v>5.229012</v>
      </c>
      <c r="W91">
        <v>1.0316240000000001</v>
      </c>
      <c r="AB91">
        <v>3.0916909999999999E-2</v>
      </c>
      <c r="AD91">
        <v>3.636431</v>
      </c>
      <c r="AE91">
        <v>17.318750000000001</v>
      </c>
      <c r="AF91">
        <v>1.0424310000000001</v>
      </c>
      <c r="AH91">
        <v>14.66656</v>
      </c>
      <c r="AL91">
        <v>7.5971669999999998</v>
      </c>
      <c r="AP91">
        <v>1.022041</v>
      </c>
      <c r="AU91">
        <v>7.7858840000000002</v>
      </c>
      <c r="AV91">
        <v>2.2306999999999998E-5</v>
      </c>
      <c r="AW91">
        <v>11.47597</v>
      </c>
    </row>
    <row r="92" spans="1:49" x14ac:dyDescent="0.35">
      <c r="A92" s="75">
        <v>20637</v>
      </c>
      <c r="C92">
        <v>13.540929999999999</v>
      </c>
      <c r="E92">
        <v>11.3774</v>
      </c>
      <c r="F92">
        <v>23.455120000000001</v>
      </c>
      <c r="L92">
        <v>21.59374</v>
      </c>
      <c r="O92">
        <v>1.957862</v>
      </c>
      <c r="R92">
        <v>6.0546110000000004</v>
      </c>
      <c r="S92">
        <v>7.4989470000000003</v>
      </c>
      <c r="V92">
        <v>5.2085869999999996</v>
      </c>
      <c r="W92">
        <v>1.036872</v>
      </c>
      <c r="AB92">
        <v>3.160396E-2</v>
      </c>
      <c r="AD92">
        <v>3.636431</v>
      </c>
      <c r="AE92">
        <v>16.97017</v>
      </c>
      <c r="AF92">
        <v>1.0464789999999999</v>
      </c>
      <c r="AH92">
        <v>14.683199999999999</v>
      </c>
      <c r="AL92">
        <v>7.6688390000000002</v>
      </c>
      <c r="AP92">
        <v>1.0111790000000001</v>
      </c>
      <c r="AU92">
        <v>7.7713539999999997</v>
      </c>
      <c r="AV92">
        <v>2.2306999999999998E-5</v>
      </c>
      <c r="AW92">
        <v>11.56035</v>
      </c>
    </row>
    <row r="93" spans="1:49" x14ac:dyDescent="0.35">
      <c r="A93" s="75">
        <v>20668</v>
      </c>
      <c r="C93">
        <v>13.5566</v>
      </c>
      <c r="E93">
        <v>11.45641</v>
      </c>
      <c r="F93">
        <v>23.535019999999999</v>
      </c>
      <c r="L93">
        <v>21.463259999999998</v>
      </c>
      <c r="O93">
        <v>1.9611270000000001</v>
      </c>
      <c r="R93">
        <v>6.1091569999999997</v>
      </c>
      <c r="S93">
        <v>7.5193940000000001</v>
      </c>
      <c r="V93">
        <v>5.2239060000000004</v>
      </c>
      <c r="W93">
        <v>1.033123</v>
      </c>
      <c r="AA93">
        <v>4.4785599999999999</v>
      </c>
      <c r="AB93">
        <v>3.160396E-2</v>
      </c>
      <c r="AD93">
        <v>3.6397729999999999</v>
      </c>
      <c r="AE93">
        <v>17.061900000000001</v>
      </c>
      <c r="AF93">
        <v>1.085537</v>
      </c>
      <c r="AH93">
        <v>14.673690000000001</v>
      </c>
      <c r="AL93">
        <v>7.5971669999999998</v>
      </c>
      <c r="AP93">
        <v>1.0062420000000001</v>
      </c>
      <c r="AU93">
        <v>7.8015319999999999</v>
      </c>
      <c r="AV93">
        <v>2.1338000000000001E-5</v>
      </c>
      <c r="AW93">
        <v>11.51816</v>
      </c>
    </row>
    <row r="94" spans="1:49" x14ac:dyDescent="0.35">
      <c r="A94" s="75">
        <v>20699</v>
      </c>
      <c r="C94">
        <v>13.59446</v>
      </c>
      <c r="E94">
        <v>11.3774</v>
      </c>
      <c r="F94">
        <v>23.575410000000002</v>
      </c>
      <c r="L94">
        <v>21.528500000000001</v>
      </c>
      <c r="O94">
        <v>1.9752749999999999</v>
      </c>
      <c r="R94">
        <v>6.1637029999999999</v>
      </c>
      <c r="S94">
        <v>7.5807349999999998</v>
      </c>
      <c r="V94">
        <v>5.2136930000000001</v>
      </c>
      <c r="W94">
        <v>1.030124</v>
      </c>
      <c r="AB94">
        <v>3.160396E-2</v>
      </c>
      <c r="AD94">
        <v>3.646458</v>
      </c>
      <c r="AE94">
        <v>17.208670000000001</v>
      </c>
      <c r="AF94">
        <v>1.1124719999999999</v>
      </c>
      <c r="AH94">
        <v>14.729570000000001</v>
      </c>
      <c r="AL94">
        <v>7.5254960000000004</v>
      </c>
      <c r="AP94">
        <v>1.025004</v>
      </c>
      <c r="AU94">
        <v>7.7702359999999997</v>
      </c>
      <c r="AV94">
        <v>2.1338000000000001E-5</v>
      </c>
      <c r="AW94">
        <v>11.56035</v>
      </c>
    </row>
    <row r="95" spans="1:49" x14ac:dyDescent="0.35">
      <c r="A95" s="75">
        <v>20729</v>
      </c>
      <c r="C95">
        <v>13.65713</v>
      </c>
      <c r="E95">
        <v>11.45641</v>
      </c>
      <c r="F95">
        <v>23.601759999999999</v>
      </c>
      <c r="L95">
        <v>21.59374</v>
      </c>
      <c r="O95">
        <v>1.992688</v>
      </c>
      <c r="R95">
        <v>6.1637029999999999</v>
      </c>
      <c r="S95">
        <v>7.5654000000000003</v>
      </c>
      <c r="V95">
        <v>5.244332</v>
      </c>
      <c r="W95">
        <v>1.0271250000000001</v>
      </c>
      <c r="AB95">
        <v>3.160396E-2</v>
      </c>
      <c r="AD95">
        <v>3.6397729999999999</v>
      </c>
      <c r="AE95">
        <v>17.3004</v>
      </c>
      <c r="AF95">
        <v>1.065326</v>
      </c>
      <c r="AH95">
        <v>14.756919999999999</v>
      </c>
      <c r="AL95">
        <v>7.5254960000000004</v>
      </c>
      <c r="AP95">
        <v>1.029941</v>
      </c>
      <c r="AU95">
        <v>7.778619</v>
      </c>
      <c r="AV95">
        <v>2.1498999999999999E-5</v>
      </c>
      <c r="AW95">
        <v>11.602539999999999</v>
      </c>
    </row>
    <row r="96" spans="1:49" x14ac:dyDescent="0.35">
      <c r="A96" s="75">
        <v>20760</v>
      </c>
      <c r="C96">
        <v>13.67801</v>
      </c>
      <c r="E96">
        <v>11.53542</v>
      </c>
      <c r="F96">
        <v>23.668489999999998</v>
      </c>
      <c r="L96">
        <v>21.65897</v>
      </c>
      <c r="O96">
        <v>2.0204399999999998</v>
      </c>
      <c r="R96">
        <v>6.4364330000000001</v>
      </c>
      <c r="S96">
        <v>7.5756240000000004</v>
      </c>
      <c r="V96">
        <v>5.2647579999999996</v>
      </c>
      <c r="W96">
        <v>1.030124</v>
      </c>
      <c r="AA96">
        <v>4.4660970000000004</v>
      </c>
      <c r="AB96">
        <v>3.160396E-2</v>
      </c>
      <c r="AD96">
        <v>3.6497999999999999</v>
      </c>
      <c r="AE96">
        <v>17.00686</v>
      </c>
      <c r="AF96">
        <v>1.0734140000000001</v>
      </c>
      <c r="AH96">
        <v>15.020860000000001</v>
      </c>
      <c r="AL96">
        <v>7.5254960000000004</v>
      </c>
      <c r="AP96">
        <v>1.0467280000000001</v>
      </c>
      <c r="AU96">
        <v>7.8831239999999996</v>
      </c>
      <c r="AV96">
        <v>2.2146000000000001E-5</v>
      </c>
      <c r="AW96">
        <v>11.602539999999999</v>
      </c>
    </row>
    <row r="97" spans="1:50" x14ac:dyDescent="0.35">
      <c r="A97" s="75">
        <v>20790</v>
      </c>
      <c r="C97">
        <v>13.76679</v>
      </c>
      <c r="E97">
        <v>11.53542</v>
      </c>
      <c r="F97">
        <v>23.69483</v>
      </c>
      <c r="L97">
        <v>21.724209999999999</v>
      </c>
      <c r="O97">
        <v>2.0563539999999998</v>
      </c>
      <c r="R97">
        <v>6.4364330000000001</v>
      </c>
      <c r="S97">
        <v>7.5705109999999998</v>
      </c>
      <c r="V97">
        <v>5.2800770000000004</v>
      </c>
      <c r="W97">
        <v>1.033123</v>
      </c>
      <c r="AB97">
        <v>3.160396E-2</v>
      </c>
      <c r="AD97">
        <v>3.6698539999999999</v>
      </c>
      <c r="AE97">
        <v>17.19032</v>
      </c>
      <c r="AF97">
        <v>1.1609499999999999</v>
      </c>
      <c r="AH97">
        <v>15.091010000000001</v>
      </c>
      <c r="AL97">
        <v>7.5971669999999998</v>
      </c>
      <c r="AP97">
        <v>1.045741</v>
      </c>
      <c r="AU97">
        <v>7.9429210000000001</v>
      </c>
      <c r="AV97">
        <v>2.2469000000000001E-5</v>
      </c>
      <c r="AW97">
        <v>11.644729999999999</v>
      </c>
    </row>
    <row r="98" spans="1:50" x14ac:dyDescent="0.35">
      <c r="A98" s="75">
        <v>20821</v>
      </c>
      <c r="C98">
        <v>13.822929999999999</v>
      </c>
      <c r="E98">
        <v>11.53542</v>
      </c>
      <c r="F98">
        <v>23.65532</v>
      </c>
      <c r="L98">
        <v>21.789449999999999</v>
      </c>
      <c r="O98">
        <v>2.0939000000000001</v>
      </c>
      <c r="R98">
        <v>6.5455259999999997</v>
      </c>
      <c r="S98">
        <v>7.5909589999999998</v>
      </c>
      <c r="V98">
        <v>5.3311419999999998</v>
      </c>
      <c r="W98">
        <v>1.039871</v>
      </c>
      <c r="Z98">
        <v>1.4713879999999999</v>
      </c>
      <c r="AB98">
        <v>3.160396E-2</v>
      </c>
      <c r="AD98">
        <v>3.6832229999999999</v>
      </c>
      <c r="AE98">
        <v>17.37379</v>
      </c>
      <c r="AF98">
        <v>1.23637</v>
      </c>
      <c r="AH98">
        <v>15.14213</v>
      </c>
      <c r="AL98">
        <v>7.5971669999999998</v>
      </c>
      <c r="AP98">
        <v>1.044753</v>
      </c>
      <c r="AU98">
        <v>8.023396</v>
      </c>
      <c r="AV98">
        <v>2.2631000000000001E-5</v>
      </c>
      <c r="AW98">
        <v>11.644729999999999</v>
      </c>
      <c r="AX98">
        <v>1.25993</v>
      </c>
    </row>
    <row r="99" spans="1:50" x14ac:dyDescent="0.35">
      <c r="A99" s="75">
        <v>20852</v>
      </c>
      <c r="C99">
        <v>13.85426</v>
      </c>
      <c r="E99">
        <v>11.53542</v>
      </c>
      <c r="F99">
        <v>23.614930000000001</v>
      </c>
      <c r="L99">
        <v>21.789449999999999</v>
      </c>
      <c r="O99">
        <v>2.1053280000000001</v>
      </c>
      <c r="R99">
        <v>6.5455259999999997</v>
      </c>
      <c r="S99">
        <v>7.60602</v>
      </c>
      <c r="V99">
        <v>5.3260350000000001</v>
      </c>
      <c r="W99">
        <v>1.035372</v>
      </c>
      <c r="Z99">
        <v>1.4713879999999999</v>
      </c>
      <c r="AA99">
        <v>4.4744060000000001</v>
      </c>
      <c r="AB99">
        <v>3.160396E-2</v>
      </c>
      <c r="AD99">
        <v>3.6698539999999999</v>
      </c>
      <c r="AE99">
        <v>17.33709</v>
      </c>
      <c r="AF99">
        <v>1.259271</v>
      </c>
      <c r="AH99">
        <v>15.225350000000001</v>
      </c>
      <c r="AL99">
        <v>7.5971669999999998</v>
      </c>
      <c r="AP99">
        <v>1.0496909999999999</v>
      </c>
      <c r="AU99">
        <v>8.0373660000000005</v>
      </c>
      <c r="AV99">
        <v>2.3116E-5</v>
      </c>
      <c r="AW99">
        <v>11.686920000000001</v>
      </c>
      <c r="AX99">
        <v>1.25993</v>
      </c>
    </row>
    <row r="100" spans="1:50" x14ac:dyDescent="0.35">
      <c r="A100" s="75">
        <v>20880</v>
      </c>
      <c r="C100">
        <v>13.828150000000001</v>
      </c>
      <c r="E100">
        <v>11.53542</v>
      </c>
      <c r="F100">
        <v>23.548190000000002</v>
      </c>
      <c r="L100">
        <v>21.65897</v>
      </c>
      <c r="O100">
        <v>2.1162109999999998</v>
      </c>
      <c r="R100">
        <v>6.5455259999999997</v>
      </c>
      <c r="S100">
        <v>7.5608360000000001</v>
      </c>
      <c r="V100">
        <v>5.315823</v>
      </c>
      <c r="W100">
        <v>1.04287</v>
      </c>
      <c r="Z100">
        <v>1.4713879999999999</v>
      </c>
      <c r="AB100">
        <v>3.194748E-2</v>
      </c>
      <c r="AD100">
        <v>3.6598269999999999</v>
      </c>
      <c r="AE100">
        <v>17.392130000000002</v>
      </c>
      <c r="AF100">
        <v>1.2969850000000001</v>
      </c>
      <c r="AH100">
        <v>15.18017</v>
      </c>
      <c r="AL100">
        <v>7.6688390000000002</v>
      </c>
      <c r="AP100">
        <v>1.0467280000000001</v>
      </c>
      <c r="AU100">
        <v>8.0178069999999995</v>
      </c>
      <c r="AV100">
        <v>2.3277000000000001E-5</v>
      </c>
      <c r="AW100">
        <v>11.72912</v>
      </c>
      <c r="AX100">
        <v>1.264446</v>
      </c>
    </row>
    <row r="101" spans="1:50" x14ac:dyDescent="0.35">
      <c r="A101" s="75">
        <v>20911</v>
      </c>
      <c r="C101">
        <v>13.85557</v>
      </c>
      <c r="E101">
        <v>11.61443</v>
      </c>
      <c r="F101">
        <v>23.6281</v>
      </c>
      <c r="L101">
        <v>21.789449999999999</v>
      </c>
      <c r="O101">
        <v>2.1254620000000002</v>
      </c>
      <c r="R101">
        <v>6.6000709999999998</v>
      </c>
      <c r="S101">
        <v>7.5533049999999999</v>
      </c>
      <c r="V101">
        <v>5.3362480000000003</v>
      </c>
      <c r="W101">
        <v>1.049617</v>
      </c>
      <c r="Z101">
        <v>1.500524</v>
      </c>
      <c r="AB101">
        <v>3.2291E-2</v>
      </c>
      <c r="AD101">
        <v>3.6531419999999999</v>
      </c>
      <c r="AE101">
        <v>17.502210000000002</v>
      </c>
      <c r="AF101">
        <v>1.3710530000000001</v>
      </c>
      <c r="AH101">
        <v>15.21941</v>
      </c>
      <c r="AL101">
        <v>7.7405099999999996</v>
      </c>
      <c r="AP101">
        <v>1.0388280000000001</v>
      </c>
      <c r="AU101">
        <v>8.0217189999999992</v>
      </c>
      <c r="AV101">
        <v>2.3762000000000001E-5</v>
      </c>
      <c r="AW101">
        <v>11.77131</v>
      </c>
      <c r="AX101">
        <v>1.264446</v>
      </c>
    </row>
    <row r="102" spans="1:50" x14ac:dyDescent="0.35">
      <c r="A102" s="75">
        <v>20941</v>
      </c>
      <c r="C102">
        <v>13.87515</v>
      </c>
      <c r="E102">
        <v>11.61443</v>
      </c>
      <c r="F102">
        <v>23.77562</v>
      </c>
      <c r="L102">
        <v>21.854690000000002</v>
      </c>
      <c r="O102">
        <v>2.130903</v>
      </c>
      <c r="R102">
        <v>6.6546180000000001</v>
      </c>
      <c r="S102">
        <v>7.5382439999999997</v>
      </c>
      <c r="V102">
        <v>5.3413550000000001</v>
      </c>
      <c r="W102">
        <v>1.0473680000000001</v>
      </c>
      <c r="Z102">
        <v>1.51145</v>
      </c>
      <c r="AA102">
        <v>4.5865780000000003</v>
      </c>
      <c r="AB102">
        <v>3.2291E-2</v>
      </c>
      <c r="AD102">
        <v>3.6531419999999999</v>
      </c>
      <c r="AE102">
        <v>17.648980000000002</v>
      </c>
      <c r="AF102">
        <v>1.338732</v>
      </c>
      <c r="AH102">
        <v>15.23368</v>
      </c>
      <c r="AL102">
        <v>7.7405099999999996</v>
      </c>
      <c r="AP102">
        <v>1.0210539999999999</v>
      </c>
      <c r="AU102">
        <v>8.0507779999999993</v>
      </c>
      <c r="AV102">
        <v>2.4085999999999999E-5</v>
      </c>
      <c r="AW102">
        <v>11.813499999999999</v>
      </c>
      <c r="AX102">
        <v>1.2689619999999999</v>
      </c>
    </row>
    <row r="103" spans="1:50" x14ac:dyDescent="0.35">
      <c r="A103" s="75">
        <v>20972</v>
      </c>
      <c r="C103">
        <v>13.89865</v>
      </c>
      <c r="E103">
        <v>11.693440000000001</v>
      </c>
      <c r="F103">
        <v>23.788789999999999</v>
      </c>
      <c r="L103">
        <v>21.98516</v>
      </c>
      <c r="O103">
        <v>2.1254620000000002</v>
      </c>
      <c r="R103">
        <v>6.6546180000000001</v>
      </c>
      <c r="S103">
        <v>7.5834279999999996</v>
      </c>
      <c r="V103">
        <v>5.397526</v>
      </c>
      <c r="W103">
        <v>1.0541149999999999</v>
      </c>
      <c r="Z103">
        <v>1.540586</v>
      </c>
      <c r="AB103">
        <v>3.2291E-2</v>
      </c>
      <c r="AD103">
        <v>3.6531419999999999</v>
      </c>
      <c r="AE103">
        <v>17.59394</v>
      </c>
      <c r="AF103">
        <v>1.286206</v>
      </c>
      <c r="AH103">
        <v>15.364459999999999</v>
      </c>
      <c r="AL103">
        <v>7.7405099999999996</v>
      </c>
      <c r="AP103">
        <v>1.0210539999999999</v>
      </c>
      <c r="AU103">
        <v>8.0820740000000004</v>
      </c>
      <c r="AV103">
        <v>2.457E-5</v>
      </c>
      <c r="AW103">
        <v>11.855689999999999</v>
      </c>
      <c r="AX103">
        <v>1.2734780000000001</v>
      </c>
    </row>
    <row r="104" spans="1:50" x14ac:dyDescent="0.35">
      <c r="A104" s="75">
        <v>21002</v>
      </c>
      <c r="C104">
        <v>14.01092</v>
      </c>
      <c r="E104">
        <v>11.693440000000001</v>
      </c>
      <c r="F104">
        <v>23.84235</v>
      </c>
      <c r="L104">
        <v>22.180879999999998</v>
      </c>
      <c r="O104">
        <v>2.158655</v>
      </c>
      <c r="R104">
        <v>6.7637099999999997</v>
      </c>
      <c r="S104">
        <v>7.6963889999999999</v>
      </c>
      <c r="V104">
        <v>5.4434839999999998</v>
      </c>
      <c r="W104">
        <v>1.0631120000000001</v>
      </c>
      <c r="Z104">
        <v>1.540586</v>
      </c>
      <c r="AB104">
        <v>3.263452E-2</v>
      </c>
      <c r="AD104">
        <v>3.6731959999999999</v>
      </c>
      <c r="AE104">
        <v>17.795750000000002</v>
      </c>
      <c r="AF104">
        <v>1.2646569999999999</v>
      </c>
      <c r="AH104">
        <v>15.47265</v>
      </c>
      <c r="AL104">
        <v>7.7405099999999996</v>
      </c>
      <c r="AP104">
        <v>1.0269790000000001</v>
      </c>
      <c r="AU104">
        <v>8.1379590000000004</v>
      </c>
      <c r="AV104">
        <v>2.5055E-5</v>
      </c>
      <c r="AW104">
        <v>11.94007</v>
      </c>
      <c r="AX104">
        <v>1.2779940000000001</v>
      </c>
    </row>
    <row r="105" spans="1:50" x14ac:dyDescent="0.35">
      <c r="A105" s="75">
        <v>21033</v>
      </c>
      <c r="C105">
        <v>13.97437</v>
      </c>
      <c r="E105">
        <v>11.772449999999999</v>
      </c>
      <c r="F105">
        <v>23.975819999999999</v>
      </c>
      <c r="L105">
        <v>22.115639999999999</v>
      </c>
      <c r="O105">
        <v>2.189127</v>
      </c>
      <c r="R105">
        <v>6.8182559999999999</v>
      </c>
      <c r="S105">
        <v>7.7867569999999997</v>
      </c>
      <c r="V105">
        <v>5.4332710000000004</v>
      </c>
      <c r="W105">
        <v>1.0571140000000001</v>
      </c>
      <c r="Z105">
        <v>1.5551550000000001</v>
      </c>
      <c r="AA105">
        <v>4.7402949999999997</v>
      </c>
      <c r="AB105">
        <v>3.263452E-2</v>
      </c>
      <c r="AD105">
        <v>3.676539</v>
      </c>
      <c r="AE105">
        <v>17.92417</v>
      </c>
      <c r="AF105">
        <v>1.283517</v>
      </c>
      <c r="AH105">
        <v>15.671200000000001</v>
      </c>
      <c r="AL105">
        <v>7.7405099999999996</v>
      </c>
      <c r="AP105">
        <v>1.042778</v>
      </c>
      <c r="AU105">
        <v>8.1144879999999997</v>
      </c>
      <c r="AV105">
        <v>2.5378999999999999E-5</v>
      </c>
      <c r="AW105">
        <v>11.94007</v>
      </c>
      <c r="AX105">
        <v>1.300573</v>
      </c>
    </row>
    <row r="106" spans="1:50" x14ac:dyDescent="0.35">
      <c r="A106" s="75">
        <v>21064</v>
      </c>
      <c r="C106">
        <v>14.03965</v>
      </c>
      <c r="E106">
        <v>11.851459999999999</v>
      </c>
      <c r="F106">
        <v>24.02938</v>
      </c>
      <c r="L106">
        <v>22.0504</v>
      </c>
      <c r="O106">
        <v>2.2201439999999999</v>
      </c>
      <c r="R106">
        <v>6.8728020000000001</v>
      </c>
      <c r="S106">
        <v>7.8846559999999997</v>
      </c>
      <c r="V106">
        <v>5.4179519999999997</v>
      </c>
      <c r="W106">
        <v>1.066111</v>
      </c>
      <c r="Z106">
        <v>1.5660810000000001</v>
      </c>
      <c r="AB106">
        <v>3.263452E-2</v>
      </c>
      <c r="AD106">
        <v>3.686566</v>
      </c>
      <c r="AE106">
        <v>17.832439999999998</v>
      </c>
      <c r="AF106">
        <v>1.22695</v>
      </c>
      <c r="AH106">
        <v>15.642670000000001</v>
      </c>
      <c r="AL106">
        <v>7.7405099999999996</v>
      </c>
      <c r="AP106">
        <v>1.050678</v>
      </c>
      <c r="AU106">
        <v>8.1659009999999999</v>
      </c>
      <c r="AV106">
        <v>2.5701999999999999E-5</v>
      </c>
      <c r="AW106">
        <v>11.94007</v>
      </c>
      <c r="AX106">
        <v>1.3096049999999999</v>
      </c>
    </row>
    <row r="107" spans="1:50" x14ac:dyDescent="0.35">
      <c r="A107" s="75">
        <v>21094</v>
      </c>
      <c r="C107">
        <v>14.05401</v>
      </c>
      <c r="E107">
        <v>11.851459999999999</v>
      </c>
      <c r="F107">
        <v>24.109279999999998</v>
      </c>
      <c r="L107">
        <v>22.115639999999999</v>
      </c>
      <c r="O107">
        <v>2.2669410000000001</v>
      </c>
      <c r="R107">
        <v>6.9273480000000003</v>
      </c>
      <c r="S107">
        <v>8.0051480000000002</v>
      </c>
      <c r="V107">
        <v>5.4690159999999999</v>
      </c>
      <c r="W107">
        <v>1.0638620000000001</v>
      </c>
      <c r="Z107">
        <v>1.5551550000000001</v>
      </c>
      <c r="AB107">
        <v>3.263452E-2</v>
      </c>
      <c r="AD107">
        <v>3.70662</v>
      </c>
      <c r="AE107">
        <v>17.7774</v>
      </c>
      <c r="AF107">
        <v>1.170377</v>
      </c>
      <c r="AH107">
        <v>15.593920000000001</v>
      </c>
      <c r="AL107">
        <v>7.7405099999999996</v>
      </c>
      <c r="AP107">
        <v>1.056603</v>
      </c>
      <c r="AU107">
        <v>8.2279339999999994</v>
      </c>
      <c r="AV107">
        <v>2.5863999999999998E-5</v>
      </c>
      <c r="AW107">
        <v>11.94007</v>
      </c>
      <c r="AX107">
        <v>1.3096049999999999</v>
      </c>
    </row>
    <row r="108" spans="1:50" x14ac:dyDescent="0.35">
      <c r="A108" s="75">
        <v>21125</v>
      </c>
      <c r="C108">
        <v>14.140169999999999</v>
      </c>
      <c r="E108">
        <v>11.851459999999999</v>
      </c>
      <c r="F108">
        <v>24.176020000000001</v>
      </c>
      <c r="L108">
        <v>22.180879999999998</v>
      </c>
      <c r="O108">
        <v>2.303944</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1.139408</v>
      </c>
      <c r="AH108">
        <v>15.62959</v>
      </c>
      <c r="AL108">
        <v>7.7405099999999996</v>
      </c>
      <c r="AP108">
        <v>1.0743780000000001</v>
      </c>
      <c r="AU108">
        <v>8.2296099999999992</v>
      </c>
      <c r="AV108">
        <v>2.5701999999999999E-5</v>
      </c>
      <c r="AW108">
        <v>11.98226</v>
      </c>
      <c r="AX108">
        <v>1.300573</v>
      </c>
    </row>
    <row r="109" spans="1:50" x14ac:dyDescent="0.35">
      <c r="A109" s="75">
        <v>21155</v>
      </c>
      <c r="C109">
        <v>14.1715</v>
      </c>
      <c r="E109">
        <v>11.772449999999999</v>
      </c>
      <c r="F109">
        <v>24.176020000000001</v>
      </c>
      <c r="L109">
        <v>22.180879999999998</v>
      </c>
      <c r="O109">
        <v>2.32843</v>
      </c>
      <c r="R109">
        <v>6.9818939999999996</v>
      </c>
      <c r="S109">
        <v>8.3666219999999996</v>
      </c>
      <c r="V109">
        <v>5.5251869999999998</v>
      </c>
      <c r="W109">
        <v>1.0638620000000001</v>
      </c>
      <c r="Z109">
        <v>1.5551550000000001</v>
      </c>
      <c r="AB109">
        <v>3.263452E-2</v>
      </c>
      <c r="AD109">
        <v>3.7500689999999999</v>
      </c>
      <c r="AE109">
        <v>17.502210000000002</v>
      </c>
      <c r="AF109">
        <v>1.135367</v>
      </c>
      <c r="AH109">
        <v>15.649800000000001</v>
      </c>
      <c r="AL109">
        <v>7.7405099999999996</v>
      </c>
      <c r="AP109">
        <v>1.0605530000000001</v>
      </c>
      <c r="AU109">
        <v>8.2486110000000004</v>
      </c>
      <c r="AV109">
        <v>2.5539999999999999E-5</v>
      </c>
      <c r="AW109">
        <v>11.98226</v>
      </c>
      <c r="AX109">
        <v>1.300573</v>
      </c>
    </row>
    <row r="110" spans="1:50" x14ac:dyDescent="0.35">
      <c r="A110" s="75">
        <v>21186</v>
      </c>
      <c r="B110">
        <v>15.56513</v>
      </c>
      <c r="C110">
        <v>14.189780000000001</v>
      </c>
      <c r="E110">
        <v>11.851459999999999</v>
      </c>
      <c r="F110">
        <v>24.109279999999998</v>
      </c>
      <c r="L110">
        <v>22.37659</v>
      </c>
      <c r="O110">
        <v>2.3447559999999998</v>
      </c>
      <c r="R110">
        <v>7.0364399999999998</v>
      </c>
      <c r="S110">
        <v>8.6527890000000003</v>
      </c>
      <c r="V110">
        <v>5.5200810000000002</v>
      </c>
      <c r="W110">
        <v>1.0668610000000001</v>
      </c>
      <c r="Z110">
        <v>1.5260180000000001</v>
      </c>
      <c r="AB110">
        <v>3.263452E-2</v>
      </c>
      <c r="AD110">
        <v>3.7600959999999999</v>
      </c>
      <c r="AE110">
        <v>17.538900000000002</v>
      </c>
      <c r="AF110">
        <v>1.15422</v>
      </c>
      <c r="AH110">
        <v>15.58916</v>
      </c>
      <c r="AL110">
        <v>7.8121809999999998</v>
      </c>
      <c r="AP110">
        <v>1.0496909999999999</v>
      </c>
      <c r="AU110">
        <v>8.3452920000000006</v>
      </c>
      <c r="AV110">
        <v>2.5378999999999999E-5</v>
      </c>
      <c r="AW110">
        <v>12.06664</v>
      </c>
      <c r="AX110">
        <v>1.3096049999999999</v>
      </c>
    </row>
    <row r="111" spans="1:50" x14ac:dyDescent="0.35">
      <c r="A111" s="75">
        <v>21217</v>
      </c>
      <c r="B111">
        <v>15.59639</v>
      </c>
      <c r="C111">
        <v>14.140169999999999</v>
      </c>
      <c r="E111">
        <v>11.851459999999999</v>
      </c>
      <c r="F111">
        <v>24.109279999999998</v>
      </c>
      <c r="L111">
        <v>22.44183</v>
      </c>
      <c r="O111">
        <v>2.3469319999999998</v>
      </c>
      <c r="R111">
        <v>7.0364399999999998</v>
      </c>
      <c r="S111">
        <v>8.7506889999999995</v>
      </c>
      <c r="V111">
        <v>5.494548</v>
      </c>
      <c r="W111">
        <v>1.0593630000000001</v>
      </c>
      <c r="Z111">
        <v>1.51145</v>
      </c>
      <c r="AA111">
        <v>4.7943030000000002</v>
      </c>
      <c r="AB111">
        <v>3.263452E-2</v>
      </c>
      <c r="AD111">
        <v>3.753412</v>
      </c>
      <c r="AE111">
        <v>17.392130000000002</v>
      </c>
      <c r="AF111">
        <v>1.1865410000000001</v>
      </c>
      <c r="AH111">
        <v>15.50475</v>
      </c>
      <c r="AL111">
        <v>7.8121809999999998</v>
      </c>
      <c r="AP111">
        <v>1.053641</v>
      </c>
      <c r="AU111">
        <v>8.440296</v>
      </c>
      <c r="AV111">
        <v>2.5863999999999998E-5</v>
      </c>
      <c r="AW111">
        <v>12.06664</v>
      </c>
      <c r="AX111">
        <v>1.3096049999999999</v>
      </c>
    </row>
    <row r="112" spans="1:50" x14ac:dyDescent="0.35">
      <c r="A112" s="75">
        <v>21245</v>
      </c>
      <c r="B112">
        <v>15.58076</v>
      </c>
      <c r="C112">
        <v>14.0997</v>
      </c>
      <c r="E112">
        <v>11.93047</v>
      </c>
      <c r="F112">
        <v>24.109279999999998</v>
      </c>
      <c r="L112">
        <v>22.44183</v>
      </c>
      <c r="O112">
        <v>2.3926409999999998</v>
      </c>
      <c r="R112">
        <v>7.0364399999999998</v>
      </c>
      <c r="S112">
        <v>8.8636490000000006</v>
      </c>
      <c r="V112">
        <v>5.5354000000000001</v>
      </c>
      <c r="W112">
        <v>1.0631120000000001</v>
      </c>
      <c r="Z112">
        <v>1.51145</v>
      </c>
      <c r="AB112">
        <v>3.263452E-2</v>
      </c>
      <c r="AD112">
        <v>3.7567539999999999</v>
      </c>
      <c r="AE112">
        <v>17.318750000000001</v>
      </c>
      <c r="AF112">
        <v>1.1717280000000001</v>
      </c>
      <c r="AH112">
        <v>15.38348</v>
      </c>
      <c r="AL112">
        <v>7.8838520000000001</v>
      </c>
      <c r="AP112">
        <v>1.0684530000000001</v>
      </c>
      <c r="AU112">
        <v>8.4559440000000006</v>
      </c>
      <c r="AV112">
        <v>2.5863999999999998E-5</v>
      </c>
      <c r="AW112">
        <v>12.15103</v>
      </c>
      <c r="AX112">
        <v>1.3141210000000001</v>
      </c>
    </row>
    <row r="113" spans="1:50" x14ac:dyDescent="0.35">
      <c r="A113" s="75">
        <v>21276</v>
      </c>
      <c r="B113">
        <v>15.8308</v>
      </c>
      <c r="C113">
        <v>14.140169999999999</v>
      </c>
      <c r="E113">
        <v>11.93047</v>
      </c>
      <c r="F113">
        <v>24.136500000000002</v>
      </c>
      <c r="L113">
        <v>22.44183</v>
      </c>
      <c r="O113">
        <v>2.443791</v>
      </c>
      <c r="R113">
        <v>7.1054240000000002</v>
      </c>
      <c r="S113">
        <v>8.9389559999999992</v>
      </c>
      <c r="V113">
        <v>5.5966769999999997</v>
      </c>
      <c r="W113">
        <v>1.0601130000000001</v>
      </c>
      <c r="Z113">
        <v>1.5260180000000001</v>
      </c>
      <c r="AB113">
        <v>3.263452E-2</v>
      </c>
      <c r="AD113">
        <v>3.7901769999999999</v>
      </c>
      <c r="AE113">
        <v>17.392130000000002</v>
      </c>
      <c r="AF113">
        <v>1.2067460000000001</v>
      </c>
      <c r="AH113">
        <v>15.42747</v>
      </c>
      <c r="AL113">
        <v>8.027196</v>
      </c>
      <c r="AP113">
        <v>1.066478</v>
      </c>
      <c r="AU113">
        <v>8.5045640000000002</v>
      </c>
      <c r="AV113">
        <v>2.5863999999999998E-5</v>
      </c>
      <c r="AW113">
        <v>12.19322</v>
      </c>
      <c r="AX113">
        <v>1.3231520000000001</v>
      </c>
    </row>
    <row r="114" spans="1:50" x14ac:dyDescent="0.35">
      <c r="A114" s="75">
        <v>21306</v>
      </c>
      <c r="B114">
        <v>16.03396</v>
      </c>
      <c r="C114">
        <v>14.145390000000001</v>
      </c>
      <c r="E114">
        <v>11.93047</v>
      </c>
      <c r="F114">
        <v>24.345490000000002</v>
      </c>
      <c r="L114">
        <v>22.637540000000001</v>
      </c>
      <c r="O114">
        <v>2.4595720000000001</v>
      </c>
      <c r="R114">
        <v>7.1744089999999998</v>
      </c>
      <c r="S114">
        <v>8.9540179999999996</v>
      </c>
      <c r="V114">
        <v>5.5762520000000002</v>
      </c>
      <c r="W114">
        <v>1.06911</v>
      </c>
      <c r="Z114">
        <v>1.5551550000000001</v>
      </c>
      <c r="AA114">
        <v>4.8441580000000002</v>
      </c>
      <c r="AB114">
        <v>3.263452E-2</v>
      </c>
      <c r="AD114">
        <v>3.8135729999999999</v>
      </c>
      <c r="AE114">
        <v>17.37379</v>
      </c>
      <c r="AF114">
        <v>1.2350319999999999</v>
      </c>
      <c r="AH114">
        <v>15.435790000000001</v>
      </c>
      <c r="AL114">
        <v>8.0988659999999992</v>
      </c>
      <c r="AP114">
        <v>1.0467280000000001</v>
      </c>
      <c r="AU114">
        <v>8.4715919999999993</v>
      </c>
      <c r="AV114">
        <v>2.6024999999999999E-5</v>
      </c>
      <c r="AW114">
        <v>12.19322</v>
      </c>
      <c r="AX114">
        <v>1.3231520000000001</v>
      </c>
    </row>
    <row r="115" spans="1:50" x14ac:dyDescent="0.35">
      <c r="A115" s="75">
        <v>21337</v>
      </c>
      <c r="B115">
        <v>16.03396</v>
      </c>
      <c r="C115">
        <v>14.16628</v>
      </c>
      <c r="E115">
        <v>11.93047</v>
      </c>
      <c r="F115">
        <v>24.363050000000001</v>
      </c>
      <c r="L115">
        <v>22.702780000000001</v>
      </c>
      <c r="O115">
        <v>2.4563069999999998</v>
      </c>
      <c r="R115">
        <v>7.1744089999999998</v>
      </c>
      <c r="S115">
        <v>8.9916719999999994</v>
      </c>
      <c r="V115">
        <v>5.6273160000000004</v>
      </c>
      <c r="W115">
        <v>1.0736079999999999</v>
      </c>
      <c r="Z115">
        <v>1.5952170000000001</v>
      </c>
      <c r="AB115">
        <v>3.297804E-2</v>
      </c>
      <c r="AD115">
        <v>3.8235999999999999</v>
      </c>
      <c r="AE115">
        <v>17.575589999999998</v>
      </c>
      <c r="AF115">
        <v>1.2296400000000001</v>
      </c>
      <c r="AH115">
        <v>15.50118</v>
      </c>
      <c r="AL115">
        <v>8.0988659999999992</v>
      </c>
      <c r="AP115">
        <v>1.0496909999999999</v>
      </c>
      <c r="AU115">
        <v>8.4771800000000006</v>
      </c>
      <c r="AV115">
        <v>2.6672000000000001E-5</v>
      </c>
      <c r="AW115">
        <v>12.19322</v>
      </c>
      <c r="AX115">
        <v>1.3231520000000001</v>
      </c>
    </row>
    <row r="116" spans="1:50" x14ac:dyDescent="0.35">
      <c r="A116" s="75">
        <v>21367</v>
      </c>
      <c r="B116">
        <v>15.705780000000001</v>
      </c>
      <c r="C116">
        <v>14.110139999999999</v>
      </c>
      <c r="E116">
        <v>11.93047</v>
      </c>
      <c r="F116">
        <v>24.363050000000001</v>
      </c>
      <c r="L116">
        <v>22.572310000000002</v>
      </c>
      <c r="O116">
        <v>2.4726309999999998</v>
      </c>
      <c r="R116">
        <v>7.1054240000000002</v>
      </c>
      <c r="S116">
        <v>9.0217939999999999</v>
      </c>
      <c r="V116">
        <v>5.5405059999999997</v>
      </c>
      <c r="W116">
        <v>1.06986</v>
      </c>
      <c r="Z116">
        <v>1.6352800000000001</v>
      </c>
      <c r="AB116">
        <v>3.4008610000000002E-2</v>
      </c>
      <c r="AD116">
        <v>3.816916</v>
      </c>
      <c r="AE116">
        <v>17.502210000000002</v>
      </c>
      <c r="AF116">
        <v>1.224254</v>
      </c>
      <c r="AH116">
        <v>15.505940000000001</v>
      </c>
      <c r="AL116">
        <v>8.1705380000000005</v>
      </c>
      <c r="AP116">
        <v>1.053641</v>
      </c>
      <c r="AU116">
        <v>8.5162999999999993</v>
      </c>
      <c r="AV116">
        <v>2.7157000000000001E-5</v>
      </c>
      <c r="AW116">
        <v>12.23541</v>
      </c>
      <c r="AX116">
        <v>1.332184</v>
      </c>
    </row>
    <row r="117" spans="1:50" x14ac:dyDescent="0.35">
      <c r="A117" s="75">
        <v>21398</v>
      </c>
      <c r="B117">
        <v>15.51825</v>
      </c>
      <c r="C117">
        <v>14.108840000000001</v>
      </c>
      <c r="E117">
        <v>11.93047</v>
      </c>
      <c r="F117">
        <v>24.390270000000001</v>
      </c>
      <c r="L117">
        <v>22.311350000000001</v>
      </c>
      <c r="O117">
        <v>2.4889559999999999</v>
      </c>
      <c r="R117">
        <v>7.1744089999999998</v>
      </c>
      <c r="S117">
        <v>9.0443859999999994</v>
      </c>
      <c r="V117">
        <v>5.5302930000000003</v>
      </c>
      <c r="W117">
        <v>1.072859</v>
      </c>
      <c r="Z117">
        <v>1.649848</v>
      </c>
      <c r="AA117">
        <v>4.8566209999999996</v>
      </c>
      <c r="AB117">
        <v>3.4352130000000002E-2</v>
      </c>
      <c r="AD117">
        <v>3.8135729999999999</v>
      </c>
      <c r="AE117">
        <v>17.685669999999998</v>
      </c>
      <c r="AF117">
        <v>1.2175240000000001</v>
      </c>
      <c r="AH117">
        <v>15.547549999999999</v>
      </c>
      <c r="AL117">
        <v>8.2422090000000008</v>
      </c>
      <c r="AP117">
        <v>1.0575909999999999</v>
      </c>
      <c r="AU117">
        <v>8.4816509999999994</v>
      </c>
      <c r="AV117">
        <v>2.7965000000000001E-5</v>
      </c>
      <c r="AW117">
        <v>12.19322</v>
      </c>
      <c r="AX117">
        <v>1.3367</v>
      </c>
    </row>
    <row r="118" spans="1:50" x14ac:dyDescent="0.35">
      <c r="A118" s="75">
        <v>21429</v>
      </c>
      <c r="B118">
        <v>15.377599999999999</v>
      </c>
      <c r="C118">
        <v>14.110139999999999</v>
      </c>
      <c r="E118">
        <v>12.08849</v>
      </c>
      <c r="F118">
        <v>24.429780000000001</v>
      </c>
      <c r="L118">
        <v>22.180879999999998</v>
      </c>
      <c r="O118">
        <v>2.5281349999999998</v>
      </c>
      <c r="R118">
        <v>7.1744089999999998</v>
      </c>
      <c r="S118">
        <v>9.0820399999999992</v>
      </c>
      <c r="V118">
        <v>5.5354000000000001</v>
      </c>
      <c r="W118">
        <v>1.0736079999999999</v>
      </c>
      <c r="Z118">
        <v>1.6644159999999999</v>
      </c>
      <c r="AB118">
        <v>3.4695650000000001E-2</v>
      </c>
      <c r="AD118">
        <v>3.8035459999999999</v>
      </c>
      <c r="AE118">
        <v>17.59394</v>
      </c>
      <c r="AF118">
        <v>1.244459</v>
      </c>
      <c r="AH118">
        <v>15.622450000000001</v>
      </c>
      <c r="AL118">
        <v>8.3138810000000003</v>
      </c>
      <c r="AP118">
        <v>1.0615399999999999</v>
      </c>
      <c r="AU118">
        <v>8.4682390000000005</v>
      </c>
      <c r="AV118">
        <v>2.8935E-5</v>
      </c>
      <c r="AW118">
        <v>12.19322</v>
      </c>
      <c r="AX118">
        <v>1.3367</v>
      </c>
    </row>
    <row r="119" spans="1:50" x14ac:dyDescent="0.35">
      <c r="A119" s="75">
        <v>21459</v>
      </c>
      <c r="B119">
        <v>15.393230000000001</v>
      </c>
      <c r="C119">
        <v>14.131030000000001</v>
      </c>
      <c r="E119">
        <v>12.08849</v>
      </c>
      <c r="F119">
        <v>24.416609999999999</v>
      </c>
      <c r="L119">
        <v>22.311350000000001</v>
      </c>
      <c r="O119">
        <v>2.5515330000000001</v>
      </c>
      <c r="R119">
        <v>7.1744089999999998</v>
      </c>
      <c r="S119">
        <v>9.1121630000000007</v>
      </c>
      <c r="V119">
        <v>5.5864640000000003</v>
      </c>
      <c r="W119">
        <v>1.06986</v>
      </c>
      <c r="Z119">
        <v>1.68991</v>
      </c>
      <c r="AB119">
        <v>3.6756780000000003E-2</v>
      </c>
      <c r="AD119">
        <v>3.7801499999999999</v>
      </c>
      <c r="AE119">
        <v>17.74071</v>
      </c>
      <c r="AF119">
        <v>1.247155</v>
      </c>
      <c r="AH119">
        <v>15.558249999999999</v>
      </c>
      <c r="AL119">
        <v>8.2422090000000008</v>
      </c>
      <c r="AP119">
        <v>1.0694399999999999</v>
      </c>
      <c r="AU119">
        <v>8.4766220000000008</v>
      </c>
      <c r="AV119">
        <v>2.9096999999999999E-5</v>
      </c>
      <c r="AW119">
        <v>12.19322</v>
      </c>
      <c r="AX119">
        <v>1.3367</v>
      </c>
    </row>
    <row r="120" spans="1:50" x14ac:dyDescent="0.35">
      <c r="A120" s="75">
        <v>21490</v>
      </c>
      <c r="B120">
        <v>15.45574</v>
      </c>
      <c r="C120">
        <v>14.14409</v>
      </c>
      <c r="E120">
        <v>12.08849</v>
      </c>
      <c r="F120">
        <v>24.429780000000001</v>
      </c>
      <c r="L120">
        <v>22.44183</v>
      </c>
      <c r="O120">
        <v>2.574932</v>
      </c>
      <c r="R120">
        <v>7.1744089999999998</v>
      </c>
      <c r="S120">
        <v>9.0895700000000001</v>
      </c>
      <c r="V120">
        <v>5.6068910000000001</v>
      </c>
      <c r="W120">
        <v>1.0706089999999999</v>
      </c>
      <c r="Z120">
        <v>1.678984</v>
      </c>
      <c r="AA120">
        <v>4.8566209999999996</v>
      </c>
      <c r="AB120">
        <v>3.7100300000000003E-2</v>
      </c>
      <c r="AD120">
        <v>3.7768079999999999</v>
      </c>
      <c r="AE120">
        <v>17.55725</v>
      </c>
      <c r="AF120">
        <v>1.1946289999999999</v>
      </c>
      <c r="AH120">
        <v>15.5749</v>
      </c>
      <c r="AL120">
        <v>8.2422090000000008</v>
      </c>
      <c r="AP120">
        <v>1.080303</v>
      </c>
      <c r="AU120">
        <v>8.4866810000000008</v>
      </c>
      <c r="AV120">
        <v>3.0389999999999999E-5</v>
      </c>
      <c r="AW120">
        <v>12.23541</v>
      </c>
      <c r="AX120">
        <v>1.3367</v>
      </c>
    </row>
    <row r="121" spans="1:50" x14ac:dyDescent="0.35">
      <c r="A121" s="75">
        <v>21520</v>
      </c>
      <c r="B121">
        <v>15.440110000000001</v>
      </c>
      <c r="C121">
        <v>14.198919999999999</v>
      </c>
      <c r="E121">
        <v>12.08849</v>
      </c>
      <c r="F121">
        <v>24.390270000000001</v>
      </c>
      <c r="L121">
        <v>22.44183</v>
      </c>
      <c r="O121">
        <v>2.60486</v>
      </c>
      <c r="R121">
        <v>7.1744089999999998</v>
      </c>
      <c r="S121">
        <v>9.1121630000000007</v>
      </c>
      <c r="V121">
        <v>5.6273160000000004</v>
      </c>
      <c r="W121">
        <v>1.075108</v>
      </c>
      <c r="Z121">
        <v>1.6352800000000001</v>
      </c>
      <c r="AB121">
        <v>3.7443820000000003E-2</v>
      </c>
      <c r="AD121">
        <v>3.7667809999999999</v>
      </c>
      <c r="AE121">
        <v>17.538900000000002</v>
      </c>
      <c r="AF121">
        <v>1.1744250000000001</v>
      </c>
      <c r="AH121">
        <v>15.579650000000001</v>
      </c>
      <c r="AL121">
        <v>8.2422090000000008</v>
      </c>
      <c r="AP121">
        <v>1.07734</v>
      </c>
      <c r="AU121">
        <v>8.5107119999999998</v>
      </c>
      <c r="AV121">
        <v>3.2005999999999998E-5</v>
      </c>
      <c r="AW121">
        <v>12.19322</v>
      </c>
      <c r="AX121">
        <v>1.341216</v>
      </c>
    </row>
    <row r="122" spans="1:50" x14ac:dyDescent="0.35">
      <c r="A122" s="75">
        <v>21551</v>
      </c>
      <c r="B122">
        <v>15.50262</v>
      </c>
      <c r="C122">
        <v>14.195</v>
      </c>
      <c r="E122">
        <v>12.08849</v>
      </c>
      <c r="F122">
        <v>24.242750000000001</v>
      </c>
      <c r="L122">
        <v>22.44183</v>
      </c>
      <c r="O122">
        <v>2.6086689999999999</v>
      </c>
      <c r="R122">
        <v>7.1744089999999998</v>
      </c>
      <c r="S122">
        <v>9.3380840000000003</v>
      </c>
      <c r="V122">
        <v>5.6375289999999998</v>
      </c>
      <c r="W122">
        <v>1.0803560000000001</v>
      </c>
      <c r="Z122">
        <v>1.609785</v>
      </c>
      <c r="AB122">
        <v>3.6069730000000001E-2</v>
      </c>
      <c r="AD122">
        <v>3.7600959999999999</v>
      </c>
      <c r="AE122">
        <v>17.55725</v>
      </c>
      <c r="AF122">
        <v>1.1959679999999999</v>
      </c>
      <c r="AH122">
        <v>15.58916</v>
      </c>
      <c r="AL122">
        <v>8.3138810000000003</v>
      </c>
      <c r="AP122">
        <v>1.078328</v>
      </c>
      <c r="AU122">
        <v>8.5213300000000007</v>
      </c>
      <c r="AV122">
        <v>3.2168000000000001E-5</v>
      </c>
      <c r="AW122">
        <v>12.23541</v>
      </c>
      <c r="AX122">
        <v>1.341216</v>
      </c>
    </row>
    <row r="123" spans="1:50" x14ac:dyDescent="0.35">
      <c r="A123" s="75">
        <v>21582</v>
      </c>
      <c r="B123">
        <v>15.51825</v>
      </c>
      <c r="C123">
        <v>14.22373</v>
      </c>
      <c r="E123">
        <v>12.08849</v>
      </c>
      <c r="F123">
        <v>24.16197</v>
      </c>
      <c r="L123">
        <v>22.44183</v>
      </c>
      <c r="O123">
        <v>2.6211850000000001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1.209435</v>
      </c>
      <c r="AH123">
        <v>15.52853</v>
      </c>
      <c r="AL123">
        <v>8.3138810000000003</v>
      </c>
      <c r="AP123">
        <v>1.072403</v>
      </c>
      <c r="AU123">
        <v>8.5213300000000007</v>
      </c>
      <c r="AV123">
        <v>3.3138E-5</v>
      </c>
      <c r="AW123">
        <v>12.19322</v>
      </c>
      <c r="AX123">
        <v>1.3367</v>
      </c>
    </row>
    <row r="124" spans="1:50" x14ac:dyDescent="0.35">
      <c r="A124" s="75">
        <v>21610</v>
      </c>
      <c r="B124">
        <v>15.51825</v>
      </c>
      <c r="C124">
        <v>14.204140000000001</v>
      </c>
      <c r="E124">
        <v>12.00948</v>
      </c>
      <c r="F124">
        <v>24.122450000000001</v>
      </c>
      <c r="L124">
        <v>22.44183</v>
      </c>
      <c r="O124">
        <v>2.6353330000000001</v>
      </c>
      <c r="R124">
        <v>7.1744089999999998</v>
      </c>
      <c r="S124">
        <v>9.4435140000000004</v>
      </c>
      <c r="V124">
        <v>5.6324230000000002</v>
      </c>
      <c r="W124">
        <v>1.0803560000000001</v>
      </c>
      <c r="Z124">
        <v>1.609785</v>
      </c>
      <c r="AB124">
        <v>3.4352130000000002E-2</v>
      </c>
      <c r="AD124">
        <v>3.7467269999999999</v>
      </c>
      <c r="AE124">
        <v>17.538900000000002</v>
      </c>
      <c r="AF124">
        <v>1.2175240000000001</v>
      </c>
      <c r="AH124">
        <v>15.460760000000001</v>
      </c>
      <c r="AL124">
        <v>8.1705380000000005</v>
      </c>
      <c r="AP124">
        <v>1.0832649999999999</v>
      </c>
      <c r="AU124">
        <v>8.5135059999999996</v>
      </c>
      <c r="AV124">
        <v>3.3460999999999997E-5</v>
      </c>
      <c r="AW124">
        <v>12.19322</v>
      </c>
      <c r="AX124">
        <v>1.341216</v>
      </c>
    </row>
    <row r="125" spans="1:50" x14ac:dyDescent="0.35">
      <c r="A125" s="75">
        <v>21641</v>
      </c>
      <c r="B125">
        <v>15.62764</v>
      </c>
      <c r="C125">
        <v>14.221109999999999</v>
      </c>
      <c r="E125">
        <v>12.00948</v>
      </c>
      <c r="F125">
        <v>24.02938</v>
      </c>
      <c r="L125">
        <v>22.44183</v>
      </c>
      <c r="O125">
        <v>2.6516570000000002</v>
      </c>
      <c r="R125">
        <v>7.1744089999999998</v>
      </c>
      <c r="S125">
        <v>9.4435140000000004</v>
      </c>
      <c r="V125">
        <v>5.5915710000000001</v>
      </c>
      <c r="W125">
        <v>1.101963</v>
      </c>
      <c r="Z125">
        <v>1.609785</v>
      </c>
      <c r="AB125">
        <v>3.4352130000000002E-2</v>
      </c>
      <c r="AD125">
        <v>3.7400419999999999</v>
      </c>
      <c r="AE125">
        <v>17.63063</v>
      </c>
      <c r="AF125">
        <v>1.2431080000000001</v>
      </c>
      <c r="AH125">
        <v>15.4453</v>
      </c>
      <c r="AL125">
        <v>8.2422090000000008</v>
      </c>
      <c r="AP125">
        <v>1.0575909999999999</v>
      </c>
      <c r="AU125">
        <v>8.4900339999999996</v>
      </c>
      <c r="AV125">
        <v>3.3460999999999997E-5</v>
      </c>
      <c r="AW125">
        <v>12.23541</v>
      </c>
      <c r="AX125">
        <v>1.341216</v>
      </c>
    </row>
    <row r="126" spans="1:50" x14ac:dyDescent="0.35">
      <c r="A126" s="75">
        <v>21671</v>
      </c>
      <c r="B126">
        <v>15.73704</v>
      </c>
      <c r="C126">
        <v>14.258979999999999</v>
      </c>
      <c r="E126">
        <v>12.08849</v>
      </c>
      <c r="F126">
        <v>24.055720000000001</v>
      </c>
      <c r="L126">
        <v>22.44183</v>
      </c>
      <c r="O126">
        <v>2.6598199999999999</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1.257927</v>
      </c>
      <c r="AH126">
        <v>15.39418</v>
      </c>
      <c r="AL126">
        <v>8.2422090000000008</v>
      </c>
      <c r="AP126">
        <v>1.0487029999999999</v>
      </c>
      <c r="AU126">
        <v>8.5045640000000002</v>
      </c>
      <c r="AV126">
        <v>3.3460999999999997E-5</v>
      </c>
      <c r="AW126">
        <v>12.23541</v>
      </c>
      <c r="AX126">
        <v>1.341216</v>
      </c>
    </row>
    <row r="127" spans="1:50" x14ac:dyDescent="0.35">
      <c r="A127" s="75">
        <v>21702</v>
      </c>
      <c r="B127">
        <v>16.143360000000001</v>
      </c>
      <c r="C127">
        <v>14.30728</v>
      </c>
      <c r="E127">
        <v>11.93047</v>
      </c>
      <c r="F127">
        <v>24.02938</v>
      </c>
      <c r="L127">
        <v>22.637540000000001</v>
      </c>
      <c r="O127">
        <v>2.644584</v>
      </c>
      <c r="R127">
        <v>7.1744089999999998</v>
      </c>
      <c r="S127">
        <v>9.4058600000000006</v>
      </c>
      <c r="V127">
        <v>5.5813579999999998</v>
      </c>
      <c r="W127">
        <v>1.101963</v>
      </c>
      <c r="Z127">
        <v>1.6644159999999999</v>
      </c>
      <c r="AB127">
        <v>3.4352130000000002E-2</v>
      </c>
      <c r="AD127">
        <v>3.753412</v>
      </c>
      <c r="AE127">
        <v>17.63063</v>
      </c>
      <c r="AF127">
        <v>1.23637</v>
      </c>
      <c r="AH127">
        <v>15.54161</v>
      </c>
      <c r="AL127">
        <v>8.2422090000000008</v>
      </c>
      <c r="AP127">
        <v>1.0408029999999999</v>
      </c>
      <c r="AU127">
        <v>8.4816509999999994</v>
      </c>
      <c r="AV127">
        <v>3.4754E-5</v>
      </c>
      <c r="AW127">
        <v>12.2776</v>
      </c>
      <c r="AX127">
        <v>1.3457319999999999</v>
      </c>
    </row>
    <row r="128" spans="1:50" x14ac:dyDescent="0.35">
      <c r="A128" s="75">
        <v>21732</v>
      </c>
      <c r="B128">
        <v>16.018339999999998</v>
      </c>
      <c r="C128">
        <v>14.308579999999999</v>
      </c>
      <c r="E128">
        <v>12.08849</v>
      </c>
      <c r="F128">
        <v>24.02938</v>
      </c>
      <c r="L128">
        <v>22.702780000000001</v>
      </c>
      <c r="O128">
        <v>2.644584</v>
      </c>
      <c r="R128">
        <v>7.1744089999999998</v>
      </c>
      <c r="S128">
        <v>9.4359839999999995</v>
      </c>
      <c r="V128">
        <v>5.566039</v>
      </c>
      <c r="W128">
        <v>1.101963</v>
      </c>
      <c r="Z128">
        <v>1.7044790000000001</v>
      </c>
      <c r="AB128">
        <v>3.4352130000000002E-2</v>
      </c>
      <c r="AD128">
        <v>3.7400419999999999</v>
      </c>
      <c r="AE128">
        <v>17.648980000000002</v>
      </c>
      <c r="AF128">
        <v>1.2282949999999999</v>
      </c>
      <c r="AH128">
        <v>15.58798</v>
      </c>
      <c r="AL128">
        <v>8.3138810000000003</v>
      </c>
      <c r="AP128">
        <v>1.059566</v>
      </c>
      <c r="AU128">
        <v>8.4933870000000002</v>
      </c>
      <c r="AV128">
        <v>3.5886000000000002E-5</v>
      </c>
      <c r="AW128">
        <v>12.319789999999999</v>
      </c>
      <c r="AX128">
        <v>1.341216</v>
      </c>
    </row>
    <row r="129" spans="1:50" x14ac:dyDescent="0.35">
      <c r="A129" s="75">
        <v>21763</v>
      </c>
      <c r="B129">
        <v>15.86206</v>
      </c>
      <c r="C129">
        <v>14.37908</v>
      </c>
      <c r="E129">
        <v>12.08849</v>
      </c>
      <c r="F129">
        <v>24.109279999999998</v>
      </c>
      <c r="L129">
        <v>22.76802</v>
      </c>
      <c r="O129">
        <v>2.6489370000000001</v>
      </c>
      <c r="R129">
        <v>7.1744089999999998</v>
      </c>
      <c r="S129">
        <v>9.4811680000000003</v>
      </c>
      <c r="V129">
        <v>5.5813579999999998</v>
      </c>
      <c r="W129">
        <v>1.101963</v>
      </c>
      <c r="Z129">
        <v>1.719047</v>
      </c>
      <c r="AA129">
        <v>4.8026119999999999</v>
      </c>
      <c r="AB129">
        <v>3.4352130000000002E-2</v>
      </c>
      <c r="AD129">
        <v>3.7500689999999999</v>
      </c>
      <c r="AE129">
        <v>17.92417</v>
      </c>
      <c r="AF129">
        <v>1.23637</v>
      </c>
      <c r="AH129">
        <v>15.766310000000001</v>
      </c>
      <c r="AL129">
        <v>8.3138810000000003</v>
      </c>
      <c r="AP129">
        <v>1.06549</v>
      </c>
      <c r="AU129">
        <v>8.5241240000000005</v>
      </c>
      <c r="AV129">
        <v>3.5886000000000002E-5</v>
      </c>
      <c r="AW129">
        <v>12.319789999999999</v>
      </c>
      <c r="AX129">
        <v>1.341216</v>
      </c>
    </row>
    <row r="130" spans="1:50" x14ac:dyDescent="0.35">
      <c r="A130" s="75">
        <v>21794</v>
      </c>
      <c r="B130">
        <v>15.8308</v>
      </c>
      <c r="C130">
        <v>14.390829999999999</v>
      </c>
      <c r="E130">
        <v>12.246510000000001</v>
      </c>
      <c r="F130">
        <v>24.190069999999999</v>
      </c>
      <c r="L130">
        <v>22.702780000000001</v>
      </c>
      <c r="O130">
        <v>2.6630850000000001</v>
      </c>
      <c r="R130">
        <v>7.2433940000000003</v>
      </c>
      <c r="S130">
        <v>9.5263519999999993</v>
      </c>
      <c r="V130">
        <v>5.550719</v>
      </c>
      <c r="W130">
        <v>1.101963</v>
      </c>
      <c r="Z130">
        <v>1.7044790000000001</v>
      </c>
      <c r="AB130">
        <v>3.4352130000000002E-2</v>
      </c>
      <c r="AD130">
        <v>3.763439</v>
      </c>
      <c r="AE130">
        <v>17.759049999999998</v>
      </c>
      <c r="AF130">
        <v>1.303715</v>
      </c>
      <c r="AH130">
        <v>15.730650000000001</v>
      </c>
      <c r="AL130">
        <v>8.3138810000000003</v>
      </c>
      <c r="AP130">
        <v>1.0733900000000001</v>
      </c>
      <c r="AU130">
        <v>8.5850380000000008</v>
      </c>
      <c r="AV130">
        <v>3.5723999999999999E-5</v>
      </c>
      <c r="AW130">
        <v>12.361980000000001</v>
      </c>
      <c r="AX130">
        <v>1.341216</v>
      </c>
    </row>
    <row r="131" spans="1:50" x14ac:dyDescent="0.35">
      <c r="A131" s="75">
        <v>21824</v>
      </c>
      <c r="B131">
        <v>15.8308</v>
      </c>
      <c r="C131">
        <v>14.41042</v>
      </c>
      <c r="E131">
        <v>12.246510000000001</v>
      </c>
      <c r="F131">
        <v>24.229579999999999</v>
      </c>
      <c r="L131">
        <v>22.76802</v>
      </c>
      <c r="O131">
        <v>2.6712470000000001</v>
      </c>
      <c r="R131">
        <v>7.3813630000000003</v>
      </c>
      <c r="S131">
        <v>9.6091899999999999</v>
      </c>
      <c r="V131">
        <v>5.5762520000000002</v>
      </c>
      <c r="W131">
        <v>1.101963</v>
      </c>
      <c r="Z131">
        <v>1.7336149999999999</v>
      </c>
      <c r="AB131">
        <v>3.4352130000000002E-2</v>
      </c>
      <c r="AD131">
        <v>3.8035459999999999</v>
      </c>
      <c r="AE131">
        <v>17.99755</v>
      </c>
      <c r="AF131">
        <v>1.2996810000000001</v>
      </c>
      <c r="AH131">
        <v>15.61889</v>
      </c>
      <c r="AL131">
        <v>8.3138810000000003</v>
      </c>
      <c r="AP131">
        <v>1.087215</v>
      </c>
      <c r="AU131">
        <v>8.5906269999999996</v>
      </c>
      <c r="AV131">
        <v>3.6693999999999998E-5</v>
      </c>
      <c r="AW131">
        <v>12.404170000000001</v>
      </c>
      <c r="AX131">
        <v>1.3457319999999999</v>
      </c>
    </row>
    <row r="132" spans="1:50" x14ac:dyDescent="0.35">
      <c r="A132" s="75">
        <v>21855</v>
      </c>
      <c r="B132">
        <v>16.00271</v>
      </c>
      <c r="C132">
        <v>14.441750000000001</v>
      </c>
      <c r="E132">
        <v>12.246510000000001</v>
      </c>
      <c r="F132">
        <v>24.25592</v>
      </c>
      <c r="L132">
        <v>22.963730000000002</v>
      </c>
      <c r="O132">
        <v>2.6804969999999999</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1.249838</v>
      </c>
      <c r="AH132">
        <v>15.633150000000001</v>
      </c>
      <c r="AL132">
        <v>8.3138810000000003</v>
      </c>
      <c r="AP132">
        <v>1.0970899999999999</v>
      </c>
      <c r="AU132">
        <v>8.6029210000000003</v>
      </c>
      <c r="AV132">
        <v>3.7341E-5</v>
      </c>
      <c r="AW132">
        <v>12.404170000000001</v>
      </c>
      <c r="AX132">
        <v>1.3502479999999999</v>
      </c>
    </row>
    <row r="133" spans="1:50" x14ac:dyDescent="0.35">
      <c r="A133" s="75">
        <v>21885</v>
      </c>
      <c r="B133">
        <v>15.955819999999999</v>
      </c>
      <c r="C133">
        <v>14.43</v>
      </c>
      <c r="E133">
        <v>12.246510000000001</v>
      </c>
      <c r="F133">
        <v>24.242750000000001</v>
      </c>
      <c r="L133">
        <v>22.963730000000002</v>
      </c>
      <c r="O133">
        <v>2.7038959999999999</v>
      </c>
      <c r="R133">
        <v>7.3813630000000003</v>
      </c>
      <c r="S133">
        <v>9.6694359999999993</v>
      </c>
      <c r="V133">
        <v>5.6273160000000004</v>
      </c>
      <c r="W133">
        <v>1.101963</v>
      </c>
      <c r="Z133">
        <v>1.7044790000000001</v>
      </c>
      <c r="AB133">
        <v>3.4352130000000002E-2</v>
      </c>
      <c r="AD133">
        <v>3.8336269999999999</v>
      </c>
      <c r="AE133">
        <v>17.905819999999999</v>
      </c>
      <c r="AF133">
        <v>1.2686980000000001</v>
      </c>
      <c r="AH133">
        <v>15.65456</v>
      </c>
      <c r="AL133">
        <v>8.3138810000000003</v>
      </c>
      <c r="AP133">
        <v>1.1040019999999999</v>
      </c>
      <c r="AU133">
        <v>8.6235990000000005</v>
      </c>
      <c r="AV133">
        <v>3.7502000000000001E-5</v>
      </c>
      <c r="AW133">
        <v>12.404170000000001</v>
      </c>
      <c r="AX133">
        <v>1.3502479999999999</v>
      </c>
    </row>
    <row r="134" spans="1:50" x14ac:dyDescent="0.35">
      <c r="A134" s="75">
        <v>21916</v>
      </c>
      <c r="B134">
        <v>15.955819999999999</v>
      </c>
      <c r="C134">
        <v>14.397360000000001</v>
      </c>
      <c r="E134">
        <v>12.246510000000001</v>
      </c>
      <c r="F134">
        <v>24.176020000000001</v>
      </c>
      <c r="L134">
        <v>22.963730000000002</v>
      </c>
      <c r="O134">
        <v>2.682674</v>
      </c>
      <c r="R134">
        <v>7.3813630000000003</v>
      </c>
      <c r="S134">
        <v>9.7974580000000007</v>
      </c>
      <c r="V134">
        <v>5.6119969999999997</v>
      </c>
      <c r="W134">
        <v>1.101963</v>
      </c>
      <c r="Z134">
        <v>1.678984</v>
      </c>
      <c r="AB134">
        <v>3.4352130000000002E-2</v>
      </c>
      <c r="AD134">
        <v>3.8536809999999999</v>
      </c>
      <c r="AE134">
        <v>18.125979999999998</v>
      </c>
      <c r="AF134">
        <v>1.280821</v>
      </c>
      <c r="AH134">
        <v>15.62721</v>
      </c>
      <c r="AL134">
        <v>8.3138810000000003</v>
      </c>
      <c r="AP134">
        <v>1.1049899999999999</v>
      </c>
      <c r="AU134">
        <v>8.8594329999999992</v>
      </c>
      <c r="AV134">
        <v>3.7502000000000001E-5</v>
      </c>
      <c r="AW134">
        <v>12.361980000000001</v>
      </c>
      <c r="AX134">
        <v>1.3457319999999999</v>
      </c>
    </row>
    <row r="135" spans="1:50" x14ac:dyDescent="0.35">
      <c r="A135" s="75">
        <v>21947</v>
      </c>
      <c r="B135">
        <v>15.971450000000001</v>
      </c>
      <c r="C135">
        <v>14.382999999999999</v>
      </c>
      <c r="E135">
        <v>12.246510000000001</v>
      </c>
      <c r="F135">
        <v>24.296309999999998</v>
      </c>
      <c r="L135">
        <v>22.833259999999999</v>
      </c>
      <c r="O135">
        <v>2.6804969999999999</v>
      </c>
      <c r="R135">
        <v>7.3813630000000003</v>
      </c>
      <c r="S135">
        <v>9.8200489999999991</v>
      </c>
      <c r="V135">
        <v>5.6119969999999997</v>
      </c>
      <c r="W135">
        <v>1.101963</v>
      </c>
      <c r="Z135">
        <v>1.678984</v>
      </c>
      <c r="AA135">
        <v>4.7943030000000002</v>
      </c>
      <c r="AB135">
        <v>3.4352130000000002E-2</v>
      </c>
      <c r="AD135">
        <v>3.8469959999999999</v>
      </c>
      <c r="AE135">
        <v>18.14432</v>
      </c>
      <c r="AF135">
        <v>1.3091010000000001</v>
      </c>
      <c r="AH135">
        <v>15.5749</v>
      </c>
      <c r="AL135">
        <v>8.3138810000000003</v>
      </c>
      <c r="AP135">
        <v>1.1119019999999999</v>
      </c>
      <c r="AU135">
        <v>8.8655810000000006</v>
      </c>
      <c r="AV135">
        <v>3.7663999999999997E-5</v>
      </c>
      <c r="AW135">
        <v>12.404170000000001</v>
      </c>
      <c r="AX135">
        <v>1.3457319999999999</v>
      </c>
    </row>
    <row r="136" spans="1:50" x14ac:dyDescent="0.35">
      <c r="A136" s="75">
        <v>21976</v>
      </c>
      <c r="B136">
        <v>16.00271</v>
      </c>
      <c r="C136">
        <v>14.346450000000001</v>
      </c>
      <c r="E136">
        <v>12.1675</v>
      </c>
      <c r="F136">
        <v>24.296309999999998</v>
      </c>
      <c r="L136">
        <v>22.833259999999999</v>
      </c>
      <c r="O136">
        <v>2.6772330000000002</v>
      </c>
      <c r="R136">
        <v>7.450348</v>
      </c>
      <c r="S136">
        <v>9.8200489999999991</v>
      </c>
      <c r="V136">
        <v>5.6017840000000003</v>
      </c>
      <c r="W136">
        <v>1.101963</v>
      </c>
      <c r="Z136">
        <v>1.6644159999999999</v>
      </c>
      <c r="AB136">
        <v>3.4695650000000001E-2</v>
      </c>
      <c r="AD136">
        <v>3.8403119999999999</v>
      </c>
      <c r="AE136">
        <v>18.089279999999999</v>
      </c>
      <c r="AF136">
        <v>1.32392</v>
      </c>
      <c r="AH136">
        <v>15.52853</v>
      </c>
      <c r="AL136">
        <v>8.3138810000000003</v>
      </c>
      <c r="AP136">
        <v>1.1227640000000001</v>
      </c>
      <c r="AU136">
        <v>8.86111</v>
      </c>
      <c r="AV136">
        <v>3.7502000000000001E-5</v>
      </c>
      <c r="AW136">
        <v>12.404170000000001</v>
      </c>
      <c r="AX136">
        <v>1.3502479999999999</v>
      </c>
    </row>
    <row r="137" spans="1:50" x14ac:dyDescent="0.35">
      <c r="A137" s="75">
        <v>22007</v>
      </c>
      <c r="B137">
        <v>16.080850000000002</v>
      </c>
      <c r="C137">
        <v>14.33339</v>
      </c>
      <c r="E137">
        <v>12.246510000000001</v>
      </c>
      <c r="F137">
        <v>24.3367</v>
      </c>
      <c r="L137">
        <v>22.963730000000002</v>
      </c>
      <c r="O137">
        <v>2.6794099999999998</v>
      </c>
      <c r="R137">
        <v>7.450348</v>
      </c>
      <c r="S137">
        <v>9.8351109999999995</v>
      </c>
      <c r="V137">
        <v>5.6324230000000002</v>
      </c>
      <c r="W137">
        <v>1.101963</v>
      </c>
      <c r="Z137">
        <v>1.678984</v>
      </c>
      <c r="AB137">
        <v>3.5726210000000001E-2</v>
      </c>
      <c r="AD137">
        <v>3.8369689999999999</v>
      </c>
      <c r="AE137">
        <v>18.199359999999999</v>
      </c>
      <c r="AF137">
        <v>1.362978</v>
      </c>
      <c r="AH137">
        <v>15.55944</v>
      </c>
      <c r="AK137">
        <v>15.805479999999999</v>
      </c>
      <c r="AL137">
        <v>8.3138810000000003</v>
      </c>
      <c r="AP137">
        <v>1.100052</v>
      </c>
      <c r="AU137">
        <v>8.8555209999999995</v>
      </c>
      <c r="AV137">
        <v>3.7502000000000001E-5</v>
      </c>
      <c r="AW137">
        <v>12.44636</v>
      </c>
      <c r="AX137">
        <v>1.3547640000000001</v>
      </c>
    </row>
    <row r="138" spans="1:50" x14ac:dyDescent="0.35">
      <c r="A138" s="75">
        <v>22037</v>
      </c>
      <c r="B138">
        <v>16.205870000000001</v>
      </c>
      <c r="C138">
        <v>14.329470000000001</v>
      </c>
      <c r="E138">
        <v>12.246510000000001</v>
      </c>
      <c r="F138">
        <v>24.44295</v>
      </c>
      <c r="L138">
        <v>23.028970000000001</v>
      </c>
      <c r="O138">
        <v>2.6712470000000001</v>
      </c>
      <c r="R138">
        <v>7.450348</v>
      </c>
      <c r="S138">
        <v>9.812519</v>
      </c>
      <c r="V138">
        <v>5.6324230000000002</v>
      </c>
      <c r="W138">
        <v>1.101963</v>
      </c>
      <c r="Z138">
        <v>1.68991</v>
      </c>
      <c r="AA138">
        <v>4.869084</v>
      </c>
      <c r="AB138">
        <v>3.6069730000000001E-2</v>
      </c>
      <c r="AD138">
        <v>3.8436539999999999</v>
      </c>
      <c r="AE138">
        <v>18.36448</v>
      </c>
      <c r="AF138">
        <v>1.3589370000000001</v>
      </c>
      <c r="AH138">
        <v>15.54161</v>
      </c>
      <c r="AK138">
        <v>15.653499999999999</v>
      </c>
      <c r="AL138">
        <v>8.3138810000000003</v>
      </c>
      <c r="AP138">
        <v>1.0891900000000001</v>
      </c>
      <c r="AU138">
        <v>8.8778749999999995</v>
      </c>
      <c r="AV138">
        <v>3.7341E-5</v>
      </c>
      <c r="AW138">
        <v>12.44636</v>
      </c>
      <c r="AX138">
        <v>1.3592789999999999</v>
      </c>
    </row>
    <row r="139" spans="1:50" x14ac:dyDescent="0.35">
      <c r="A139" s="75">
        <v>22068</v>
      </c>
      <c r="B139">
        <v>16.315259999999999</v>
      </c>
      <c r="C139">
        <v>14.35558</v>
      </c>
      <c r="E139">
        <v>12.246510000000001</v>
      </c>
      <c r="F139">
        <v>24.47017</v>
      </c>
      <c r="L139">
        <v>23.028970000000001</v>
      </c>
      <c r="O139">
        <v>2.6690700000000001</v>
      </c>
      <c r="R139">
        <v>7.450348</v>
      </c>
      <c r="S139">
        <v>9.8049879999999998</v>
      </c>
      <c r="V139">
        <v>5.663062</v>
      </c>
      <c r="W139">
        <v>1.12357</v>
      </c>
      <c r="Z139">
        <v>1.7044790000000001</v>
      </c>
      <c r="AB139">
        <v>3.6069730000000001E-2</v>
      </c>
      <c r="AD139">
        <v>3.8436539999999999</v>
      </c>
      <c r="AE139">
        <v>18.291090000000001</v>
      </c>
      <c r="AF139">
        <v>1.357586</v>
      </c>
      <c r="AH139">
        <v>15.68666</v>
      </c>
      <c r="AK139">
        <v>15.501519999999999</v>
      </c>
      <c r="AL139">
        <v>8.3138810000000003</v>
      </c>
      <c r="AP139">
        <v>1.0961019999999999</v>
      </c>
      <c r="AU139">
        <v>8.9080530000000007</v>
      </c>
      <c r="AV139">
        <v>3.7017000000000002E-5</v>
      </c>
      <c r="AW139">
        <v>12.48856</v>
      </c>
      <c r="AX139">
        <v>1.3637950000000001</v>
      </c>
    </row>
    <row r="140" spans="1:50" x14ac:dyDescent="0.35">
      <c r="A140" s="75">
        <v>22098</v>
      </c>
      <c r="B140">
        <v>16.299630000000001</v>
      </c>
      <c r="C140">
        <v>14.31772</v>
      </c>
      <c r="E140">
        <v>12.246510000000001</v>
      </c>
      <c r="F140">
        <v>24.536909999999999</v>
      </c>
      <c r="L140">
        <v>23.028970000000001</v>
      </c>
      <c r="O140">
        <v>2.6679819999999999</v>
      </c>
      <c r="R140">
        <v>7.5193329999999996</v>
      </c>
      <c r="S140">
        <v>9.8426419999999997</v>
      </c>
      <c r="V140">
        <v>5.6732750000000003</v>
      </c>
      <c r="W140">
        <v>1.101963</v>
      </c>
      <c r="Z140">
        <v>1.7336149999999999</v>
      </c>
      <c r="AB140">
        <v>3.5382690000000001E-2</v>
      </c>
      <c r="AD140">
        <v>3.860366</v>
      </c>
      <c r="AE140">
        <v>18.272749999999998</v>
      </c>
      <c r="AF140">
        <v>1.3683639999999999</v>
      </c>
      <c r="AH140">
        <v>15.63434</v>
      </c>
      <c r="AK140">
        <v>15.501519999999999</v>
      </c>
      <c r="AL140">
        <v>8.3138810000000003</v>
      </c>
      <c r="AP140">
        <v>1.0911649999999999</v>
      </c>
      <c r="AU140">
        <v>8.9024649999999994</v>
      </c>
      <c r="AV140">
        <v>3.6693999999999998E-5</v>
      </c>
      <c r="AW140">
        <v>12.48856</v>
      </c>
      <c r="AX140">
        <v>1.3637950000000001</v>
      </c>
    </row>
    <row r="141" spans="1:50" x14ac:dyDescent="0.35">
      <c r="A141" s="75">
        <v>22129</v>
      </c>
      <c r="B141">
        <v>16.205870000000001</v>
      </c>
      <c r="C141">
        <v>14.30336</v>
      </c>
      <c r="E141">
        <v>12.246510000000001</v>
      </c>
      <c r="F141">
        <v>24.59047</v>
      </c>
      <c r="L141">
        <v>23.028970000000001</v>
      </c>
      <c r="O141">
        <v>2.6734239999999998</v>
      </c>
      <c r="R141">
        <v>7.5193329999999996</v>
      </c>
      <c r="S141">
        <v>9.9330099999999995</v>
      </c>
      <c r="V141">
        <v>5.6375289999999998</v>
      </c>
      <c r="W141">
        <v>1.101963</v>
      </c>
      <c r="Z141">
        <v>1.7336149999999999</v>
      </c>
      <c r="AA141">
        <v>4.869084</v>
      </c>
      <c r="AB141">
        <v>3.5726210000000001E-2</v>
      </c>
      <c r="AD141">
        <v>3.8670499999999999</v>
      </c>
      <c r="AE141">
        <v>18.419509999999999</v>
      </c>
      <c r="AF141">
        <v>1.3791420000000001</v>
      </c>
      <c r="AH141">
        <v>15.635529999999999</v>
      </c>
      <c r="AK141">
        <v>15.349550000000001</v>
      </c>
      <c r="AL141">
        <v>8.3138810000000003</v>
      </c>
      <c r="AP141">
        <v>1.098077</v>
      </c>
      <c r="AU141">
        <v>8.8890519999999995</v>
      </c>
      <c r="AV141">
        <v>3.6532000000000002E-5</v>
      </c>
      <c r="AW141">
        <v>12.48856</v>
      </c>
      <c r="AX141">
        <v>1.3683110000000001</v>
      </c>
    </row>
    <row r="142" spans="1:50" x14ac:dyDescent="0.35">
      <c r="A142" s="75">
        <v>22160</v>
      </c>
      <c r="B142">
        <v>16.049589999999998</v>
      </c>
      <c r="C142">
        <v>14.329470000000001</v>
      </c>
      <c r="E142">
        <v>12.246510000000001</v>
      </c>
      <c r="F142">
        <v>24.6572</v>
      </c>
      <c r="L142">
        <v>22.963730000000002</v>
      </c>
      <c r="O142">
        <v>2.6897479999999998</v>
      </c>
      <c r="R142">
        <v>7.5193329999999996</v>
      </c>
      <c r="S142">
        <v>9.9480710000000006</v>
      </c>
      <c r="V142">
        <v>5.6426360000000004</v>
      </c>
      <c r="W142">
        <v>1.12357</v>
      </c>
      <c r="Z142">
        <v>1.719047</v>
      </c>
      <c r="AB142">
        <v>3.4695650000000001E-2</v>
      </c>
      <c r="AD142">
        <v>3.8637079999999999</v>
      </c>
      <c r="AE142">
        <v>18.566279999999999</v>
      </c>
      <c r="AF142">
        <v>1.3777900000000001</v>
      </c>
      <c r="AH142">
        <v>15.769880000000001</v>
      </c>
      <c r="AK142">
        <v>15.501519999999999</v>
      </c>
      <c r="AL142">
        <v>8.3138810000000003</v>
      </c>
      <c r="AP142">
        <v>1.0961019999999999</v>
      </c>
      <c r="AU142">
        <v>8.895759</v>
      </c>
      <c r="AV142">
        <v>3.6371000000000001E-5</v>
      </c>
      <c r="AW142">
        <v>12.48856</v>
      </c>
      <c r="AX142">
        <v>1.3683110000000001</v>
      </c>
    </row>
    <row r="143" spans="1:50" x14ac:dyDescent="0.35">
      <c r="A143" s="75">
        <v>22190</v>
      </c>
      <c r="B143">
        <v>16.00271</v>
      </c>
      <c r="C143">
        <v>14.37908</v>
      </c>
      <c r="E143">
        <v>12.404529999999999</v>
      </c>
      <c r="F143">
        <v>24.696709999999999</v>
      </c>
      <c r="L143">
        <v>23.028970000000001</v>
      </c>
      <c r="O143">
        <v>2.6968220000000001</v>
      </c>
      <c r="R143">
        <v>7.5193329999999996</v>
      </c>
      <c r="S143">
        <v>9.9631329999999991</v>
      </c>
      <c r="V143">
        <v>5.6885940000000002</v>
      </c>
      <c r="W143">
        <v>1.12357</v>
      </c>
      <c r="Z143">
        <v>1.719047</v>
      </c>
      <c r="AB143">
        <v>3.5039170000000001E-2</v>
      </c>
      <c r="AD143">
        <v>3.8637079999999999</v>
      </c>
      <c r="AE143">
        <v>18.658010000000001</v>
      </c>
      <c r="AF143">
        <v>1.362978</v>
      </c>
      <c r="AH143">
        <v>15.727080000000001</v>
      </c>
      <c r="AK143">
        <v>15.349550000000001</v>
      </c>
      <c r="AL143">
        <v>8.3138810000000003</v>
      </c>
      <c r="AP143">
        <v>1.1099270000000001</v>
      </c>
      <c r="AU143">
        <v>8.8952000000000009</v>
      </c>
      <c r="AV143">
        <v>3.6371000000000001E-5</v>
      </c>
      <c r="AW143">
        <v>12.572939999999999</v>
      </c>
      <c r="AX143">
        <v>1.3683110000000001</v>
      </c>
    </row>
    <row r="144" spans="1:50" x14ac:dyDescent="0.35">
      <c r="A144" s="75">
        <v>22221</v>
      </c>
      <c r="B144">
        <v>16.06522</v>
      </c>
      <c r="C144">
        <v>14.405189999999999</v>
      </c>
      <c r="E144">
        <v>12.404529999999999</v>
      </c>
      <c r="F144">
        <v>24.696709999999999</v>
      </c>
      <c r="L144">
        <v>23.09421</v>
      </c>
      <c r="O144">
        <v>2.7000869999999999</v>
      </c>
      <c r="R144">
        <v>7.5193329999999996</v>
      </c>
      <c r="S144">
        <v>9.9932560000000006</v>
      </c>
      <c r="V144">
        <v>5.7141260000000003</v>
      </c>
      <c r="W144">
        <v>1.12357</v>
      </c>
      <c r="Z144">
        <v>1.7044790000000001</v>
      </c>
      <c r="AA144">
        <v>4.9064750000000004</v>
      </c>
      <c r="AB144">
        <v>3.5382690000000001E-2</v>
      </c>
      <c r="AD144">
        <v>3.8804189999999998</v>
      </c>
      <c r="AE144">
        <v>18.40117</v>
      </c>
      <c r="AF144">
        <v>1.326616</v>
      </c>
      <c r="AH144">
        <v>15.7461</v>
      </c>
      <c r="AK144">
        <v>15.349550000000001</v>
      </c>
      <c r="AL144">
        <v>8.3138810000000003</v>
      </c>
      <c r="AP144">
        <v>1.121777</v>
      </c>
      <c r="AU144">
        <v>8.9309650000000005</v>
      </c>
      <c r="AV144">
        <v>3.6208999999999998E-5</v>
      </c>
      <c r="AW144">
        <v>12.572939999999999</v>
      </c>
      <c r="AX144">
        <v>1.3683110000000001</v>
      </c>
    </row>
    <row r="145" spans="1:50" x14ac:dyDescent="0.35">
      <c r="A145" s="75">
        <v>22251</v>
      </c>
      <c r="B145">
        <v>16.080850000000002</v>
      </c>
      <c r="C145">
        <v>14.405189999999999</v>
      </c>
      <c r="E145">
        <v>12.404529999999999</v>
      </c>
      <c r="F145">
        <v>24.670369999999998</v>
      </c>
      <c r="L145">
        <v>23.09421</v>
      </c>
      <c r="O145">
        <v>2.720221</v>
      </c>
      <c r="R145">
        <v>7.588317</v>
      </c>
      <c r="S145">
        <v>10.01585</v>
      </c>
      <c r="V145">
        <v>5.7294450000000001</v>
      </c>
      <c r="W145">
        <v>1.1451769999999999</v>
      </c>
      <c r="Z145">
        <v>1.7044790000000001</v>
      </c>
      <c r="AB145">
        <v>3.5382690000000001E-2</v>
      </c>
      <c r="AD145">
        <v>3.8871039999999999</v>
      </c>
      <c r="AE145">
        <v>18.547940000000001</v>
      </c>
      <c r="AF145">
        <v>1.3293060000000001</v>
      </c>
      <c r="AH145">
        <v>15.76037</v>
      </c>
      <c r="AK145">
        <v>15.349550000000001</v>
      </c>
      <c r="AL145">
        <v>8.3138810000000003</v>
      </c>
      <c r="AP145">
        <v>1.1178269999999999</v>
      </c>
      <c r="AU145">
        <v>8.9544370000000004</v>
      </c>
      <c r="AV145">
        <v>3.6532000000000002E-5</v>
      </c>
      <c r="AW145">
        <v>12.572939999999999</v>
      </c>
      <c r="AX145">
        <v>1.3683110000000001</v>
      </c>
    </row>
    <row r="146" spans="1:50" x14ac:dyDescent="0.35">
      <c r="A146" s="75">
        <v>22282</v>
      </c>
      <c r="B146">
        <v>16.284009999999999</v>
      </c>
      <c r="C146">
        <v>14.41694</v>
      </c>
      <c r="E146">
        <v>12.404529999999999</v>
      </c>
      <c r="F146">
        <v>24.603639999999999</v>
      </c>
      <c r="L146">
        <v>23.289919999999999</v>
      </c>
      <c r="O146">
        <v>2.7316479999999999</v>
      </c>
      <c r="R146">
        <v>7.588317</v>
      </c>
      <c r="S146">
        <v>10.02338</v>
      </c>
      <c r="V146">
        <v>5.7345519999999999</v>
      </c>
      <c r="W146">
        <v>1.1451769999999999</v>
      </c>
      <c r="Z146">
        <v>1.68991</v>
      </c>
      <c r="AB146">
        <v>3.5726210000000001E-2</v>
      </c>
      <c r="AD146">
        <v>3.903816</v>
      </c>
      <c r="AE146">
        <v>18.804780000000001</v>
      </c>
      <c r="AF146">
        <v>1.4141520000000001</v>
      </c>
      <c r="AH146">
        <v>15.75324</v>
      </c>
      <c r="AK146">
        <v>15.501519999999999</v>
      </c>
      <c r="AL146">
        <v>8.3138810000000003</v>
      </c>
      <c r="AP146">
        <v>1.107952</v>
      </c>
      <c r="AU146">
        <v>8.9846149999999998</v>
      </c>
      <c r="AV146">
        <v>3.6856000000000001E-5</v>
      </c>
      <c r="AW146">
        <v>12.572939999999999</v>
      </c>
      <c r="AX146">
        <v>1.372827</v>
      </c>
    </row>
    <row r="147" spans="1:50" x14ac:dyDescent="0.35">
      <c r="A147" s="75">
        <v>22313</v>
      </c>
      <c r="B147">
        <v>16.36214</v>
      </c>
      <c r="C147">
        <v>14.42478</v>
      </c>
      <c r="E147">
        <v>12.404529999999999</v>
      </c>
      <c r="F147">
        <v>24.616810000000001</v>
      </c>
      <c r="L147">
        <v>23.289919999999999</v>
      </c>
      <c r="O147">
        <v>2.7093379999999998</v>
      </c>
      <c r="R147">
        <v>7.588317</v>
      </c>
      <c r="S147">
        <v>10.03091</v>
      </c>
      <c r="V147">
        <v>5.7345519999999999</v>
      </c>
      <c r="W147">
        <v>1.1451769999999999</v>
      </c>
      <c r="Z147">
        <v>1.68991</v>
      </c>
      <c r="AA147">
        <v>4.939711</v>
      </c>
      <c r="AB147">
        <v>3.5726210000000001E-2</v>
      </c>
      <c r="AD147">
        <v>3.903816</v>
      </c>
      <c r="AE147">
        <v>18.896509999999999</v>
      </c>
      <c r="AF147">
        <v>1.4478310000000001</v>
      </c>
      <c r="AH147">
        <v>15.69736</v>
      </c>
      <c r="AK147">
        <v>15.501519999999999</v>
      </c>
      <c r="AL147">
        <v>8.3138810000000003</v>
      </c>
      <c r="AP147">
        <v>1.112889</v>
      </c>
      <c r="AU147">
        <v>9.0097640000000006</v>
      </c>
      <c r="AV147">
        <v>3.7341E-5</v>
      </c>
      <c r="AW147">
        <v>12.572939999999999</v>
      </c>
      <c r="AX147">
        <v>1.377343</v>
      </c>
    </row>
    <row r="148" spans="1:50" x14ac:dyDescent="0.35">
      <c r="A148" s="75">
        <v>22341</v>
      </c>
      <c r="B148">
        <v>16.377770000000002</v>
      </c>
      <c r="C148">
        <v>14.43</v>
      </c>
      <c r="E148">
        <v>12.404529999999999</v>
      </c>
      <c r="F148">
        <v>24.616810000000001</v>
      </c>
      <c r="L148">
        <v>23.289919999999999</v>
      </c>
      <c r="O148">
        <v>2.6973660000000002</v>
      </c>
      <c r="R148">
        <v>7.588317</v>
      </c>
      <c r="S148">
        <v>10.02338</v>
      </c>
      <c r="V148">
        <v>5.7549780000000004</v>
      </c>
      <c r="W148">
        <v>1.1451769999999999</v>
      </c>
      <c r="Z148">
        <v>1.7044790000000001</v>
      </c>
      <c r="AB148">
        <v>3.5726210000000001E-2</v>
      </c>
      <c r="AD148">
        <v>3.9071579999999999</v>
      </c>
      <c r="AE148">
        <v>18.859819999999999</v>
      </c>
      <c r="AF148">
        <v>1.465333</v>
      </c>
      <c r="AH148">
        <v>15.601050000000001</v>
      </c>
      <c r="AK148">
        <v>15.349550000000001</v>
      </c>
      <c r="AL148">
        <v>8.3855520000000006</v>
      </c>
      <c r="AP148">
        <v>1.1119019999999999</v>
      </c>
      <c r="AU148">
        <v>9.0449710000000003</v>
      </c>
      <c r="AV148">
        <v>3.8311E-5</v>
      </c>
      <c r="AW148">
        <v>12.572939999999999</v>
      </c>
      <c r="AX148">
        <v>1.377343</v>
      </c>
    </row>
    <row r="149" spans="1:50" x14ac:dyDescent="0.35">
      <c r="A149" s="75">
        <v>22372</v>
      </c>
      <c r="B149">
        <v>16.471540000000001</v>
      </c>
      <c r="C149">
        <v>14.43261</v>
      </c>
      <c r="E149">
        <v>12.404529999999999</v>
      </c>
      <c r="F149">
        <v>24.616810000000001</v>
      </c>
      <c r="L149">
        <v>23.289919999999999</v>
      </c>
      <c r="O149">
        <v>2.7044410000000001</v>
      </c>
      <c r="R149">
        <v>7.588317</v>
      </c>
      <c r="S149">
        <v>10.01585</v>
      </c>
      <c r="V149">
        <v>5.7856160000000001</v>
      </c>
      <c r="W149">
        <v>1.1451769999999999</v>
      </c>
      <c r="Z149">
        <v>1.7044790000000001</v>
      </c>
      <c r="AB149">
        <v>3.5726210000000001E-2</v>
      </c>
      <c r="AD149">
        <v>3.913843</v>
      </c>
      <c r="AE149">
        <v>19.043279999999999</v>
      </c>
      <c r="AF149">
        <v>1.474766</v>
      </c>
      <c r="AH149">
        <v>15.606999999999999</v>
      </c>
      <c r="AK149">
        <v>15.653499999999999</v>
      </c>
      <c r="AL149">
        <v>8.3855520000000006</v>
      </c>
      <c r="AP149">
        <v>1.107952</v>
      </c>
      <c r="AU149">
        <v>9.0539129999999997</v>
      </c>
      <c r="AV149">
        <v>3.7663999999999997E-5</v>
      </c>
      <c r="AW149">
        <v>12.572939999999999</v>
      </c>
      <c r="AX149">
        <v>1.3818589999999999</v>
      </c>
    </row>
    <row r="150" spans="1:50" x14ac:dyDescent="0.35">
      <c r="A150" s="75">
        <v>22402</v>
      </c>
      <c r="B150">
        <v>16.565300000000001</v>
      </c>
      <c r="C150">
        <v>14.46916</v>
      </c>
      <c r="E150">
        <v>12.404529999999999</v>
      </c>
      <c r="F150">
        <v>24.803840000000001</v>
      </c>
      <c r="L150">
        <v>23.48564</v>
      </c>
      <c r="O150">
        <v>2.6973660000000002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1.5003569999999999</v>
      </c>
      <c r="AH150">
        <v>15.615320000000001</v>
      </c>
      <c r="AK150">
        <v>15.805479999999999</v>
      </c>
      <c r="AL150">
        <v>8.4572240000000001</v>
      </c>
      <c r="AP150">
        <v>1.106965</v>
      </c>
      <c r="AU150">
        <v>9.0785020000000003</v>
      </c>
      <c r="AV150">
        <v>3.8311E-5</v>
      </c>
      <c r="AW150">
        <v>12.572939999999999</v>
      </c>
      <c r="AX150">
        <v>1.3908910000000001</v>
      </c>
    </row>
    <row r="151" spans="1:50" x14ac:dyDescent="0.35">
      <c r="A151" s="75">
        <v>22433</v>
      </c>
      <c r="B151">
        <v>16.92474</v>
      </c>
      <c r="C151">
        <v>14.49919</v>
      </c>
      <c r="E151">
        <v>12.404529999999999</v>
      </c>
      <c r="F151">
        <v>24.84423</v>
      </c>
      <c r="L151">
        <v>23.616109999999999</v>
      </c>
      <c r="O151">
        <v>2.682674</v>
      </c>
      <c r="R151">
        <v>7.588317</v>
      </c>
      <c r="S151">
        <v>9.9706639999999993</v>
      </c>
      <c r="V151">
        <v>5.8520000000000003</v>
      </c>
      <c r="W151">
        <v>1.1451769999999999</v>
      </c>
      <c r="Z151">
        <v>1.719047</v>
      </c>
      <c r="AB151">
        <v>3.5726210000000001E-2</v>
      </c>
      <c r="AD151">
        <v>3.92387</v>
      </c>
      <c r="AE151">
        <v>18.951550000000001</v>
      </c>
      <c r="AF151">
        <v>1.433012</v>
      </c>
      <c r="AH151">
        <v>15.7247</v>
      </c>
      <c r="AK151">
        <v>15.805479999999999</v>
      </c>
      <c r="AL151">
        <v>8.4572240000000001</v>
      </c>
      <c r="AP151">
        <v>1.1040019999999999</v>
      </c>
      <c r="AU151">
        <v>9.10365</v>
      </c>
      <c r="AV151">
        <v>3.8148999999999997E-5</v>
      </c>
      <c r="AW151">
        <v>12.572939999999999</v>
      </c>
      <c r="AX151">
        <v>1.3908910000000001</v>
      </c>
    </row>
    <row r="152" spans="1:50" x14ac:dyDescent="0.35">
      <c r="A152" s="75">
        <v>22463</v>
      </c>
      <c r="B152">
        <v>16.89348</v>
      </c>
      <c r="C152">
        <v>14.55011</v>
      </c>
      <c r="E152">
        <v>12.404529999999999</v>
      </c>
      <c r="F152">
        <v>24.897790000000001</v>
      </c>
      <c r="L152">
        <v>23.616109999999999</v>
      </c>
      <c r="O152">
        <v>2.682674</v>
      </c>
      <c r="R152">
        <v>7.588317</v>
      </c>
      <c r="S152">
        <v>10.045970000000001</v>
      </c>
      <c r="V152">
        <v>5.8520000000000003</v>
      </c>
      <c r="W152">
        <v>1.12357</v>
      </c>
      <c r="Z152">
        <v>1.748183</v>
      </c>
      <c r="AB152">
        <v>3.6069730000000001E-2</v>
      </c>
      <c r="AD152">
        <v>3.9338959999999998</v>
      </c>
      <c r="AE152">
        <v>19.263439999999999</v>
      </c>
      <c r="AF152">
        <v>1.4666779999999999</v>
      </c>
      <c r="AH152">
        <v>15.71757</v>
      </c>
      <c r="AK152">
        <v>15.653499999999999</v>
      </c>
      <c r="AL152">
        <v>8.4572240000000001</v>
      </c>
      <c r="AP152">
        <v>1.110914</v>
      </c>
      <c r="AU152">
        <v>9.0857670000000006</v>
      </c>
      <c r="AV152">
        <v>3.8472E-5</v>
      </c>
      <c r="AW152">
        <v>12.65732</v>
      </c>
      <c r="AX152">
        <v>1.3908910000000001</v>
      </c>
    </row>
    <row r="153" spans="1:50" x14ac:dyDescent="0.35">
      <c r="A153" s="75">
        <v>22494</v>
      </c>
      <c r="B153">
        <v>16.815349999999999</v>
      </c>
      <c r="C153">
        <v>14.58013</v>
      </c>
      <c r="E153">
        <v>12.404529999999999</v>
      </c>
      <c r="F153">
        <v>25.017209999999999</v>
      </c>
      <c r="L153">
        <v>23.616109999999999</v>
      </c>
      <c r="O153">
        <v>2.6870280000000002</v>
      </c>
      <c r="R153">
        <v>7.588317</v>
      </c>
      <c r="S153">
        <v>10.10622</v>
      </c>
      <c r="V153">
        <v>5.9081720000000004</v>
      </c>
      <c r="W153">
        <v>1.12357</v>
      </c>
      <c r="Z153">
        <v>1.759109</v>
      </c>
      <c r="AA153">
        <v>5.006183</v>
      </c>
      <c r="AB153">
        <v>3.6413260000000003E-2</v>
      </c>
      <c r="AD153">
        <v>3.9405809999999999</v>
      </c>
      <c r="AE153">
        <v>19.410209999999999</v>
      </c>
      <c r="AF153">
        <v>1.4882340000000001</v>
      </c>
      <c r="AH153">
        <v>15.81744</v>
      </c>
      <c r="AK153">
        <v>15.653499999999999</v>
      </c>
      <c r="AL153">
        <v>8.5288950000000003</v>
      </c>
      <c r="AP153">
        <v>1.1306639999999999</v>
      </c>
      <c r="AU153">
        <v>9.0975029999999997</v>
      </c>
      <c r="AV153">
        <v>3.7987000000000001E-5</v>
      </c>
      <c r="AW153">
        <v>12.615130000000001</v>
      </c>
      <c r="AX153">
        <v>1.3954059999999999</v>
      </c>
    </row>
    <row r="154" spans="1:50" x14ac:dyDescent="0.35">
      <c r="A154" s="75">
        <v>22525</v>
      </c>
      <c r="B154">
        <v>16.752829999999999</v>
      </c>
      <c r="C154">
        <v>14.55402</v>
      </c>
      <c r="E154">
        <v>12.404529999999999</v>
      </c>
      <c r="F154">
        <v>25.057600000000001</v>
      </c>
      <c r="L154">
        <v>23.616109999999999</v>
      </c>
      <c r="O154">
        <v>2.6892040000000001</v>
      </c>
      <c r="R154">
        <v>7.588317</v>
      </c>
      <c r="S154">
        <v>10.15893</v>
      </c>
      <c r="V154">
        <v>5.8979590000000002</v>
      </c>
      <c r="W154">
        <v>1.12357</v>
      </c>
      <c r="Z154">
        <v>1.759109</v>
      </c>
      <c r="AB154">
        <v>3.7787340000000003E-2</v>
      </c>
      <c r="AD154">
        <v>3.9472659999999999</v>
      </c>
      <c r="AE154">
        <v>19.52028</v>
      </c>
      <c r="AF154">
        <v>1.482842</v>
      </c>
      <c r="AH154">
        <v>15.797230000000001</v>
      </c>
      <c r="AK154">
        <v>15.653499999999999</v>
      </c>
      <c r="AL154">
        <v>8.6005669999999999</v>
      </c>
      <c r="AP154">
        <v>1.1385639999999999</v>
      </c>
      <c r="AU154">
        <v>9.1030909999999992</v>
      </c>
      <c r="AV154">
        <v>3.7987000000000001E-5</v>
      </c>
      <c r="AW154">
        <v>12.65732</v>
      </c>
      <c r="AX154">
        <v>1.3954059999999999</v>
      </c>
    </row>
    <row r="155" spans="1:50" x14ac:dyDescent="0.35">
      <c r="A155" s="75">
        <v>22555</v>
      </c>
      <c r="B155">
        <v>16.768460000000001</v>
      </c>
      <c r="C155">
        <v>14.53314</v>
      </c>
      <c r="E155">
        <v>12.404529999999999</v>
      </c>
      <c r="F155">
        <v>25.164729999999999</v>
      </c>
      <c r="L155">
        <v>23.616109999999999</v>
      </c>
      <c r="O155">
        <v>2.6995429999999998</v>
      </c>
      <c r="R155">
        <v>7.6573019999999996</v>
      </c>
      <c r="S155">
        <v>10.271890000000001</v>
      </c>
      <c r="V155">
        <v>5.9081720000000004</v>
      </c>
      <c r="W155">
        <v>1.12357</v>
      </c>
      <c r="Z155">
        <v>1.759109</v>
      </c>
      <c r="AB155">
        <v>3.9161429999999997E-2</v>
      </c>
      <c r="AD155">
        <v>3.9572929999999999</v>
      </c>
      <c r="AE155">
        <v>19.942240000000002</v>
      </c>
      <c r="AF155">
        <v>1.486883</v>
      </c>
      <c r="AH155">
        <v>15.7568</v>
      </c>
      <c r="AK155">
        <v>15.653499999999999</v>
      </c>
      <c r="AL155">
        <v>8.6722380000000001</v>
      </c>
      <c r="AP155">
        <v>1.1454759999999999</v>
      </c>
      <c r="AU155">
        <v>9.1254449999999991</v>
      </c>
      <c r="AV155">
        <v>3.8957E-5</v>
      </c>
      <c r="AW155">
        <v>12.65732</v>
      </c>
      <c r="AX155">
        <v>1.3954059999999999</v>
      </c>
    </row>
    <row r="156" spans="1:50" x14ac:dyDescent="0.35">
      <c r="A156" s="75">
        <v>22586</v>
      </c>
      <c r="B156">
        <v>16.92474</v>
      </c>
      <c r="C156">
        <v>14.55533</v>
      </c>
      <c r="E156">
        <v>12.404529999999999</v>
      </c>
      <c r="F156">
        <v>25.511569999999999</v>
      </c>
      <c r="L156">
        <v>23.746590000000001</v>
      </c>
      <c r="O156">
        <v>2.7414429999999999</v>
      </c>
      <c r="R156">
        <v>7.6573019999999996</v>
      </c>
      <c r="S156">
        <v>10.377319999999999</v>
      </c>
      <c r="V156">
        <v>5.969449</v>
      </c>
      <c r="W156">
        <v>1.12357</v>
      </c>
      <c r="Z156">
        <v>1.759109</v>
      </c>
      <c r="AA156">
        <v>5.03111</v>
      </c>
      <c r="AB156">
        <v>3.9504949999999997E-2</v>
      </c>
      <c r="AD156">
        <v>3.9840309999999999</v>
      </c>
      <c r="AE156">
        <v>20.03397</v>
      </c>
      <c r="AF156">
        <v>1.4141520000000001</v>
      </c>
      <c r="AH156">
        <v>15.786530000000001</v>
      </c>
      <c r="AK156">
        <v>15.653499999999999</v>
      </c>
      <c r="AL156">
        <v>8.6722380000000001</v>
      </c>
      <c r="AP156">
        <v>1.150414</v>
      </c>
      <c r="AU156">
        <v>9.1522699999999997</v>
      </c>
      <c r="AV156">
        <v>3.8472E-5</v>
      </c>
      <c r="AW156">
        <v>12.65732</v>
      </c>
      <c r="AX156">
        <v>1.4044380000000001</v>
      </c>
    </row>
    <row r="157" spans="1:50" x14ac:dyDescent="0.35">
      <c r="A157" s="75">
        <v>22616</v>
      </c>
      <c r="B157">
        <v>16.940370000000001</v>
      </c>
      <c r="C157">
        <v>14.55011</v>
      </c>
      <c r="E157">
        <v>12.404529999999999</v>
      </c>
      <c r="F157">
        <v>25.538789999999999</v>
      </c>
      <c r="L157">
        <v>23.746590000000001</v>
      </c>
      <c r="O157">
        <v>2.74634</v>
      </c>
      <c r="R157">
        <v>7.6573019999999996</v>
      </c>
      <c r="S157">
        <v>10.41498</v>
      </c>
      <c r="V157">
        <v>5.9796620000000003</v>
      </c>
      <c r="W157">
        <v>1.1451769999999999</v>
      </c>
      <c r="Z157">
        <v>1.759109</v>
      </c>
      <c r="AB157">
        <v>3.9504949999999997E-2</v>
      </c>
      <c r="AD157">
        <v>3.9973999999999998</v>
      </c>
      <c r="AE157">
        <v>20.21744</v>
      </c>
      <c r="AF157">
        <v>1.385872</v>
      </c>
      <c r="AH157">
        <v>15.82338</v>
      </c>
      <c r="AK157">
        <v>15.653499999999999</v>
      </c>
      <c r="AL157">
        <v>8.6722380000000001</v>
      </c>
      <c r="AP157">
        <v>1.1375759999999999</v>
      </c>
      <c r="AU157">
        <v>9.1584179999999993</v>
      </c>
      <c r="AV157">
        <v>3.8794999999999997E-5</v>
      </c>
      <c r="AW157">
        <v>12.65732</v>
      </c>
      <c r="AX157">
        <v>1.3954059999999999</v>
      </c>
    </row>
    <row r="158" spans="1:50" x14ac:dyDescent="0.35">
      <c r="A158" s="75">
        <v>22647</v>
      </c>
      <c r="B158">
        <v>17.081009999999999</v>
      </c>
      <c r="C158">
        <v>14.55794</v>
      </c>
      <c r="E158">
        <v>12.404529999999999</v>
      </c>
      <c r="F158">
        <v>25.56513</v>
      </c>
      <c r="L158">
        <v>24.007539999999999</v>
      </c>
      <c r="O158">
        <v>2.7414429999999999</v>
      </c>
      <c r="R158">
        <v>7.7262870000000001</v>
      </c>
      <c r="S158">
        <v>10.482749999999999</v>
      </c>
      <c r="V158">
        <v>6.0000879999999999</v>
      </c>
      <c r="W158">
        <v>1.12357</v>
      </c>
      <c r="Z158">
        <v>1.748183</v>
      </c>
      <c r="AB158">
        <v>3.9848469999999997E-2</v>
      </c>
      <c r="AD158">
        <v>4.0141119999999999</v>
      </c>
      <c r="AE158">
        <v>20.345859999999998</v>
      </c>
      <c r="AF158">
        <v>1.407422</v>
      </c>
      <c r="AH158">
        <v>15.863810000000001</v>
      </c>
      <c r="AK158">
        <v>15.653499999999999</v>
      </c>
      <c r="AL158">
        <v>8.7439090000000004</v>
      </c>
      <c r="AP158">
        <v>1.135602</v>
      </c>
      <c r="AU158">
        <v>9.3523379999999996</v>
      </c>
      <c r="AV158">
        <v>3.8794999999999997E-5</v>
      </c>
      <c r="AW158">
        <v>12.65732</v>
      </c>
      <c r="AX158">
        <v>1.3954059999999999</v>
      </c>
    </row>
    <row r="159" spans="1:50" x14ac:dyDescent="0.35">
      <c r="A159" s="75">
        <v>22678</v>
      </c>
      <c r="B159">
        <v>17.096640000000001</v>
      </c>
      <c r="C159">
        <v>14.55533</v>
      </c>
      <c r="E159">
        <v>12.404529999999999</v>
      </c>
      <c r="F159">
        <v>25.632739999999998</v>
      </c>
      <c r="L159">
        <v>24.072780000000002</v>
      </c>
      <c r="O159">
        <v>2.7539579999999999</v>
      </c>
      <c r="R159">
        <v>7.7262870000000001</v>
      </c>
      <c r="S159">
        <v>10.49343</v>
      </c>
      <c r="V159">
        <v>6.0060880000000001</v>
      </c>
      <c r="W159">
        <v>1.12357</v>
      </c>
      <c r="Z159">
        <v>1.748183</v>
      </c>
      <c r="AA159">
        <v>5.122509</v>
      </c>
      <c r="AB159">
        <v>3.9848469999999997E-2</v>
      </c>
      <c r="AD159">
        <v>4.0375079999999999</v>
      </c>
      <c r="AE159">
        <v>20.272469999999998</v>
      </c>
      <c r="AF159">
        <v>1.4612989999999999</v>
      </c>
      <c r="AH159">
        <v>15.79128</v>
      </c>
      <c r="AK159">
        <v>15.653499999999999</v>
      </c>
      <c r="AL159">
        <v>8.7439090000000004</v>
      </c>
      <c r="AP159">
        <v>1.141526</v>
      </c>
      <c r="AU159">
        <v>9.3590440000000008</v>
      </c>
      <c r="AV159">
        <v>3.9765000000000003E-5</v>
      </c>
      <c r="AW159">
        <v>12.69951</v>
      </c>
      <c r="AX159">
        <v>1.3954059999999999</v>
      </c>
    </row>
    <row r="160" spans="1:50" x14ac:dyDescent="0.35">
      <c r="A160" s="75">
        <v>22706</v>
      </c>
      <c r="B160">
        <v>17.19041</v>
      </c>
      <c r="C160">
        <v>14.57883</v>
      </c>
      <c r="E160">
        <v>12.404529999999999</v>
      </c>
      <c r="F160">
        <v>25.672249999999998</v>
      </c>
      <c r="L160">
        <v>24.138010000000001</v>
      </c>
      <c r="O160">
        <v>2.777901</v>
      </c>
      <c r="R160">
        <v>7.7952719999999998</v>
      </c>
      <c r="S160">
        <v>10.55748</v>
      </c>
      <c r="V160">
        <v>6.0300880000000001</v>
      </c>
      <c r="W160">
        <v>1.12357</v>
      </c>
      <c r="Z160">
        <v>1.748183</v>
      </c>
      <c r="AB160">
        <v>3.9848469999999997E-2</v>
      </c>
      <c r="AD160">
        <v>4.0609039999999998</v>
      </c>
      <c r="AE160">
        <v>20.309170000000002</v>
      </c>
      <c r="AF160">
        <v>1.5030399999999999</v>
      </c>
      <c r="AH160">
        <v>15.74254</v>
      </c>
      <c r="AK160">
        <v>15.805479999999999</v>
      </c>
      <c r="AL160">
        <v>8.8155800000000006</v>
      </c>
      <c r="AP160">
        <v>1.155351</v>
      </c>
      <c r="AU160">
        <v>9.3825160000000007</v>
      </c>
      <c r="AV160">
        <v>3.9926999999999999E-5</v>
      </c>
      <c r="AW160">
        <v>12.69951</v>
      </c>
      <c r="AX160">
        <v>1.3999220000000001</v>
      </c>
    </row>
    <row r="161" spans="1:50" x14ac:dyDescent="0.35">
      <c r="A161" s="75">
        <v>22737</v>
      </c>
      <c r="B161">
        <v>17.45608</v>
      </c>
      <c r="C161">
        <v>14.65063</v>
      </c>
      <c r="E161">
        <v>12.48354</v>
      </c>
      <c r="F161">
        <v>25.792549999999999</v>
      </c>
      <c r="L161">
        <v>24.203250000000001</v>
      </c>
      <c r="O161">
        <v>2.8170799999999998</v>
      </c>
      <c r="R161">
        <v>7.8642560000000001</v>
      </c>
      <c r="S161">
        <v>10.57883</v>
      </c>
      <c r="V161">
        <v>6.1140889999999999</v>
      </c>
      <c r="W161">
        <v>1.1451769999999999</v>
      </c>
      <c r="Z161">
        <v>1.759109</v>
      </c>
      <c r="AB161">
        <v>3.9848469999999997E-2</v>
      </c>
      <c r="AD161">
        <v>4.0943269999999998</v>
      </c>
      <c r="AE161">
        <v>20.529319999999998</v>
      </c>
      <c r="AF161">
        <v>1.531326</v>
      </c>
      <c r="AH161">
        <v>15.75324</v>
      </c>
      <c r="AK161">
        <v>16.41338</v>
      </c>
      <c r="AL161">
        <v>8.8872520000000002</v>
      </c>
      <c r="AP161">
        <v>1.1523890000000001</v>
      </c>
      <c r="AU161">
        <v>9.4557249999999993</v>
      </c>
      <c r="AV161">
        <v>3.9280000000000003E-5</v>
      </c>
      <c r="AW161">
        <v>12.7417</v>
      </c>
      <c r="AX161">
        <v>1.4044380000000001</v>
      </c>
    </row>
    <row r="162" spans="1:50" x14ac:dyDescent="0.35">
      <c r="A162" s="75">
        <v>22767</v>
      </c>
      <c r="B162">
        <v>17.643609999999999</v>
      </c>
      <c r="C162">
        <v>14.832100000000001</v>
      </c>
      <c r="E162">
        <v>12.48354</v>
      </c>
      <c r="F162">
        <v>25.992750000000001</v>
      </c>
      <c r="L162">
        <v>24.203250000000001</v>
      </c>
      <c r="O162">
        <v>2.8529939999999998</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1.5609580000000001</v>
      </c>
      <c r="AH162">
        <v>15.76275</v>
      </c>
      <c r="AK162">
        <v>16.10943</v>
      </c>
      <c r="AL162">
        <v>8.8872520000000002</v>
      </c>
      <c r="AP162">
        <v>1.1375759999999999</v>
      </c>
      <c r="AU162">
        <v>9.5300519999999995</v>
      </c>
      <c r="AV162">
        <v>3.9280000000000003E-5</v>
      </c>
      <c r="AW162">
        <v>12.7417</v>
      </c>
      <c r="AX162">
        <v>1.408954</v>
      </c>
    </row>
    <row r="163" spans="1:50" x14ac:dyDescent="0.35">
      <c r="A163" s="75">
        <v>22798</v>
      </c>
      <c r="B163">
        <v>17.98742</v>
      </c>
      <c r="C163">
        <v>14.91696</v>
      </c>
      <c r="E163">
        <v>12.56255</v>
      </c>
      <c r="F163">
        <v>26.05949</v>
      </c>
      <c r="L163">
        <v>24.203250000000001</v>
      </c>
      <c r="O163">
        <v>2.8676870000000001</v>
      </c>
      <c r="R163">
        <v>7.9332409999999998</v>
      </c>
      <c r="S163">
        <v>10.653549999999999</v>
      </c>
      <c r="V163">
        <v>6.1740899999999996</v>
      </c>
      <c r="W163">
        <v>1.12357</v>
      </c>
      <c r="Z163">
        <v>1.788246</v>
      </c>
      <c r="AB163">
        <v>3.9848469999999997E-2</v>
      </c>
      <c r="AD163">
        <v>4.1076969999999999</v>
      </c>
      <c r="AE163">
        <v>20.566009999999999</v>
      </c>
      <c r="AF163">
        <v>1.5528759999999999</v>
      </c>
      <c r="AH163">
        <v>15.920870000000001</v>
      </c>
      <c r="AK163">
        <v>16.41338</v>
      </c>
      <c r="AL163">
        <v>8.8872520000000002</v>
      </c>
      <c r="AP163">
        <v>1.1385639999999999</v>
      </c>
      <c r="AU163">
        <v>9.5742010000000004</v>
      </c>
      <c r="AV163">
        <v>3.9441999999999999E-5</v>
      </c>
      <c r="AW163">
        <v>12.7417</v>
      </c>
      <c r="AX163">
        <v>1.408954</v>
      </c>
    </row>
    <row r="164" spans="1:50" x14ac:dyDescent="0.35">
      <c r="A164" s="75">
        <v>22828</v>
      </c>
      <c r="B164">
        <v>17.674869999999999</v>
      </c>
      <c r="C164">
        <v>14.83863</v>
      </c>
      <c r="E164">
        <v>12.56255</v>
      </c>
      <c r="F164">
        <v>26.139389999999999</v>
      </c>
      <c r="L164">
        <v>24.26849</v>
      </c>
      <c r="O164">
        <v>2.8676870000000001</v>
      </c>
      <c r="R164">
        <v>8.0022260000000003</v>
      </c>
      <c r="S164">
        <v>10.696249999999999</v>
      </c>
      <c r="V164">
        <v>6.1500899999999996</v>
      </c>
      <c r="W164">
        <v>1.12357</v>
      </c>
      <c r="Z164">
        <v>1.8137399999999999</v>
      </c>
      <c r="AB164">
        <v>4.0191989999999997E-2</v>
      </c>
      <c r="AD164">
        <v>4.1344349999999999</v>
      </c>
      <c r="AE164">
        <v>20.76782</v>
      </c>
      <c r="AF164">
        <v>1.5676950000000001</v>
      </c>
      <c r="AH164">
        <v>15.90898</v>
      </c>
      <c r="AK164">
        <v>15.95745</v>
      </c>
      <c r="AL164">
        <v>9.0305949999999999</v>
      </c>
      <c r="AP164">
        <v>1.1464639999999999</v>
      </c>
      <c r="AU164">
        <v>9.5859369999999995</v>
      </c>
      <c r="AV164">
        <v>3.9280000000000003E-5</v>
      </c>
      <c r="AW164">
        <v>12.78389</v>
      </c>
      <c r="AX164">
        <v>1.408954</v>
      </c>
    </row>
    <row r="165" spans="1:50" x14ac:dyDescent="0.35">
      <c r="A165" s="75">
        <v>22859</v>
      </c>
      <c r="B165">
        <v>17.377939999999999</v>
      </c>
      <c r="C165">
        <v>14.65455</v>
      </c>
      <c r="E165">
        <v>12.64156</v>
      </c>
      <c r="F165">
        <v>26.24652</v>
      </c>
      <c r="L165">
        <v>24.138010000000001</v>
      </c>
      <c r="O165">
        <v>2.8606120000000002</v>
      </c>
      <c r="R165">
        <v>8.0022260000000003</v>
      </c>
      <c r="S165">
        <v>10.68558</v>
      </c>
      <c r="V165">
        <v>6.0960890000000001</v>
      </c>
      <c r="W165">
        <v>1.12357</v>
      </c>
      <c r="Z165">
        <v>1.828308</v>
      </c>
      <c r="AA165">
        <v>5.2305270000000004</v>
      </c>
      <c r="AB165">
        <v>4.1222549999999997E-2</v>
      </c>
      <c r="AD165">
        <v>4.1377769999999998</v>
      </c>
      <c r="AE165">
        <v>20.76782</v>
      </c>
      <c r="AF165">
        <v>1.613483</v>
      </c>
      <c r="AH165">
        <v>15.90898</v>
      </c>
      <c r="AK165">
        <v>15.95745</v>
      </c>
      <c r="AL165">
        <v>9.0305949999999999</v>
      </c>
      <c r="AP165">
        <v>1.148439</v>
      </c>
      <c r="AU165">
        <v>9.6082909999999995</v>
      </c>
      <c r="AV165">
        <v>3.9280000000000003E-5</v>
      </c>
      <c r="AW165">
        <v>12.78389</v>
      </c>
      <c r="AX165">
        <v>1.408954</v>
      </c>
    </row>
    <row r="166" spans="1:50" x14ac:dyDescent="0.35">
      <c r="A166" s="75">
        <v>22890</v>
      </c>
      <c r="B166">
        <v>17.409199999999998</v>
      </c>
      <c r="C166">
        <v>14.67544</v>
      </c>
      <c r="E166">
        <v>12.56255</v>
      </c>
      <c r="F166">
        <v>26.232469999999999</v>
      </c>
      <c r="L166">
        <v>24.138010000000001</v>
      </c>
      <c r="O166">
        <v>2.8780250000000001</v>
      </c>
      <c r="R166">
        <v>8.0022260000000003</v>
      </c>
      <c r="S166">
        <v>10.72828</v>
      </c>
      <c r="V166">
        <v>6.0900889999999999</v>
      </c>
      <c r="W166">
        <v>1.12357</v>
      </c>
      <c r="Z166">
        <v>1.828308</v>
      </c>
      <c r="AB166">
        <v>4.1909589999999997E-2</v>
      </c>
      <c r="AD166">
        <v>4.1511459999999998</v>
      </c>
      <c r="AE166">
        <v>20.69444</v>
      </c>
      <c r="AF166">
        <v>1.5932850000000001</v>
      </c>
      <c r="AH166">
        <v>15.99934</v>
      </c>
      <c r="AK166">
        <v>16.10943</v>
      </c>
      <c r="AL166">
        <v>9.1022660000000002</v>
      </c>
      <c r="AP166">
        <v>1.153376</v>
      </c>
      <c r="AU166">
        <v>9.5825829999999996</v>
      </c>
      <c r="AV166">
        <v>3.9280000000000003E-5</v>
      </c>
      <c r="AW166">
        <v>12.826079999999999</v>
      </c>
      <c r="AX166">
        <v>1.408954</v>
      </c>
    </row>
    <row r="167" spans="1:50" x14ac:dyDescent="0.35">
      <c r="A167" s="75">
        <v>22920</v>
      </c>
      <c r="B167">
        <v>17.299800000000001</v>
      </c>
      <c r="C167">
        <v>14.71852</v>
      </c>
      <c r="E167">
        <v>12.64156</v>
      </c>
      <c r="F167">
        <v>26.193829999999998</v>
      </c>
      <c r="L167">
        <v>24.203250000000001</v>
      </c>
      <c r="O167">
        <v>2.9057770000000001</v>
      </c>
      <c r="R167">
        <v>8.0712109999999999</v>
      </c>
      <c r="S167">
        <v>10.74963</v>
      </c>
      <c r="V167">
        <v>6.0840889999999996</v>
      </c>
      <c r="W167">
        <v>1.1451769999999999</v>
      </c>
      <c r="Z167">
        <v>1.842876</v>
      </c>
      <c r="AB167">
        <v>4.2940159999999998E-2</v>
      </c>
      <c r="AD167">
        <v>4.1678579999999998</v>
      </c>
      <c r="AE167">
        <v>20.859549999999999</v>
      </c>
      <c r="AF167">
        <v>1.6027119999999999</v>
      </c>
      <c r="AH167">
        <v>15.870939999999999</v>
      </c>
      <c r="AK167">
        <v>15.95745</v>
      </c>
      <c r="AL167">
        <v>9.0305949999999999</v>
      </c>
      <c r="AP167">
        <v>1.169176</v>
      </c>
      <c r="AU167">
        <v>9.5557590000000001</v>
      </c>
      <c r="AV167">
        <v>3.9765000000000003E-5</v>
      </c>
      <c r="AW167">
        <v>12.826079999999999</v>
      </c>
      <c r="AX167">
        <v>1.408954</v>
      </c>
    </row>
    <row r="168" spans="1:50" x14ac:dyDescent="0.35">
      <c r="A168" s="75">
        <v>22951</v>
      </c>
      <c r="B168">
        <v>17.299800000000001</v>
      </c>
      <c r="C168">
        <v>14.74202</v>
      </c>
      <c r="E168">
        <v>12.64156</v>
      </c>
      <c r="F168">
        <v>26.31325</v>
      </c>
      <c r="L168">
        <v>24.26849</v>
      </c>
      <c r="O168">
        <v>2.9803259999999998</v>
      </c>
      <c r="R168">
        <v>8.1401950000000003</v>
      </c>
      <c r="S168">
        <v>10.81367</v>
      </c>
      <c r="V168">
        <v>6.1080889999999997</v>
      </c>
      <c r="W168">
        <v>1.1451769999999999</v>
      </c>
      <c r="Z168">
        <v>1.828308</v>
      </c>
      <c r="AA168">
        <v>5.2180629999999999</v>
      </c>
      <c r="AB168">
        <v>4.2940159999999998E-2</v>
      </c>
      <c r="AD168">
        <v>4.1945959999999998</v>
      </c>
      <c r="AE168">
        <v>20.786169999999998</v>
      </c>
      <c r="AF168">
        <v>1.601361</v>
      </c>
      <c r="AH168">
        <v>15.91136</v>
      </c>
      <c r="AK168">
        <v>15.95745</v>
      </c>
      <c r="AL168">
        <v>9.0305949999999999</v>
      </c>
      <c r="AP168">
        <v>1.1810259999999999</v>
      </c>
      <c r="AU168">
        <v>9.5853780000000004</v>
      </c>
      <c r="AV168">
        <v>4.0250000000000003E-5</v>
      </c>
      <c r="AW168">
        <v>12.826079999999999</v>
      </c>
      <c r="AX168">
        <v>1.408954</v>
      </c>
    </row>
    <row r="169" spans="1:50" x14ac:dyDescent="0.35">
      <c r="A169" s="75">
        <v>22981</v>
      </c>
      <c r="B169">
        <v>17.331060000000001</v>
      </c>
      <c r="C169">
        <v>14.71852</v>
      </c>
      <c r="E169">
        <v>12.64156</v>
      </c>
      <c r="F169">
        <v>26.366810000000001</v>
      </c>
      <c r="L169">
        <v>24.398969999999998</v>
      </c>
      <c r="O169">
        <v>3.0184160000000002</v>
      </c>
      <c r="R169">
        <v>8.1401950000000003</v>
      </c>
      <c r="S169">
        <v>10.85637</v>
      </c>
      <c r="V169">
        <v>6.13809</v>
      </c>
      <c r="W169">
        <v>1.1451769999999999</v>
      </c>
      <c r="Z169">
        <v>1.8028139999999999</v>
      </c>
      <c r="AB169">
        <v>4.3283679999999998E-2</v>
      </c>
      <c r="AD169">
        <v>4.2581009999999999</v>
      </c>
      <c r="AE169">
        <v>21.208130000000001</v>
      </c>
      <c r="AF169">
        <v>1.6202209999999999</v>
      </c>
      <c r="AH169">
        <v>15.95416</v>
      </c>
      <c r="AK169">
        <v>16.10943</v>
      </c>
      <c r="AL169">
        <v>9.1022660000000002</v>
      </c>
      <c r="AP169">
        <v>1.1642380000000001</v>
      </c>
      <c r="AU169">
        <v>9.6211439999999993</v>
      </c>
      <c r="AV169">
        <v>4.0735000000000002E-5</v>
      </c>
      <c r="AW169">
        <v>12.826079999999999</v>
      </c>
      <c r="AX169">
        <v>1.417986</v>
      </c>
    </row>
    <row r="170" spans="1:50" x14ac:dyDescent="0.35">
      <c r="A170" s="75">
        <v>23012</v>
      </c>
      <c r="B170">
        <v>17.502960000000002</v>
      </c>
      <c r="C170">
        <v>14.77727</v>
      </c>
      <c r="E170">
        <v>12.64156</v>
      </c>
      <c r="F170">
        <v>26.447600000000001</v>
      </c>
      <c r="L170">
        <v>24.725149999999999</v>
      </c>
      <c r="O170">
        <v>3.0254910000000002</v>
      </c>
      <c r="R170">
        <v>8.1401950000000003</v>
      </c>
      <c r="S170">
        <v>10.94177</v>
      </c>
      <c r="V170">
        <v>6.1620900000000001</v>
      </c>
      <c r="W170">
        <v>1.166784</v>
      </c>
      <c r="Z170">
        <v>1.788246</v>
      </c>
      <c r="AB170">
        <v>4.3970719999999998E-2</v>
      </c>
      <c r="AD170">
        <v>4.3048929999999999</v>
      </c>
      <c r="AE170">
        <v>21.556699999999999</v>
      </c>
      <c r="AF170">
        <v>1.661975</v>
      </c>
      <c r="AH170">
        <v>15.97794</v>
      </c>
      <c r="AK170">
        <v>16.261399999999998</v>
      </c>
      <c r="AL170">
        <v>9.1022660000000002</v>
      </c>
      <c r="AP170">
        <v>1.162263</v>
      </c>
      <c r="AU170">
        <v>9.646293</v>
      </c>
      <c r="AV170">
        <v>4.1220000000000002E-5</v>
      </c>
      <c r="AW170">
        <v>12.826079999999999</v>
      </c>
      <c r="AX170">
        <v>1.4225019999999999</v>
      </c>
    </row>
    <row r="171" spans="1:50" x14ac:dyDescent="0.35">
      <c r="A171" s="75">
        <v>23043</v>
      </c>
      <c r="B171">
        <v>17.72175</v>
      </c>
      <c r="C171">
        <v>14.958740000000001</v>
      </c>
      <c r="E171">
        <v>12.64156</v>
      </c>
      <c r="F171">
        <v>26.607399999999998</v>
      </c>
      <c r="L171">
        <v>24.920870000000001</v>
      </c>
      <c r="O171">
        <v>3.0494330000000001</v>
      </c>
      <c r="R171">
        <v>8.1401950000000003</v>
      </c>
      <c r="S171">
        <v>11.00582</v>
      </c>
      <c r="V171">
        <v>6.2160909999999996</v>
      </c>
      <c r="W171">
        <v>1.166784</v>
      </c>
      <c r="Z171">
        <v>1.7736780000000001</v>
      </c>
      <c r="AA171">
        <v>5.3053080000000001</v>
      </c>
      <c r="AB171">
        <v>4.3970719999999998E-2</v>
      </c>
      <c r="AD171">
        <v>4.3650539999999998</v>
      </c>
      <c r="AE171">
        <v>21.654240000000001</v>
      </c>
      <c r="AF171">
        <v>1.698337</v>
      </c>
      <c r="AH171">
        <v>16.044519999999999</v>
      </c>
      <c r="AK171">
        <v>16.565349999999999</v>
      </c>
      <c r="AL171">
        <v>9.1739379999999997</v>
      </c>
      <c r="AP171">
        <v>1.1780630000000001</v>
      </c>
      <c r="AU171">
        <v>9.6831770000000006</v>
      </c>
      <c r="AV171">
        <v>4.2027999999999998E-5</v>
      </c>
      <c r="AW171">
        <v>12.826079999999999</v>
      </c>
      <c r="AX171">
        <v>1.417986</v>
      </c>
    </row>
    <row r="172" spans="1:50" x14ac:dyDescent="0.35">
      <c r="A172" s="75">
        <v>23071</v>
      </c>
      <c r="B172">
        <v>17.768630000000002</v>
      </c>
      <c r="C172">
        <v>14.96527</v>
      </c>
      <c r="E172">
        <v>12.64156</v>
      </c>
      <c r="F172">
        <v>26.607399999999998</v>
      </c>
      <c r="L172">
        <v>24.920870000000001</v>
      </c>
      <c r="O172">
        <v>3.108746</v>
      </c>
      <c r="R172">
        <v>8.2091799999999999</v>
      </c>
      <c r="S172">
        <v>11.037850000000001</v>
      </c>
      <c r="V172">
        <v>6.2220909999999998</v>
      </c>
      <c r="W172">
        <v>1.166784</v>
      </c>
      <c r="Z172">
        <v>1.788246</v>
      </c>
      <c r="AB172">
        <v>4.4314239999999998E-2</v>
      </c>
      <c r="AD172">
        <v>4.3784229999999997</v>
      </c>
      <c r="AE172">
        <v>21.75179</v>
      </c>
      <c r="AF172">
        <v>1.7077629999999999</v>
      </c>
      <c r="AH172">
        <v>16.043330000000001</v>
      </c>
      <c r="AK172">
        <v>16.565349999999999</v>
      </c>
      <c r="AL172">
        <v>9.245609</v>
      </c>
      <c r="AP172">
        <v>1.195838</v>
      </c>
      <c r="AU172">
        <v>9.7195009999999993</v>
      </c>
      <c r="AV172">
        <v>4.2351999999999997E-5</v>
      </c>
      <c r="AW172">
        <v>12.86828</v>
      </c>
      <c r="AX172">
        <v>1.417986</v>
      </c>
    </row>
    <row r="173" spans="1:50" x14ac:dyDescent="0.35">
      <c r="A173" s="75">
        <v>23102</v>
      </c>
      <c r="B173">
        <v>17.846769999999999</v>
      </c>
      <c r="C173">
        <v>14.937849999999999</v>
      </c>
      <c r="E173">
        <v>12.64156</v>
      </c>
      <c r="F173">
        <v>26.647790000000001</v>
      </c>
      <c r="L173">
        <v>24.98611</v>
      </c>
      <c r="O173">
        <v>3.1065700000000001</v>
      </c>
      <c r="R173">
        <v>8.2781649999999996</v>
      </c>
      <c r="S173">
        <v>11.059200000000001</v>
      </c>
      <c r="V173">
        <v>6.2400909999999996</v>
      </c>
      <c r="W173">
        <v>1.166784</v>
      </c>
      <c r="Z173">
        <v>1.8028139999999999</v>
      </c>
      <c r="AB173">
        <v>4.4657759999999998E-2</v>
      </c>
      <c r="AD173">
        <v>4.4051619999999998</v>
      </c>
      <c r="AE173">
        <v>21.849329999999998</v>
      </c>
      <c r="AF173">
        <v>1.7656750000000001</v>
      </c>
      <c r="AH173">
        <v>16.014800000000001</v>
      </c>
      <c r="AK173">
        <v>16.71733</v>
      </c>
      <c r="AL173">
        <v>9.245609</v>
      </c>
      <c r="AP173">
        <v>1.1830000000000001</v>
      </c>
      <c r="AU173">
        <v>9.7575040000000008</v>
      </c>
      <c r="AV173">
        <v>4.2027999999999998E-5</v>
      </c>
      <c r="AW173">
        <v>12.86828</v>
      </c>
      <c r="AX173">
        <v>1.417986</v>
      </c>
    </row>
    <row r="174" spans="1:50" x14ac:dyDescent="0.35">
      <c r="A174" s="75">
        <v>23132</v>
      </c>
      <c r="B174">
        <v>17.940539999999999</v>
      </c>
      <c r="C174">
        <v>14.89607</v>
      </c>
      <c r="E174">
        <v>12.64156</v>
      </c>
      <c r="F174">
        <v>26.80761</v>
      </c>
      <c r="L174">
        <v>24.920870000000001</v>
      </c>
      <c r="O174">
        <v>3.1239819999999998</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1.7454700000000001</v>
      </c>
      <c r="AH174">
        <v>16.3156</v>
      </c>
      <c r="AK174">
        <v>16.565349999999999</v>
      </c>
      <c r="AL174">
        <v>9.1022660000000002</v>
      </c>
      <c r="AP174">
        <v>1.1652260000000001</v>
      </c>
      <c r="AU174">
        <v>9.768122</v>
      </c>
      <c r="AV174">
        <v>4.2190000000000001E-5</v>
      </c>
      <c r="AW174">
        <v>12.86828</v>
      </c>
      <c r="AX174">
        <v>1.417986</v>
      </c>
    </row>
    <row r="175" spans="1:50" x14ac:dyDescent="0.35">
      <c r="A175" s="75">
        <v>23163</v>
      </c>
      <c r="B175">
        <v>18.237459999999999</v>
      </c>
      <c r="C175">
        <v>14.91827</v>
      </c>
      <c r="E175">
        <v>12.64156</v>
      </c>
      <c r="F175">
        <v>26.87434</v>
      </c>
      <c r="L175">
        <v>24.790389999999999</v>
      </c>
      <c r="O175">
        <v>3.0663019999999999</v>
      </c>
      <c r="R175">
        <v>8.2781649999999996</v>
      </c>
      <c r="S175">
        <v>11.17662</v>
      </c>
      <c r="V175">
        <v>6.2340910000000003</v>
      </c>
      <c r="W175">
        <v>1.166784</v>
      </c>
      <c r="Z175">
        <v>1.842876</v>
      </c>
      <c r="AB175">
        <v>4.5001289999999999E-2</v>
      </c>
      <c r="AD175">
        <v>4.4118469999999999</v>
      </c>
      <c r="AE175">
        <v>22.190719999999999</v>
      </c>
      <c r="AF175">
        <v>1.79261</v>
      </c>
      <c r="AH175">
        <v>16.416650000000001</v>
      </c>
      <c r="AK175">
        <v>16.71733</v>
      </c>
      <c r="AL175">
        <v>9.1022660000000002</v>
      </c>
      <c r="AP175">
        <v>1.1573260000000001</v>
      </c>
      <c r="AU175">
        <v>9.8044469999999997</v>
      </c>
      <c r="AV175">
        <v>4.2351999999999997E-5</v>
      </c>
      <c r="AW175">
        <v>12.91047</v>
      </c>
      <c r="AX175">
        <v>1.4225019999999999</v>
      </c>
    </row>
    <row r="176" spans="1:50" x14ac:dyDescent="0.35">
      <c r="A176" s="75">
        <v>23193</v>
      </c>
      <c r="B176">
        <v>17.98742</v>
      </c>
      <c r="C176">
        <v>15.00182</v>
      </c>
      <c r="E176">
        <v>12.799580000000001</v>
      </c>
      <c r="F176">
        <v>26.927900000000001</v>
      </c>
      <c r="L176">
        <v>24.790389999999999</v>
      </c>
      <c r="O176">
        <v>3.0989520000000002</v>
      </c>
      <c r="R176">
        <v>8.2781649999999996</v>
      </c>
      <c r="S176">
        <v>11.21932</v>
      </c>
      <c r="V176">
        <v>6.1980909999999998</v>
      </c>
      <c r="W176">
        <v>1.166784</v>
      </c>
      <c r="Z176">
        <v>1.857445</v>
      </c>
      <c r="AB176">
        <v>4.5344809999999999E-2</v>
      </c>
      <c r="AD176">
        <v>4.4085039999999998</v>
      </c>
      <c r="AE176">
        <v>22.044409999999999</v>
      </c>
      <c r="AF176">
        <v>2.0148350000000002</v>
      </c>
      <c r="AH176">
        <v>16.409520000000001</v>
      </c>
      <c r="AK176">
        <v>16.261399999999998</v>
      </c>
      <c r="AL176">
        <v>9.245609</v>
      </c>
      <c r="AP176">
        <v>1.1385639999999999</v>
      </c>
      <c r="AU176">
        <v>9.799417</v>
      </c>
      <c r="AV176">
        <v>4.2027999999999998E-5</v>
      </c>
      <c r="AW176">
        <v>12.95266</v>
      </c>
      <c r="AX176">
        <v>1.4270179999999999</v>
      </c>
    </row>
    <row r="177" spans="1:50" x14ac:dyDescent="0.35">
      <c r="A177" s="75">
        <v>23224</v>
      </c>
      <c r="B177">
        <v>17.706119999999999</v>
      </c>
      <c r="C177">
        <v>14.98354</v>
      </c>
      <c r="E177">
        <v>12.878590000000001</v>
      </c>
      <c r="F177">
        <v>27.007809999999999</v>
      </c>
      <c r="L177">
        <v>24.725149999999999</v>
      </c>
      <c r="O177">
        <v>3.1310560000000001</v>
      </c>
      <c r="R177">
        <v>8.3471489999999999</v>
      </c>
      <c r="S177">
        <v>11.26202</v>
      </c>
      <c r="V177">
        <v>6.1800899999999999</v>
      </c>
      <c r="W177">
        <v>1.166784</v>
      </c>
      <c r="Z177">
        <v>1.8720129999999999</v>
      </c>
      <c r="AA177">
        <v>5.2886899999999999</v>
      </c>
      <c r="AB177">
        <v>4.5688329999999999E-2</v>
      </c>
      <c r="AD177">
        <v>4.4252159999999998</v>
      </c>
      <c r="AE177">
        <v>21.971250000000001</v>
      </c>
      <c r="AF177">
        <v>2.048508</v>
      </c>
      <c r="AH177">
        <v>16.457080000000001</v>
      </c>
      <c r="AK177">
        <v>16.261399999999998</v>
      </c>
      <c r="AL177">
        <v>9.1022660000000002</v>
      </c>
      <c r="AP177">
        <v>1.1662129999999999</v>
      </c>
      <c r="AU177">
        <v>9.8139479999999999</v>
      </c>
      <c r="AV177">
        <v>4.1705000000000001E-5</v>
      </c>
      <c r="AW177">
        <v>12.95266</v>
      </c>
      <c r="AX177">
        <v>1.4315329999999999</v>
      </c>
    </row>
    <row r="178" spans="1:50" x14ac:dyDescent="0.35">
      <c r="A178" s="75">
        <v>23255</v>
      </c>
      <c r="B178">
        <v>17.909279999999999</v>
      </c>
      <c r="C178">
        <v>15.084070000000001</v>
      </c>
      <c r="E178">
        <v>12.799580000000001</v>
      </c>
      <c r="F178">
        <v>27.087710000000001</v>
      </c>
      <c r="L178">
        <v>24.790389999999999</v>
      </c>
      <c r="O178">
        <v>3.1239819999999998</v>
      </c>
      <c r="R178">
        <v>8.4161339999999996</v>
      </c>
      <c r="S178">
        <v>11.336740000000001</v>
      </c>
      <c r="V178">
        <v>6.1980909999999998</v>
      </c>
      <c r="W178">
        <v>1.166784</v>
      </c>
      <c r="Z178">
        <v>1.8829389999999999</v>
      </c>
      <c r="AB178">
        <v>4.7405940000000001E-2</v>
      </c>
      <c r="AD178">
        <v>4.4552969999999998</v>
      </c>
      <c r="AE178">
        <v>22.41019</v>
      </c>
      <c r="AF178">
        <v>2.0202209999999998</v>
      </c>
      <c r="AH178">
        <v>16.573589999999999</v>
      </c>
      <c r="AK178">
        <v>16.565349999999999</v>
      </c>
      <c r="AL178">
        <v>9.1022660000000002</v>
      </c>
      <c r="AP178">
        <v>1.1652260000000001</v>
      </c>
      <c r="AU178">
        <v>9.822889</v>
      </c>
      <c r="AV178">
        <v>4.1866999999999997E-5</v>
      </c>
      <c r="AW178">
        <v>12.95266</v>
      </c>
      <c r="AX178">
        <v>1.4315329999999999</v>
      </c>
    </row>
    <row r="179" spans="1:50" x14ac:dyDescent="0.35">
      <c r="A179" s="75">
        <v>23285</v>
      </c>
      <c r="B179">
        <v>17.799890000000001</v>
      </c>
      <c r="C179">
        <v>15.14673</v>
      </c>
      <c r="E179">
        <v>12.799580000000001</v>
      </c>
      <c r="F179">
        <v>27.194839999999999</v>
      </c>
      <c r="L179">
        <v>24.98611</v>
      </c>
      <c r="O179">
        <v>3.1326890000000001</v>
      </c>
      <c r="R179">
        <v>8.5541040000000006</v>
      </c>
      <c r="S179">
        <v>11.358090000000001</v>
      </c>
      <c r="V179">
        <v>6.2220909999999998</v>
      </c>
      <c r="W179">
        <v>1.166784</v>
      </c>
      <c r="Z179">
        <v>1.8975070000000001</v>
      </c>
      <c r="AB179">
        <v>4.946706E-2</v>
      </c>
      <c r="AD179">
        <v>4.5054309999999997</v>
      </c>
      <c r="AE179">
        <v>22.337039999999998</v>
      </c>
      <c r="AF179">
        <v>1.9434499999999999</v>
      </c>
      <c r="AH179">
        <v>16.492750000000001</v>
      </c>
      <c r="AK179">
        <v>16.565349999999999</v>
      </c>
      <c r="AL179">
        <v>9.1022660000000002</v>
      </c>
      <c r="AP179">
        <v>1.182013</v>
      </c>
      <c r="AU179">
        <v>9.8525080000000003</v>
      </c>
      <c r="AV179">
        <v>4.2512999999999998E-5</v>
      </c>
      <c r="AW179">
        <v>12.99485</v>
      </c>
      <c r="AX179">
        <v>1.4315329999999999</v>
      </c>
    </row>
    <row r="180" spans="1:50" x14ac:dyDescent="0.35">
      <c r="A180" s="75">
        <v>23316</v>
      </c>
      <c r="B180">
        <v>18.01867</v>
      </c>
      <c r="C180">
        <v>15.218540000000001</v>
      </c>
      <c r="E180">
        <v>12.878590000000001</v>
      </c>
      <c r="F180">
        <v>27.355519999999999</v>
      </c>
      <c r="L180">
        <v>25.05134</v>
      </c>
      <c r="O180">
        <v>3.1718679999999999</v>
      </c>
      <c r="R180">
        <v>8.5541040000000006</v>
      </c>
      <c r="S180">
        <v>11.39012</v>
      </c>
      <c r="V180">
        <v>6.2400909999999996</v>
      </c>
      <c r="W180">
        <v>1.166784</v>
      </c>
      <c r="Z180">
        <v>1.8975070000000001</v>
      </c>
      <c r="AA180">
        <v>5.4507159999999999</v>
      </c>
      <c r="AB180">
        <v>5.01541E-2</v>
      </c>
      <c r="AD180">
        <v>4.5221419999999997</v>
      </c>
      <c r="AE180">
        <v>22.23949</v>
      </c>
      <c r="AF180">
        <v>1.9865489999999999</v>
      </c>
      <c r="AH180">
        <v>16.539110000000001</v>
      </c>
      <c r="AK180">
        <v>16.565349999999999</v>
      </c>
      <c r="AL180">
        <v>9.1739379999999997</v>
      </c>
      <c r="AP180">
        <v>1.209662</v>
      </c>
      <c r="AU180">
        <v>9.8843619999999994</v>
      </c>
      <c r="AV180">
        <v>4.2512999999999998E-5</v>
      </c>
      <c r="AW180">
        <v>12.99485</v>
      </c>
      <c r="AX180">
        <v>1.4315329999999999</v>
      </c>
    </row>
    <row r="181" spans="1:50" x14ac:dyDescent="0.35">
      <c r="A181" s="75">
        <v>23346</v>
      </c>
      <c r="B181">
        <v>18.065560000000001</v>
      </c>
      <c r="C181">
        <v>15.34126</v>
      </c>
      <c r="E181">
        <v>12.878590000000001</v>
      </c>
      <c r="F181">
        <v>27.381869999999999</v>
      </c>
      <c r="L181">
        <v>25.247060000000001</v>
      </c>
      <c r="O181">
        <v>3.1838389999999999</v>
      </c>
      <c r="R181">
        <v>8.5541040000000006</v>
      </c>
      <c r="S181">
        <v>11.41147</v>
      </c>
      <c r="V181">
        <v>6.2520910000000001</v>
      </c>
      <c r="W181">
        <v>1.166784</v>
      </c>
      <c r="Z181">
        <v>1.926644</v>
      </c>
      <c r="AB181">
        <v>5.01541E-2</v>
      </c>
      <c r="AD181">
        <v>4.5522229999999997</v>
      </c>
      <c r="AE181">
        <v>22.337039999999998</v>
      </c>
      <c r="AF181">
        <v>2.0821730000000001</v>
      </c>
      <c r="AH181">
        <v>16.579540000000001</v>
      </c>
      <c r="AK181">
        <v>16.71733</v>
      </c>
      <c r="AL181">
        <v>9.245609</v>
      </c>
      <c r="AP181">
        <v>1.1997880000000001</v>
      </c>
      <c r="AU181">
        <v>9.9201289999999993</v>
      </c>
      <c r="AV181">
        <v>4.2512999999999998E-5</v>
      </c>
      <c r="AW181">
        <v>13.037039999999999</v>
      </c>
      <c r="AX181">
        <v>1.4315329999999999</v>
      </c>
    </row>
    <row r="182" spans="1:50" x14ac:dyDescent="0.35">
      <c r="A182" s="75">
        <v>23377</v>
      </c>
      <c r="B182">
        <v>18.25309</v>
      </c>
      <c r="C182">
        <v>15.419589999999999</v>
      </c>
      <c r="E182">
        <v>12.878590000000001</v>
      </c>
      <c r="F182">
        <v>27.40821</v>
      </c>
      <c r="L182">
        <v>25.37753</v>
      </c>
      <c r="O182">
        <v>3.1789420000000002</v>
      </c>
      <c r="R182">
        <v>8.8990270000000002</v>
      </c>
      <c r="S182">
        <v>11.45417</v>
      </c>
      <c r="V182">
        <v>6.2820919999999996</v>
      </c>
      <c r="W182">
        <v>1.166784</v>
      </c>
      <c r="Z182">
        <v>1.926644</v>
      </c>
      <c r="AB182">
        <v>5.1184670000000002E-2</v>
      </c>
      <c r="AD182">
        <v>4.5856469999999998</v>
      </c>
      <c r="AE182">
        <v>22.361419999999999</v>
      </c>
      <c r="AF182">
        <v>2.1966510000000001</v>
      </c>
      <c r="AH182">
        <v>16.574780000000001</v>
      </c>
      <c r="AK182">
        <v>17.021280000000001</v>
      </c>
      <c r="AL182">
        <v>9.460623</v>
      </c>
      <c r="AP182">
        <v>1.188925</v>
      </c>
      <c r="AU182">
        <v>9.9592480000000005</v>
      </c>
      <c r="AV182">
        <v>4.2997999999999997E-5</v>
      </c>
      <c r="AW182">
        <v>13.037039999999999</v>
      </c>
      <c r="AX182">
        <v>1.4315329999999999</v>
      </c>
    </row>
    <row r="183" spans="1:50" x14ac:dyDescent="0.35">
      <c r="A183" s="75">
        <v>23408</v>
      </c>
      <c r="B183">
        <v>18.299969999999998</v>
      </c>
      <c r="C183">
        <v>15.402620000000001</v>
      </c>
      <c r="E183">
        <v>12.878590000000001</v>
      </c>
      <c r="F183">
        <v>27.448599999999999</v>
      </c>
      <c r="L183">
        <v>25.442769999999999</v>
      </c>
      <c r="O183">
        <v>3.1811180000000001</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2.348843</v>
      </c>
      <c r="AH183">
        <v>16.703189999999999</v>
      </c>
      <c r="AK183">
        <v>17.021280000000001</v>
      </c>
      <c r="AL183">
        <v>9.5322940000000003</v>
      </c>
      <c r="AP183">
        <v>1.197813</v>
      </c>
      <c r="AU183">
        <v>9.9721010000000003</v>
      </c>
      <c r="AV183">
        <v>4.2837000000000003E-5</v>
      </c>
      <c r="AW183">
        <v>13.037039999999999</v>
      </c>
      <c r="AX183">
        <v>1.4315329999999999</v>
      </c>
    </row>
    <row r="184" spans="1:50" x14ac:dyDescent="0.35">
      <c r="A184" s="75">
        <v>23437</v>
      </c>
      <c r="B184">
        <v>18.28434</v>
      </c>
      <c r="C184">
        <v>15.35431</v>
      </c>
      <c r="E184">
        <v>12.878590000000001</v>
      </c>
      <c r="F184">
        <v>27.461770000000001</v>
      </c>
      <c r="L184">
        <v>25.442769999999999</v>
      </c>
      <c r="O184">
        <v>3.1909130000000001</v>
      </c>
      <c r="R184">
        <v>9.0369960000000003</v>
      </c>
      <c r="S184">
        <v>11.475519999999999</v>
      </c>
      <c r="V184">
        <v>6.3120919999999998</v>
      </c>
      <c r="W184">
        <v>1.166784</v>
      </c>
      <c r="Z184">
        <v>1.9667060000000001</v>
      </c>
      <c r="AB184">
        <v>5.4276360000000003E-2</v>
      </c>
      <c r="AD184">
        <v>4.6056999999999997</v>
      </c>
      <c r="AE184">
        <v>22.43458</v>
      </c>
      <c r="AF184">
        <v>2.3986719999999999</v>
      </c>
      <c r="AH184">
        <v>16.63898</v>
      </c>
      <c r="AK184">
        <v>17.173259999999999</v>
      </c>
      <c r="AL184">
        <v>9.5322940000000003</v>
      </c>
      <c r="AP184">
        <v>1.2195370000000001</v>
      </c>
      <c r="AU184">
        <v>10.02519</v>
      </c>
      <c r="AV184">
        <v>4.2351999999999997E-5</v>
      </c>
      <c r="AW184">
        <v>13.037039999999999</v>
      </c>
      <c r="AX184">
        <v>1.4450810000000001</v>
      </c>
    </row>
    <row r="185" spans="1:50" x14ac:dyDescent="0.35">
      <c r="A185" s="75">
        <v>23468</v>
      </c>
      <c r="B185">
        <v>18.393740000000001</v>
      </c>
      <c r="C185">
        <v>15.432639999999999</v>
      </c>
      <c r="E185">
        <v>12.957599999999999</v>
      </c>
      <c r="F185">
        <v>27.635629999999999</v>
      </c>
      <c r="L185">
        <v>25.442769999999999</v>
      </c>
      <c r="O185">
        <v>3.2028840000000001</v>
      </c>
      <c r="R185">
        <v>9.1059809999999999</v>
      </c>
      <c r="S185">
        <v>11.486190000000001</v>
      </c>
      <c r="V185">
        <v>6.3660930000000002</v>
      </c>
      <c r="W185">
        <v>1.188391</v>
      </c>
      <c r="Z185">
        <v>1.981274</v>
      </c>
      <c r="AB185">
        <v>5.5306920000000002E-2</v>
      </c>
      <c r="AD185">
        <v>4.6123849999999997</v>
      </c>
      <c r="AE185">
        <v>22.702819999999999</v>
      </c>
      <c r="AF185">
        <v>2.4471639999999999</v>
      </c>
      <c r="AH185">
        <v>16.66752</v>
      </c>
      <c r="AK185">
        <v>17.933140000000002</v>
      </c>
      <c r="AL185">
        <v>9.6039659999999998</v>
      </c>
      <c r="AP185">
        <v>1.215587</v>
      </c>
      <c r="AU185">
        <v>10.01904</v>
      </c>
      <c r="AV185">
        <v>4.2027999999999998E-5</v>
      </c>
      <c r="AW185">
        <v>13.037039999999999</v>
      </c>
      <c r="AX185">
        <v>1.449597</v>
      </c>
    </row>
    <row r="186" spans="1:50" x14ac:dyDescent="0.35">
      <c r="A186" s="75">
        <v>23498</v>
      </c>
      <c r="B186">
        <v>18.565639999999998</v>
      </c>
      <c r="C186">
        <v>15.470499999999999</v>
      </c>
      <c r="E186">
        <v>12.957599999999999</v>
      </c>
      <c r="F186">
        <v>27.78227</v>
      </c>
      <c r="L186">
        <v>25.442769999999999</v>
      </c>
      <c r="O186">
        <v>3.2110460000000001</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2.561642</v>
      </c>
      <c r="AH186">
        <v>16.675840000000001</v>
      </c>
      <c r="AK186">
        <v>17.477209999999999</v>
      </c>
      <c r="AL186">
        <v>9.6039659999999998</v>
      </c>
      <c r="AP186">
        <v>1.204725</v>
      </c>
      <c r="AU186">
        <v>10.04978</v>
      </c>
      <c r="AV186">
        <v>4.2675000000000001E-5</v>
      </c>
      <c r="AW186">
        <v>13.037039999999999</v>
      </c>
      <c r="AX186">
        <v>1.449597</v>
      </c>
    </row>
    <row r="187" spans="1:50" x14ac:dyDescent="0.35">
      <c r="A187" s="75">
        <v>23529</v>
      </c>
      <c r="B187">
        <v>18.862570000000002</v>
      </c>
      <c r="C187">
        <v>15.65067</v>
      </c>
      <c r="E187">
        <v>12.957599999999999</v>
      </c>
      <c r="F187">
        <v>27.742750000000001</v>
      </c>
      <c r="L187">
        <v>25.37753</v>
      </c>
      <c r="O187">
        <v>3.254035</v>
      </c>
      <c r="R187">
        <v>9.2439509999999991</v>
      </c>
      <c r="S187">
        <v>11.518219999999999</v>
      </c>
      <c r="V187">
        <v>6.4440939999999998</v>
      </c>
      <c r="W187">
        <v>1.188391</v>
      </c>
      <c r="Z187">
        <v>2.0613990000000002</v>
      </c>
      <c r="AB187">
        <v>5.5993969999999997E-2</v>
      </c>
      <c r="AD187">
        <v>4.6825729999999997</v>
      </c>
      <c r="AE187">
        <v>22.75159</v>
      </c>
      <c r="AF187">
        <v>2.4444680000000001</v>
      </c>
      <c r="AH187">
        <v>16.81138</v>
      </c>
      <c r="AK187">
        <v>17.477209999999999</v>
      </c>
      <c r="AL187">
        <v>9.6039659999999998</v>
      </c>
      <c r="AP187">
        <v>1.2086749999999999</v>
      </c>
      <c r="AU187">
        <v>10.071020000000001</v>
      </c>
      <c r="AV187">
        <v>4.2675000000000001E-5</v>
      </c>
      <c r="AW187">
        <v>13.079230000000001</v>
      </c>
      <c r="AX187">
        <v>1.454113</v>
      </c>
    </row>
    <row r="188" spans="1:50" x14ac:dyDescent="0.35">
      <c r="A188" s="75">
        <v>23559</v>
      </c>
      <c r="B188">
        <v>18.956330000000001</v>
      </c>
      <c r="C188">
        <v>15.776</v>
      </c>
      <c r="E188">
        <v>13.03661</v>
      </c>
      <c r="F188">
        <v>27.755929999999999</v>
      </c>
      <c r="L188">
        <v>25.442769999999999</v>
      </c>
      <c r="O188">
        <v>3.3242310000000002</v>
      </c>
      <c r="R188">
        <v>9.2439509999999991</v>
      </c>
      <c r="S188">
        <v>11.550240000000001</v>
      </c>
      <c r="V188">
        <v>6.4440939999999998</v>
      </c>
      <c r="W188">
        <v>1.166784</v>
      </c>
      <c r="Z188">
        <v>2.119672</v>
      </c>
      <c r="AB188">
        <v>5.5993969999999997E-2</v>
      </c>
      <c r="AD188">
        <v>4.7093119999999997</v>
      </c>
      <c r="AE188">
        <v>22.629660000000001</v>
      </c>
      <c r="AF188">
        <v>2.379826</v>
      </c>
      <c r="AH188">
        <v>16.809000000000001</v>
      </c>
      <c r="AK188">
        <v>17.477209999999999</v>
      </c>
      <c r="AL188">
        <v>9.7473089999999996</v>
      </c>
      <c r="AP188">
        <v>1.2086749999999999</v>
      </c>
      <c r="AU188">
        <v>10.11852</v>
      </c>
      <c r="AV188">
        <v>4.2027999999999998E-5</v>
      </c>
      <c r="AW188">
        <v>13.121420000000001</v>
      </c>
      <c r="AX188">
        <v>1.4631449999999999</v>
      </c>
    </row>
    <row r="189" spans="1:50" x14ac:dyDescent="0.35">
      <c r="A189" s="75">
        <v>23590</v>
      </c>
      <c r="B189">
        <v>18.628150000000002</v>
      </c>
      <c r="C189">
        <v>15.776</v>
      </c>
      <c r="E189">
        <v>13.03661</v>
      </c>
      <c r="F189">
        <v>27.822659999999999</v>
      </c>
      <c r="L189">
        <v>25.442769999999999</v>
      </c>
      <c r="O189">
        <v>3.3764690000000002</v>
      </c>
      <c r="R189">
        <v>9.2439509999999991</v>
      </c>
      <c r="S189">
        <v>11.57159</v>
      </c>
      <c r="V189">
        <v>6.4680939999999998</v>
      </c>
      <c r="W189">
        <v>1.166784</v>
      </c>
      <c r="Z189">
        <v>2.1451660000000001</v>
      </c>
      <c r="AA189">
        <v>5.7664590000000002</v>
      </c>
      <c r="AB189">
        <v>5.5993969999999997E-2</v>
      </c>
      <c r="AD189">
        <v>4.7226809999999997</v>
      </c>
      <c r="AE189">
        <v>22.87351</v>
      </c>
      <c r="AF189">
        <v>2.3596140000000001</v>
      </c>
      <c r="AH189">
        <v>16.952860000000001</v>
      </c>
      <c r="AK189">
        <v>17.629180000000002</v>
      </c>
      <c r="AL189">
        <v>9.8189799999999998</v>
      </c>
      <c r="AP189">
        <v>1.2195370000000001</v>
      </c>
      <c r="AU189">
        <v>10.183350000000001</v>
      </c>
      <c r="AV189">
        <v>4.2190000000000001E-5</v>
      </c>
      <c r="AW189">
        <v>13.079230000000001</v>
      </c>
      <c r="AX189">
        <v>1.4676610000000001</v>
      </c>
    </row>
    <row r="190" spans="1:50" x14ac:dyDescent="0.35">
      <c r="A190" s="75">
        <v>23621</v>
      </c>
      <c r="B190">
        <v>18.61252</v>
      </c>
      <c r="C190">
        <v>15.787750000000001</v>
      </c>
      <c r="E190">
        <v>13.03661</v>
      </c>
      <c r="F190">
        <v>27.87622</v>
      </c>
      <c r="L190">
        <v>25.442769999999999</v>
      </c>
      <c r="O190">
        <v>3.409662</v>
      </c>
      <c r="R190">
        <v>9.3129349999999995</v>
      </c>
      <c r="S190">
        <v>11.624969999999999</v>
      </c>
      <c r="V190">
        <v>6.4680939999999998</v>
      </c>
      <c r="W190">
        <v>1.166784</v>
      </c>
      <c r="Z190">
        <v>2.1852290000000001</v>
      </c>
      <c r="AB190">
        <v>5.5993969999999997E-2</v>
      </c>
      <c r="AD190">
        <v>4.7427349999999997</v>
      </c>
      <c r="AE190">
        <v>23.166139999999999</v>
      </c>
      <c r="AF190">
        <v>2.4444680000000001</v>
      </c>
      <c r="AH190">
        <v>17.121690000000001</v>
      </c>
      <c r="AK190">
        <v>17.78116</v>
      </c>
      <c r="AL190">
        <v>9.8906519999999993</v>
      </c>
      <c r="AP190">
        <v>1.2195370000000001</v>
      </c>
      <c r="AU190">
        <v>10.221909999999999</v>
      </c>
      <c r="AV190">
        <v>4.2351999999999997E-5</v>
      </c>
      <c r="AW190">
        <v>13.121420000000001</v>
      </c>
      <c r="AX190">
        <v>1.4766919999999999</v>
      </c>
    </row>
    <row r="191" spans="1:50" x14ac:dyDescent="0.35">
      <c r="A191" s="75">
        <v>23651</v>
      </c>
      <c r="B191">
        <v>18.565639999999998</v>
      </c>
      <c r="C191">
        <v>15.82822</v>
      </c>
      <c r="E191">
        <v>13.03661</v>
      </c>
      <c r="F191">
        <v>27.956130000000002</v>
      </c>
      <c r="L191">
        <v>25.508009999999999</v>
      </c>
      <c r="O191">
        <v>3.4657100000000001</v>
      </c>
      <c r="R191">
        <v>9.3129349999999995</v>
      </c>
      <c r="S191">
        <v>11.65699</v>
      </c>
      <c r="V191">
        <v>6.474094</v>
      </c>
      <c r="W191">
        <v>1.166784</v>
      </c>
      <c r="Z191">
        <v>2.2435019999999999</v>
      </c>
      <c r="AB191">
        <v>5.5993969999999997E-2</v>
      </c>
      <c r="AD191">
        <v>4.7627889999999997</v>
      </c>
      <c r="AE191">
        <v>23.580690000000001</v>
      </c>
      <c r="AF191">
        <v>2.4956480000000001</v>
      </c>
      <c r="AH191">
        <v>16.957609999999999</v>
      </c>
      <c r="AK191">
        <v>17.629180000000002</v>
      </c>
      <c r="AL191">
        <v>9.8189799999999998</v>
      </c>
      <c r="AP191">
        <v>1.2294119999999999</v>
      </c>
      <c r="AU191">
        <v>10.24314</v>
      </c>
      <c r="AV191">
        <v>4.2675000000000001E-5</v>
      </c>
      <c r="AW191">
        <v>13.121420000000001</v>
      </c>
      <c r="AX191">
        <v>1.4812080000000001</v>
      </c>
    </row>
    <row r="192" spans="1:50" x14ac:dyDescent="0.35">
      <c r="A192" s="75">
        <v>23682</v>
      </c>
      <c r="B192">
        <v>18.690660000000001</v>
      </c>
      <c r="C192">
        <v>15.89611</v>
      </c>
      <c r="E192">
        <v>13.03661</v>
      </c>
      <c r="F192">
        <v>27.983350000000002</v>
      </c>
      <c r="L192">
        <v>25.638480000000001</v>
      </c>
      <c r="O192">
        <v>3.5457010000000002</v>
      </c>
      <c r="R192">
        <v>9.3819199999999991</v>
      </c>
      <c r="S192">
        <v>11.65699</v>
      </c>
      <c r="V192">
        <v>6.5280950000000004</v>
      </c>
      <c r="W192">
        <v>1.166784</v>
      </c>
      <c r="Z192">
        <v>2.2435019999999999</v>
      </c>
      <c r="AA192">
        <v>5.8287760000000004</v>
      </c>
      <c r="AB192">
        <v>5.5993969999999997E-2</v>
      </c>
      <c r="AD192">
        <v>4.7962119999999997</v>
      </c>
      <c r="AE192">
        <v>23.38561</v>
      </c>
      <c r="AF192">
        <v>2.494297</v>
      </c>
      <c r="AH192">
        <v>16.964749999999999</v>
      </c>
      <c r="AK192">
        <v>17.629180000000002</v>
      </c>
      <c r="AL192">
        <v>9.8906519999999993</v>
      </c>
      <c r="AP192">
        <v>1.236324</v>
      </c>
      <c r="AU192">
        <v>10.281700000000001</v>
      </c>
      <c r="AV192">
        <v>4.2997999999999997E-5</v>
      </c>
      <c r="AW192">
        <v>13.16361</v>
      </c>
      <c r="AX192">
        <v>1.49024</v>
      </c>
    </row>
    <row r="193" spans="1:50" x14ac:dyDescent="0.35">
      <c r="A193" s="75">
        <v>23712</v>
      </c>
      <c r="B193">
        <v>18.690660000000001</v>
      </c>
      <c r="C193">
        <v>15.94833</v>
      </c>
      <c r="E193">
        <v>13.11562</v>
      </c>
      <c r="F193">
        <v>28.022860000000001</v>
      </c>
      <c r="L193">
        <v>25.834199999999999</v>
      </c>
      <c r="O193">
        <v>3.5870570000000002</v>
      </c>
      <c r="R193">
        <v>9.3819199999999991</v>
      </c>
      <c r="S193">
        <v>11.65699</v>
      </c>
      <c r="V193">
        <v>6.5520959999999997</v>
      </c>
      <c r="W193">
        <v>1.188391</v>
      </c>
      <c r="Z193">
        <v>2.2544279999999999</v>
      </c>
      <c r="AB193">
        <v>5.6681009999999997E-2</v>
      </c>
      <c r="AD193">
        <v>4.8162659999999997</v>
      </c>
      <c r="AE193">
        <v>23.38561</v>
      </c>
      <c r="AF193">
        <v>2.5158529999999999</v>
      </c>
      <c r="AH193">
        <v>17.051539999999999</v>
      </c>
      <c r="AK193">
        <v>17.629180000000002</v>
      </c>
      <c r="AL193">
        <v>9.8906519999999993</v>
      </c>
      <c r="AP193">
        <v>1.2402740000000001</v>
      </c>
      <c r="AU193">
        <v>10.306850000000001</v>
      </c>
      <c r="AV193">
        <v>4.316E-5</v>
      </c>
      <c r="AW193">
        <v>13.16361</v>
      </c>
      <c r="AX193">
        <v>1.494756</v>
      </c>
    </row>
    <row r="194" spans="1:50" x14ac:dyDescent="0.35">
      <c r="A194" s="75">
        <v>23743</v>
      </c>
      <c r="B194">
        <v>18.78443</v>
      </c>
      <c r="C194">
        <v>15.994020000000001</v>
      </c>
      <c r="E194">
        <v>13.11562</v>
      </c>
      <c r="F194">
        <v>28.049199999999999</v>
      </c>
      <c r="L194">
        <v>25.899439999999998</v>
      </c>
      <c r="O194">
        <v>3.6224270000000001</v>
      </c>
      <c r="R194">
        <v>9.4509050000000006</v>
      </c>
      <c r="S194">
        <v>11.72104</v>
      </c>
      <c r="V194">
        <v>6.5700960000000004</v>
      </c>
      <c r="W194">
        <v>1.188391</v>
      </c>
      <c r="Z194">
        <v>2.268996</v>
      </c>
      <c r="AB194">
        <v>5.7368049999999997E-2</v>
      </c>
      <c r="AD194">
        <v>4.8396619999999997</v>
      </c>
      <c r="AE194">
        <v>23.8977</v>
      </c>
      <c r="AF194">
        <v>2.6282809999999999</v>
      </c>
      <c r="AH194">
        <v>17.094339999999999</v>
      </c>
      <c r="AK194">
        <v>17.721889999999998</v>
      </c>
      <c r="AL194">
        <v>9.9623229999999996</v>
      </c>
      <c r="AP194">
        <v>1.239287</v>
      </c>
      <c r="AU194">
        <v>10.33591</v>
      </c>
      <c r="AV194">
        <v>4.3482999999999997E-5</v>
      </c>
      <c r="AW194">
        <v>13.16361</v>
      </c>
      <c r="AX194">
        <v>1.4992719999999999</v>
      </c>
    </row>
    <row r="195" spans="1:50" x14ac:dyDescent="0.35">
      <c r="A195" s="75">
        <v>23774</v>
      </c>
      <c r="B195">
        <v>18.737549999999999</v>
      </c>
      <c r="C195">
        <v>16.031880000000001</v>
      </c>
      <c r="E195">
        <v>13.11562</v>
      </c>
      <c r="F195">
        <v>28.143160000000002</v>
      </c>
      <c r="L195">
        <v>25.899439999999998</v>
      </c>
      <c r="O195">
        <v>3.6844600000000001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2.6855329999999999</v>
      </c>
      <c r="AH195">
        <v>17.150220000000001</v>
      </c>
      <c r="AK195">
        <v>17.791799999999999</v>
      </c>
      <c r="AL195">
        <v>9.9623229999999996</v>
      </c>
      <c r="AP195">
        <v>1.2343489999999999</v>
      </c>
      <c r="AU195">
        <v>10.344849999999999</v>
      </c>
      <c r="AV195">
        <v>4.4129999999999999E-5</v>
      </c>
      <c r="AW195">
        <v>13.16361</v>
      </c>
      <c r="AX195">
        <v>1.4992719999999999</v>
      </c>
    </row>
    <row r="196" spans="1:50" x14ac:dyDescent="0.35">
      <c r="A196" s="75">
        <v>23802</v>
      </c>
      <c r="B196">
        <v>18.84694</v>
      </c>
      <c r="C196">
        <v>16.046240000000001</v>
      </c>
      <c r="E196">
        <v>13.11562</v>
      </c>
      <c r="F196">
        <v>28.157209999999999</v>
      </c>
      <c r="L196">
        <v>26.029910000000001</v>
      </c>
      <c r="O196">
        <v>3.7132999999999998</v>
      </c>
      <c r="R196">
        <v>9.5198889999999992</v>
      </c>
      <c r="S196">
        <v>11.76374</v>
      </c>
      <c r="V196">
        <v>6.5940960000000004</v>
      </c>
      <c r="W196">
        <v>1.188391</v>
      </c>
      <c r="Z196">
        <v>2.1852290000000001</v>
      </c>
      <c r="AB196">
        <v>5.7711569999999997E-2</v>
      </c>
      <c r="AD196">
        <v>4.8597159999999997</v>
      </c>
      <c r="AE196">
        <v>23.995239999999999</v>
      </c>
      <c r="AF196">
        <v>2.6915249999999999</v>
      </c>
      <c r="AH196">
        <v>17.112169999999999</v>
      </c>
      <c r="AK196">
        <v>17.896660000000001</v>
      </c>
      <c r="AL196">
        <v>10.10567</v>
      </c>
      <c r="AP196">
        <v>1.2540990000000001</v>
      </c>
      <c r="AU196">
        <v>10.41639</v>
      </c>
      <c r="AV196">
        <v>4.3645E-5</v>
      </c>
      <c r="AW196">
        <v>13.2058</v>
      </c>
      <c r="AX196">
        <v>1.5037879999999999</v>
      </c>
    </row>
    <row r="197" spans="1:50" x14ac:dyDescent="0.35">
      <c r="A197" s="75">
        <v>23833</v>
      </c>
      <c r="B197">
        <v>19.018840000000001</v>
      </c>
      <c r="C197">
        <v>16.07235</v>
      </c>
      <c r="E197">
        <v>13.19463</v>
      </c>
      <c r="F197">
        <v>28.25028</v>
      </c>
      <c r="L197">
        <v>26.09515</v>
      </c>
      <c r="O197">
        <v>3.7405080000000002</v>
      </c>
      <c r="R197">
        <v>9.5888740000000006</v>
      </c>
      <c r="S197">
        <v>11.78509</v>
      </c>
      <c r="V197">
        <v>6.7200980000000001</v>
      </c>
      <c r="W197">
        <v>1.209999</v>
      </c>
      <c r="Z197">
        <v>2.1997969999999998</v>
      </c>
      <c r="AB197">
        <v>5.8055099999999998E-2</v>
      </c>
      <c r="AD197">
        <v>4.8663999999999996</v>
      </c>
      <c r="AE197">
        <v>24.507339999999999</v>
      </c>
      <c r="AF197">
        <v>2.732799</v>
      </c>
      <c r="AH197">
        <v>17.110990000000001</v>
      </c>
      <c r="AK197">
        <v>18.036480000000001</v>
      </c>
      <c r="AL197">
        <v>10.10567</v>
      </c>
      <c r="AP197">
        <v>1.252124</v>
      </c>
      <c r="AU197">
        <v>10.451589999999999</v>
      </c>
      <c r="AV197">
        <v>4.3807000000000003E-5</v>
      </c>
      <c r="AW197">
        <v>13.24799</v>
      </c>
      <c r="AX197">
        <v>1.5128189999999999</v>
      </c>
    </row>
    <row r="198" spans="1:50" x14ac:dyDescent="0.35">
      <c r="A198" s="75">
        <v>23863</v>
      </c>
      <c r="B198">
        <v>19.518930000000001</v>
      </c>
      <c r="C198">
        <v>16.26427</v>
      </c>
      <c r="E198">
        <v>13.19463</v>
      </c>
      <c r="F198">
        <v>28.55761</v>
      </c>
      <c r="L198">
        <v>26.16039</v>
      </c>
      <c r="O198">
        <v>3.755744</v>
      </c>
      <c r="R198">
        <v>9.5888740000000006</v>
      </c>
      <c r="S198">
        <v>11.81711</v>
      </c>
      <c r="V198">
        <v>6.7440990000000003</v>
      </c>
      <c r="W198">
        <v>1.209999</v>
      </c>
      <c r="Z198">
        <v>2.2143649999999999</v>
      </c>
      <c r="AA198">
        <v>5.9949560000000002</v>
      </c>
      <c r="AB198">
        <v>5.8742139999999998E-2</v>
      </c>
      <c r="AD198">
        <v>4.8764269999999996</v>
      </c>
      <c r="AE198">
        <v>24.36102</v>
      </c>
      <c r="AF198">
        <v>2.7873890000000001</v>
      </c>
      <c r="AH198">
        <v>17.316669999999998</v>
      </c>
      <c r="AK198">
        <v>18.106390000000001</v>
      </c>
      <c r="AL198">
        <v>10.10567</v>
      </c>
      <c r="AP198">
        <v>1.245212</v>
      </c>
      <c r="AU198">
        <v>10.462770000000001</v>
      </c>
      <c r="AV198">
        <v>4.4129999999999999E-5</v>
      </c>
      <c r="AW198">
        <v>13.24799</v>
      </c>
      <c r="AX198">
        <v>1.5128189999999999</v>
      </c>
    </row>
    <row r="199" spans="1:50" x14ac:dyDescent="0.35">
      <c r="A199" s="75">
        <v>23894</v>
      </c>
      <c r="B199">
        <v>20.519100000000002</v>
      </c>
      <c r="C199">
        <v>16.299510000000001</v>
      </c>
      <c r="E199">
        <v>13.352650000000001</v>
      </c>
      <c r="F199">
        <v>28.66385</v>
      </c>
      <c r="L199">
        <v>26.356100000000001</v>
      </c>
      <c r="O199">
        <v>3.7388750000000002</v>
      </c>
      <c r="R199">
        <v>9.6578590000000002</v>
      </c>
      <c r="S199">
        <v>12.009259999999999</v>
      </c>
      <c r="V199">
        <v>6.7620990000000001</v>
      </c>
      <c r="W199">
        <v>1.209999</v>
      </c>
      <c r="Z199">
        <v>2.2435019999999999</v>
      </c>
      <c r="AB199">
        <v>5.8742139999999998E-2</v>
      </c>
      <c r="AD199">
        <v>4.8897959999999996</v>
      </c>
      <c r="AE199">
        <v>24.312249999999999</v>
      </c>
      <c r="AF199">
        <v>2.7627570000000001</v>
      </c>
      <c r="AH199">
        <v>17.427240000000001</v>
      </c>
      <c r="AK199">
        <v>18.176300000000001</v>
      </c>
      <c r="AL199">
        <v>10.10567</v>
      </c>
      <c r="AP199">
        <v>1.2481739999999999</v>
      </c>
      <c r="AU199">
        <v>10.513629999999999</v>
      </c>
      <c r="AV199">
        <v>4.4453000000000003E-5</v>
      </c>
      <c r="AW199">
        <v>13.332380000000001</v>
      </c>
      <c r="AX199">
        <v>1.5173350000000001</v>
      </c>
    </row>
    <row r="200" spans="1:50" x14ac:dyDescent="0.35">
      <c r="A200" s="75">
        <v>23924</v>
      </c>
      <c r="B200">
        <v>20.03464</v>
      </c>
      <c r="C200">
        <v>16.355650000000001</v>
      </c>
      <c r="E200">
        <v>13.352650000000001</v>
      </c>
      <c r="F200">
        <v>28.743760000000002</v>
      </c>
      <c r="L200">
        <v>26.421340000000001</v>
      </c>
      <c r="O200">
        <v>3.7437719999999999</v>
      </c>
      <c r="R200">
        <v>9.7268439999999998</v>
      </c>
      <c r="S200">
        <v>11.902509999999999</v>
      </c>
      <c r="V200">
        <v>6.7620990000000001</v>
      </c>
      <c r="W200">
        <v>1.209999</v>
      </c>
      <c r="Z200">
        <v>2.309059</v>
      </c>
      <c r="AB200">
        <v>5.8742139999999998E-2</v>
      </c>
      <c r="AD200">
        <v>4.9165349999999997</v>
      </c>
      <c r="AE200">
        <v>24.190329999999999</v>
      </c>
      <c r="AF200">
        <v>2.7987060000000001</v>
      </c>
      <c r="AH200">
        <v>17.466470000000001</v>
      </c>
      <c r="AK200">
        <v>18.158819999999999</v>
      </c>
      <c r="AL200">
        <v>10.177339999999999</v>
      </c>
      <c r="AP200">
        <v>1.2412620000000001</v>
      </c>
      <c r="AU200">
        <v>10.798640000000001</v>
      </c>
      <c r="AV200">
        <v>4.4453000000000003E-5</v>
      </c>
      <c r="AW200">
        <v>13.332380000000001</v>
      </c>
      <c r="AX200">
        <v>1.5218510000000001</v>
      </c>
    </row>
    <row r="201" spans="1:50" x14ac:dyDescent="0.35">
      <c r="A201" s="75">
        <v>23955</v>
      </c>
      <c r="B201">
        <v>19.73771</v>
      </c>
      <c r="C201">
        <v>16.359570000000001</v>
      </c>
      <c r="E201">
        <v>13.352650000000001</v>
      </c>
      <c r="F201">
        <v>28.904450000000001</v>
      </c>
      <c r="L201">
        <v>26.421340000000001</v>
      </c>
      <c r="O201">
        <v>3.7628180000000002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2.8260010000000002</v>
      </c>
      <c r="AH201">
        <v>17.53424</v>
      </c>
      <c r="AK201">
        <v>18.316109999999998</v>
      </c>
      <c r="AL201">
        <v>10.10567</v>
      </c>
      <c r="AP201">
        <v>1.252124</v>
      </c>
      <c r="AU201">
        <v>10.78411</v>
      </c>
      <c r="AV201">
        <v>4.5260999999999999E-5</v>
      </c>
      <c r="AW201">
        <v>13.332380000000001</v>
      </c>
      <c r="AX201">
        <v>1.530883</v>
      </c>
    </row>
    <row r="202" spans="1:50" x14ac:dyDescent="0.35">
      <c r="A202" s="75">
        <v>23986</v>
      </c>
      <c r="B202">
        <v>19.64395</v>
      </c>
      <c r="C202">
        <v>16.41048</v>
      </c>
      <c r="E202">
        <v>13.352650000000001</v>
      </c>
      <c r="F202">
        <v>28.984349999999999</v>
      </c>
      <c r="L202">
        <v>26.421340000000001</v>
      </c>
      <c r="O202">
        <v>3.7987320000000002</v>
      </c>
      <c r="R202">
        <v>9.6578590000000002</v>
      </c>
      <c r="S202">
        <v>11.902509999999999</v>
      </c>
      <c r="V202">
        <v>6.7800989999999999</v>
      </c>
      <c r="W202">
        <v>1.209999</v>
      </c>
      <c r="Z202">
        <v>2.3673320000000002</v>
      </c>
      <c r="AB202">
        <v>5.9772699999999998E-2</v>
      </c>
      <c r="AD202">
        <v>4.9365889999999997</v>
      </c>
      <c r="AE202">
        <v>24.653649999999999</v>
      </c>
      <c r="AF202">
        <v>2.8126859999999998</v>
      </c>
      <c r="AH202">
        <v>17.57348</v>
      </c>
      <c r="AK202">
        <v>18.403500000000001</v>
      </c>
      <c r="AL202">
        <v>10.177339999999999</v>
      </c>
      <c r="AP202">
        <v>1.2718739999999999</v>
      </c>
      <c r="AU202">
        <v>10.80926</v>
      </c>
      <c r="AV202">
        <v>4.5099999999999998E-5</v>
      </c>
      <c r="AW202">
        <v>13.332380000000001</v>
      </c>
      <c r="AX202">
        <v>1.530883</v>
      </c>
    </row>
    <row r="203" spans="1:50" x14ac:dyDescent="0.35">
      <c r="A203" s="75">
        <v>24016</v>
      </c>
      <c r="B203">
        <v>19.456420000000001</v>
      </c>
      <c r="C203">
        <v>16.430070000000001</v>
      </c>
      <c r="E203">
        <v>13.352650000000001</v>
      </c>
      <c r="F203">
        <v>29.078299999999999</v>
      </c>
      <c r="L203">
        <v>26.551819999999999</v>
      </c>
      <c r="O203">
        <v>3.8188659999999999</v>
      </c>
      <c r="R203">
        <v>9.7958280000000002</v>
      </c>
      <c r="S203">
        <v>11.923859999999999</v>
      </c>
      <c r="V203">
        <v>6.7860990000000001</v>
      </c>
      <c r="W203">
        <v>1.231606</v>
      </c>
      <c r="Z203">
        <v>2.3673320000000002</v>
      </c>
      <c r="AB203">
        <v>6.0803259999999998E-2</v>
      </c>
      <c r="AD203">
        <v>4.9365889999999997</v>
      </c>
      <c r="AE203">
        <v>24.970659999999999</v>
      </c>
      <c r="AF203">
        <v>2.7960430000000001</v>
      </c>
      <c r="AH203">
        <v>17.525919999999999</v>
      </c>
      <c r="AK203">
        <v>18.403500000000001</v>
      </c>
      <c r="AL203">
        <v>10.10567</v>
      </c>
      <c r="AP203">
        <v>1.2718739999999999</v>
      </c>
      <c r="AU203">
        <v>10.837199999999999</v>
      </c>
      <c r="AV203">
        <v>4.5099999999999998E-5</v>
      </c>
      <c r="AW203">
        <v>13.37457</v>
      </c>
      <c r="AX203">
        <v>1.535399</v>
      </c>
    </row>
    <row r="204" spans="1:50" x14ac:dyDescent="0.35">
      <c r="A204" s="75">
        <v>24047</v>
      </c>
      <c r="B204">
        <v>19.67521</v>
      </c>
      <c r="C204">
        <v>16.507090000000002</v>
      </c>
      <c r="E204">
        <v>13.431660000000001</v>
      </c>
      <c r="F204">
        <v>29.332070000000002</v>
      </c>
      <c r="L204">
        <v>26.682289999999998</v>
      </c>
      <c r="O204">
        <v>3.9010319999999998</v>
      </c>
      <c r="R204">
        <v>9.7958280000000002</v>
      </c>
      <c r="S204">
        <v>11.945209999999999</v>
      </c>
      <c r="V204">
        <v>6.8160999999999996</v>
      </c>
      <c r="W204">
        <v>1.231606</v>
      </c>
      <c r="Z204">
        <v>2.3782580000000002</v>
      </c>
      <c r="AA204">
        <v>6.0157290000000003</v>
      </c>
      <c r="AB204">
        <v>6.1833829999999999E-2</v>
      </c>
      <c r="AD204">
        <v>4.9532999999999996</v>
      </c>
      <c r="AE204">
        <v>24.72681</v>
      </c>
      <c r="AF204">
        <v>2.748777</v>
      </c>
      <c r="AH204">
        <v>17.54851</v>
      </c>
      <c r="AK204">
        <v>18.50836</v>
      </c>
      <c r="AL204">
        <v>10.177339999999999</v>
      </c>
      <c r="AP204">
        <v>1.2965610000000001</v>
      </c>
      <c r="AU204">
        <v>10.862909999999999</v>
      </c>
      <c r="AV204">
        <v>4.5099999999999998E-5</v>
      </c>
      <c r="AW204">
        <v>13.37457</v>
      </c>
      <c r="AX204">
        <v>1.5399149999999999</v>
      </c>
    </row>
    <row r="205" spans="1:50" x14ac:dyDescent="0.35">
      <c r="A205" s="75">
        <v>24077</v>
      </c>
      <c r="B205">
        <v>19.815850000000001</v>
      </c>
      <c r="C205">
        <v>16.6037</v>
      </c>
      <c r="E205">
        <v>13.510669999999999</v>
      </c>
      <c r="F205">
        <v>29.398800000000001</v>
      </c>
      <c r="L205">
        <v>26.81277</v>
      </c>
      <c r="O205">
        <v>3.923343</v>
      </c>
      <c r="R205">
        <v>9.7958280000000002</v>
      </c>
      <c r="S205">
        <v>11.987909999999999</v>
      </c>
      <c r="V205">
        <v>6.8460999999999999</v>
      </c>
      <c r="W205">
        <v>1.2532129999999999</v>
      </c>
      <c r="Z205">
        <v>2.3782580000000002</v>
      </c>
      <c r="AB205">
        <v>6.1833829999999999E-2</v>
      </c>
      <c r="AD205">
        <v>4.9766959999999996</v>
      </c>
      <c r="AE205">
        <v>24.897500000000001</v>
      </c>
      <c r="AF205">
        <v>2.757431</v>
      </c>
      <c r="AH205">
        <v>17.800560000000001</v>
      </c>
      <c r="AK205">
        <v>18.560790000000001</v>
      </c>
      <c r="AL205">
        <v>10.177339999999999</v>
      </c>
      <c r="AP205">
        <v>1.2817480000000001</v>
      </c>
      <c r="AU205">
        <v>10.922700000000001</v>
      </c>
      <c r="AV205">
        <v>4.5584999999999998E-5</v>
      </c>
      <c r="AW205">
        <v>13.41676</v>
      </c>
      <c r="AX205">
        <v>1.54443</v>
      </c>
    </row>
    <row r="206" spans="1:50" x14ac:dyDescent="0.35">
      <c r="A206" s="75">
        <v>24108</v>
      </c>
      <c r="B206">
        <v>19.722090000000001</v>
      </c>
      <c r="C206">
        <v>16.668980000000001</v>
      </c>
      <c r="E206">
        <v>13.510669999999999</v>
      </c>
      <c r="F206">
        <v>29.558610000000002</v>
      </c>
      <c r="L206">
        <v>26.943239999999999</v>
      </c>
      <c r="O206">
        <v>3.9162689999999998</v>
      </c>
      <c r="R206">
        <v>9.7958280000000002</v>
      </c>
      <c r="S206">
        <v>12.030609999999999</v>
      </c>
      <c r="V206">
        <v>6.8581000000000003</v>
      </c>
      <c r="W206">
        <v>1.2532129999999999</v>
      </c>
      <c r="Z206">
        <v>2.3782580000000002</v>
      </c>
      <c r="AB206">
        <v>6.2520870000000006E-2</v>
      </c>
      <c r="AD206">
        <v>4.9900659999999997</v>
      </c>
      <c r="AE206">
        <v>25.141359999999999</v>
      </c>
      <c r="AF206">
        <v>2.8233380000000001</v>
      </c>
      <c r="AH206">
        <v>17.93092</v>
      </c>
      <c r="AK206">
        <v>18.805479999999999</v>
      </c>
      <c r="AL206">
        <v>10.24901</v>
      </c>
      <c r="AP206">
        <v>1.301498</v>
      </c>
      <c r="AU206">
        <v>11.055149999999999</v>
      </c>
      <c r="AV206">
        <v>4.7039999999999997E-5</v>
      </c>
      <c r="AW206">
        <v>13.41676</v>
      </c>
      <c r="AX206">
        <v>1.5489459999999999</v>
      </c>
    </row>
    <row r="207" spans="1:50" x14ac:dyDescent="0.35">
      <c r="A207" s="75">
        <v>24139</v>
      </c>
      <c r="B207">
        <v>19.66244</v>
      </c>
      <c r="C207">
        <v>16.719889999999999</v>
      </c>
      <c r="E207">
        <v>13.58968</v>
      </c>
      <c r="F207">
        <v>29.63852</v>
      </c>
      <c r="L207">
        <v>27.008479999999999</v>
      </c>
      <c r="O207">
        <v>3.9130039999999999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2.9032249999999999</v>
      </c>
      <c r="AH207">
        <v>17.903099999999998</v>
      </c>
      <c r="AK207">
        <v>19.032679999999999</v>
      </c>
      <c r="AL207">
        <v>10.24901</v>
      </c>
      <c r="AP207">
        <v>1.322235</v>
      </c>
      <c r="AU207">
        <v>11.16413</v>
      </c>
      <c r="AV207">
        <v>4.7848E-5</v>
      </c>
      <c r="AW207">
        <v>13.501139999999999</v>
      </c>
      <c r="AX207">
        <v>1.5579780000000001</v>
      </c>
    </row>
    <row r="208" spans="1:50" x14ac:dyDescent="0.35">
      <c r="A208" s="75">
        <v>24167</v>
      </c>
      <c r="B208">
        <v>19.64256</v>
      </c>
      <c r="C208">
        <v>16.792999999999999</v>
      </c>
      <c r="E208">
        <v>13.66869</v>
      </c>
      <c r="F208">
        <v>29.679790000000001</v>
      </c>
      <c r="L208">
        <v>27.073720000000002</v>
      </c>
      <c r="O208">
        <v>3.9130039999999999</v>
      </c>
      <c r="R208">
        <v>9.8648129999999998</v>
      </c>
      <c r="S208">
        <v>12.073309999999999</v>
      </c>
      <c r="V208">
        <v>6.8761010000000002</v>
      </c>
      <c r="W208">
        <v>1.2532129999999999</v>
      </c>
      <c r="Z208">
        <v>2.3928259999999999</v>
      </c>
      <c r="AB208">
        <v>6.3207920000000001E-2</v>
      </c>
      <c r="AD208">
        <v>4.9867229999999996</v>
      </c>
      <c r="AE208">
        <v>25.433979999999998</v>
      </c>
      <c r="AF208">
        <v>2.9498259999999998</v>
      </c>
      <c r="AH208">
        <v>17.887450000000001</v>
      </c>
      <c r="AK208">
        <v>19.120069999999998</v>
      </c>
      <c r="AL208">
        <v>10.320679999999999</v>
      </c>
      <c r="AP208">
        <v>1.3291470000000001</v>
      </c>
      <c r="AU208">
        <v>11.21163</v>
      </c>
      <c r="AV208">
        <v>4.9141000000000003E-5</v>
      </c>
      <c r="AW208">
        <v>13.543329999999999</v>
      </c>
      <c r="AX208">
        <v>1.5579780000000001</v>
      </c>
    </row>
    <row r="209" spans="1:50" x14ac:dyDescent="0.35">
      <c r="A209" s="75">
        <v>24198</v>
      </c>
      <c r="B209">
        <v>19.702210000000001</v>
      </c>
      <c r="C209">
        <v>16.962720000000001</v>
      </c>
      <c r="E209">
        <v>13.7477</v>
      </c>
      <c r="F209">
        <v>29.7193</v>
      </c>
      <c r="L209">
        <v>27.26943</v>
      </c>
      <c r="O209">
        <v>3.9505509999999999</v>
      </c>
      <c r="R209">
        <v>9.9337979999999995</v>
      </c>
      <c r="S209">
        <v>12.116009999999999</v>
      </c>
      <c r="V209">
        <v>6.960102</v>
      </c>
      <c r="W209">
        <v>1.2748200000000001</v>
      </c>
      <c r="Z209">
        <v>2.407394</v>
      </c>
      <c r="AB209">
        <v>6.3551430000000006E-2</v>
      </c>
      <c r="AD209">
        <v>5.0000929999999997</v>
      </c>
      <c r="AE209">
        <v>25.726610000000001</v>
      </c>
      <c r="AF209">
        <v>2.9804490000000001</v>
      </c>
      <c r="AH209">
        <v>17.977869999999999</v>
      </c>
      <c r="AK209">
        <v>19.259879999999999</v>
      </c>
      <c r="AL209">
        <v>10.320679999999999</v>
      </c>
      <c r="AP209">
        <v>1.3192729999999999</v>
      </c>
      <c r="AU209">
        <v>11.23119</v>
      </c>
      <c r="AV209">
        <v>4.9463999999999999E-5</v>
      </c>
      <c r="AW209">
        <v>13.62771</v>
      </c>
      <c r="AX209">
        <v>1.562494</v>
      </c>
    </row>
    <row r="210" spans="1:50" x14ac:dyDescent="0.35">
      <c r="A210" s="75">
        <v>24228</v>
      </c>
      <c r="B210">
        <v>19.68233</v>
      </c>
      <c r="C210">
        <v>17.044969999999999</v>
      </c>
      <c r="E210">
        <v>13.7477</v>
      </c>
      <c r="F210">
        <v>30.092479999999998</v>
      </c>
      <c r="L210">
        <v>27.26943</v>
      </c>
      <c r="O210">
        <v>4.0082310000000003</v>
      </c>
      <c r="R210">
        <v>10.00278</v>
      </c>
      <c r="S210">
        <v>12.158709999999999</v>
      </c>
      <c r="V210">
        <v>7.0081020000000001</v>
      </c>
      <c r="W210">
        <v>1.2748200000000001</v>
      </c>
      <c r="Z210">
        <v>2.4875189999999998</v>
      </c>
      <c r="AA210">
        <v>6.1320550000000003</v>
      </c>
      <c r="AB210">
        <v>6.561256E-2</v>
      </c>
      <c r="AD210">
        <v>5.0067769999999996</v>
      </c>
      <c r="AE210">
        <v>25.555910000000001</v>
      </c>
      <c r="AF210">
        <v>3.062999</v>
      </c>
      <c r="AH210">
        <v>18.05612</v>
      </c>
      <c r="AK210">
        <v>19.259879999999999</v>
      </c>
      <c r="AL210">
        <v>10.320679999999999</v>
      </c>
      <c r="AP210">
        <v>1.3093980000000001</v>
      </c>
      <c r="AU210">
        <v>11.28875</v>
      </c>
      <c r="AV210">
        <v>4.8817999999999999E-5</v>
      </c>
      <c r="AW210">
        <v>13.62771</v>
      </c>
      <c r="AX210">
        <v>1.5579780000000001</v>
      </c>
    </row>
    <row r="211" spans="1:50" x14ac:dyDescent="0.35">
      <c r="A211" s="75">
        <v>24259</v>
      </c>
      <c r="B211">
        <v>19.821490000000001</v>
      </c>
      <c r="C211">
        <v>17.112860000000001</v>
      </c>
      <c r="E211">
        <v>13.826700000000001</v>
      </c>
      <c r="F211">
        <v>30.053840000000001</v>
      </c>
      <c r="L211">
        <v>27.26943</v>
      </c>
      <c r="O211">
        <v>4.0158490000000002</v>
      </c>
      <c r="R211">
        <v>10.00278</v>
      </c>
      <c r="S211">
        <v>12.14804</v>
      </c>
      <c r="V211">
        <v>7.026103</v>
      </c>
      <c r="W211">
        <v>1.2748200000000001</v>
      </c>
      <c r="Z211">
        <v>2.5457920000000001</v>
      </c>
      <c r="AB211">
        <v>6.561256E-2</v>
      </c>
      <c r="AD211">
        <v>5.0067769999999996</v>
      </c>
      <c r="AE211">
        <v>25.604679999999998</v>
      </c>
      <c r="AF211">
        <v>3.0683250000000002</v>
      </c>
      <c r="AH211">
        <v>17.903099999999998</v>
      </c>
      <c r="AK211">
        <v>19.329789999999999</v>
      </c>
      <c r="AL211">
        <v>10.320679999999999</v>
      </c>
      <c r="AP211">
        <v>1.292611</v>
      </c>
      <c r="AU211">
        <v>11.31949</v>
      </c>
      <c r="AV211">
        <v>4.7039999999999997E-5</v>
      </c>
      <c r="AW211">
        <v>13.66991</v>
      </c>
      <c r="AX211">
        <v>1.56701</v>
      </c>
    </row>
    <row r="212" spans="1:50" x14ac:dyDescent="0.35">
      <c r="A212" s="75">
        <v>24289</v>
      </c>
      <c r="B212">
        <v>19.821490000000001</v>
      </c>
      <c r="C212">
        <v>16.964030000000001</v>
      </c>
      <c r="E212">
        <v>13.826700000000001</v>
      </c>
      <c r="F212">
        <v>30.053840000000001</v>
      </c>
      <c r="L212">
        <v>27.26943</v>
      </c>
      <c r="O212">
        <v>4.0136719999999997</v>
      </c>
      <c r="R212">
        <v>10.00278</v>
      </c>
      <c r="S212">
        <v>12.19074</v>
      </c>
      <c r="V212">
        <v>6.9961019999999996</v>
      </c>
      <c r="W212">
        <v>1.2748200000000001</v>
      </c>
      <c r="Z212">
        <v>2.5858539999999999</v>
      </c>
      <c r="AB212">
        <v>6.5956089999999995E-2</v>
      </c>
      <c r="AD212">
        <v>5.0101190000000004</v>
      </c>
      <c r="AE212">
        <v>25.67784</v>
      </c>
      <c r="AF212">
        <v>3.0543439999999999</v>
      </c>
      <c r="AH212">
        <v>17.946570000000001</v>
      </c>
      <c r="AK212">
        <v>19.189969999999999</v>
      </c>
      <c r="AL212">
        <v>10.535690000000001</v>
      </c>
      <c r="AP212">
        <v>1.2975479999999999</v>
      </c>
      <c r="AU212">
        <v>11.290990000000001</v>
      </c>
      <c r="AV212">
        <v>4.7200999999999998E-5</v>
      </c>
      <c r="AW212">
        <v>13.7121</v>
      </c>
      <c r="AX212">
        <v>1.56701</v>
      </c>
    </row>
    <row r="213" spans="1:50" x14ac:dyDescent="0.35">
      <c r="A213" s="75">
        <v>24320</v>
      </c>
      <c r="B213">
        <v>19.980540000000001</v>
      </c>
      <c r="C213">
        <v>16.952279999999998</v>
      </c>
      <c r="E213">
        <v>13.905709999999999</v>
      </c>
      <c r="F213">
        <v>30.146920000000001</v>
      </c>
      <c r="L213">
        <v>27.204190000000001</v>
      </c>
      <c r="O213">
        <v>4.0207459999999999</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3.117588</v>
      </c>
      <c r="AH213">
        <v>17.91527</v>
      </c>
      <c r="AK213">
        <v>19.294840000000001</v>
      </c>
      <c r="AL213">
        <v>10.535690000000001</v>
      </c>
      <c r="AP213">
        <v>1.3054479999999999</v>
      </c>
      <c r="AU213">
        <v>11.364750000000001</v>
      </c>
      <c r="AV213">
        <v>4.7524000000000001E-5</v>
      </c>
      <c r="AW213">
        <v>13.796480000000001</v>
      </c>
      <c r="AX213">
        <v>1.571526</v>
      </c>
    </row>
    <row r="214" spans="1:50" x14ac:dyDescent="0.35">
      <c r="A214" s="75">
        <v>24351</v>
      </c>
      <c r="B214">
        <v>20.020299999999999</v>
      </c>
      <c r="C214">
        <v>17.021470000000001</v>
      </c>
      <c r="E214">
        <v>13.905709999999999</v>
      </c>
      <c r="F214">
        <v>30.173259999999999</v>
      </c>
      <c r="L214">
        <v>27.204190000000001</v>
      </c>
      <c r="O214">
        <v>4.0082310000000003</v>
      </c>
      <c r="R214">
        <v>10.140750000000001</v>
      </c>
      <c r="S214">
        <v>12.23344</v>
      </c>
      <c r="V214">
        <v>7.026103</v>
      </c>
      <c r="W214">
        <v>1.2748200000000001</v>
      </c>
      <c r="Z214">
        <v>2.6259169999999998</v>
      </c>
      <c r="AB214">
        <v>6.8017209999999995E-2</v>
      </c>
      <c r="AD214">
        <v>5.0201460000000004</v>
      </c>
      <c r="AE214">
        <v>25.775379999999998</v>
      </c>
      <c r="AF214">
        <v>3.1755059999999999</v>
      </c>
      <c r="AH214">
        <v>17.96744</v>
      </c>
      <c r="AK214">
        <v>19.329789999999999</v>
      </c>
      <c r="AL214">
        <v>10.535690000000001</v>
      </c>
      <c r="AP214">
        <v>1.3291470000000001</v>
      </c>
      <c r="AU214">
        <v>11.391019999999999</v>
      </c>
      <c r="AV214">
        <v>4.7848E-5</v>
      </c>
      <c r="AW214">
        <v>13.796480000000001</v>
      </c>
      <c r="AX214">
        <v>1.5941050000000001</v>
      </c>
    </row>
    <row r="215" spans="1:50" x14ac:dyDescent="0.35">
      <c r="A215" s="75">
        <v>24381</v>
      </c>
      <c r="B215">
        <v>20.119710000000001</v>
      </c>
      <c r="C215">
        <v>17.0763</v>
      </c>
      <c r="E215">
        <v>13.905709999999999</v>
      </c>
      <c r="F215">
        <v>30.24</v>
      </c>
      <c r="L215">
        <v>27.26943</v>
      </c>
      <c r="O215">
        <v>4.032718</v>
      </c>
      <c r="R215">
        <v>10.140750000000001</v>
      </c>
      <c r="S215">
        <v>12.25479</v>
      </c>
      <c r="V215">
        <v>7.0441029999999998</v>
      </c>
      <c r="W215">
        <v>1.2748200000000001</v>
      </c>
      <c r="Z215">
        <v>2.640485</v>
      </c>
      <c r="AB215">
        <v>6.8017209999999995E-2</v>
      </c>
      <c r="AD215">
        <v>5.0268309999999996</v>
      </c>
      <c r="AE215">
        <v>25.946079999999998</v>
      </c>
      <c r="AF215">
        <v>3.2580559999999998</v>
      </c>
      <c r="AH215">
        <v>18.012650000000001</v>
      </c>
      <c r="AK215">
        <v>19.329789999999999</v>
      </c>
      <c r="AL215">
        <v>10.60737</v>
      </c>
      <c r="AP215">
        <v>1.353834</v>
      </c>
      <c r="AU215">
        <v>11.434049999999999</v>
      </c>
      <c r="AV215">
        <v>4.8009000000000001E-5</v>
      </c>
      <c r="AW215">
        <v>13.88086</v>
      </c>
      <c r="AX215">
        <v>1.5986210000000001</v>
      </c>
    </row>
    <row r="216" spans="1:50" x14ac:dyDescent="0.35">
      <c r="A216" s="75">
        <v>24412</v>
      </c>
      <c r="B216">
        <v>20.21912</v>
      </c>
      <c r="C216">
        <v>17.086749999999999</v>
      </c>
      <c r="E216">
        <v>13.905709999999999</v>
      </c>
      <c r="F216">
        <v>30.60089</v>
      </c>
      <c r="L216">
        <v>27.530380000000001</v>
      </c>
      <c r="O216">
        <v>4.102913</v>
      </c>
      <c r="R216">
        <v>10.20974</v>
      </c>
      <c r="S216">
        <v>12.286809999999999</v>
      </c>
      <c r="V216">
        <v>7.0861029999999996</v>
      </c>
      <c r="W216">
        <v>1.296427</v>
      </c>
      <c r="Z216">
        <v>2.6696209999999998</v>
      </c>
      <c r="AA216">
        <v>6.2483820000000003</v>
      </c>
      <c r="AB216">
        <v>6.6986649999999995E-2</v>
      </c>
      <c r="AD216">
        <v>5.0569119999999996</v>
      </c>
      <c r="AE216">
        <v>25.750990000000002</v>
      </c>
      <c r="AF216">
        <v>3.1755059999999999</v>
      </c>
      <c r="AH216">
        <v>18.036989999999999</v>
      </c>
      <c r="AK216">
        <v>19.347270000000002</v>
      </c>
      <c r="AL216">
        <v>10.60737</v>
      </c>
      <c r="AP216">
        <v>1.3508720000000001</v>
      </c>
      <c r="AU216">
        <v>11.47317</v>
      </c>
      <c r="AV216">
        <v>4.8979E-5</v>
      </c>
      <c r="AW216">
        <v>13.88086</v>
      </c>
      <c r="AX216">
        <v>1.5986210000000001</v>
      </c>
    </row>
    <row r="217" spans="1:50" x14ac:dyDescent="0.35">
      <c r="A217" s="75">
        <v>24442</v>
      </c>
      <c r="B217">
        <v>20.19923</v>
      </c>
      <c r="C217">
        <v>17.127220000000001</v>
      </c>
      <c r="E217">
        <v>13.984719999999999</v>
      </c>
      <c r="F217">
        <v>30.747520000000002</v>
      </c>
      <c r="L217">
        <v>27.59562</v>
      </c>
      <c r="O217">
        <v>4.1295770000000003</v>
      </c>
      <c r="R217">
        <v>10.27872</v>
      </c>
      <c r="S217">
        <v>12.31884</v>
      </c>
      <c r="V217">
        <v>7.0981040000000002</v>
      </c>
      <c r="W217">
        <v>1.296427</v>
      </c>
      <c r="Z217">
        <v>2.7096840000000002</v>
      </c>
      <c r="AB217">
        <v>6.6986649999999995E-2</v>
      </c>
      <c r="AD217">
        <v>5.0936769999999996</v>
      </c>
      <c r="AE217">
        <v>25.99485</v>
      </c>
      <c r="AF217">
        <v>3.178169</v>
      </c>
      <c r="AH217">
        <v>18.075240000000001</v>
      </c>
      <c r="AK217">
        <v>19.347270000000002</v>
      </c>
      <c r="AL217">
        <v>10.60737</v>
      </c>
      <c r="AP217">
        <v>1.3380350000000001</v>
      </c>
      <c r="AU217">
        <v>11.484349999999999</v>
      </c>
      <c r="AV217">
        <v>5.0596000000000001E-5</v>
      </c>
      <c r="AW217">
        <v>13.88086</v>
      </c>
      <c r="AX217">
        <v>1.603137</v>
      </c>
    </row>
    <row r="218" spans="1:50" x14ac:dyDescent="0.35">
      <c r="A218" s="75">
        <v>24473</v>
      </c>
      <c r="B218">
        <v>20.537210000000002</v>
      </c>
      <c r="C218">
        <v>17.158550000000002</v>
      </c>
      <c r="E218">
        <v>13.984719999999999</v>
      </c>
      <c r="F218">
        <v>30.841480000000001</v>
      </c>
      <c r="L218">
        <v>27.66086</v>
      </c>
      <c r="M218">
        <v>10.872590000000001</v>
      </c>
      <c r="O218">
        <v>4.1317529999999998</v>
      </c>
      <c r="R218">
        <v>10.347709999999999</v>
      </c>
      <c r="S218">
        <v>12.372210000000001</v>
      </c>
      <c r="V218">
        <v>7.1101039999999998</v>
      </c>
      <c r="W218">
        <v>1.3180339999999999</v>
      </c>
      <c r="Z218">
        <v>2.7096840000000002</v>
      </c>
      <c r="AB218">
        <v>6.6986649999999995E-2</v>
      </c>
      <c r="AD218">
        <v>5.1425099999999997</v>
      </c>
      <c r="AE218">
        <v>26.287469999999999</v>
      </c>
      <c r="AF218">
        <v>3.1948120000000002</v>
      </c>
      <c r="AH218">
        <v>18.134360000000001</v>
      </c>
      <c r="AK218">
        <v>19.45213</v>
      </c>
      <c r="AL218">
        <v>10.679040000000001</v>
      </c>
      <c r="AP218">
        <v>1.3459350000000001</v>
      </c>
      <c r="AU218">
        <v>11.576000000000001</v>
      </c>
      <c r="AV218">
        <v>5.2697E-5</v>
      </c>
      <c r="AW218">
        <v>13.88086</v>
      </c>
      <c r="AX218">
        <v>1.607653</v>
      </c>
    </row>
    <row r="219" spans="1:50" x14ac:dyDescent="0.35">
      <c r="A219" s="75">
        <v>24504</v>
      </c>
      <c r="B219">
        <v>20.517330000000001</v>
      </c>
      <c r="C219">
        <v>17.197489999999998</v>
      </c>
      <c r="E219">
        <v>13.984719999999999</v>
      </c>
      <c r="F219">
        <v>30.774740000000001</v>
      </c>
      <c r="L219">
        <v>27.66086</v>
      </c>
      <c r="M219">
        <v>10.919370000000001</v>
      </c>
      <c r="O219">
        <v>4.1638590000000004</v>
      </c>
      <c r="R219">
        <v>10.347709999999999</v>
      </c>
      <c r="S219">
        <v>12.38288</v>
      </c>
      <c r="V219">
        <v>7.116104</v>
      </c>
      <c r="W219">
        <v>1.296427</v>
      </c>
      <c r="Z219">
        <v>2.7242519999999999</v>
      </c>
      <c r="AA219">
        <v>6.256691</v>
      </c>
      <c r="AB219">
        <v>6.6986649999999995E-2</v>
      </c>
      <c r="AD219">
        <v>5.1575610000000003</v>
      </c>
      <c r="AE219">
        <v>26.409400000000002</v>
      </c>
      <c r="AF219">
        <v>3.2414130000000001</v>
      </c>
      <c r="AH219">
        <v>18.127410000000001</v>
      </c>
      <c r="AK219">
        <v>19.591950000000001</v>
      </c>
      <c r="AL219">
        <v>10.679040000000001</v>
      </c>
      <c r="AP219">
        <v>1.362722</v>
      </c>
      <c r="AU219">
        <v>11.66038</v>
      </c>
      <c r="AV219">
        <v>5.3667E-5</v>
      </c>
      <c r="AW219">
        <v>13.88086</v>
      </c>
      <c r="AX219">
        <v>1.607653</v>
      </c>
    </row>
    <row r="220" spans="1:50" x14ac:dyDescent="0.35">
      <c r="A220" s="75">
        <v>24532</v>
      </c>
      <c r="B220">
        <v>20.457689999999999</v>
      </c>
      <c r="C220">
        <v>17.248290000000001</v>
      </c>
      <c r="E220">
        <v>14.06373</v>
      </c>
      <c r="F220">
        <v>30.774740000000001</v>
      </c>
      <c r="L220">
        <v>27.726099999999999</v>
      </c>
      <c r="M220">
        <v>10.94744</v>
      </c>
      <c r="O220">
        <v>4.1812719999999999</v>
      </c>
      <c r="R220">
        <v>10.347709999999999</v>
      </c>
      <c r="S220">
        <v>12.414910000000001</v>
      </c>
      <c r="V220">
        <v>7.116104</v>
      </c>
      <c r="W220">
        <v>1.3180339999999999</v>
      </c>
      <c r="Z220">
        <v>2.7497470000000002</v>
      </c>
      <c r="AB220">
        <v>6.6986649999999995E-2</v>
      </c>
      <c r="AD220">
        <v>5.1675950000000004</v>
      </c>
      <c r="AE220">
        <v>26.458169999999999</v>
      </c>
      <c r="AF220">
        <v>3.286016</v>
      </c>
      <c r="AH220">
        <v>18.14828</v>
      </c>
      <c r="AK220">
        <v>19.67934</v>
      </c>
      <c r="AL220">
        <v>10.75071</v>
      </c>
      <c r="AP220">
        <v>1.383459</v>
      </c>
      <c r="AU220">
        <v>11.738619999999999</v>
      </c>
      <c r="AV220">
        <v>5.4151999999999999E-5</v>
      </c>
      <c r="AW220">
        <v>13.92305</v>
      </c>
      <c r="AX220">
        <v>1.6166849999999999</v>
      </c>
    </row>
    <row r="221" spans="1:50" x14ac:dyDescent="0.35">
      <c r="A221" s="75">
        <v>24563</v>
      </c>
      <c r="B221">
        <v>20.47757</v>
      </c>
      <c r="C221">
        <v>17.305859999999999</v>
      </c>
      <c r="E221">
        <v>14.14274</v>
      </c>
      <c r="F221">
        <v>30.801089999999999</v>
      </c>
      <c r="L221">
        <v>27.726099999999999</v>
      </c>
      <c r="M221">
        <v>11.003579999999999</v>
      </c>
      <c r="O221">
        <v>4.2394949999999998</v>
      </c>
      <c r="R221">
        <v>10.347709999999999</v>
      </c>
      <c r="S221">
        <v>12.42558</v>
      </c>
      <c r="V221">
        <v>7.1701050000000004</v>
      </c>
      <c r="W221">
        <v>1.3180339999999999</v>
      </c>
      <c r="Z221">
        <v>2.778883</v>
      </c>
      <c r="AB221">
        <v>6.6986649999999995E-2</v>
      </c>
      <c r="AD221">
        <v>5.172612</v>
      </c>
      <c r="AE221">
        <v>26.531330000000001</v>
      </c>
      <c r="AF221">
        <v>3.3738920000000001</v>
      </c>
      <c r="AH221">
        <v>18.21087</v>
      </c>
      <c r="AK221">
        <v>19.801680000000001</v>
      </c>
      <c r="AL221">
        <v>10.75071</v>
      </c>
      <c r="AP221">
        <v>1.3716090000000001</v>
      </c>
      <c r="AU221">
        <v>11.744210000000001</v>
      </c>
      <c r="AV221">
        <v>5.4314000000000002E-5</v>
      </c>
      <c r="AW221">
        <v>13.96524</v>
      </c>
      <c r="AX221">
        <v>1.6212</v>
      </c>
    </row>
    <row r="222" spans="1:50" x14ac:dyDescent="0.35">
      <c r="A222" s="75">
        <v>24593</v>
      </c>
      <c r="B222">
        <v>20.576979999999999</v>
      </c>
      <c r="C222">
        <v>17.358350000000002</v>
      </c>
      <c r="E222">
        <v>14.22175</v>
      </c>
      <c r="F222">
        <v>31.135629999999999</v>
      </c>
      <c r="L222">
        <v>27.791329999999999</v>
      </c>
      <c r="M222">
        <v>11.04101</v>
      </c>
      <c r="O222">
        <v>4.2541880000000001</v>
      </c>
      <c r="R222">
        <v>10.453290000000001</v>
      </c>
      <c r="S222">
        <v>12.44693</v>
      </c>
      <c r="V222">
        <v>7.1641050000000002</v>
      </c>
      <c r="W222">
        <v>1.3180339999999999</v>
      </c>
      <c r="Z222">
        <v>2.8335129999999999</v>
      </c>
      <c r="AA222">
        <v>6.3647080000000003</v>
      </c>
      <c r="AB222">
        <v>6.6986649999999995E-2</v>
      </c>
      <c r="AD222">
        <v>5.1876639999999998</v>
      </c>
      <c r="AE222">
        <v>26.36063</v>
      </c>
      <c r="AF222">
        <v>3.4065129999999999</v>
      </c>
      <c r="AH222">
        <v>18.261299999999999</v>
      </c>
      <c r="AK222">
        <v>19.801680000000001</v>
      </c>
      <c r="AL222">
        <v>10.822380000000001</v>
      </c>
      <c r="AP222">
        <v>1.3508720000000001</v>
      </c>
      <c r="AU222">
        <v>11.769360000000001</v>
      </c>
      <c r="AV222">
        <v>5.5284000000000001E-5</v>
      </c>
      <c r="AW222">
        <v>14.007429999999999</v>
      </c>
      <c r="AX222">
        <v>1.6257159999999999</v>
      </c>
    </row>
    <row r="223" spans="1:50" x14ac:dyDescent="0.35">
      <c r="A223" s="75">
        <v>24624</v>
      </c>
      <c r="B223">
        <v>20.537210000000002</v>
      </c>
      <c r="C223">
        <v>17.390519999999999</v>
      </c>
      <c r="E223">
        <v>14.30076</v>
      </c>
      <c r="F223">
        <v>31.348130000000001</v>
      </c>
      <c r="L223">
        <v>27.791329999999999</v>
      </c>
      <c r="M223">
        <v>11.125220000000001</v>
      </c>
      <c r="O223">
        <v>4.2171849999999997</v>
      </c>
      <c r="R223">
        <v>10.453290000000001</v>
      </c>
      <c r="S223">
        <v>12.44693</v>
      </c>
      <c r="V223">
        <v>7.1941050000000004</v>
      </c>
      <c r="W223">
        <v>1.296427</v>
      </c>
      <c r="Z223">
        <v>2.9027129999999999</v>
      </c>
      <c r="AB223">
        <v>6.6986649999999995E-2</v>
      </c>
      <c r="AD223">
        <v>5.2027150000000004</v>
      </c>
      <c r="AE223">
        <v>26.214320000000001</v>
      </c>
      <c r="AF223">
        <v>3.3685659999999999</v>
      </c>
      <c r="AH223">
        <v>18.223050000000001</v>
      </c>
      <c r="AK223">
        <v>19.81915</v>
      </c>
      <c r="AL223">
        <v>10.965719999999999</v>
      </c>
      <c r="AP223">
        <v>1.355809</v>
      </c>
      <c r="AU223">
        <v>11.79115</v>
      </c>
      <c r="AV223">
        <v>5.5445000000000002E-5</v>
      </c>
      <c r="AW223">
        <v>14.049630000000001</v>
      </c>
      <c r="AX223">
        <v>1.6302319999999999</v>
      </c>
    </row>
    <row r="224" spans="1:50" x14ac:dyDescent="0.35">
      <c r="A224" s="75">
        <v>24654</v>
      </c>
      <c r="B224">
        <v>20.676380000000002</v>
      </c>
      <c r="C224">
        <v>17.410830000000001</v>
      </c>
      <c r="E224">
        <v>14.379770000000001</v>
      </c>
      <c r="F224">
        <v>31.458770000000001</v>
      </c>
      <c r="L224">
        <v>27.791329999999999</v>
      </c>
      <c r="M224">
        <v>11.761480000000001</v>
      </c>
      <c r="O224">
        <v>4.2199059999999999</v>
      </c>
      <c r="R224">
        <v>10.453290000000001</v>
      </c>
      <c r="S224">
        <v>12.478960000000001</v>
      </c>
      <c r="V224">
        <v>7.1521039999999996</v>
      </c>
      <c r="W224">
        <v>1.296427</v>
      </c>
      <c r="Z224">
        <v>2.928207</v>
      </c>
      <c r="AB224">
        <v>6.6986649999999995E-2</v>
      </c>
      <c r="AD224">
        <v>5.2127489999999996</v>
      </c>
      <c r="AE224">
        <v>26.18993</v>
      </c>
      <c r="AF224">
        <v>3.3738920000000001</v>
      </c>
      <c r="AH224">
        <v>18.419530000000002</v>
      </c>
      <c r="AK224">
        <v>19.889060000000001</v>
      </c>
      <c r="AL224">
        <v>11.03739</v>
      </c>
      <c r="AP224">
        <v>1.3686469999999999</v>
      </c>
      <c r="AU224">
        <v>11.844250000000001</v>
      </c>
      <c r="AV224">
        <v>5.5445000000000002E-5</v>
      </c>
      <c r="AW224">
        <v>14.09182</v>
      </c>
      <c r="AX224">
        <v>1.6392640000000001</v>
      </c>
    </row>
    <row r="225" spans="1:50" x14ac:dyDescent="0.35">
      <c r="A225" s="75">
        <v>24685</v>
      </c>
      <c r="B225">
        <v>20.716139999999999</v>
      </c>
      <c r="C225">
        <v>17.478560000000002</v>
      </c>
      <c r="E225">
        <v>14.458780000000001</v>
      </c>
      <c r="F225">
        <v>31.579940000000001</v>
      </c>
      <c r="L225">
        <v>27.66086</v>
      </c>
      <c r="M225">
        <v>11.798909999999999</v>
      </c>
      <c r="O225">
        <v>4.2813949999999998</v>
      </c>
      <c r="R225">
        <v>10.55888</v>
      </c>
      <c r="S225">
        <v>12.521660000000001</v>
      </c>
      <c r="V225">
        <v>7.1341039999999998</v>
      </c>
      <c r="W225">
        <v>1.2748200000000001</v>
      </c>
      <c r="Z225">
        <v>2.9573429999999998</v>
      </c>
      <c r="AA225">
        <v>6.368862</v>
      </c>
      <c r="AB225">
        <v>6.6986649999999995E-2</v>
      </c>
      <c r="AD225">
        <v>5.2227829999999997</v>
      </c>
      <c r="AE225">
        <v>26.409400000000002</v>
      </c>
      <c r="AF225">
        <v>3.4151669999999998</v>
      </c>
      <c r="AH225">
        <v>18.42475</v>
      </c>
      <c r="AK225">
        <v>20.04636</v>
      </c>
      <c r="AL225">
        <v>11.03739</v>
      </c>
      <c r="AP225">
        <v>1.397284</v>
      </c>
      <c r="AU225">
        <v>11.86772</v>
      </c>
      <c r="AV225">
        <v>5.4960000000000002E-5</v>
      </c>
      <c r="AW225">
        <v>14.13401</v>
      </c>
      <c r="AX225">
        <v>1.64378</v>
      </c>
    </row>
    <row r="226" spans="1:50" x14ac:dyDescent="0.35">
      <c r="A226" s="75">
        <v>24716</v>
      </c>
      <c r="B226">
        <v>20.855309999999999</v>
      </c>
      <c r="C226">
        <v>17.57507</v>
      </c>
      <c r="E226">
        <v>14.458780000000001</v>
      </c>
      <c r="F226">
        <v>31.458770000000001</v>
      </c>
      <c r="L226">
        <v>27.66086</v>
      </c>
      <c r="M226">
        <v>11.826980000000001</v>
      </c>
      <c r="O226">
        <v>4.2933669999999999</v>
      </c>
      <c r="R226">
        <v>10.66447</v>
      </c>
      <c r="S226">
        <v>12.564360000000001</v>
      </c>
      <c r="V226">
        <v>7.1281040000000004</v>
      </c>
      <c r="W226">
        <v>1.2748200000000001</v>
      </c>
      <c r="Z226">
        <v>2.9427750000000001</v>
      </c>
      <c r="AB226">
        <v>6.6986649999999995E-2</v>
      </c>
      <c r="AD226">
        <v>5.2478689999999997</v>
      </c>
      <c r="AE226">
        <v>26.82395</v>
      </c>
      <c r="AF226">
        <v>3.469757</v>
      </c>
      <c r="AH226">
        <v>18.544730000000001</v>
      </c>
      <c r="AK226">
        <v>20.11627</v>
      </c>
      <c r="AL226">
        <v>11.03739</v>
      </c>
      <c r="AP226">
        <v>1.42987</v>
      </c>
      <c r="AU226">
        <v>11.905720000000001</v>
      </c>
      <c r="AV226">
        <v>5.5121999999999998E-5</v>
      </c>
      <c r="AW226">
        <v>14.1762</v>
      </c>
      <c r="AX226">
        <v>1.64378</v>
      </c>
    </row>
    <row r="227" spans="1:50" x14ac:dyDescent="0.35">
      <c r="A227" s="75">
        <v>24746</v>
      </c>
      <c r="B227">
        <v>20.89507</v>
      </c>
      <c r="C227">
        <v>17.61571</v>
      </c>
      <c r="E227">
        <v>14.458780000000001</v>
      </c>
      <c r="F227">
        <v>31.42803</v>
      </c>
      <c r="L227">
        <v>27.726099999999999</v>
      </c>
      <c r="M227">
        <v>11.873760000000001</v>
      </c>
      <c r="O227">
        <v>4.3107800000000003</v>
      </c>
      <c r="R227">
        <v>10.66447</v>
      </c>
      <c r="S227">
        <v>12.628410000000001</v>
      </c>
      <c r="V227">
        <v>7.182105</v>
      </c>
      <c r="W227">
        <v>1.2748200000000001</v>
      </c>
      <c r="Z227">
        <v>2.9828380000000001</v>
      </c>
      <c r="AB227">
        <v>6.6986649999999995E-2</v>
      </c>
      <c r="AD227">
        <v>5.2428509999999999</v>
      </c>
      <c r="AE227">
        <v>27.287269999999999</v>
      </c>
      <c r="AF227">
        <v>3.5250119999999998</v>
      </c>
      <c r="AH227">
        <v>18.56212</v>
      </c>
      <c r="AK227">
        <v>20.151219999999999</v>
      </c>
      <c r="AL227">
        <v>11.03739</v>
      </c>
      <c r="AP227">
        <v>1.438758</v>
      </c>
      <c r="AU227">
        <v>11.89287</v>
      </c>
      <c r="AV227">
        <v>5.5767999999999999E-5</v>
      </c>
      <c r="AW227">
        <v>14.218389999999999</v>
      </c>
      <c r="AX227">
        <v>1.6392640000000001</v>
      </c>
    </row>
    <row r="228" spans="1:50" x14ac:dyDescent="0.35">
      <c r="A228" s="75">
        <v>24777</v>
      </c>
      <c r="B228">
        <v>20.89507</v>
      </c>
      <c r="C228">
        <v>17.664809999999999</v>
      </c>
      <c r="E228">
        <v>14.458780000000001</v>
      </c>
      <c r="F228">
        <v>31.730090000000001</v>
      </c>
      <c r="L228">
        <v>27.791329999999999</v>
      </c>
      <c r="M228">
        <v>11.957979999999999</v>
      </c>
      <c r="O228">
        <v>4.4005650000000003</v>
      </c>
      <c r="R228">
        <v>10.98124</v>
      </c>
      <c r="S228">
        <v>12.72448</v>
      </c>
      <c r="V228">
        <v>7.2241049999999998</v>
      </c>
      <c r="W228">
        <v>1.2748200000000001</v>
      </c>
      <c r="Z228">
        <v>2.971911</v>
      </c>
      <c r="AA228">
        <v>6.4104080000000003</v>
      </c>
      <c r="AB228">
        <v>7.0765380000000003E-2</v>
      </c>
      <c r="AD228">
        <v>5.2478689999999997</v>
      </c>
      <c r="AE228">
        <v>27.262889999999999</v>
      </c>
      <c r="AF228">
        <v>3.5469810000000002</v>
      </c>
      <c r="AH228">
        <v>18.600370000000002</v>
      </c>
      <c r="AK228">
        <v>20.13374</v>
      </c>
      <c r="AL228">
        <v>11.03739</v>
      </c>
      <c r="AP228">
        <v>1.4565319999999999</v>
      </c>
      <c r="AU228">
        <v>11.86492</v>
      </c>
      <c r="AV228">
        <v>5.6737999999999998E-5</v>
      </c>
      <c r="AW228">
        <v>14.260579999999999</v>
      </c>
      <c r="AX228">
        <v>1.6392640000000001</v>
      </c>
    </row>
    <row r="229" spans="1:50" x14ac:dyDescent="0.35">
      <c r="A229" s="75">
        <v>24807</v>
      </c>
      <c r="B229">
        <v>20.934840000000001</v>
      </c>
      <c r="C229">
        <v>17.683430000000001</v>
      </c>
      <c r="E229">
        <v>14.537789999999999</v>
      </c>
      <c r="F229">
        <v>31.820530000000002</v>
      </c>
      <c r="L229">
        <v>27.791329999999999</v>
      </c>
      <c r="M229">
        <v>11.97669</v>
      </c>
      <c r="O229">
        <v>4.4005650000000003</v>
      </c>
      <c r="R229">
        <v>11.086830000000001</v>
      </c>
      <c r="S229">
        <v>12.73516</v>
      </c>
      <c r="V229">
        <v>7.272106</v>
      </c>
      <c r="W229">
        <v>1.2748200000000001</v>
      </c>
      <c r="Z229">
        <v>2.9427750000000001</v>
      </c>
      <c r="AB229">
        <v>7.1795949999999997E-2</v>
      </c>
      <c r="AD229">
        <v>5.2478689999999997</v>
      </c>
      <c r="AE229">
        <v>27.45797</v>
      </c>
      <c r="AF229">
        <v>3.5443180000000001</v>
      </c>
      <c r="AH229">
        <v>18.626460000000002</v>
      </c>
      <c r="AK229">
        <v>20.13374</v>
      </c>
      <c r="AL229">
        <v>11.109069999999999</v>
      </c>
      <c r="AP229">
        <v>1.4634450000000001</v>
      </c>
      <c r="AU229">
        <v>11.874420000000001</v>
      </c>
      <c r="AV229">
        <v>5.6900000000000001E-5</v>
      </c>
      <c r="AW229">
        <v>14.302770000000001</v>
      </c>
      <c r="AX229">
        <v>1.6392640000000001</v>
      </c>
    </row>
    <row r="230" spans="1:50" x14ac:dyDescent="0.35">
      <c r="A230" s="75">
        <v>24838</v>
      </c>
      <c r="B230">
        <v>20.954719999999998</v>
      </c>
      <c r="C230">
        <v>17.722380000000001</v>
      </c>
      <c r="E230">
        <v>14.6168</v>
      </c>
      <c r="F230">
        <v>31.881119999999999</v>
      </c>
      <c r="L230">
        <v>28.052289999999999</v>
      </c>
      <c r="M230">
        <v>12.004759999999999</v>
      </c>
      <c r="O230">
        <v>4.413081</v>
      </c>
      <c r="R230">
        <v>11.22409</v>
      </c>
      <c r="S230">
        <v>12.86326</v>
      </c>
      <c r="V230">
        <v>7.2961070000000001</v>
      </c>
      <c r="W230">
        <v>1.296427</v>
      </c>
      <c r="Y230">
        <v>0.5623475</v>
      </c>
      <c r="Z230">
        <v>3.0265420000000001</v>
      </c>
      <c r="AB230">
        <v>7.4358610000000006E-2</v>
      </c>
      <c r="AD230">
        <v>5.2579029999999998</v>
      </c>
      <c r="AE230">
        <v>27.677440000000001</v>
      </c>
      <c r="AF230">
        <v>3.6128870000000002</v>
      </c>
      <c r="AH230">
        <v>18.645579999999999</v>
      </c>
      <c r="AK230">
        <v>20.238610000000001</v>
      </c>
      <c r="AL230">
        <v>11.18074</v>
      </c>
      <c r="AP230">
        <v>1.4654199999999999</v>
      </c>
      <c r="AU230">
        <v>11.93031</v>
      </c>
      <c r="AV230">
        <v>5.7385E-5</v>
      </c>
      <c r="AW230">
        <v>14.38715</v>
      </c>
      <c r="AX230">
        <v>1.6392640000000001</v>
      </c>
    </row>
    <row r="231" spans="1:50" x14ac:dyDescent="0.35">
      <c r="A231" s="75">
        <v>24869</v>
      </c>
      <c r="B231">
        <v>21.01436</v>
      </c>
      <c r="C231">
        <v>17.73254</v>
      </c>
      <c r="E231">
        <v>14.6168</v>
      </c>
      <c r="F231">
        <v>31.94171</v>
      </c>
      <c r="L231">
        <v>28.117529999999999</v>
      </c>
      <c r="M231">
        <v>12.032830000000001</v>
      </c>
      <c r="O231">
        <v>4.413081</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3.6708050000000001</v>
      </c>
      <c r="AH231">
        <v>18.74296</v>
      </c>
      <c r="AK231">
        <v>20.360949999999999</v>
      </c>
      <c r="AL231">
        <v>11.18074</v>
      </c>
      <c r="AP231">
        <v>1.4703569999999999</v>
      </c>
      <c r="AU231">
        <v>11.975580000000001</v>
      </c>
      <c r="AV231">
        <v>5.7512000000000001E-5</v>
      </c>
      <c r="AW231">
        <v>14.429349999999999</v>
      </c>
      <c r="AX231">
        <v>1.64378</v>
      </c>
    </row>
    <row r="232" spans="1:50" x14ac:dyDescent="0.35">
      <c r="A232" s="75">
        <v>24898</v>
      </c>
      <c r="B232">
        <v>21.093889999999998</v>
      </c>
      <c r="C232">
        <v>17.749469999999999</v>
      </c>
      <c r="E232">
        <v>14.69581</v>
      </c>
      <c r="F232">
        <v>31.820530000000002</v>
      </c>
      <c r="L232">
        <v>28.117529999999999</v>
      </c>
      <c r="M232">
        <v>12.098330000000001</v>
      </c>
      <c r="O232">
        <v>4.4582449999999998</v>
      </c>
      <c r="R232">
        <v>11.435269999999999</v>
      </c>
      <c r="S232">
        <v>12.88461</v>
      </c>
      <c r="V232">
        <v>7.3561079999999999</v>
      </c>
      <c r="W232">
        <v>1.296427</v>
      </c>
      <c r="Y232">
        <v>0.63732710000000004</v>
      </c>
      <c r="Z232">
        <v>2.928207</v>
      </c>
      <c r="AB232">
        <v>7.6589379999999999E-2</v>
      </c>
      <c r="AD232">
        <v>5.2629200000000003</v>
      </c>
      <c r="AE232">
        <v>27.848140000000001</v>
      </c>
      <c r="AF232">
        <v>3.7067540000000001</v>
      </c>
      <c r="AH232">
        <v>18.762080000000001</v>
      </c>
      <c r="AK232">
        <v>20.448329999999999</v>
      </c>
      <c r="AL232">
        <v>11.18074</v>
      </c>
      <c r="AP232">
        <v>1.4762820000000001</v>
      </c>
      <c r="AU232">
        <v>11.99066</v>
      </c>
      <c r="AV232">
        <v>5.7173000000000003E-5</v>
      </c>
      <c r="AW232">
        <v>14.471539999999999</v>
      </c>
      <c r="AX232">
        <v>1.648296</v>
      </c>
    </row>
    <row r="233" spans="1:50" x14ac:dyDescent="0.35">
      <c r="A233" s="75">
        <v>24929</v>
      </c>
      <c r="B233">
        <v>21.093889999999998</v>
      </c>
      <c r="C233">
        <v>17.786719999999999</v>
      </c>
      <c r="E233">
        <v>14.69581</v>
      </c>
      <c r="F233">
        <v>31.790679999999998</v>
      </c>
      <c r="L233">
        <v>28.117529999999999</v>
      </c>
      <c r="M233">
        <v>12.322889999999999</v>
      </c>
      <c r="O233">
        <v>4.4974239999999996</v>
      </c>
      <c r="R233">
        <v>11.488060000000001</v>
      </c>
      <c r="S233">
        <v>12.91663</v>
      </c>
      <c r="V233">
        <v>7.4881099999999998</v>
      </c>
      <c r="W233">
        <v>1.296427</v>
      </c>
      <c r="Y233">
        <v>0.59983730000000002</v>
      </c>
      <c r="Z233">
        <v>2.9427750000000001</v>
      </c>
      <c r="AB233">
        <v>7.6589379999999999E-2</v>
      </c>
      <c r="AD233">
        <v>5.2729540000000004</v>
      </c>
      <c r="AE233">
        <v>27.921299999999999</v>
      </c>
      <c r="AF233">
        <v>3.7040920000000002</v>
      </c>
      <c r="AH233">
        <v>18.80208</v>
      </c>
      <c r="AK233">
        <v>20.535720000000001</v>
      </c>
      <c r="AL233">
        <v>11.252409999999999</v>
      </c>
      <c r="AP233">
        <v>1.4693700000000001</v>
      </c>
      <c r="AU233">
        <v>11.99905</v>
      </c>
      <c r="AV233">
        <v>5.7385E-5</v>
      </c>
      <c r="AW233">
        <v>14.513730000000001</v>
      </c>
      <c r="AX233">
        <v>1.6528119999999999</v>
      </c>
    </row>
    <row r="234" spans="1:50" x14ac:dyDescent="0.35">
      <c r="A234" s="75">
        <v>24959</v>
      </c>
      <c r="B234">
        <v>21.03424</v>
      </c>
      <c r="C234">
        <v>17.805340000000001</v>
      </c>
      <c r="E234">
        <v>14.69581</v>
      </c>
      <c r="F234">
        <v>31.881119999999999</v>
      </c>
      <c r="L234">
        <v>28.117529999999999</v>
      </c>
      <c r="M234">
        <v>12.416460000000001</v>
      </c>
      <c r="O234">
        <v>4.4827320000000004</v>
      </c>
      <c r="R234">
        <v>11.498620000000001</v>
      </c>
      <c r="S234">
        <v>12.95933</v>
      </c>
      <c r="V234">
        <v>7.49411</v>
      </c>
      <c r="W234">
        <v>1.296427</v>
      </c>
      <c r="Y234">
        <v>0.63107880000000005</v>
      </c>
      <c r="Z234">
        <v>2.917281</v>
      </c>
      <c r="AA234">
        <v>6.647214</v>
      </c>
      <c r="AB234">
        <v>7.6589379999999999E-2</v>
      </c>
      <c r="AD234">
        <v>5.277971</v>
      </c>
      <c r="AE234">
        <v>27.921299999999999</v>
      </c>
      <c r="AF234">
        <v>3.7120799999999998</v>
      </c>
      <c r="AH234">
        <v>18.784690000000001</v>
      </c>
      <c r="AK234">
        <v>20.5532</v>
      </c>
      <c r="AL234">
        <v>11.18074</v>
      </c>
      <c r="AP234">
        <v>1.46147</v>
      </c>
      <c r="AU234">
        <v>11.986190000000001</v>
      </c>
      <c r="AV234">
        <v>5.7555E-5</v>
      </c>
      <c r="AW234">
        <v>14.55592</v>
      </c>
      <c r="AX234">
        <v>1.6528119999999999</v>
      </c>
    </row>
    <row r="235" spans="1:50" x14ac:dyDescent="0.35">
      <c r="A235" s="75">
        <v>24990</v>
      </c>
      <c r="B235">
        <v>21.173410000000001</v>
      </c>
      <c r="C235">
        <v>17.869679999999999</v>
      </c>
      <c r="E235">
        <v>14.77482</v>
      </c>
      <c r="F235">
        <v>31.910969999999999</v>
      </c>
      <c r="L235">
        <v>28.117529999999999</v>
      </c>
      <c r="M235">
        <v>12.453889999999999</v>
      </c>
      <c r="O235">
        <v>4.4952480000000001</v>
      </c>
      <c r="R235">
        <v>11.57254</v>
      </c>
      <c r="S235">
        <v>13.00203</v>
      </c>
      <c r="V235">
        <v>7.5241100000000003</v>
      </c>
      <c r="W235">
        <v>1.296427</v>
      </c>
      <c r="Y235">
        <v>0.6498237</v>
      </c>
      <c r="Z235">
        <v>2.9427750000000001</v>
      </c>
      <c r="AB235">
        <v>7.7332960000000006E-2</v>
      </c>
      <c r="AD235">
        <v>5.2729540000000004</v>
      </c>
      <c r="AE235">
        <v>27.677440000000001</v>
      </c>
      <c r="AF235">
        <v>3.7260599999999999</v>
      </c>
      <c r="AH235">
        <v>18.80208</v>
      </c>
      <c r="AK235">
        <v>20.588149999999999</v>
      </c>
      <c r="AL235">
        <v>11.252409999999999</v>
      </c>
      <c r="AP235">
        <v>1.451595</v>
      </c>
      <c r="AU235">
        <v>11.99066</v>
      </c>
      <c r="AV235">
        <v>5.7979999999999997E-5</v>
      </c>
      <c r="AW235">
        <v>14.6403</v>
      </c>
      <c r="AX235">
        <v>1.657327</v>
      </c>
    </row>
    <row r="236" spans="1:50" x14ac:dyDescent="0.35">
      <c r="A236" s="75">
        <v>25020</v>
      </c>
      <c r="B236">
        <v>21.233049999999999</v>
      </c>
      <c r="C236">
        <v>17.903549999999999</v>
      </c>
      <c r="E236">
        <v>14.932840000000001</v>
      </c>
      <c r="F236">
        <v>31.881119999999999</v>
      </c>
      <c r="L236">
        <v>28.117529999999999</v>
      </c>
      <c r="M236">
        <v>12.44453</v>
      </c>
      <c r="O236">
        <v>4.4582449999999998</v>
      </c>
      <c r="R236">
        <v>11.60421</v>
      </c>
      <c r="S236">
        <v>13.044729999999999</v>
      </c>
      <c r="V236">
        <v>7.5301099999999996</v>
      </c>
      <c r="W236">
        <v>1.296427</v>
      </c>
      <c r="Y236">
        <v>0.68106529999999998</v>
      </c>
      <c r="Z236">
        <v>2.928207</v>
      </c>
      <c r="AB236">
        <v>7.7332960000000006E-2</v>
      </c>
      <c r="AD236">
        <v>5.2629200000000003</v>
      </c>
      <c r="AE236">
        <v>27.677440000000001</v>
      </c>
      <c r="AF236">
        <v>3.7233969999999998</v>
      </c>
      <c r="AH236">
        <v>18.836849999999998</v>
      </c>
      <c r="AK236">
        <v>20.518239999999999</v>
      </c>
      <c r="AL236">
        <v>11.32408</v>
      </c>
      <c r="AP236">
        <v>1.45357</v>
      </c>
      <c r="AU236">
        <v>12.054930000000001</v>
      </c>
      <c r="AV236">
        <v>5.8446999999999998E-5</v>
      </c>
      <c r="AW236">
        <v>14.724679999999999</v>
      </c>
      <c r="AX236">
        <v>1.6663589999999999</v>
      </c>
    </row>
    <row r="237" spans="1:50" x14ac:dyDescent="0.35">
      <c r="A237" s="75">
        <v>25051</v>
      </c>
      <c r="B237">
        <v>21.332460000000001</v>
      </c>
      <c r="C237">
        <v>17.920480000000001</v>
      </c>
      <c r="E237">
        <v>15.011850000000001</v>
      </c>
      <c r="F237">
        <v>31.97156</v>
      </c>
      <c r="L237">
        <v>28.052289999999999</v>
      </c>
      <c r="M237">
        <v>12.42582</v>
      </c>
      <c r="O237">
        <v>4.460966</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3.7480289999999998</v>
      </c>
      <c r="AH237">
        <v>18.83512</v>
      </c>
      <c r="AK237">
        <v>20.71049</v>
      </c>
      <c r="AL237">
        <v>11.32408</v>
      </c>
      <c r="AP237">
        <v>1.466407</v>
      </c>
      <c r="AU237">
        <v>12.04208</v>
      </c>
      <c r="AV237">
        <v>5.8786999999999998E-5</v>
      </c>
      <c r="AW237">
        <v>14.766870000000001</v>
      </c>
      <c r="AX237">
        <v>1.6663589999999999</v>
      </c>
    </row>
    <row r="238" spans="1:50" x14ac:dyDescent="0.35">
      <c r="A238" s="75">
        <v>25082</v>
      </c>
      <c r="B238">
        <v>21.352340000000002</v>
      </c>
      <c r="C238">
        <v>17.991589999999999</v>
      </c>
      <c r="E238">
        <v>15.011850000000001</v>
      </c>
      <c r="F238">
        <v>32.001420000000003</v>
      </c>
      <c r="L238">
        <v>28.052289999999999</v>
      </c>
      <c r="M238">
        <v>12.44453</v>
      </c>
      <c r="O238">
        <v>4.4538919999999997</v>
      </c>
      <c r="R238">
        <v>11.62533</v>
      </c>
      <c r="S238">
        <v>13.194179999999999</v>
      </c>
      <c r="V238">
        <v>7.5481100000000003</v>
      </c>
      <c r="W238">
        <v>1.296427</v>
      </c>
      <c r="Y238">
        <v>0.69981009999999999</v>
      </c>
      <c r="Z238">
        <v>3.0119739999999999</v>
      </c>
      <c r="AB238">
        <v>7.807654E-2</v>
      </c>
      <c r="AD238">
        <v>5.2679369999999999</v>
      </c>
      <c r="AE238">
        <v>28.555319999999998</v>
      </c>
      <c r="AF238">
        <v>3.7673350000000001</v>
      </c>
      <c r="AH238">
        <v>18.866420000000002</v>
      </c>
      <c r="AK238">
        <v>20.7804</v>
      </c>
      <c r="AL238">
        <v>11.32408</v>
      </c>
      <c r="AP238">
        <v>1.487144</v>
      </c>
      <c r="AU238">
        <v>12.06108</v>
      </c>
      <c r="AV238">
        <v>5.8786999999999998E-5</v>
      </c>
      <c r="AW238">
        <v>14.809060000000001</v>
      </c>
      <c r="AX238">
        <v>1.6753910000000001</v>
      </c>
    </row>
    <row r="239" spans="1:50" x14ac:dyDescent="0.35">
      <c r="A239" s="75">
        <v>25112</v>
      </c>
      <c r="B239">
        <v>21.531269999999999</v>
      </c>
      <c r="C239">
        <v>18.06101</v>
      </c>
      <c r="E239">
        <v>15.011850000000001</v>
      </c>
      <c r="F239">
        <v>32.12171</v>
      </c>
      <c r="L239">
        <v>28.117529999999999</v>
      </c>
      <c r="M239">
        <v>12.453889999999999</v>
      </c>
      <c r="O239">
        <v>4.4680400000000002</v>
      </c>
      <c r="R239">
        <v>11.678129999999999</v>
      </c>
      <c r="S239">
        <v>13.33295</v>
      </c>
      <c r="V239">
        <v>7.584111</v>
      </c>
      <c r="W239">
        <v>1.296427</v>
      </c>
      <c r="Y239">
        <v>0.69356189999999995</v>
      </c>
      <c r="Z239">
        <v>3.0265420000000001</v>
      </c>
      <c r="AB239">
        <v>8.0307299999999998E-2</v>
      </c>
      <c r="AD239">
        <v>5.2729540000000004</v>
      </c>
      <c r="AE239">
        <v>28.579699999999999</v>
      </c>
      <c r="AF239">
        <v>3.8691909999999998</v>
      </c>
      <c r="AH239">
        <v>18.95336</v>
      </c>
      <c r="AK239">
        <v>20.885259999999999</v>
      </c>
      <c r="AL239">
        <v>11.39575</v>
      </c>
      <c r="AP239">
        <v>1.493069</v>
      </c>
      <c r="AU239">
        <v>12.092930000000001</v>
      </c>
      <c r="AV239">
        <v>5.9593999999999999E-5</v>
      </c>
      <c r="AW239">
        <v>14.89345</v>
      </c>
      <c r="AX239">
        <v>1.6753910000000001</v>
      </c>
    </row>
    <row r="240" spans="1:50" x14ac:dyDescent="0.35">
      <c r="A240" s="75">
        <v>25143</v>
      </c>
      <c r="B240">
        <v>21.55115</v>
      </c>
      <c r="C240">
        <v>18.064399999999999</v>
      </c>
      <c r="E240">
        <v>15.16987</v>
      </c>
      <c r="F240">
        <v>32.423769999999998</v>
      </c>
      <c r="L240">
        <v>28.31324</v>
      </c>
      <c r="M240">
        <v>12.49131</v>
      </c>
      <c r="O240">
        <v>4.4974239999999996</v>
      </c>
      <c r="R240">
        <v>11.66757</v>
      </c>
      <c r="S240">
        <v>13.37565</v>
      </c>
      <c r="V240">
        <v>7.6021109999999998</v>
      </c>
      <c r="W240">
        <v>1.296427</v>
      </c>
      <c r="Y240">
        <v>0.84976949999999996</v>
      </c>
      <c r="Z240">
        <v>2.960985</v>
      </c>
      <c r="AA240">
        <v>6.7593860000000001</v>
      </c>
      <c r="AB240">
        <v>8.105089E-2</v>
      </c>
      <c r="AD240">
        <v>5.2829879999999996</v>
      </c>
      <c r="AE240">
        <v>28.65286</v>
      </c>
      <c r="AF240">
        <v>3.95973</v>
      </c>
      <c r="AH240">
        <v>18.981179999999998</v>
      </c>
      <c r="AK240">
        <v>20.902740000000001</v>
      </c>
      <c r="AL240">
        <v>11.39575</v>
      </c>
      <c r="AP240">
        <v>1.5256559999999999</v>
      </c>
      <c r="AU240">
        <v>12.043200000000001</v>
      </c>
      <c r="AV240">
        <v>5.9763999999999999E-5</v>
      </c>
      <c r="AW240">
        <v>14.935639999999999</v>
      </c>
      <c r="AX240">
        <v>1.679907</v>
      </c>
    </row>
    <row r="241" spans="1:50" x14ac:dyDescent="0.35">
      <c r="A241" s="75">
        <v>25173</v>
      </c>
      <c r="B241">
        <v>21.57103</v>
      </c>
      <c r="C241">
        <v>18.128740000000001</v>
      </c>
      <c r="E241">
        <v>15.16987</v>
      </c>
      <c r="F241">
        <v>32.514209999999999</v>
      </c>
      <c r="L241">
        <v>28.37848</v>
      </c>
      <c r="M241">
        <v>12.49131</v>
      </c>
      <c r="O241">
        <v>4.5273529999999997</v>
      </c>
      <c r="R241">
        <v>11.66757</v>
      </c>
      <c r="S241">
        <v>13.40767</v>
      </c>
      <c r="V241">
        <v>7.7041130000000004</v>
      </c>
      <c r="W241">
        <v>1.3180339999999999</v>
      </c>
      <c r="Y241">
        <v>0.74979660000000004</v>
      </c>
      <c r="Z241">
        <v>2.8772180000000001</v>
      </c>
      <c r="AB241">
        <v>8.4768819999999995E-2</v>
      </c>
      <c r="AD241">
        <v>5.2980390000000002</v>
      </c>
      <c r="AE241">
        <v>28.530930000000001</v>
      </c>
      <c r="AF241">
        <v>3.935098</v>
      </c>
      <c r="AH241">
        <v>19.054210000000001</v>
      </c>
      <c r="AK241">
        <v>20.972650000000002</v>
      </c>
      <c r="AL241">
        <v>11.467420000000001</v>
      </c>
      <c r="AP241">
        <v>1.521706</v>
      </c>
      <c r="AU241">
        <v>12.113049999999999</v>
      </c>
      <c r="AV241">
        <v>6.0061E-5</v>
      </c>
      <c r="AW241">
        <v>14.977830000000001</v>
      </c>
      <c r="AX241">
        <v>1.684423</v>
      </c>
    </row>
    <row r="242" spans="1:50" x14ac:dyDescent="0.35">
      <c r="A242" s="75">
        <v>25204</v>
      </c>
      <c r="B242">
        <v>21.650559999999999</v>
      </c>
      <c r="C242">
        <v>18.208310000000001</v>
      </c>
      <c r="E242">
        <v>15.16987</v>
      </c>
      <c r="F242">
        <v>32.604649999999999</v>
      </c>
      <c r="L242">
        <v>28.443709999999999</v>
      </c>
      <c r="M242">
        <v>12.51938</v>
      </c>
      <c r="O242">
        <v>4.5170139999999996</v>
      </c>
      <c r="R242">
        <v>11.7098</v>
      </c>
      <c r="S242">
        <v>13.557119999999999</v>
      </c>
      <c r="V242">
        <v>7.7461130000000002</v>
      </c>
      <c r="W242">
        <v>1.3180339999999999</v>
      </c>
      <c r="Y242">
        <v>0.7622932</v>
      </c>
      <c r="Z242">
        <v>2.8590080000000002</v>
      </c>
      <c r="AB242">
        <v>8.8486750000000003E-2</v>
      </c>
      <c r="AD242">
        <v>5.313091</v>
      </c>
      <c r="AE242">
        <v>28.62847</v>
      </c>
      <c r="AF242">
        <v>4.0369539999999997</v>
      </c>
      <c r="AH242">
        <v>19.090730000000001</v>
      </c>
      <c r="AJ242">
        <v>1.3227879999999999E-2</v>
      </c>
      <c r="AK242">
        <v>21.706689999999998</v>
      </c>
      <c r="AL242">
        <v>11.467420000000001</v>
      </c>
      <c r="AP242">
        <v>1.5315810000000001</v>
      </c>
      <c r="AU242">
        <v>12.162789999999999</v>
      </c>
      <c r="AV242">
        <v>6.0231E-5</v>
      </c>
      <c r="AW242">
        <v>15.020020000000001</v>
      </c>
      <c r="AX242">
        <v>1.688939</v>
      </c>
    </row>
    <row r="243" spans="1:50" x14ac:dyDescent="0.35">
      <c r="A243" s="75">
        <v>25235</v>
      </c>
      <c r="B243">
        <v>21.650559999999999</v>
      </c>
      <c r="C243">
        <v>18.286200000000001</v>
      </c>
      <c r="E243">
        <v>15.16987</v>
      </c>
      <c r="F243">
        <v>32.665239999999997</v>
      </c>
      <c r="L243">
        <v>28.574190000000002</v>
      </c>
      <c r="M243">
        <v>12.54745</v>
      </c>
      <c r="O243">
        <v>4.4898059999999997</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4.0615860000000001</v>
      </c>
      <c r="AH243">
        <v>19.109850000000002</v>
      </c>
      <c r="AJ243">
        <v>1.327536E-2</v>
      </c>
      <c r="AK243">
        <v>21.89894</v>
      </c>
      <c r="AL243">
        <v>11.467420000000001</v>
      </c>
      <c r="AP243">
        <v>1.5799669999999999</v>
      </c>
      <c r="AU243">
        <v>12.198</v>
      </c>
      <c r="AV243">
        <v>6.0401E-5</v>
      </c>
      <c r="AW243">
        <v>15.1044</v>
      </c>
      <c r="AX243">
        <v>1.688939</v>
      </c>
    </row>
    <row r="244" spans="1:50" x14ac:dyDescent="0.35">
      <c r="A244" s="75">
        <v>25263</v>
      </c>
      <c r="B244">
        <v>21.650559999999999</v>
      </c>
      <c r="C244">
        <v>18.384409999999999</v>
      </c>
      <c r="E244">
        <v>15.24888</v>
      </c>
      <c r="F244">
        <v>32.604649999999999</v>
      </c>
      <c r="L244">
        <v>28.639430000000001</v>
      </c>
      <c r="M244">
        <v>12.56617</v>
      </c>
      <c r="O244">
        <v>4.5170139999999996</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4.0922090000000004</v>
      </c>
      <c r="AH244">
        <v>19.146370000000001</v>
      </c>
      <c r="AJ244">
        <v>1.328846E-2</v>
      </c>
      <c r="AK244">
        <v>22.056239999999999</v>
      </c>
      <c r="AL244">
        <v>11.467420000000001</v>
      </c>
      <c r="AP244">
        <v>1.597742</v>
      </c>
      <c r="AU244">
        <v>12.22315</v>
      </c>
      <c r="AV244">
        <v>6.0401E-5</v>
      </c>
      <c r="AW244">
        <v>15.230980000000001</v>
      </c>
      <c r="AX244">
        <v>1.7024859999999999</v>
      </c>
    </row>
    <row r="245" spans="1:50" x14ac:dyDescent="0.35">
      <c r="A245" s="75">
        <v>25294</v>
      </c>
      <c r="B245">
        <v>21.730080000000001</v>
      </c>
      <c r="C245">
        <v>18.433509999999998</v>
      </c>
      <c r="E245">
        <v>15.485910000000001</v>
      </c>
      <c r="F245">
        <v>32.544939999999997</v>
      </c>
      <c r="L245">
        <v>28.639430000000001</v>
      </c>
      <c r="M245">
        <v>12.603590000000001</v>
      </c>
      <c r="O245">
        <v>4.570341</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4.1141779999999999</v>
      </c>
      <c r="AH245">
        <v>19.18984</v>
      </c>
      <c r="AJ245">
        <v>1.332448E-2</v>
      </c>
      <c r="AK245">
        <v>22.24849</v>
      </c>
      <c r="AL245">
        <v>11.53909</v>
      </c>
      <c r="AP245">
        <v>1.5878669999999999</v>
      </c>
      <c r="AU245">
        <v>12.286289999999999</v>
      </c>
      <c r="AV245">
        <v>6.0571E-5</v>
      </c>
      <c r="AW245">
        <v>15.31536</v>
      </c>
      <c r="AX245">
        <v>1.7070019999999999</v>
      </c>
    </row>
    <row r="246" spans="1:50" x14ac:dyDescent="0.35">
      <c r="A246" s="75">
        <v>25324</v>
      </c>
      <c r="B246">
        <v>21.730080000000001</v>
      </c>
      <c r="C246">
        <v>18.489380000000001</v>
      </c>
      <c r="E246">
        <v>15.485910000000001</v>
      </c>
      <c r="F246">
        <v>32.69509</v>
      </c>
      <c r="L246">
        <v>28.70467</v>
      </c>
      <c r="M246">
        <v>12.687810000000001</v>
      </c>
      <c r="O246">
        <v>4.570341</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4.1414730000000004</v>
      </c>
      <c r="AH246">
        <v>19.273299999999999</v>
      </c>
      <c r="AJ246">
        <v>1.332448E-2</v>
      </c>
      <c r="AK246">
        <v>22.213529999999999</v>
      </c>
      <c r="AL246">
        <v>11.53909</v>
      </c>
      <c r="AP246">
        <v>1.6076170000000001</v>
      </c>
      <c r="AU246">
        <v>12.268969999999999</v>
      </c>
      <c r="AV246">
        <v>6.1037999999999994E-5</v>
      </c>
      <c r="AW246">
        <v>15.35755</v>
      </c>
      <c r="AX246">
        <v>1.7115180000000001</v>
      </c>
    </row>
    <row r="247" spans="1:50" x14ac:dyDescent="0.35">
      <c r="A247" s="75">
        <v>25355</v>
      </c>
      <c r="B247">
        <v>21.869250000000001</v>
      </c>
      <c r="C247">
        <v>18.53848</v>
      </c>
      <c r="E247">
        <v>15.564920000000001</v>
      </c>
      <c r="F247">
        <v>32.846119999999999</v>
      </c>
      <c r="L247">
        <v>28.70467</v>
      </c>
      <c r="M247">
        <v>12.76266</v>
      </c>
      <c r="O247">
        <v>4.5170139999999996</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4.1554529999999996</v>
      </c>
      <c r="AH247">
        <v>19.250699999999998</v>
      </c>
      <c r="AJ247">
        <v>1.337196E-2</v>
      </c>
      <c r="AK247">
        <v>22.213529999999999</v>
      </c>
      <c r="AL247">
        <v>11.610760000000001</v>
      </c>
      <c r="AP247">
        <v>1.5789800000000001</v>
      </c>
      <c r="AU247">
        <v>12.293559999999999</v>
      </c>
      <c r="AV247">
        <v>6.1037999999999994E-5</v>
      </c>
      <c r="AW247">
        <v>15.441929999999999</v>
      </c>
      <c r="AX247">
        <v>1.7115180000000001</v>
      </c>
    </row>
    <row r="248" spans="1:50" x14ac:dyDescent="0.35">
      <c r="A248" s="75">
        <v>25385</v>
      </c>
      <c r="B248">
        <v>22.008420000000001</v>
      </c>
      <c r="C248">
        <v>18.606210000000001</v>
      </c>
      <c r="E248">
        <v>15.643929999999999</v>
      </c>
      <c r="F248">
        <v>32.846119999999999</v>
      </c>
      <c r="L248">
        <v>28.70467</v>
      </c>
      <c r="M248">
        <v>12.76266</v>
      </c>
      <c r="O248">
        <v>4.5523829999999998</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4.1554529999999996</v>
      </c>
      <c r="AH248">
        <v>19.302859999999999</v>
      </c>
      <c r="AJ248">
        <v>1.3422720000000001E-2</v>
      </c>
      <c r="AK248">
        <v>22.021280000000001</v>
      </c>
      <c r="AL248">
        <v>11.68244</v>
      </c>
      <c r="AP248">
        <v>1.5878669999999999</v>
      </c>
      <c r="AU248">
        <v>12.35671</v>
      </c>
      <c r="AV248">
        <v>6.0868000000000001E-5</v>
      </c>
      <c r="AW248">
        <v>15.52631</v>
      </c>
      <c r="AX248">
        <v>1.7160340000000001</v>
      </c>
    </row>
    <row r="249" spans="1:50" x14ac:dyDescent="0.35">
      <c r="A249" s="75">
        <v>25416</v>
      </c>
      <c r="B249">
        <v>21.98854</v>
      </c>
      <c r="C249">
        <v>18.633299999999998</v>
      </c>
      <c r="E249">
        <v>15.722939999999999</v>
      </c>
      <c r="F249">
        <v>32.786409999999997</v>
      </c>
      <c r="L249">
        <v>28.639430000000001</v>
      </c>
      <c r="M249">
        <v>12.82816</v>
      </c>
      <c r="O249">
        <v>4.5665319999999996</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4.177422</v>
      </c>
      <c r="AH249">
        <v>19.27852</v>
      </c>
      <c r="AJ249">
        <v>1.343746E-2</v>
      </c>
      <c r="AK249">
        <v>22.143619999999999</v>
      </c>
      <c r="AL249">
        <v>11.68244</v>
      </c>
      <c r="AP249">
        <v>1.5868800000000001</v>
      </c>
      <c r="AU249">
        <v>12.41483</v>
      </c>
      <c r="AV249">
        <v>6.1208000000000001E-5</v>
      </c>
      <c r="AW249">
        <v>15.61069</v>
      </c>
      <c r="AX249">
        <v>1.7160340000000001</v>
      </c>
    </row>
    <row r="250" spans="1:50" x14ac:dyDescent="0.35">
      <c r="A250" s="75">
        <v>25447</v>
      </c>
      <c r="B250">
        <v>21.98854</v>
      </c>
      <c r="C250">
        <v>18.687480000000001</v>
      </c>
      <c r="E250">
        <v>15.722939999999999</v>
      </c>
      <c r="F250">
        <v>32.815390000000001</v>
      </c>
      <c r="L250">
        <v>28.639430000000001</v>
      </c>
      <c r="M250">
        <v>12.87494</v>
      </c>
      <c r="O250">
        <v>4.5752379999999997</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4.3118980000000002</v>
      </c>
      <c r="AH250">
        <v>19.309819999999998</v>
      </c>
      <c r="AJ250">
        <v>1.3563530000000001E-2</v>
      </c>
      <c r="AK250">
        <v>22.283439999999999</v>
      </c>
      <c r="AL250">
        <v>11.68244</v>
      </c>
      <c r="AP250">
        <v>1.618479</v>
      </c>
      <c r="AU250">
        <v>12.4316</v>
      </c>
      <c r="AV250">
        <v>6.1037999999999994E-5</v>
      </c>
      <c r="AW250">
        <v>15.652889999999999</v>
      </c>
      <c r="AX250">
        <v>1.725066</v>
      </c>
    </row>
    <row r="251" spans="1:50" x14ac:dyDescent="0.35">
      <c r="A251" s="75">
        <v>25477</v>
      </c>
      <c r="B251">
        <v>22.068059999999999</v>
      </c>
      <c r="C251">
        <v>18.761980000000001</v>
      </c>
      <c r="E251">
        <v>15.722939999999999</v>
      </c>
      <c r="F251">
        <v>32.875979999999998</v>
      </c>
      <c r="L251">
        <v>28.70467</v>
      </c>
      <c r="M251">
        <v>12.940440000000001</v>
      </c>
      <c r="O251">
        <v>4.592651</v>
      </c>
      <c r="R251">
        <v>11.84707</v>
      </c>
      <c r="S251">
        <v>14.090870000000001</v>
      </c>
      <c r="V251">
        <v>7.9921170000000004</v>
      </c>
      <c r="W251">
        <v>1.3396410000000001</v>
      </c>
      <c r="Y251">
        <v>0.79353479999999998</v>
      </c>
      <c r="Z251">
        <v>2.9937640000000001</v>
      </c>
      <c r="AB251">
        <v>9.8896960000000006E-2</v>
      </c>
      <c r="AD251">
        <v>5.4686199999999996</v>
      </c>
      <c r="AE251">
        <v>30.28668</v>
      </c>
      <c r="AF251">
        <v>4.4277340000000001</v>
      </c>
      <c r="AH251">
        <v>19.323730000000001</v>
      </c>
      <c r="AJ251">
        <v>1.370597E-2</v>
      </c>
      <c r="AK251">
        <v>22.388300000000001</v>
      </c>
      <c r="AL251">
        <v>11.754110000000001</v>
      </c>
      <c r="AP251">
        <v>1.6540280000000001</v>
      </c>
      <c r="AU251">
        <v>12.43886</v>
      </c>
      <c r="AV251">
        <v>6.2014999999999995E-5</v>
      </c>
      <c r="AW251">
        <v>15.737270000000001</v>
      </c>
      <c r="AX251">
        <v>1.734097</v>
      </c>
    </row>
    <row r="252" spans="1:50" x14ac:dyDescent="0.35">
      <c r="A252" s="75">
        <v>25508</v>
      </c>
      <c r="B252">
        <v>22.147580000000001</v>
      </c>
      <c r="C252">
        <v>18.846640000000001</v>
      </c>
      <c r="E252">
        <v>15.722939999999999</v>
      </c>
      <c r="F252">
        <v>33.148180000000004</v>
      </c>
      <c r="L252">
        <v>28.7699</v>
      </c>
      <c r="M252">
        <v>13.052720000000001</v>
      </c>
      <c r="O252">
        <v>4.6334619999999997</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4.476998</v>
      </c>
      <c r="AH252">
        <v>19.386330000000001</v>
      </c>
      <c r="AJ252">
        <v>1.370761E-2</v>
      </c>
      <c r="AK252">
        <v>22.353349999999999</v>
      </c>
      <c r="AL252">
        <v>11.754110000000001</v>
      </c>
      <c r="AP252">
        <v>1.6846399999999999</v>
      </c>
      <c r="AU252">
        <v>12.50816</v>
      </c>
      <c r="AV252">
        <v>6.2482000000000002E-5</v>
      </c>
      <c r="AW252">
        <v>15.82165</v>
      </c>
      <c r="AX252">
        <v>1.738613</v>
      </c>
    </row>
    <row r="253" spans="1:50" x14ac:dyDescent="0.35">
      <c r="A253" s="75">
        <v>25538</v>
      </c>
      <c r="B253">
        <v>22.306629999999998</v>
      </c>
      <c r="C253">
        <v>18.921140000000001</v>
      </c>
      <c r="E253">
        <v>15.88096</v>
      </c>
      <c r="F253">
        <v>33.268470000000001</v>
      </c>
      <c r="L253">
        <v>28.965620000000001</v>
      </c>
      <c r="M253">
        <v>13.099500000000001</v>
      </c>
      <c r="O253">
        <v>4.682436</v>
      </c>
      <c r="R253">
        <v>11.86819</v>
      </c>
      <c r="S253">
        <v>14.197620000000001</v>
      </c>
      <c r="V253">
        <v>8.0641169999999995</v>
      </c>
      <c r="W253">
        <v>1.3396410000000001</v>
      </c>
      <c r="Y253">
        <v>0.81852789999999997</v>
      </c>
      <c r="Z253">
        <v>2.979196</v>
      </c>
      <c r="AB253">
        <v>0.1003841</v>
      </c>
      <c r="AD253">
        <v>5.5187910000000002</v>
      </c>
      <c r="AE253">
        <v>30.359839999999998</v>
      </c>
      <c r="AF253">
        <v>4.5761909999999997</v>
      </c>
      <c r="AH253">
        <v>19.59151</v>
      </c>
      <c r="AJ253">
        <v>1.381076E-2</v>
      </c>
      <c r="AK253">
        <v>22.33587</v>
      </c>
      <c r="AL253">
        <v>11.82578</v>
      </c>
      <c r="AP253">
        <v>1.6846399999999999</v>
      </c>
      <c r="AU253">
        <v>12.58081</v>
      </c>
      <c r="AV253">
        <v>6.3628999999999997E-5</v>
      </c>
      <c r="AW253">
        <v>15.906029999999999</v>
      </c>
      <c r="AX253">
        <v>1.7476449999999999</v>
      </c>
    </row>
    <row r="254" spans="1:50" x14ac:dyDescent="0.35">
      <c r="A254" s="75">
        <v>25569</v>
      </c>
      <c r="B254">
        <v>22.485569999999999</v>
      </c>
      <c r="C254">
        <v>19.000720000000001</v>
      </c>
      <c r="E254">
        <v>15.95997</v>
      </c>
      <c r="F254">
        <v>33.358919999999998</v>
      </c>
      <c r="G254">
        <v>8.1581799999999995E-4</v>
      </c>
      <c r="I254">
        <v>0.130527</v>
      </c>
      <c r="L254">
        <v>29.291810000000002</v>
      </c>
      <c r="M254">
        <v>13.12757</v>
      </c>
      <c r="O254">
        <v>4.7047470000000002</v>
      </c>
      <c r="R254">
        <v>11.96321</v>
      </c>
      <c r="S254">
        <v>14.31504</v>
      </c>
      <c r="U254">
        <v>16.044720000000002</v>
      </c>
      <c r="V254">
        <v>8.1301179999999995</v>
      </c>
      <c r="W254">
        <v>1.3396410000000001</v>
      </c>
      <c r="Y254">
        <v>0.88101099999999999</v>
      </c>
      <c r="Z254">
        <v>2.979196</v>
      </c>
      <c r="AB254">
        <v>0.1003841</v>
      </c>
      <c r="AC254">
        <v>1.3691230000000001E-3</v>
      </c>
      <c r="AD254">
        <v>5.543876</v>
      </c>
      <c r="AE254">
        <v>30.847539999999999</v>
      </c>
      <c r="AF254">
        <v>4.6374370000000003</v>
      </c>
      <c r="AH254">
        <v>19.784520000000001</v>
      </c>
      <c r="AJ254">
        <v>1.391555E-2</v>
      </c>
      <c r="AK254">
        <v>22.33839</v>
      </c>
      <c r="AL254">
        <v>12.47082</v>
      </c>
      <c r="AM254">
        <v>7.0627639999999996</v>
      </c>
      <c r="AN254">
        <v>5.1122839999999998</v>
      </c>
      <c r="AP254">
        <v>1.694515</v>
      </c>
      <c r="AU254">
        <v>12.766909999999999</v>
      </c>
      <c r="AV254">
        <v>6.4139000000000004E-5</v>
      </c>
      <c r="AW254">
        <v>15.948219999999999</v>
      </c>
      <c r="AX254">
        <v>1.7476449999999999</v>
      </c>
    </row>
    <row r="255" spans="1:50" x14ac:dyDescent="0.35">
      <c r="A255" s="75">
        <v>25600</v>
      </c>
      <c r="B255">
        <v>22.465679999999999</v>
      </c>
      <c r="C255">
        <v>19.059979999999999</v>
      </c>
      <c r="E255">
        <v>15.95997</v>
      </c>
      <c r="F255">
        <v>33.358919999999998</v>
      </c>
      <c r="G255">
        <v>8.57502E-4</v>
      </c>
      <c r="I255">
        <v>0.130527</v>
      </c>
      <c r="L255">
        <v>29.357040000000001</v>
      </c>
      <c r="M255">
        <v>13.22114</v>
      </c>
      <c r="O255">
        <v>4.6867900000000002</v>
      </c>
      <c r="R255">
        <v>11.99489</v>
      </c>
      <c r="S255">
        <v>14.35891</v>
      </c>
      <c r="U255">
        <v>16.110810000000001</v>
      </c>
      <c r="V255">
        <v>8.1721190000000004</v>
      </c>
      <c r="W255">
        <v>1.3396410000000001</v>
      </c>
      <c r="Y255">
        <v>0.88101099999999999</v>
      </c>
      <c r="Z255">
        <v>2.979196</v>
      </c>
      <c r="AA255">
        <v>7.396128</v>
      </c>
      <c r="AB255">
        <v>0.1018713</v>
      </c>
      <c r="AC255">
        <v>1.374513E-3</v>
      </c>
      <c r="AD255">
        <v>5.5890300000000002</v>
      </c>
      <c r="AE255">
        <v>30.847539999999999</v>
      </c>
      <c r="AF255">
        <v>4.730639</v>
      </c>
      <c r="AH255">
        <v>19.90972</v>
      </c>
      <c r="AJ255">
        <v>1.391391E-2</v>
      </c>
      <c r="AK255">
        <v>22.49352</v>
      </c>
      <c r="AL255">
        <v>12.542490000000001</v>
      </c>
      <c r="AM255">
        <v>7.0888799999999996</v>
      </c>
      <c r="AN255">
        <v>5.1303320000000001</v>
      </c>
      <c r="AP255">
        <v>1.67279</v>
      </c>
      <c r="AU255">
        <v>12.94294</v>
      </c>
      <c r="AV255">
        <v>6.4478000000000002E-5</v>
      </c>
      <c r="AW255">
        <v>16.032609999999998</v>
      </c>
      <c r="AX255">
        <v>1.7476449999999999</v>
      </c>
    </row>
    <row r="256" spans="1:50" x14ac:dyDescent="0.35">
      <c r="A256" s="75">
        <v>25628</v>
      </c>
      <c r="B256">
        <v>22.485569999999999</v>
      </c>
      <c r="C256">
        <v>19.168340000000001</v>
      </c>
      <c r="E256">
        <v>15.95997</v>
      </c>
      <c r="F256">
        <v>33.419499999999999</v>
      </c>
      <c r="G256">
        <v>8.8727700000000001E-4</v>
      </c>
      <c r="I256">
        <v>0.130527</v>
      </c>
      <c r="L256">
        <v>29.48752</v>
      </c>
      <c r="M256">
        <v>13.295999999999999</v>
      </c>
      <c r="O256">
        <v>4.7227030000000001</v>
      </c>
      <c r="R256">
        <v>12.02657</v>
      </c>
      <c r="S256">
        <v>14.40277</v>
      </c>
      <c r="U256">
        <v>16.19558</v>
      </c>
      <c r="V256">
        <v>8.2201199999999996</v>
      </c>
      <c r="W256">
        <v>1.361248</v>
      </c>
      <c r="Y256">
        <v>0.8747627</v>
      </c>
      <c r="Z256">
        <v>3.0119739999999999</v>
      </c>
      <c r="AB256">
        <v>0.10335850000000001</v>
      </c>
      <c r="AC256">
        <v>1.3880050000000001E-3</v>
      </c>
      <c r="AD256">
        <v>5.6090980000000004</v>
      </c>
      <c r="AE256">
        <v>31.15297</v>
      </c>
      <c r="AF256">
        <v>4.8338260000000002</v>
      </c>
      <c r="AH256">
        <v>19.947980000000001</v>
      </c>
      <c r="AJ256">
        <v>1.395485E-2</v>
      </c>
      <c r="AK256">
        <v>22.692969999999999</v>
      </c>
      <c r="AL256">
        <v>12.61416</v>
      </c>
      <c r="AM256">
        <v>7.1271139999999997</v>
      </c>
      <c r="AN256">
        <v>5.1562510000000001</v>
      </c>
      <c r="AP256">
        <v>1.70834</v>
      </c>
      <c r="AU256">
        <v>13.03851</v>
      </c>
      <c r="AV256">
        <v>6.4562999999999998E-5</v>
      </c>
      <c r="AW256">
        <v>16.116990000000001</v>
      </c>
      <c r="AX256">
        <v>1.7476449999999999</v>
      </c>
    </row>
    <row r="257" spans="1:50" x14ac:dyDescent="0.35">
      <c r="A257" s="75">
        <v>25659</v>
      </c>
      <c r="B257">
        <v>22.545210000000001</v>
      </c>
      <c r="C257">
        <v>19.241150000000001</v>
      </c>
      <c r="E257">
        <v>16.038979999999999</v>
      </c>
      <c r="F257">
        <v>33.388770000000001</v>
      </c>
      <c r="G257">
        <v>9.0854399999999995E-4</v>
      </c>
      <c r="I257">
        <v>0.1386849</v>
      </c>
      <c r="L257">
        <v>29.617999999999999</v>
      </c>
      <c r="M257">
        <v>13.33342</v>
      </c>
      <c r="O257">
        <v>4.7488229999999998</v>
      </c>
      <c r="R257">
        <v>12.05824</v>
      </c>
      <c r="S257">
        <v>14.47588</v>
      </c>
      <c r="U257">
        <v>16.319500000000001</v>
      </c>
      <c r="V257">
        <v>8.3461219999999994</v>
      </c>
      <c r="W257">
        <v>1.3828560000000001</v>
      </c>
      <c r="Y257">
        <v>0.86226610000000004</v>
      </c>
      <c r="Z257">
        <v>3.0447519999999999</v>
      </c>
      <c r="AB257">
        <v>0.1048456</v>
      </c>
      <c r="AC257">
        <v>1.398795E-3</v>
      </c>
      <c r="AD257">
        <v>5.6341840000000003</v>
      </c>
      <c r="AE257">
        <v>31.458390000000001</v>
      </c>
      <c r="AF257">
        <v>4.9370139999999996</v>
      </c>
      <c r="AH257">
        <v>20.033180000000002</v>
      </c>
      <c r="AJ257">
        <v>1.397285E-2</v>
      </c>
      <c r="AK257">
        <v>22.80377</v>
      </c>
      <c r="AL257">
        <v>12.685840000000001</v>
      </c>
      <c r="AM257">
        <v>7.177975</v>
      </c>
      <c r="AN257">
        <v>5.1874010000000004</v>
      </c>
      <c r="AP257">
        <v>1.6984649999999999</v>
      </c>
      <c r="AU257">
        <v>13.06142</v>
      </c>
      <c r="AV257">
        <v>6.4690999999999994E-5</v>
      </c>
      <c r="AW257">
        <v>16.243559999999999</v>
      </c>
      <c r="AX257">
        <v>1.793636</v>
      </c>
    </row>
    <row r="258" spans="1:50" x14ac:dyDescent="0.35">
      <c r="A258" s="75">
        <v>25689</v>
      </c>
      <c r="B258">
        <v>22.64462</v>
      </c>
      <c r="C258">
        <v>19.244530000000001</v>
      </c>
      <c r="E258">
        <v>16.038979999999999</v>
      </c>
      <c r="F258">
        <v>33.720680000000002</v>
      </c>
      <c r="G258">
        <v>9.2811E-4</v>
      </c>
      <c r="I258">
        <v>0.1386849</v>
      </c>
      <c r="L258">
        <v>29.617999999999999</v>
      </c>
      <c r="M258">
        <v>13.45506</v>
      </c>
      <c r="O258">
        <v>4.7178069999999996</v>
      </c>
      <c r="R258">
        <v>12.05824</v>
      </c>
      <c r="S258">
        <v>14.534369999999999</v>
      </c>
      <c r="U258">
        <v>16.348089999999999</v>
      </c>
      <c r="V258">
        <v>8.3701220000000003</v>
      </c>
      <c r="W258">
        <v>1.3828560000000001</v>
      </c>
      <c r="Y258">
        <v>0.86226610000000004</v>
      </c>
      <c r="Z258">
        <v>3.077531</v>
      </c>
      <c r="AA258">
        <v>7.7003560000000002</v>
      </c>
      <c r="AB258">
        <v>0.1048456</v>
      </c>
      <c r="AC258">
        <v>1.416332E-3</v>
      </c>
      <c r="AD258">
        <v>5.6592690000000001</v>
      </c>
      <c r="AE258">
        <v>31.356580000000001</v>
      </c>
      <c r="AF258">
        <v>4.8877499999999996</v>
      </c>
      <c r="AH258">
        <v>20.137509999999999</v>
      </c>
      <c r="AJ258">
        <v>1.400233E-2</v>
      </c>
      <c r="AK258">
        <v>22.82593</v>
      </c>
      <c r="AL258">
        <v>12.685840000000001</v>
      </c>
      <c r="AM258">
        <v>7.1885820000000002</v>
      </c>
      <c r="AN258">
        <v>5.1971679999999996</v>
      </c>
      <c r="AP258">
        <v>1.6797029999999999</v>
      </c>
      <c r="AU258">
        <v>13.10669</v>
      </c>
      <c r="AV258">
        <v>6.5073000000000005E-5</v>
      </c>
      <c r="AW258">
        <v>16.28575</v>
      </c>
      <c r="AX258">
        <v>1.793636</v>
      </c>
    </row>
    <row r="259" spans="1:50" x14ac:dyDescent="0.35">
      <c r="A259" s="75">
        <v>25720</v>
      </c>
      <c r="B259">
        <v>22.883189999999999</v>
      </c>
      <c r="C259">
        <v>19.25131</v>
      </c>
      <c r="E259">
        <v>16.038979999999999</v>
      </c>
      <c r="F259">
        <v>33.87171</v>
      </c>
      <c r="G259">
        <v>9.4597500000000005E-4</v>
      </c>
      <c r="I259">
        <v>0.1386849</v>
      </c>
      <c r="L259">
        <v>29.683229999999998</v>
      </c>
      <c r="M259">
        <v>13.46442</v>
      </c>
      <c r="O259">
        <v>4.7357639999999996</v>
      </c>
      <c r="R259">
        <v>12.100479999999999</v>
      </c>
      <c r="S259">
        <v>14.59286</v>
      </c>
      <c r="U259">
        <v>16.404730000000001</v>
      </c>
      <c r="V259">
        <v>8.3941230000000004</v>
      </c>
      <c r="W259">
        <v>1.3828560000000001</v>
      </c>
      <c r="Y259">
        <v>0.8747627</v>
      </c>
      <c r="Z259">
        <v>3.1139510000000001</v>
      </c>
      <c r="AB259">
        <v>0.10633280000000001</v>
      </c>
      <c r="AC259">
        <v>1.413631E-3</v>
      </c>
      <c r="AD259">
        <v>5.6693030000000002</v>
      </c>
      <c r="AE259">
        <v>31.356580000000001</v>
      </c>
      <c r="AF259">
        <v>4.7845630000000003</v>
      </c>
      <c r="AH259">
        <v>20.193149999999999</v>
      </c>
      <c r="AJ259">
        <v>1.408747E-2</v>
      </c>
      <c r="AK259">
        <v>22.892420000000001</v>
      </c>
      <c r="AL259">
        <v>12.75751</v>
      </c>
      <c r="AM259">
        <v>7.212987</v>
      </c>
      <c r="AN259">
        <v>5.2139670000000002</v>
      </c>
      <c r="AP259">
        <v>1.6856279999999999</v>
      </c>
      <c r="AU259">
        <v>13.165369999999999</v>
      </c>
      <c r="AV259">
        <v>6.5753000000000006E-5</v>
      </c>
      <c r="AW259">
        <v>16.37013</v>
      </c>
      <c r="AX259">
        <v>1.793636</v>
      </c>
    </row>
    <row r="260" spans="1:50" x14ac:dyDescent="0.35">
      <c r="A260" s="75">
        <v>25750</v>
      </c>
      <c r="B260">
        <v>23.022359999999999</v>
      </c>
      <c r="C260">
        <v>19.351199999999999</v>
      </c>
      <c r="E260">
        <v>16.196999999999999</v>
      </c>
      <c r="F260">
        <v>33.962150000000001</v>
      </c>
      <c r="G260">
        <v>9.6469000000000004E-4</v>
      </c>
      <c r="I260">
        <v>0.1386849</v>
      </c>
      <c r="L260">
        <v>29.683229999999998</v>
      </c>
      <c r="M260">
        <v>13.73577</v>
      </c>
      <c r="O260">
        <v>4.825005</v>
      </c>
      <c r="R260">
        <v>12.121600000000001</v>
      </c>
      <c r="S260">
        <v>14.622109999999999</v>
      </c>
      <c r="U260">
        <v>16.46593</v>
      </c>
      <c r="V260">
        <v>8.4541229999999992</v>
      </c>
      <c r="W260">
        <v>1.361248</v>
      </c>
      <c r="Y260">
        <v>0.8747627</v>
      </c>
      <c r="Z260">
        <v>3.12852</v>
      </c>
      <c r="AB260">
        <v>0.10782</v>
      </c>
      <c r="AC260">
        <v>1.408241E-3</v>
      </c>
      <c r="AD260">
        <v>5.6793380000000004</v>
      </c>
      <c r="AE260">
        <v>31.356580000000001</v>
      </c>
      <c r="AF260">
        <v>4.8191800000000002</v>
      </c>
      <c r="AH260">
        <v>20.2714</v>
      </c>
      <c r="AJ260">
        <v>1.415624E-2</v>
      </c>
      <c r="AK260">
        <v>22.9589</v>
      </c>
      <c r="AL260">
        <v>12.972519999999999</v>
      </c>
      <c r="AM260">
        <v>7.2451540000000003</v>
      </c>
      <c r="AN260">
        <v>5.2346120000000003</v>
      </c>
      <c r="AP260">
        <v>1.6984649999999999</v>
      </c>
      <c r="AU260">
        <v>13.268190000000001</v>
      </c>
      <c r="AV260">
        <v>6.5498000000000002E-5</v>
      </c>
      <c r="AW260">
        <v>16.454519999999999</v>
      </c>
      <c r="AX260">
        <v>1.793636</v>
      </c>
    </row>
    <row r="261" spans="1:50" x14ac:dyDescent="0.35">
      <c r="A261" s="75">
        <v>25781</v>
      </c>
      <c r="B261">
        <v>23.002469999999999</v>
      </c>
      <c r="C261">
        <v>19.391839999999998</v>
      </c>
      <c r="E261">
        <v>16.196999999999999</v>
      </c>
      <c r="F261">
        <v>34.082450000000001</v>
      </c>
      <c r="G261">
        <v>9.8935999999999989E-4</v>
      </c>
      <c r="I261">
        <v>0.1386849</v>
      </c>
      <c r="L261">
        <v>29.683229999999998</v>
      </c>
      <c r="M261">
        <v>13.76384</v>
      </c>
      <c r="O261">
        <v>4.901186</v>
      </c>
      <c r="R261">
        <v>12.153269999999999</v>
      </c>
      <c r="S261">
        <v>14.68059</v>
      </c>
      <c r="U261">
        <v>16.465910000000001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4.8531319999999996</v>
      </c>
      <c r="AH261">
        <v>20.214020000000001</v>
      </c>
      <c r="AJ261">
        <v>1.422173E-2</v>
      </c>
      <c r="AK261">
        <v>23.09187</v>
      </c>
      <c r="AL261">
        <v>12.90085</v>
      </c>
      <c r="AM261">
        <v>7.2525490000000001</v>
      </c>
      <c r="AN261">
        <v>5.2480349999999998</v>
      </c>
      <c r="AP261">
        <v>1.7122900000000001</v>
      </c>
      <c r="AU261">
        <v>13.31625</v>
      </c>
      <c r="AV261">
        <v>6.6007999999999995E-5</v>
      </c>
      <c r="AW261">
        <v>16.454519999999999</v>
      </c>
      <c r="AX261">
        <v>1.839626</v>
      </c>
    </row>
    <row r="262" spans="1:50" x14ac:dyDescent="0.35">
      <c r="A262" s="75">
        <v>25812</v>
      </c>
      <c r="B262">
        <v>23.04224</v>
      </c>
      <c r="C262">
        <v>19.386759999999999</v>
      </c>
      <c r="E262">
        <v>16.117989999999999</v>
      </c>
      <c r="F262">
        <v>34.294069999999998</v>
      </c>
      <c r="G262">
        <v>1.0157320000000001E-3</v>
      </c>
      <c r="I262">
        <v>0.1386849</v>
      </c>
      <c r="L262">
        <v>29.683229999999998</v>
      </c>
      <c r="M262">
        <v>13.885479999999999</v>
      </c>
      <c r="O262">
        <v>4.9234960000000001</v>
      </c>
      <c r="R262">
        <v>12.163830000000001</v>
      </c>
      <c r="S262">
        <v>14.73908</v>
      </c>
      <c r="U262">
        <v>16.555</v>
      </c>
      <c r="V262">
        <v>8.4901239999999998</v>
      </c>
      <c r="W262">
        <v>1.361248</v>
      </c>
      <c r="Y262">
        <v>0.85601780000000005</v>
      </c>
      <c r="Z262">
        <v>3.1612979999999999</v>
      </c>
      <c r="AB262">
        <v>0.11228150000000001</v>
      </c>
      <c r="AC262">
        <v>1.4716309999999999E-3</v>
      </c>
      <c r="AD262">
        <v>5.7244919999999997</v>
      </c>
      <c r="AE262">
        <v>31.763809999999999</v>
      </c>
      <c r="AF262">
        <v>4.9709649999999996</v>
      </c>
      <c r="AH262">
        <v>20.295739999999999</v>
      </c>
      <c r="AJ262">
        <v>1.4256110000000001E-2</v>
      </c>
      <c r="AK262">
        <v>23.269159999999999</v>
      </c>
      <c r="AL262">
        <v>13.04419</v>
      </c>
      <c r="AM262">
        <v>7.292116</v>
      </c>
      <c r="AN262">
        <v>5.270448</v>
      </c>
      <c r="AP262">
        <v>1.730064</v>
      </c>
      <c r="AU262">
        <v>13.35426</v>
      </c>
      <c r="AV262">
        <v>6.6644999999999996E-5</v>
      </c>
      <c r="AW262">
        <v>16.538900000000002</v>
      </c>
      <c r="AX262">
        <v>1.839626</v>
      </c>
    </row>
    <row r="263" spans="1:50" x14ac:dyDescent="0.35">
      <c r="A263" s="75">
        <v>25842</v>
      </c>
      <c r="B263">
        <v>23.141639999999999</v>
      </c>
      <c r="C263">
        <v>19.42062</v>
      </c>
      <c r="E263">
        <v>16.117989999999999</v>
      </c>
      <c r="F263">
        <v>34.47495</v>
      </c>
      <c r="G263">
        <v>1.0242389999999999E-3</v>
      </c>
      <c r="I263">
        <v>0.1386849</v>
      </c>
      <c r="L263">
        <v>29.81371</v>
      </c>
      <c r="M263">
        <v>13.9229</v>
      </c>
      <c r="O263">
        <v>4.9724700000000004</v>
      </c>
      <c r="R263">
        <v>12.184950000000001</v>
      </c>
      <c r="S263">
        <v>14.79757</v>
      </c>
      <c r="U263">
        <v>16.661159999999999</v>
      </c>
      <c r="V263">
        <v>8.5801259999999999</v>
      </c>
      <c r="W263">
        <v>1.3828560000000001</v>
      </c>
      <c r="Y263">
        <v>0.85601780000000005</v>
      </c>
      <c r="Z263">
        <v>3.1795079999999998</v>
      </c>
      <c r="AB263">
        <v>0.1145123</v>
      </c>
      <c r="AC263">
        <v>1.501313E-3</v>
      </c>
      <c r="AD263">
        <v>5.7495770000000004</v>
      </c>
      <c r="AE263">
        <v>32.272840000000002</v>
      </c>
      <c r="AF263">
        <v>5.0688269999999997</v>
      </c>
      <c r="AH263">
        <v>20.36008</v>
      </c>
      <c r="AJ263">
        <v>1.4261019999999999E-2</v>
      </c>
      <c r="AK263">
        <v>23.357800000000001</v>
      </c>
      <c r="AL263">
        <v>13.11586</v>
      </c>
      <c r="AM263">
        <v>7.342854</v>
      </c>
      <c r="AN263">
        <v>5.3048080000000004</v>
      </c>
      <c r="AP263">
        <v>1.7399389999999999</v>
      </c>
      <c r="AU263">
        <v>13.419079999999999</v>
      </c>
      <c r="AV263">
        <v>6.7918999999999998E-5</v>
      </c>
      <c r="AW263">
        <v>16.623280000000001</v>
      </c>
      <c r="AX263">
        <v>1.839626</v>
      </c>
    </row>
    <row r="264" spans="1:50" x14ac:dyDescent="0.35">
      <c r="A264" s="75">
        <v>25873</v>
      </c>
      <c r="B264">
        <v>23.221170000000001</v>
      </c>
      <c r="C264">
        <v>19.478190000000001</v>
      </c>
      <c r="E264">
        <v>16.117989999999999</v>
      </c>
      <c r="F264">
        <v>34.927160000000001</v>
      </c>
      <c r="G264">
        <v>1.0310440000000001E-3</v>
      </c>
      <c r="I264">
        <v>0.1386849</v>
      </c>
      <c r="L264">
        <v>29.944189999999999</v>
      </c>
      <c r="M264">
        <v>14.01647</v>
      </c>
      <c r="O264">
        <v>4.9855289999999997</v>
      </c>
      <c r="R264">
        <v>12.21663</v>
      </c>
      <c r="S264">
        <v>14.856059999999999</v>
      </c>
      <c r="U264">
        <v>16.73573</v>
      </c>
      <c r="V264">
        <v>8.6401260000000004</v>
      </c>
      <c r="W264">
        <v>1.3828560000000001</v>
      </c>
      <c r="Y264">
        <v>0.88725929999999997</v>
      </c>
      <c r="Z264">
        <v>3.1795079999999998</v>
      </c>
      <c r="AA264">
        <v>8.0045839999999995</v>
      </c>
      <c r="AB264">
        <v>0.1145123</v>
      </c>
      <c r="AC264">
        <v>1.501313E-3</v>
      </c>
      <c r="AD264">
        <v>5.7947309999999996</v>
      </c>
      <c r="AE264">
        <v>32.272840000000002</v>
      </c>
      <c r="AF264">
        <v>5.059507</v>
      </c>
      <c r="AH264">
        <v>20.394860000000001</v>
      </c>
      <c r="AJ264">
        <v>1.433798E-2</v>
      </c>
      <c r="AK264">
        <v>23.42428</v>
      </c>
      <c r="AL264">
        <v>13.18754</v>
      </c>
      <c r="AM264">
        <v>7.3760570000000003</v>
      </c>
      <c r="AN264">
        <v>5.3347059999999997</v>
      </c>
      <c r="AP264">
        <v>1.749814</v>
      </c>
      <c r="AU264">
        <v>13.518000000000001</v>
      </c>
      <c r="AV264">
        <v>6.8853E-5</v>
      </c>
      <c r="AW264">
        <v>16.707660000000001</v>
      </c>
      <c r="AX264">
        <v>1.839626</v>
      </c>
    </row>
    <row r="265" spans="1:50" x14ac:dyDescent="0.35">
      <c r="A265" s="75">
        <v>25903</v>
      </c>
      <c r="B265">
        <v>23.340450000000001</v>
      </c>
      <c r="C265">
        <v>19.510359999999999</v>
      </c>
      <c r="E265">
        <v>16.038979999999999</v>
      </c>
      <c r="F265">
        <v>35.078189999999999</v>
      </c>
      <c r="G265">
        <v>1.0310440000000001E-3</v>
      </c>
      <c r="I265">
        <v>0.1386849</v>
      </c>
      <c r="L265">
        <v>30.139900000000001</v>
      </c>
      <c r="M265">
        <v>14.007110000000001</v>
      </c>
      <c r="O265">
        <v>4.9996780000000003</v>
      </c>
      <c r="R265">
        <v>12.23775</v>
      </c>
      <c r="S265">
        <v>14.899929999999999</v>
      </c>
      <c r="U265">
        <v>16.817499999999999</v>
      </c>
      <c r="V265">
        <v>8.7001279999999994</v>
      </c>
      <c r="W265">
        <v>1.404463</v>
      </c>
      <c r="Y265">
        <v>0.89350759999999996</v>
      </c>
      <c r="Z265">
        <v>3.12852</v>
      </c>
      <c r="AB265">
        <v>0.11228150000000001</v>
      </c>
      <c r="AC265">
        <v>1.5121030000000001E-3</v>
      </c>
      <c r="AD265">
        <v>5.8147989999999998</v>
      </c>
      <c r="AE265">
        <v>32.476460000000003</v>
      </c>
      <c r="AF265">
        <v>5.2359239999999998</v>
      </c>
      <c r="AH265">
        <v>20.440069999999999</v>
      </c>
      <c r="AJ265">
        <v>1.4459140000000001E-2</v>
      </c>
      <c r="AK265">
        <v>23.468610000000002</v>
      </c>
      <c r="AL265">
        <v>13.330880000000001</v>
      </c>
      <c r="AM265">
        <v>7.4142200000000003</v>
      </c>
      <c r="AN265">
        <v>5.3617730000000003</v>
      </c>
      <c r="AP265">
        <v>1.761663</v>
      </c>
      <c r="AU265">
        <v>13.60183</v>
      </c>
      <c r="AV265">
        <v>6.9533E-5</v>
      </c>
      <c r="AW265">
        <v>16.79204</v>
      </c>
      <c r="AX265">
        <v>1.839626</v>
      </c>
    </row>
    <row r="266" spans="1:50" x14ac:dyDescent="0.35">
      <c r="A266" s="75">
        <v>25934</v>
      </c>
      <c r="B266">
        <v>23.419979999999999</v>
      </c>
      <c r="C266">
        <v>19.61195</v>
      </c>
      <c r="E266">
        <v>16.117989999999999</v>
      </c>
      <c r="F266">
        <v>35.2898</v>
      </c>
      <c r="G266">
        <v>1.0455060000000001E-3</v>
      </c>
      <c r="I266">
        <v>0.1468429</v>
      </c>
      <c r="L266">
        <v>30.466090000000001</v>
      </c>
      <c r="M266">
        <v>14.007110000000001</v>
      </c>
      <c r="O266">
        <v>5.0524610000000001</v>
      </c>
      <c r="R266">
        <v>12.38557</v>
      </c>
      <c r="S266">
        <v>14.98766</v>
      </c>
      <c r="U266">
        <v>16.891590000000001</v>
      </c>
      <c r="V266">
        <v>8.8201280000000004</v>
      </c>
      <c r="W266">
        <v>1.404463</v>
      </c>
      <c r="Y266">
        <v>0.91850080000000001</v>
      </c>
      <c r="Z266">
        <v>3.0957409999999999</v>
      </c>
      <c r="AB266">
        <v>0.1137687</v>
      </c>
      <c r="AC266">
        <v>1.539075E-3</v>
      </c>
      <c r="AD266">
        <v>5.8331090000000003</v>
      </c>
      <c r="AE266">
        <v>32.781880000000001</v>
      </c>
      <c r="AF266">
        <v>5.3730630000000001</v>
      </c>
      <c r="AH266">
        <v>20.575700000000001</v>
      </c>
      <c r="AJ266">
        <v>1.4601589999999999E-2</v>
      </c>
      <c r="AK266">
        <v>23.71238</v>
      </c>
      <c r="AL266">
        <v>13.40255</v>
      </c>
      <c r="AM266">
        <v>7.4574829999999999</v>
      </c>
      <c r="AN266">
        <v>5.411435</v>
      </c>
      <c r="AP266">
        <v>1.7952379999999999</v>
      </c>
      <c r="AU266">
        <v>14.010339999999999</v>
      </c>
      <c r="AV266">
        <v>7.0297999999999997E-5</v>
      </c>
      <c r="AW266">
        <v>16.79204</v>
      </c>
      <c r="AX266">
        <v>1.839626</v>
      </c>
    </row>
    <row r="267" spans="1:50" x14ac:dyDescent="0.35">
      <c r="A267" s="75">
        <v>25965</v>
      </c>
      <c r="B267">
        <v>23.45974</v>
      </c>
      <c r="C267">
        <v>19.766030000000001</v>
      </c>
      <c r="E267">
        <v>16.196999999999999</v>
      </c>
      <c r="F267">
        <v>35.440829999999998</v>
      </c>
      <c r="G267">
        <v>1.053163E-3</v>
      </c>
      <c r="I267">
        <v>0.1468429</v>
      </c>
      <c r="L267">
        <v>30.727039999999999</v>
      </c>
      <c r="M267">
        <v>14.007110000000001</v>
      </c>
      <c r="O267">
        <v>5.0486519999999997</v>
      </c>
      <c r="R267">
        <v>12.480600000000001</v>
      </c>
      <c r="S267">
        <v>15.06077</v>
      </c>
      <c r="U267">
        <v>16.952110000000001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5.4809099999999997</v>
      </c>
      <c r="AH267">
        <v>20.7148</v>
      </c>
      <c r="AJ267">
        <v>1.466217E-2</v>
      </c>
      <c r="AK267">
        <v>24.022629999999999</v>
      </c>
      <c r="AL267">
        <v>13.40255</v>
      </c>
      <c r="AM267">
        <v>7.4865550000000001</v>
      </c>
      <c r="AN267">
        <v>5.4426389999999998</v>
      </c>
      <c r="AP267">
        <v>1.8031379999999999</v>
      </c>
      <c r="AU267">
        <v>14.02543</v>
      </c>
      <c r="AV267">
        <v>7.1996999999999995E-5</v>
      </c>
      <c r="AW267">
        <v>16.834240000000001</v>
      </c>
      <c r="AX267">
        <v>1.839626</v>
      </c>
    </row>
    <row r="268" spans="1:50" x14ac:dyDescent="0.35">
      <c r="A268" s="75">
        <v>25993</v>
      </c>
      <c r="B268">
        <v>23.479620000000001</v>
      </c>
      <c r="C268">
        <v>19.848990000000001</v>
      </c>
      <c r="E268">
        <v>16.196999999999999</v>
      </c>
      <c r="F268">
        <v>35.65157</v>
      </c>
      <c r="G268">
        <v>1.0659230000000001E-3</v>
      </c>
      <c r="I268">
        <v>0.1468429</v>
      </c>
      <c r="L268">
        <v>30.857520000000001</v>
      </c>
      <c r="M268">
        <v>14.01647</v>
      </c>
      <c r="O268">
        <v>5.1019779999999999</v>
      </c>
      <c r="R268">
        <v>12.543950000000001</v>
      </c>
      <c r="S268">
        <v>15.119260000000001</v>
      </c>
      <c r="U268">
        <v>17.00891</v>
      </c>
      <c r="V268">
        <v>8.9401299999999999</v>
      </c>
      <c r="W268">
        <v>1.404463</v>
      </c>
      <c r="Y268">
        <v>0.94349400000000005</v>
      </c>
      <c r="Z268">
        <v>3.0957409999999999</v>
      </c>
      <c r="AB268">
        <v>0.1145123</v>
      </c>
      <c r="AC268">
        <v>1.5579669999999999E-3</v>
      </c>
      <c r="AD268">
        <v>5.8785470000000002</v>
      </c>
      <c r="AE268">
        <v>32.883690000000001</v>
      </c>
      <c r="AF268">
        <v>5.584098</v>
      </c>
      <c r="AH268">
        <v>20.89912</v>
      </c>
      <c r="AJ268">
        <v>1.4717829999999999E-2</v>
      </c>
      <c r="AK268">
        <v>24.177759999999999</v>
      </c>
      <c r="AL268">
        <v>13.474220000000001</v>
      </c>
      <c r="AM268">
        <v>7.5170820000000003</v>
      </c>
      <c r="AN268">
        <v>5.4747630000000003</v>
      </c>
      <c r="AP268">
        <v>1.848562</v>
      </c>
      <c r="AU268">
        <v>14.060639999999999</v>
      </c>
      <c r="AV268">
        <v>7.2675999999999993E-5</v>
      </c>
      <c r="AW268">
        <v>16.876429999999999</v>
      </c>
      <c r="AX268">
        <v>1.8856170000000001</v>
      </c>
    </row>
    <row r="269" spans="1:50" x14ac:dyDescent="0.35">
      <c r="A269" s="75">
        <v>26024</v>
      </c>
      <c r="B269">
        <v>23.618790000000001</v>
      </c>
      <c r="C269">
        <v>19.952279999999998</v>
      </c>
      <c r="E269">
        <v>16.35502</v>
      </c>
      <c r="F269">
        <v>35.681420000000003</v>
      </c>
      <c r="G269">
        <v>1.0922939999999999E-3</v>
      </c>
      <c r="I269">
        <v>0.1468429</v>
      </c>
      <c r="L269">
        <v>31.053229999999999</v>
      </c>
      <c r="M269">
        <v>14.15682</v>
      </c>
      <c r="O269">
        <v>5.1558489999999999</v>
      </c>
      <c r="R269">
        <v>12.62842</v>
      </c>
      <c r="S269">
        <v>15.206989999999999</v>
      </c>
      <c r="U269">
        <v>17.114329999999999</v>
      </c>
      <c r="V269">
        <v>9.1321329999999996</v>
      </c>
      <c r="W269">
        <v>1.4260699999999999</v>
      </c>
      <c r="Y269">
        <v>0.93099739999999997</v>
      </c>
      <c r="Z269">
        <v>3.0957409999999999</v>
      </c>
      <c r="AB269">
        <v>0.1145123</v>
      </c>
      <c r="AC269">
        <v>1.570103E-3</v>
      </c>
      <c r="AD269">
        <v>5.8955859999999998</v>
      </c>
      <c r="AE269">
        <v>33.290909999999997</v>
      </c>
      <c r="AF269">
        <v>5.5594659999999996</v>
      </c>
      <c r="AH269">
        <v>20.916509999999999</v>
      </c>
      <c r="AJ269">
        <v>1.479315E-2</v>
      </c>
      <c r="AK269">
        <v>24.488019999999999</v>
      </c>
      <c r="AL269">
        <v>13.474220000000001</v>
      </c>
      <c r="AM269">
        <v>7.5676680000000003</v>
      </c>
      <c r="AN269">
        <v>5.5248439999999999</v>
      </c>
      <c r="AP269">
        <v>1.8732489999999999</v>
      </c>
      <c r="AU269">
        <v>14.03214</v>
      </c>
      <c r="AV269">
        <v>7.4289999999999995E-5</v>
      </c>
      <c r="AW269">
        <v>16.918620000000001</v>
      </c>
      <c r="AX269">
        <v>1.8856170000000001</v>
      </c>
    </row>
    <row r="270" spans="1:50" x14ac:dyDescent="0.35">
      <c r="A270" s="75">
        <v>26054</v>
      </c>
      <c r="B270">
        <v>23.59891</v>
      </c>
      <c r="C270">
        <v>20.001380000000001</v>
      </c>
      <c r="E270">
        <v>16.35502</v>
      </c>
      <c r="F270">
        <v>36.073039999999999</v>
      </c>
      <c r="G270">
        <v>1.1229199999999999E-3</v>
      </c>
      <c r="I270">
        <v>0.1468429</v>
      </c>
      <c r="L270">
        <v>31.118469999999999</v>
      </c>
      <c r="M270">
        <v>14.38138</v>
      </c>
      <c r="O270">
        <v>5.1874099999999999</v>
      </c>
      <c r="R270">
        <v>12.67066</v>
      </c>
      <c r="S270">
        <v>15.30935</v>
      </c>
      <c r="U270">
        <v>17.191690000000001</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5.4609389999999998</v>
      </c>
      <c r="AH270">
        <v>21.06953</v>
      </c>
      <c r="AJ270">
        <v>1.4824260000000001E-2</v>
      </c>
      <c r="AK270">
        <v>24.59882</v>
      </c>
      <c r="AL270">
        <v>13.54589</v>
      </c>
      <c r="AM270">
        <v>7.6004810000000003</v>
      </c>
      <c r="AN270">
        <v>5.553693</v>
      </c>
      <c r="AP270">
        <v>1.882136</v>
      </c>
      <c r="AU270">
        <v>13.984640000000001</v>
      </c>
      <c r="AV270">
        <v>7.4969999999999995E-5</v>
      </c>
      <c r="AW270">
        <v>17.003</v>
      </c>
      <c r="AX270">
        <v>1.8856170000000001</v>
      </c>
    </row>
    <row r="271" spans="1:50" x14ac:dyDescent="0.35">
      <c r="A271" s="75">
        <v>26085</v>
      </c>
      <c r="B271">
        <v>23.85736</v>
      </c>
      <c r="C271">
        <v>20.043710000000001</v>
      </c>
      <c r="E271">
        <v>16.43403</v>
      </c>
      <c r="F271">
        <v>36.102899999999998</v>
      </c>
      <c r="G271">
        <v>1.1450379999999999E-3</v>
      </c>
      <c r="I271">
        <v>0.15500079999999999</v>
      </c>
      <c r="L271">
        <v>31.248940000000001</v>
      </c>
      <c r="M271">
        <v>14.42817</v>
      </c>
      <c r="O271">
        <v>5.2091760000000003</v>
      </c>
      <c r="R271">
        <v>12.91351</v>
      </c>
      <c r="S271">
        <v>15.36783</v>
      </c>
      <c r="U271">
        <v>17.288150000000002</v>
      </c>
      <c r="V271">
        <v>9.2581349999999993</v>
      </c>
      <c r="W271">
        <v>1.4260699999999999</v>
      </c>
      <c r="Y271">
        <v>0.89350759999999996</v>
      </c>
      <c r="Z271">
        <v>3.1467299999999998</v>
      </c>
      <c r="AB271">
        <v>0.11525589999999999</v>
      </c>
      <c r="AC271">
        <v>1.5808930000000001E-3</v>
      </c>
      <c r="AD271">
        <v>5.9353449999999999</v>
      </c>
      <c r="AE271">
        <v>33.494529999999997</v>
      </c>
      <c r="AF271">
        <v>5.451619</v>
      </c>
      <c r="AH271">
        <v>21.11647</v>
      </c>
      <c r="AJ271">
        <v>1.4891389999999999E-2</v>
      </c>
      <c r="AK271">
        <v>24.643139999999999</v>
      </c>
      <c r="AL271">
        <v>13.617559999999999</v>
      </c>
      <c r="AM271">
        <v>7.6404290000000001</v>
      </c>
      <c r="AN271">
        <v>5.5776289999999999</v>
      </c>
      <c r="AP271">
        <v>1.892998</v>
      </c>
      <c r="AU271">
        <v>14.02543</v>
      </c>
      <c r="AV271">
        <v>7.6286999999999997E-5</v>
      </c>
      <c r="AW271">
        <v>17.129570000000001</v>
      </c>
      <c r="AX271">
        <v>1.8856170000000001</v>
      </c>
    </row>
    <row r="272" spans="1:50" x14ac:dyDescent="0.35">
      <c r="A272" s="75">
        <v>26115</v>
      </c>
      <c r="B272">
        <v>24.036290000000001</v>
      </c>
      <c r="C272">
        <v>20.165620000000001</v>
      </c>
      <c r="E272">
        <v>16.59205</v>
      </c>
      <c r="F272">
        <v>36.254809999999999</v>
      </c>
      <c r="G272">
        <v>1.148441E-3</v>
      </c>
      <c r="I272">
        <v>0.15500079999999999</v>
      </c>
      <c r="L272">
        <v>31.37942</v>
      </c>
      <c r="M272">
        <v>14.44688</v>
      </c>
      <c r="O272">
        <v>5.2091760000000003</v>
      </c>
      <c r="R272">
        <v>12.97687</v>
      </c>
      <c r="S272">
        <v>15.440939999999999</v>
      </c>
      <c r="U272">
        <v>17.342310000000001</v>
      </c>
      <c r="V272">
        <v>9.3121360000000006</v>
      </c>
      <c r="W272">
        <v>1.404463</v>
      </c>
      <c r="Y272">
        <v>0.89350759999999996</v>
      </c>
      <c r="Z272">
        <v>3.1977180000000001</v>
      </c>
      <c r="AB272">
        <v>0.11525589999999999</v>
      </c>
      <c r="AC272">
        <v>1.572803E-3</v>
      </c>
      <c r="AD272">
        <v>5.9523840000000003</v>
      </c>
      <c r="AE272">
        <v>33.494529999999997</v>
      </c>
      <c r="AF272">
        <v>5.54948</v>
      </c>
      <c r="AH272">
        <v>21.133859999999999</v>
      </c>
      <c r="AJ272">
        <v>1.487993E-2</v>
      </c>
      <c r="AK272">
        <v>24.687470000000001</v>
      </c>
      <c r="AL272">
        <v>13.68923</v>
      </c>
      <c r="AM272">
        <v>7.675014</v>
      </c>
      <c r="AN272">
        <v>5.6109840000000002</v>
      </c>
      <c r="AP272">
        <v>1.9068229999999999</v>
      </c>
      <c r="AU272">
        <v>14.09361</v>
      </c>
      <c r="AV272">
        <v>8.0492000000000001E-5</v>
      </c>
      <c r="AW272">
        <v>17.171759999999999</v>
      </c>
      <c r="AX272">
        <v>1.8856170000000001</v>
      </c>
    </row>
    <row r="273" spans="1:50" x14ac:dyDescent="0.35">
      <c r="A273" s="75">
        <v>26146</v>
      </c>
      <c r="B273">
        <v>24.195340000000002</v>
      </c>
      <c r="C273">
        <v>20.241810000000001</v>
      </c>
      <c r="E273">
        <v>16.750070000000001</v>
      </c>
      <c r="F273">
        <v>36.314509999999999</v>
      </c>
      <c r="G273">
        <v>1.1612009999999999E-3</v>
      </c>
      <c r="I273">
        <v>0.15500079999999999</v>
      </c>
      <c r="L273">
        <v>31.37942</v>
      </c>
      <c r="M273">
        <v>14.503019999999999</v>
      </c>
      <c r="O273">
        <v>5.2184270000000001</v>
      </c>
      <c r="R273">
        <v>13.093019999999999</v>
      </c>
      <c r="S273">
        <v>15.49943</v>
      </c>
      <c r="U273">
        <v>17.377659999999999</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5.5987439999999999</v>
      </c>
      <c r="AH273">
        <v>21.15821</v>
      </c>
      <c r="AJ273">
        <v>1.5015830000000001E-2</v>
      </c>
      <c r="AK273">
        <v>24.842590000000001</v>
      </c>
      <c r="AL273">
        <v>13.68923</v>
      </c>
      <c r="AM273">
        <v>7.6976000000000004</v>
      </c>
      <c r="AN273">
        <v>5.6280900000000003</v>
      </c>
      <c r="AP273">
        <v>1.913735</v>
      </c>
      <c r="AU273">
        <v>14.289210000000001</v>
      </c>
      <c r="AV273">
        <v>8.2572999999999997E-5</v>
      </c>
      <c r="AW273">
        <v>17.213950000000001</v>
      </c>
      <c r="AX273">
        <v>1.931608</v>
      </c>
    </row>
    <row r="274" spans="1:50" x14ac:dyDescent="0.35">
      <c r="A274" s="75">
        <v>26177</v>
      </c>
      <c r="B274">
        <v>24.27487</v>
      </c>
      <c r="C274">
        <v>20.384039999999999</v>
      </c>
      <c r="E274">
        <v>16.671060000000001</v>
      </c>
      <c r="F274">
        <v>36.585839999999997</v>
      </c>
      <c r="G274">
        <v>1.1731109999999999E-3</v>
      </c>
      <c r="I274">
        <v>0.15500079999999999</v>
      </c>
      <c r="L274">
        <v>31.444659999999999</v>
      </c>
      <c r="M274">
        <v>14.60595</v>
      </c>
      <c r="O274">
        <v>5.2804599999999997</v>
      </c>
      <c r="R274">
        <v>13.198600000000001</v>
      </c>
      <c r="S274">
        <v>15.57254</v>
      </c>
      <c r="U274">
        <v>17.44584</v>
      </c>
      <c r="V274">
        <v>9.3301359999999995</v>
      </c>
      <c r="W274">
        <v>1.404463</v>
      </c>
      <c r="Y274">
        <v>0.88101099999999999</v>
      </c>
      <c r="Z274">
        <v>3.2960539999999998</v>
      </c>
      <c r="AB274">
        <v>0.1145123</v>
      </c>
      <c r="AC274">
        <v>1.632147E-3</v>
      </c>
      <c r="AD274">
        <v>6.0035020000000001</v>
      </c>
      <c r="AE274">
        <v>34.308979999999998</v>
      </c>
      <c r="AF274">
        <v>5.6919449999999996</v>
      </c>
      <c r="AH274">
        <v>21.255579999999998</v>
      </c>
      <c r="AJ274">
        <v>1.5064950000000001E-2</v>
      </c>
      <c r="AK274">
        <v>25.0642</v>
      </c>
      <c r="AL274">
        <v>13.760910000000001</v>
      </c>
      <c r="AM274">
        <v>7.7344749999999998</v>
      </c>
      <c r="AN274">
        <v>5.6597590000000002</v>
      </c>
      <c r="AP274">
        <v>1.9749589999999999</v>
      </c>
      <c r="AU274">
        <v>14.30542</v>
      </c>
      <c r="AV274">
        <v>8.3549999999999998E-5</v>
      </c>
      <c r="AW274">
        <v>17.213950000000001</v>
      </c>
      <c r="AX274">
        <v>1.931608</v>
      </c>
    </row>
    <row r="275" spans="1:50" x14ac:dyDescent="0.35">
      <c r="A275" s="75">
        <v>26207</v>
      </c>
      <c r="B275">
        <v>24.374269999999999</v>
      </c>
      <c r="C275">
        <v>20.438220000000001</v>
      </c>
      <c r="E275">
        <v>16.750070000000001</v>
      </c>
      <c r="F275">
        <v>36.736870000000003</v>
      </c>
      <c r="G275">
        <v>1.193527E-3</v>
      </c>
      <c r="I275">
        <v>0.15500079999999999</v>
      </c>
      <c r="L275">
        <v>31.575130000000001</v>
      </c>
      <c r="M275">
        <v>14.67144</v>
      </c>
      <c r="O275">
        <v>5.3386849999999999</v>
      </c>
      <c r="R275">
        <v>13.219720000000001</v>
      </c>
      <c r="S275">
        <v>15.66028</v>
      </c>
      <c r="U275">
        <v>17.506879999999999</v>
      </c>
      <c r="V275">
        <v>9.3841370000000008</v>
      </c>
      <c r="W275">
        <v>1.404463</v>
      </c>
      <c r="Y275">
        <v>0.89350759999999996</v>
      </c>
      <c r="Z275">
        <v>3.2960539999999998</v>
      </c>
      <c r="AB275">
        <v>0.11525589999999999</v>
      </c>
      <c r="AC275">
        <v>1.6672200000000001E-3</v>
      </c>
      <c r="AD275">
        <v>6.0319000000000003</v>
      </c>
      <c r="AE275">
        <v>34.410789999999999</v>
      </c>
      <c r="AF275">
        <v>5.6473420000000001</v>
      </c>
      <c r="AH275">
        <v>21.396429999999999</v>
      </c>
      <c r="AJ275">
        <v>1.507969E-2</v>
      </c>
      <c r="AK275">
        <v>25.241489999999999</v>
      </c>
      <c r="AL275">
        <v>13.904249999999999</v>
      </c>
      <c r="AM275">
        <v>7.7692839999999999</v>
      </c>
      <c r="AN275">
        <v>5.6959369999999998</v>
      </c>
      <c r="AP275">
        <v>2.0075460000000001</v>
      </c>
      <c r="AU275">
        <v>14.45072</v>
      </c>
      <c r="AV275">
        <v>8.5079000000000003E-5</v>
      </c>
      <c r="AW275">
        <v>17.256150000000002</v>
      </c>
      <c r="AX275">
        <v>1.977598</v>
      </c>
    </row>
    <row r="276" spans="1:50" x14ac:dyDescent="0.35">
      <c r="A276" s="75">
        <v>26238</v>
      </c>
      <c r="B276">
        <v>24.39415</v>
      </c>
      <c r="C276">
        <v>20.509329999999999</v>
      </c>
      <c r="E276">
        <v>16.750070000000001</v>
      </c>
      <c r="F276">
        <v>37.219810000000003</v>
      </c>
      <c r="G276">
        <v>1.2250029999999999E-3</v>
      </c>
      <c r="I276">
        <v>0.16315879999999999</v>
      </c>
      <c r="L276">
        <v>31.640370000000001</v>
      </c>
      <c r="M276">
        <v>14.774369999999999</v>
      </c>
      <c r="O276">
        <v>5.4110569999999996</v>
      </c>
      <c r="R276">
        <v>13.27252</v>
      </c>
      <c r="S276">
        <v>15.71876</v>
      </c>
      <c r="U276">
        <v>17.51219</v>
      </c>
      <c r="V276">
        <v>9.4381380000000004</v>
      </c>
      <c r="W276">
        <v>1.4260699999999999</v>
      </c>
      <c r="Y276">
        <v>0.91850080000000001</v>
      </c>
      <c r="Z276">
        <v>3.3142640000000001</v>
      </c>
      <c r="AA276">
        <v>8.6941690000000005</v>
      </c>
      <c r="AB276">
        <v>0.1159994</v>
      </c>
      <c r="AC276">
        <v>1.694201E-3</v>
      </c>
      <c r="AD276">
        <v>6.0602989999999997</v>
      </c>
      <c r="AE276">
        <v>34.105370000000001</v>
      </c>
      <c r="AF276">
        <v>5.6573279999999997</v>
      </c>
      <c r="AH276">
        <v>21.485109999999999</v>
      </c>
      <c r="AJ276">
        <v>1.510424E-2</v>
      </c>
      <c r="AK276">
        <v>25.307980000000001</v>
      </c>
      <c r="AL276">
        <v>13.97592</v>
      </c>
      <c r="AM276">
        <v>7.7817740000000004</v>
      </c>
      <c r="AN276">
        <v>5.7271830000000001</v>
      </c>
      <c r="AP276">
        <v>2.0569199999999999</v>
      </c>
      <c r="AU276">
        <v>14.439539999999999</v>
      </c>
      <c r="AV276">
        <v>8.5928999999999997E-5</v>
      </c>
      <c r="AW276">
        <v>17.256150000000002</v>
      </c>
      <c r="AX276">
        <v>1.977598</v>
      </c>
    </row>
    <row r="277" spans="1:50" x14ac:dyDescent="0.35">
      <c r="A277" s="75">
        <v>26268</v>
      </c>
      <c r="B277">
        <v>24.473680000000002</v>
      </c>
      <c r="C277">
        <v>20.597370000000002</v>
      </c>
      <c r="E277">
        <v>16.829070000000002</v>
      </c>
      <c r="F277">
        <v>37.400689999999997</v>
      </c>
      <c r="G277">
        <v>1.2590310000000001E-3</v>
      </c>
      <c r="I277">
        <v>0.16315879999999999</v>
      </c>
      <c r="L277">
        <v>31.770849999999999</v>
      </c>
      <c r="M277">
        <v>14.8118</v>
      </c>
      <c r="O277">
        <v>5.4817970000000003</v>
      </c>
      <c r="R277">
        <v>13.30419</v>
      </c>
      <c r="S277">
        <v>15.791869999999999</v>
      </c>
      <c r="U277">
        <v>17.584209999999999</v>
      </c>
      <c r="V277">
        <v>9.4861380000000004</v>
      </c>
      <c r="W277">
        <v>1.4476770000000001</v>
      </c>
      <c r="Y277">
        <v>0.91225250000000002</v>
      </c>
      <c r="Z277">
        <v>3.2814860000000001</v>
      </c>
      <c r="AB277">
        <v>0.116743</v>
      </c>
      <c r="AC277">
        <v>1.714438E-3</v>
      </c>
      <c r="AD277">
        <v>6.083018</v>
      </c>
      <c r="AE277">
        <v>34.105370000000001</v>
      </c>
      <c r="AF277">
        <v>5.7112509999999999</v>
      </c>
      <c r="AH277">
        <v>21.566839999999999</v>
      </c>
      <c r="AJ277">
        <v>1.517629E-2</v>
      </c>
      <c r="AK277">
        <v>25.440940000000001</v>
      </c>
      <c r="AL277">
        <v>13.97592</v>
      </c>
      <c r="AM277">
        <v>7.8149699999999998</v>
      </c>
      <c r="AN277">
        <v>5.7539920000000002</v>
      </c>
      <c r="AP277">
        <v>2.0292699999999999</v>
      </c>
      <c r="AU277">
        <v>14.568630000000001</v>
      </c>
      <c r="AV277">
        <v>8.5801000000000001E-5</v>
      </c>
      <c r="AW277">
        <v>17.340530000000001</v>
      </c>
      <c r="AX277">
        <v>1.977598</v>
      </c>
    </row>
    <row r="278" spans="1:50" x14ac:dyDescent="0.35">
      <c r="A278" s="75">
        <v>26299</v>
      </c>
      <c r="B278">
        <v>24.67249</v>
      </c>
      <c r="C278">
        <v>20.69388</v>
      </c>
      <c r="E278">
        <v>16.908080000000002</v>
      </c>
      <c r="F278">
        <v>37.641280000000002</v>
      </c>
      <c r="G278">
        <v>1.304969E-3</v>
      </c>
      <c r="I278">
        <v>0.16315879999999999</v>
      </c>
      <c r="L278">
        <v>32.162269999999999</v>
      </c>
      <c r="M278">
        <v>14.83051</v>
      </c>
      <c r="O278">
        <v>5.4861500000000003</v>
      </c>
      <c r="R278">
        <v>13.177490000000001</v>
      </c>
      <c r="S278">
        <v>15.835739999999999</v>
      </c>
      <c r="U278">
        <v>17.63128</v>
      </c>
      <c r="V278">
        <v>9.5401389999999999</v>
      </c>
      <c r="W278">
        <v>1.4476770000000001</v>
      </c>
      <c r="Y278">
        <v>0.93099739999999997</v>
      </c>
      <c r="Z278">
        <v>3.2632750000000001</v>
      </c>
      <c r="AB278">
        <v>0.11525589999999999</v>
      </c>
      <c r="AC278">
        <v>1.7387100000000001E-3</v>
      </c>
      <c r="AD278">
        <v>6.1057370000000004</v>
      </c>
      <c r="AE278">
        <v>34.105370000000001</v>
      </c>
      <c r="AF278">
        <v>5.7997930000000002</v>
      </c>
      <c r="AH278">
        <v>21.676380000000002</v>
      </c>
      <c r="AJ278">
        <v>1.5243410000000001E-2</v>
      </c>
      <c r="AK278">
        <v>25.66255</v>
      </c>
      <c r="AL278">
        <v>14.190939999999999</v>
      </c>
      <c r="AM278">
        <v>7.8404870000000004</v>
      </c>
      <c r="AN278">
        <v>5.7887570000000004</v>
      </c>
      <c r="AP278">
        <v>2.0421079999999998</v>
      </c>
      <c r="AU278">
        <v>14.69773</v>
      </c>
      <c r="AV278">
        <v>8.5716000000000004E-5</v>
      </c>
      <c r="AW278">
        <v>17.340530000000001</v>
      </c>
      <c r="AX278">
        <v>1.977598</v>
      </c>
    </row>
    <row r="279" spans="1:50" x14ac:dyDescent="0.35">
      <c r="A279" s="75">
        <v>26330</v>
      </c>
      <c r="B279">
        <v>24.791779999999999</v>
      </c>
      <c r="C279">
        <v>20.804600000000001</v>
      </c>
      <c r="E279">
        <v>16.987089999999998</v>
      </c>
      <c r="F279">
        <v>37.823050000000002</v>
      </c>
      <c r="G279">
        <v>1.389188E-3</v>
      </c>
      <c r="I279">
        <v>0.16315879999999999</v>
      </c>
      <c r="L279">
        <v>32.292749999999998</v>
      </c>
      <c r="M279">
        <v>14.89601</v>
      </c>
      <c r="O279">
        <v>5.4817970000000003</v>
      </c>
      <c r="R279">
        <v>13.28753</v>
      </c>
      <c r="S279">
        <v>15.92347</v>
      </c>
      <c r="U279">
        <v>17.719539999999999</v>
      </c>
      <c r="V279">
        <v>9.5881399999999992</v>
      </c>
      <c r="W279">
        <v>1.4260699999999999</v>
      </c>
      <c r="Y279">
        <v>0.94974239999999999</v>
      </c>
      <c r="Z279">
        <v>3.2450649999999999</v>
      </c>
      <c r="AA279">
        <v>8.8902269999999994</v>
      </c>
      <c r="AB279">
        <v>0.116743</v>
      </c>
      <c r="AC279">
        <v>1.729274E-3</v>
      </c>
      <c r="AD279">
        <v>6.1398159999999997</v>
      </c>
      <c r="AE279">
        <v>34.308979999999998</v>
      </c>
      <c r="AF279">
        <v>5.9855299999999998</v>
      </c>
      <c r="AH279">
        <v>21.742460000000001</v>
      </c>
      <c r="AJ279">
        <v>1.52909E-2</v>
      </c>
      <c r="AK279">
        <v>25.861999999999998</v>
      </c>
      <c r="AL279">
        <v>14.26261</v>
      </c>
      <c r="AM279">
        <v>7.8797350000000002</v>
      </c>
      <c r="AN279">
        <v>5.816452</v>
      </c>
      <c r="AP279">
        <v>2.0776569999999999</v>
      </c>
      <c r="AU279">
        <v>14.75361</v>
      </c>
      <c r="AV279">
        <v>8.6862999999999998E-5</v>
      </c>
      <c r="AW279">
        <v>17.424910000000001</v>
      </c>
      <c r="AX279">
        <v>1.977598</v>
      </c>
    </row>
    <row r="280" spans="1:50" x14ac:dyDescent="0.35">
      <c r="A280" s="75">
        <v>26359</v>
      </c>
      <c r="B280">
        <v>24.93094</v>
      </c>
      <c r="C280">
        <v>20.830770000000001</v>
      </c>
      <c r="E280">
        <v>17.066099999999999</v>
      </c>
      <c r="F280">
        <v>37.912610000000001</v>
      </c>
      <c r="G280">
        <v>1.427469E-3</v>
      </c>
      <c r="I280">
        <v>0.16315879999999999</v>
      </c>
      <c r="L280">
        <v>32.488460000000003</v>
      </c>
      <c r="M280">
        <v>14.99893</v>
      </c>
      <c r="O280">
        <v>5.5351239999999997</v>
      </c>
      <c r="R280">
        <v>13.37006</v>
      </c>
      <c r="S280">
        <v>15.99658</v>
      </c>
      <c r="U280">
        <v>17.79026</v>
      </c>
      <c r="V280">
        <v>9.6181400000000004</v>
      </c>
      <c r="W280">
        <v>1.4476770000000001</v>
      </c>
      <c r="Y280">
        <v>0.94974239999999999</v>
      </c>
      <c r="Z280">
        <v>3.2632750000000001</v>
      </c>
      <c r="AB280">
        <v>0.120461</v>
      </c>
      <c r="AC280">
        <v>1.764346E-3</v>
      </c>
      <c r="AD280">
        <v>6.1568550000000002</v>
      </c>
      <c r="AE280">
        <v>34.614409999999999</v>
      </c>
      <c r="AF280">
        <v>6.1526269999999998</v>
      </c>
      <c r="AH280">
        <v>21.778970000000001</v>
      </c>
      <c r="AJ280">
        <v>1.53744E-2</v>
      </c>
      <c r="AK280">
        <v>26.08361</v>
      </c>
      <c r="AL280">
        <v>14.33428</v>
      </c>
      <c r="AM280">
        <v>7.9153849999999997</v>
      </c>
      <c r="AN280">
        <v>5.8458889999999997</v>
      </c>
      <c r="AP280">
        <v>2.0993810000000002</v>
      </c>
      <c r="AU280">
        <v>14.817880000000001</v>
      </c>
      <c r="AV280">
        <v>8.6947999999999995E-5</v>
      </c>
      <c r="AW280">
        <v>17.467099999999999</v>
      </c>
      <c r="AX280">
        <v>1.977598</v>
      </c>
    </row>
    <row r="281" spans="1:50" x14ac:dyDescent="0.35">
      <c r="A281" s="75">
        <v>26390</v>
      </c>
      <c r="B281">
        <v>24.95083</v>
      </c>
      <c r="C281">
        <v>20.90324</v>
      </c>
      <c r="E281">
        <v>17.145109999999999</v>
      </c>
      <c r="F281">
        <v>37.943339999999999</v>
      </c>
      <c r="G281">
        <v>1.5082850000000001E-3</v>
      </c>
      <c r="I281">
        <v>0.17131669999999999</v>
      </c>
      <c r="L281">
        <v>32.618940000000002</v>
      </c>
      <c r="M281">
        <v>15.10186</v>
      </c>
      <c r="O281">
        <v>5.5351239999999997</v>
      </c>
      <c r="R281">
        <v>13.59014</v>
      </c>
      <c r="S281">
        <v>16.055070000000001</v>
      </c>
      <c r="U281">
        <v>17.86863</v>
      </c>
      <c r="V281">
        <v>9.7081420000000005</v>
      </c>
      <c r="W281">
        <v>1.490891</v>
      </c>
      <c r="Y281">
        <v>0.94974239999999999</v>
      </c>
      <c r="Z281">
        <v>3.2814860000000001</v>
      </c>
      <c r="AB281">
        <v>0.12417889999999999</v>
      </c>
      <c r="AC281">
        <v>1.784573E-3</v>
      </c>
      <c r="AD281">
        <v>6.168215</v>
      </c>
      <c r="AE281">
        <v>35.021630000000002</v>
      </c>
      <c r="AF281">
        <v>6.1919050000000002</v>
      </c>
      <c r="AH281">
        <v>21.82244</v>
      </c>
      <c r="AJ281">
        <v>1.5471E-2</v>
      </c>
      <c r="AK281">
        <v>26.438189999999999</v>
      </c>
      <c r="AL281">
        <v>14.405950000000001</v>
      </c>
      <c r="AM281">
        <v>7.952788</v>
      </c>
      <c r="AN281">
        <v>5.8739679999999996</v>
      </c>
      <c r="AP281">
        <v>2.0895069999999998</v>
      </c>
      <c r="AU281">
        <v>14.85421</v>
      </c>
      <c r="AV281">
        <v>8.7202999999999998E-5</v>
      </c>
      <c r="AW281">
        <v>17.50929</v>
      </c>
      <c r="AX281">
        <v>1.977598</v>
      </c>
    </row>
    <row r="282" spans="1:50" x14ac:dyDescent="0.35">
      <c r="A282" s="75">
        <v>26420</v>
      </c>
      <c r="B282">
        <v>25.010470000000002</v>
      </c>
      <c r="C282">
        <v>20.941490000000002</v>
      </c>
      <c r="E282">
        <v>17.145109999999999</v>
      </c>
      <c r="F282">
        <v>38.335839999999997</v>
      </c>
      <c r="G282">
        <v>1.572087E-3</v>
      </c>
      <c r="I282">
        <v>0.17131669999999999</v>
      </c>
      <c r="L282">
        <v>32.618940000000002</v>
      </c>
      <c r="M282">
        <v>15.251569999999999</v>
      </c>
      <c r="O282">
        <v>5.5623319999999996</v>
      </c>
      <c r="R282">
        <v>13.68643</v>
      </c>
      <c r="S282">
        <v>16.142810000000001</v>
      </c>
      <c r="U282">
        <v>17.922630000000002</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6.2165359999999996</v>
      </c>
      <c r="AH282">
        <v>21.905909999999999</v>
      </c>
      <c r="AJ282">
        <v>1.550211E-2</v>
      </c>
      <c r="AK282">
        <v>26.504670000000001</v>
      </c>
      <c r="AL282">
        <v>14.47762</v>
      </c>
      <c r="AM282">
        <v>7.9807319999999997</v>
      </c>
      <c r="AN282">
        <v>5.9043619999999999</v>
      </c>
      <c r="AP282">
        <v>2.1546799999999999</v>
      </c>
      <c r="AU282">
        <v>14.92742</v>
      </c>
      <c r="AV282">
        <v>8.8350000000000006E-5</v>
      </c>
      <c r="AW282">
        <v>17.551480000000002</v>
      </c>
      <c r="AX282">
        <v>1.977598</v>
      </c>
    </row>
    <row r="283" spans="1:50" x14ac:dyDescent="0.35">
      <c r="A283" s="75">
        <v>26451</v>
      </c>
      <c r="B283">
        <v>25.408090000000001</v>
      </c>
      <c r="C283">
        <v>21.1448</v>
      </c>
      <c r="E283">
        <v>17.145109999999999</v>
      </c>
      <c r="F283">
        <v>38.547460000000001</v>
      </c>
      <c r="G283">
        <v>1.605265E-3</v>
      </c>
      <c r="I283">
        <v>0.17131669999999999</v>
      </c>
      <c r="L283">
        <v>32.749409999999997</v>
      </c>
      <c r="M283">
        <v>15.35449</v>
      </c>
      <c r="O283">
        <v>5.5753909999999998</v>
      </c>
      <c r="R283">
        <v>13.74145</v>
      </c>
      <c r="S283">
        <v>16.230540000000001</v>
      </c>
      <c r="U283">
        <v>17.976949999999999</v>
      </c>
      <c r="V283">
        <v>9.8221439999999998</v>
      </c>
      <c r="W283">
        <v>1.490891</v>
      </c>
      <c r="Y283">
        <v>0.92474909999999999</v>
      </c>
      <c r="Z283">
        <v>3.3798210000000002</v>
      </c>
      <c r="AB283">
        <v>0.129384</v>
      </c>
      <c r="AC283">
        <v>1.777828E-3</v>
      </c>
      <c r="AD283">
        <v>6.2590909999999997</v>
      </c>
      <c r="AE283">
        <v>35.123440000000002</v>
      </c>
      <c r="AF283">
        <v>6.2504879999999998</v>
      </c>
      <c r="AH283">
        <v>22.15108</v>
      </c>
      <c r="AJ283">
        <v>1.5616720000000001E-2</v>
      </c>
      <c r="AK283">
        <v>26.571159999999999</v>
      </c>
      <c r="AL283">
        <v>14.62096</v>
      </c>
      <c r="AM283">
        <v>8.0104839999999999</v>
      </c>
      <c r="AN283">
        <v>5.9386840000000003</v>
      </c>
      <c r="AP283">
        <v>2.1003690000000002</v>
      </c>
      <c r="AU283">
        <v>15.00454</v>
      </c>
      <c r="AV283">
        <v>9.1237999999999996E-5</v>
      </c>
      <c r="AW283">
        <v>17.593679999999999</v>
      </c>
      <c r="AX283">
        <v>1.977598</v>
      </c>
    </row>
    <row r="284" spans="1:50" x14ac:dyDescent="0.35">
      <c r="A284" s="75">
        <v>26481</v>
      </c>
      <c r="B284">
        <v>25.5075</v>
      </c>
      <c r="C284">
        <v>21.301819999999999</v>
      </c>
      <c r="E284">
        <v>17.38214</v>
      </c>
      <c r="F284">
        <v>38.577309999999997</v>
      </c>
      <c r="G284">
        <v>1.676723E-3</v>
      </c>
      <c r="I284">
        <v>0.17131669999999999</v>
      </c>
      <c r="L284">
        <v>33.010359999999999</v>
      </c>
      <c r="M284">
        <v>15.38256</v>
      </c>
      <c r="O284">
        <v>5.651573</v>
      </c>
      <c r="R284">
        <v>13.86525</v>
      </c>
      <c r="S284">
        <v>16.36214</v>
      </c>
      <c r="U284">
        <v>18.06682</v>
      </c>
      <c r="V284">
        <v>9.8521439999999991</v>
      </c>
      <c r="W284">
        <v>1.469284</v>
      </c>
      <c r="Y284">
        <v>0.91850080000000001</v>
      </c>
      <c r="Z284">
        <v>3.44902</v>
      </c>
      <c r="AB284">
        <v>0.129384</v>
      </c>
      <c r="AC284">
        <v>1.789973E-3</v>
      </c>
      <c r="AD284">
        <v>6.2818100000000001</v>
      </c>
      <c r="AE284">
        <v>35.123440000000002</v>
      </c>
      <c r="AF284">
        <v>6.3190580000000001</v>
      </c>
      <c r="AH284">
        <v>22.3354</v>
      </c>
      <c r="AJ284">
        <v>1.5675669999999999E-2</v>
      </c>
      <c r="AK284">
        <v>26.482520000000001</v>
      </c>
      <c r="AL284">
        <v>14.76431</v>
      </c>
      <c r="AM284">
        <v>8.0541090000000004</v>
      </c>
      <c r="AN284">
        <v>5.9746860000000002</v>
      </c>
      <c r="AP284">
        <v>2.1141939999999999</v>
      </c>
      <c r="AU284">
        <v>15.092280000000001</v>
      </c>
      <c r="AV284">
        <v>9.2385000000000004E-5</v>
      </c>
      <c r="AW284">
        <v>17.678059999999999</v>
      </c>
      <c r="AX284">
        <v>2.0235889999999999</v>
      </c>
    </row>
    <row r="285" spans="1:50" x14ac:dyDescent="0.35">
      <c r="A285" s="75">
        <v>26512</v>
      </c>
      <c r="B285">
        <v>25.706309999999998</v>
      </c>
      <c r="C285">
        <v>21.338049999999999</v>
      </c>
      <c r="E285">
        <v>17.54016</v>
      </c>
      <c r="F285">
        <v>38.727460000000001</v>
      </c>
      <c r="G285">
        <v>2.057835E-3</v>
      </c>
      <c r="I285">
        <v>0.17131669999999999</v>
      </c>
      <c r="L285">
        <v>33.010359999999999</v>
      </c>
      <c r="M285">
        <v>15.438700000000001</v>
      </c>
      <c r="O285">
        <v>5.709797</v>
      </c>
      <c r="R285">
        <v>13.906510000000001</v>
      </c>
      <c r="S285">
        <v>16.449870000000001</v>
      </c>
      <c r="U285">
        <v>18.140129999999999</v>
      </c>
      <c r="V285">
        <v>9.9301449999999996</v>
      </c>
      <c r="W285">
        <v>1.4476770000000001</v>
      </c>
      <c r="Y285">
        <v>0.92474909999999999</v>
      </c>
      <c r="Z285">
        <v>3.4817979999999999</v>
      </c>
      <c r="AA285">
        <v>9.275582</v>
      </c>
      <c r="AB285">
        <v>0.13012760000000001</v>
      </c>
      <c r="AC285">
        <v>1.798064E-3</v>
      </c>
      <c r="AD285">
        <v>6.3215680000000001</v>
      </c>
      <c r="AE285">
        <v>35.42886</v>
      </c>
      <c r="AF285">
        <v>6.416919</v>
      </c>
      <c r="AH285">
        <v>22.410170000000001</v>
      </c>
      <c r="AJ285">
        <v>1.5778819999999999E-2</v>
      </c>
      <c r="AK285">
        <v>26.68196</v>
      </c>
      <c r="AL285">
        <v>14.76431</v>
      </c>
      <c r="AM285">
        <v>8.0876479999999997</v>
      </c>
      <c r="AN285">
        <v>5.9993930000000004</v>
      </c>
      <c r="AP285">
        <v>2.1043189999999998</v>
      </c>
      <c r="AU285">
        <v>15.14648</v>
      </c>
      <c r="AV285">
        <v>9.2597999999999997E-5</v>
      </c>
      <c r="AW285">
        <v>17.72025</v>
      </c>
      <c r="AX285">
        <v>2.0695800000000002</v>
      </c>
    </row>
    <row r="286" spans="1:50" x14ac:dyDescent="0.35">
      <c r="A286" s="75">
        <v>26543</v>
      </c>
      <c r="B286">
        <v>25.825600000000001</v>
      </c>
      <c r="C286">
        <v>21.480979999999999</v>
      </c>
      <c r="E286">
        <v>17.61917</v>
      </c>
      <c r="F286">
        <v>39.059379999999997</v>
      </c>
      <c r="G286">
        <v>2.5146589999999998E-3</v>
      </c>
      <c r="I286">
        <v>0.17947460000000001</v>
      </c>
      <c r="L286">
        <v>33.336559999999999</v>
      </c>
      <c r="M286">
        <v>15.56034</v>
      </c>
      <c r="O286">
        <v>5.7903310000000001</v>
      </c>
      <c r="R286">
        <v>13.989039999999999</v>
      </c>
      <c r="S286">
        <v>16.552219999999998</v>
      </c>
      <c r="U286">
        <v>18.229800000000001</v>
      </c>
      <c r="V286">
        <v>9.9841460000000009</v>
      </c>
      <c r="W286">
        <v>1.469284</v>
      </c>
      <c r="Y286">
        <v>0.93724569999999996</v>
      </c>
      <c r="Z286">
        <v>3.5000079999999998</v>
      </c>
      <c r="AB286">
        <v>0.13087119999999999</v>
      </c>
      <c r="AC286">
        <v>1.8236909999999999E-3</v>
      </c>
      <c r="AD286">
        <v>6.3840459999999997</v>
      </c>
      <c r="AE286">
        <v>35.632480000000001</v>
      </c>
      <c r="AF286">
        <v>6.4222450000000002</v>
      </c>
      <c r="AH286">
        <v>22.50929</v>
      </c>
      <c r="AJ286">
        <v>1.5850860000000001E-2</v>
      </c>
      <c r="AK286">
        <v>26.925740000000001</v>
      </c>
      <c r="AL286">
        <v>14.90765</v>
      </c>
      <c r="AM286">
        <v>8.1322589999999995</v>
      </c>
      <c r="AN286">
        <v>6.0519299999999996</v>
      </c>
      <c r="AP286">
        <v>2.1398679999999999</v>
      </c>
      <c r="AU286">
        <v>15.21466</v>
      </c>
      <c r="AV286">
        <v>9.3573999999999996E-5</v>
      </c>
      <c r="AW286">
        <v>17.762440000000002</v>
      </c>
      <c r="AX286">
        <v>2.0695800000000002</v>
      </c>
    </row>
    <row r="287" spans="1:50" x14ac:dyDescent="0.35">
      <c r="A287" s="75">
        <v>26573</v>
      </c>
      <c r="B287">
        <v>26.084050000000001</v>
      </c>
      <c r="C287">
        <v>21.603770000000001</v>
      </c>
      <c r="E287">
        <v>17.61917</v>
      </c>
      <c r="F287">
        <v>39.421140000000001</v>
      </c>
      <c r="G287">
        <v>2.898323E-3</v>
      </c>
      <c r="I287">
        <v>0.17947460000000001</v>
      </c>
      <c r="L287">
        <v>33.467030000000001</v>
      </c>
      <c r="M287">
        <v>15.67262</v>
      </c>
      <c r="O287">
        <v>5.8300549999999998</v>
      </c>
      <c r="R287">
        <v>14.04406</v>
      </c>
      <c r="S287">
        <v>16.698440000000002</v>
      </c>
      <c r="U287">
        <v>18.340199999999999</v>
      </c>
      <c r="V287">
        <v>10.12215</v>
      </c>
      <c r="W287">
        <v>1.490891</v>
      </c>
      <c r="Y287">
        <v>0.97473560000000004</v>
      </c>
      <c r="Z287">
        <v>3.5145770000000001</v>
      </c>
      <c r="AB287">
        <v>0.13087119999999999</v>
      </c>
      <c r="AC287">
        <v>1.866854E-3</v>
      </c>
      <c r="AD287">
        <v>6.4522019999999998</v>
      </c>
      <c r="AE287">
        <v>35.836089999999999</v>
      </c>
      <c r="AF287">
        <v>6.3483499999999999</v>
      </c>
      <c r="AH287">
        <v>22.617090000000001</v>
      </c>
      <c r="AJ287">
        <v>1.5862319999999999E-2</v>
      </c>
      <c r="AK287">
        <v>27.28031</v>
      </c>
      <c r="AL287">
        <v>14.97932</v>
      </c>
      <c r="AM287">
        <v>8.1818229999999996</v>
      </c>
      <c r="AN287">
        <v>6.1032080000000004</v>
      </c>
      <c r="AP287">
        <v>2.1527050000000001</v>
      </c>
      <c r="AU287">
        <v>15.261609999999999</v>
      </c>
      <c r="AV287">
        <v>9.4424000000000003E-5</v>
      </c>
      <c r="AW287">
        <v>17.846820000000001</v>
      </c>
      <c r="AX287">
        <v>2.11557</v>
      </c>
    </row>
    <row r="288" spans="1:50" x14ac:dyDescent="0.35">
      <c r="A288" s="75">
        <v>26604</v>
      </c>
      <c r="B288">
        <v>26.203340000000001</v>
      </c>
      <c r="C288">
        <v>21.762799999999999</v>
      </c>
      <c r="E288">
        <v>17.61917</v>
      </c>
      <c r="F288">
        <v>39.753050000000002</v>
      </c>
      <c r="G288">
        <v>3.060807E-3</v>
      </c>
      <c r="I288">
        <v>0.17947460000000001</v>
      </c>
      <c r="L288">
        <v>33.662739999999999</v>
      </c>
      <c r="M288">
        <v>15.80362</v>
      </c>
      <c r="O288">
        <v>5.8393059999999997</v>
      </c>
      <c r="R288">
        <v>14.154109999999999</v>
      </c>
      <c r="S288">
        <v>16.800799999999999</v>
      </c>
      <c r="U288">
        <v>18.393660000000001</v>
      </c>
      <c r="V288">
        <v>10.158149999999999</v>
      </c>
      <c r="W288">
        <v>1.490891</v>
      </c>
      <c r="Y288">
        <v>1.0809569999999999</v>
      </c>
      <c r="Z288">
        <v>3.5327869999999999</v>
      </c>
      <c r="AA288">
        <v>9.4107950000000002</v>
      </c>
      <c r="AB288">
        <v>0.13087119999999999</v>
      </c>
      <c r="AC288">
        <v>1.899226E-3</v>
      </c>
      <c r="AD288">
        <v>6.5033200000000004</v>
      </c>
      <c r="AE288">
        <v>35.734279999999998</v>
      </c>
      <c r="AF288">
        <v>6.2311820000000004</v>
      </c>
      <c r="AH288">
        <v>22.740549999999999</v>
      </c>
      <c r="AJ288">
        <v>1.5965469999999999E-2</v>
      </c>
      <c r="AK288">
        <v>27.391120000000001</v>
      </c>
      <c r="AL288">
        <v>15.050990000000001</v>
      </c>
      <c r="AM288">
        <v>8.2061039999999998</v>
      </c>
      <c r="AN288">
        <v>6.1354829999999998</v>
      </c>
      <c r="AP288">
        <v>2.165543</v>
      </c>
      <c r="AU288">
        <v>15.266080000000001</v>
      </c>
      <c r="AV288">
        <v>9.4933999999999996E-5</v>
      </c>
      <c r="AW288">
        <v>17.889009999999999</v>
      </c>
      <c r="AX288">
        <v>2.11557</v>
      </c>
    </row>
    <row r="289" spans="1:50" x14ac:dyDescent="0.35">
      <c r="A289" s="75">
        <v>26634</v>
      </c>
      <c r="B289">
        <v>26.342510000000001</v>
      </c>
      <c r="C289">
        <v>21.915790000000001</v>
      </c>
      <c r="E289">
        <v>17.698180000000001</v>
      </c>
      <c r="F289">
        <v>39.964669999999998</v>
      </c>
      <c r="G289">
        <v>3.3160149999999998E-3</v>
      </c>
      <c r="I289">
        <v>0.17947460000000001</v>
      </c>
      <c r="L289">
        <v>33.793219999999998</v>
      </c>
      <c r="M289">
        <v>15.85976</v>
      </c>
      <c r="O289">
        <v>5.8844700000000003</v>
      </c>
      <c r="R289">
        <v>14.181620000000001</v>
      </c>
      <c r="S289">
        <v>16.888529999999999</v>
      </c>
      <c r="U289">
        <v>18.46698</v>
      </c>
      <c r="V289">
        <v>10.212149999999999</v>
      </c>
      <c r="W289">
        <v>1.5341050000000001</v>
      </c>
      <c r="Y289">
        <v>1.149688</v>
      </c>
      <c r="Z289">
        <v>3.5327869999999999</v>
      </c>
      <c r="AB289">
        <v>0.13012760000000001</v>
      </c>
      <c r="AC289">
        <v>1.926208E-3</v>
      </c>
      <c r="AD289">
        <v>6.5317189999999998</v>
      </c>
      <c r="AE289">
        <v>36.039700000000003</v>
      </c>
      <c r="AF289">
        <v>6.2358419999999999</v>
      </c>
      <c r="AH289">
        <v>22.83445</v>
      </c>
      <c r="AJ289">
        <v>1.6019499999999999E-2</v>
      </c>
      <c r="AK289">
        <v>27.457599999999999</v>
      </c>
      <c r="AL289">
        <v>15.050990000000001</v>
      </c>
      <c r="AM289">
        <v>8.2415489999999991</v>
      </c>
      <c r="AN289">
        <v>6.169028</v>
      </c>
      <c r="AP289">
        <v>2.1951670000000001</v>
      </c>
      <c r="AU289">
        <v>15.478999999999999</v>
      </c>
      <c r="AV289">
        <v>9.5230999999999997E-5</v>
      </c>
      <c r="AW289">
        <v>17.9312</v>
      </c>
      <c r="AX289">
        <v>2.11557</v>
      </c>
    </row>
    <row r="290" spans="1:50" x14ac:dyDescent="0.35">
      <c r="A290" s="75">
        <v>26665</v>
      </c>
      <c r="B290">
        <v>26.660599999999999</v>
      </c>
      <c r="C290">
        <v>22.11307</v>
      </c>
      <c r="E290">
        <v>17.856200000000001</v>
      </c>
      <c r="F290">
        <v>40.416879999999999</v>
      </c>
      <c r="G290">
        <v>3.6571450000000001E-3</v>
      </c>
      <c r="I290">
        <v>0.18763260000000001</v>
      </c>
      <c r="L290">
        <v>34.184649999999998</v>
      </c>
      <c r="M290">
        <v>15.887829999999999</v>
      </c>
      <c r="O290">
        <v>5.928547</v>
      </c>
      <c r="R290">
        <v>14.31917</v>
      </c>
      <c r="S290">
        <v>16.888529999999999</v>
      </c>
      <c r="U290">
        <v>18.56427</v>
      </c>
      <c r="V290">
        <v>10.27815</v>
      </c>
      <c r="W290">
        <v>1.5341050000000001</v>
      </c>
      <c r="Y290">
        <v>1.130943</v>
      </c>
      <c r="Z290">
        <v>3.5327869999999999</v>
      </c>
      <c r="AB290">
        <v>0.1316147</v>
      </c>
      <c r="AC290">
        <v>1.9626259999999999E-3</v>
      </c>
      <c r="AD290">
        <v>6.5998760000000001</v>
      </c>
      <c r="AE290">
        <v>36.345129999999997</v>
      </c>
      <c r="AF290">
        <v>6.2551480000000002</v>
      </c>
      <c r="AH290">
        <v>22.916170000000001</v>
      </c>
      <c r="AJ290">
        <v>1.6251999999999999E-2</v>
      </c>
      <c r="AK290">
        <v>27.679210000000001</v>
      </c>
      <c r="AL290">
        <v>15.12266</v>
      </c>
      <c r="AM290">
        <v>8.2944440000000004</v>
      </c>
      <c r="AN290">
        <v>6.2193019999999999</v>
      </c>
      <c r="AP290">
        <v>2.2376290000000001</v>
      </c>
      <c r="AU290">
        <v>15.541029999999999</v>
      </c>
      <c r="AV290">
        <v>9.6207999999999998E-5</v>
      </c>
      <c r="AW290">
        <v>17.973389999999998</v>
      </c>
      <c r="AX290">
        <v>2.11557</v>
      </c>
    </row>
    <row r="291" spans="1:50" x14ac:dyDescent="0.35">
      <c r="A291" s="75">
        <v>26696</v>
      </c>
      <c r="B291">
        <v>26.779890000000002</v>
      </c>
      <c r="C291">
        <v>22.235859999999999</v>
      </c>
      <c r="E291">
        <v>18.014220000000002</v>
      </c>
      <c r="F291">
        <v>40.688200000000002</v>
      </c>
      <c r="G291">
        <v>3.8085689999999999E-3</v>
      </c>
      <c r="I291">
        <v>0.18763260000000001</v>
      </c>
      <c r="L291">
        <v>34.380360000000003</v>
      </c>
      <c r="M291">
        <v>16.056249999999999</v>
      </c>
      <c r="O291">
        <v>5.9377969999999998</v>
      </c>
      <c r="R291">
        <v>14.41545</v>
      </c>
      <c r="S291">
        <v>16.932400000000001</v>
      </c>
      <c r="U291">
        <v>18.695119999999999</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6.2751200000000003</v>
      </c>
      <c r="AH291">
        <v>23.02224</v>
      </c>
      <c r="AJ291">
        <v>1.638626E-2</v>
      </c>
      <c r="AK291">
        <v>27.790019999999998</v>
      </c>
      <c r="AL291">
        <v>15.26601</v>
      </c>
      <c r="AM291">
        <v>8.3503070000000008</v>
      </c>
      <c r="AN291">
        <v>6.2579510000000003</v>
      </c>
      <c r="AP291">
        <v>2.3077399999999999</v>
      </c>
      <c r="AU291">
        <v>15.66733</v>
      </c>
      <c r="AV291">
        <v>9.6675000000000005E-5</v>
      </c>
      <c r="AW291">
        <v>18.099969999999999</v>
      </c>
      <c r="AX291">
        <v>2.11557</v>
      </c>
    </row>
    <row r="292" spans="1:50" x14ac:dyDescent="0.35">
      <c r="A292" s="75">
        <v>26724</v>
      </c>
      <c r="B292">
        <v>26.83953</v>
      </c>
      <c r="C292">
        <v>22.28417</v>
      </c>
      <c r="E292">
        <v>18.014220000000002</v>
      </c>
      <c r="F292">
        <v>41.019240000000003</v>
      </c>
      <c r="G292">
        <v>4.0442120000000002E-3</v>
      </c>
      <c r="I292">
        <v>0.19579050000000001</v>
      </c>
      <c r="L292">
        <v>34.641309999999997</v>
      </c>
      <c r="M292">
        <v>16.149819999999998</v>
      </c>
      <c r="O292">
        <v>5.9867720000000002</v>
      </c>
      <c r="R292">
        <v>14.49799</v>
      </c>
      <c r="S292">
        <v>17.020130000000002</v>
      </c>
      <c r="U292">
        <v>18.886279999999999</v>
      </c>
      <c r="V292">
        <v>10.40415</v>
      </c>
      <c r="W292">
        <v>1.5773200000000001</v>
      </c>
      <c r="Y292">
        <v>1.149688</v>
      </c>
      <c r="Z292">
        <v>3.6347640000000001</v>
      </c>
      <c r="AB292">
        <v>0.1435121</v>
      </c>
      <c r="AC292">
        <v>2.030071E-3</v>
      </c>
      <c r="AD292">
        <v>6.7475500000000004</v>
      </c>
      <c r="AE292">
        <v>37.566809999999997</v>
      </c>
      <c r="AF292">
        <v>6.2851059999999999</v>
      </c>
      <c r="AH292">
        <v>23.10745</v>
      </c>
      <c r="AJ292">
        <v>1.6530349999999999E-2</v>
      </c>
      <c r="AK292">
        <v>28.078109999999999</v>
      </c>
      <c r="AL292">
        <v>15.481019999999999</v>
      </c>
      <c r="AM292">
        <v>8.4283079999999995</v>
      </c>
      <c r="AN292">
        <v>6.3027189999999997</v>
      </c>
      <c r="AP292">
        <v>2.2860149999999999</v>
      </c>
      <c r="AU292">
        <v>15.722659999999999</v>
      </c>
      <c r="AV292">
        <v>9.6844999999999999E-5</v>
      </c>
      <c r="AW292">
        <v>18.268730000000001</v>
      </c>
      <c r="AX292">
        <v>2.1615609999999998</v>
      </c>
    </row>
    <row r="293" spans="1:50" x14ac:dyDescent="0.35">
      <c r="A293" s="75">
        <v>26755</v>
      </c>
      <c r="B293">
        <v>26.938939999999999</v>
      </c>
      <c r="C293">
        <v>22.410990000000002</v>
      </c>
      <c r="E293">
        <v>18.251249999999999</v>
      </c>
      <c r="F293">
        <v>41.110550000000003</v>
      </c>
      <c r="G293">
        <v>4.4568000000000003E-3</v>
      </c>
      <c r="I293">
        <v>0.2039484</v>
      </c>
      <c r="L293">
        <v>34.837020000000003</v>
      </c>
      <c r="M293">
        <v>16.365020000000001</v>
      </c>
      <c r="O293">
        <v>6.0716590000000004</v>
      </c>
      <c r="R293">
        <v>14.6768</v>
      </c>
      <c r="S293">
        <v>17.13711</v>
      </c>
      <c r="U293">
        <v>19.068919999999999</v>
      </c>
      <c r="V293">
        <v>10.60215</v>
      </c>
      <c r="W293">
        <v>1.598927</v>
      </c>
      <c r="Y293">
        <v>1.18093</v>
      </c>
      <c r="Z293">
        <v>3.718531</v>
      </c>
      <c r="AB293">
        <v>0.14871719999999999</v>
      </c>
      <c r="AC293">
        <v>2.1083059999999999E-3</v>
      </c>
      <c r="AD293">
        <v>6.8157069999999997</v>
      </c>
      <c r="AE293">
        <v>38.27946</v>
      </c>
      <c r="AF293">
        <v>6.3190580000000001</v>
      </c>
      <c r="AH293">
        <v>23.3248</v>
      </c>
      <c r="AJ293">
        <v>1.6792319999999999E-2</v>
      </c>
      <c r="AK293">
        <v>28.543500000000002</v>
      </c>
      <c r="AL293">
        <v>15.55269</v>
      </c>
      <c r="AM293">
        <v>8.5170569999999994</v>
      </c>
      <c r="AN293">
        <v>6.366187</v>
      </c>
      <c r="AP293">
        <v>2.3037899999999998</v>
      </c>
      <c r="AU293">
        <v>15.83555</v>
      </c>
      <c r="AV293">
        <v>9.7822E-5</v>
      </c>
      <c r="AW293">
        <v>18.395309999999998</v>
      </c>
      <c r="AX293">
        <v>2.207551</v>
      </c>
    </row>
    <row r="294" spans="1:50" x14ac:dyDescent="0.35">
      <c r="A294" s="75">
        <v>26785</v>
      </c>
      <c r="B294">
        <v>27.038350000000001</v>
      </c>
      <c r="C294">
        <v>22.503589999999999</v>
      </c>
      <c r="E294">
        <v>18.330259999999999</v>
      </c>
      <c r="F294">
        <v>41.411740000000002</v>
      </c>
      <c r="G294">
        <v>5.3219579999999999E-3</v>
      </c>
      <c r="I294">
        <v>0.2121064</v>
      </c>
      <c r="L294">
        <v>35.09798</v>
      </c>
      <c r="M294">
        <v>16.570869999999999</v>
      </c>
      <c r="O294">
        <v>6.1608999999999998</v>
      </c>
      <c r="R294">
        <v>14.896890000000001</v>
      </c>
      <c r="S294">
        <v>17.29795</v>
      </c>
      <c r="U294">
        <v>19.237590000000001</v>
      </c>
      <c r="V294">
        <v>10.680160000000001</v>
      </c>
      <c r="W294">
        <v>1.6421410000000001</v>
      </c>
      <c r="Y294">
        <v>1.18093</v>
      </c>
      <c r="Z294">
        <v>3.8350770000000001</v>
      </c>
      <c r="AA294">
        <v>10.0801</v>
      </c>
      <c r="AB294">
        <v>0.1494608</v>
      </c>
      <c r="AC294">
        <v>2.137988E-3</v>
      </c>
      <c r="AD294">
        <v>6.9179430000000002</v>
      </c>
      <c r="AE294">
        <v>38.890300000000003</v>
      </c>
      <c r="AF294">
        <v>6.353675</v>
      </c>
      <c r="AH294">
        <v>23.611709999999999</v>
      </c>
      <c r="AJ294">
        <v>1.6970789999999999E-2</v>
      </c>
      <c r="AK294">
        <v>28.698619999999998</v>
      </c>
      <c r="AL294">
        <v>15.624359999999999</v>
      </c>
      <c r="AM294">
        <v>8.5938630000000007</v>
      </c>
      <c r="AN294">
        <v>6.430148</v>
      </c>
      <c r="AP294">
        <v>2.3472390000000001</v>
      </c>
      <c r="AU294">
        <v>15.894220000000001</v>
      </c>
      <c r="AV294">
        <v>9.9479000000000001E-5</v>
      </c>
      <c r="AW294">
        <v>18.521879999999999</v>
      </c>
      <c r="AX294">
        <v>2.207551</v>
      </c>
    </row>
    <row r="295" spans="1:50" x14ac:dyDescent="0.35">
      <c r="A295" s="75">
        <v>26816</v>
      </c>
      <c r="B295">
        <v>27.237159999999999</v>
      </c>
      <c r="C295">
        <v>22.61431</v>
      </c>
      <c r="E295">
        <v>18.48828</v>
      </c>
      <c r="F295">
        <v>41.712910000000001</v>
      </c>
      <c r="G295">
        <v>6.1547900000000003E-3</v>
      </c>
      <c r="I295">
        <v>0.2121064</v>
      </c>
      <c r="L295">
        <v>35.293689999999998</v>
      </c>
      <c r="M295">
        <v>16.70187</v>
      </c>
      <c r="O295">
        <v>6.2544940000000002</v>
      </c>
      <c r="R295">
        <v>15.04819</v>
      </c>
      <c r="S295">
        <v>17.429549999999999</v>
      </c>
      <c r="U295">
        <v>19.358779999999999</v>
      </c>
      <c r="V295">
        <v>10.734159999999999</v>
      </c>
      <c r="W295">
        <v>1.6853549999999999</v>
      </c>
      <c r="Y295">
        <v>1.2434130000000001</v>
      </c>
      <c r="Z295">
        <v>3.918844</v>
      </c>
      <c r="AB295">
        <v>0.15243519999999999</v>
      </c>
      <c r="AC295">
        <v>2.1447240000000002E-3</v>
      </c>
      <c r="AD295">
        <v>6.9804199999999996</v>
      </c>
      <c r="AE295">
        <v>38.992109999999997</v>
      </c>
      <c r="AF295">
        <v>6.339029</v>
      </c>
      <c r="AH295">
        <v>23.641269999999999</v>
      </c>
      <c r="AJ295">
        <v>1.7109949999999999E-2</v>
      </c>
      <c r="AK295">
        <v>28.76511</v>
      </c>
      <c r="AL295">
        <v>15.7677</v>
      </c>
      <c r="AM295">
        <v>8.6537269999999999</v>
      </c>
      <c r="AN295">
        <v>6.4843729999999997</v>
      </c>
      <c r="AP295">
        <v>2.353164</v>
      </c>
      <c r="AU295">
        <v>16.032820000000001</v>
      </c>
      <c r="AV295">
        <v>1.0224E-4</v>
      </c>
      <c r="AW295">
        <v>18.64845</v>
      </c>
      <c r="AX295">
        <v>2.207551</v>
      </c>
    </row>
    <row r="296" spans="1:50" x14ac:dyDescent="0.35">
      <c r="A296" s="75">
        <v>26846</v>
      </c>
      <c r="B296">
        <v>27.316680000000002</v>
      </c>
      <c r="C296">
        <v>22.712949999999999</v>
      </c>
      <c r="E296">
        <v>18.72531</v>
      </c>
      <c r="F296">
        <v>41.774380000000001</v>
      </c>
      <c r="G296">
        <v>7.0956609999999996E-3</v>
      </c>
      <c r="I296">
        <v>0.2202643</v>
      </c>
      <c r="L296">
        <v>35.424169999999997</v>
      </c>
      <c r="M296">
        <v>16.814150000000001</v>
      </c>
      <c r="O296">
        <v>6.3214249999999996</v>
      </c>
      <c r="R296">
        <v>15.433339999999999</v>
      </c>
      <c r="S296">
        <v>17.575769999999999</v>
      </c>
      <c r="U296">
        <v>19.444790000000001</v>
      </c>
      <c r="V296">
        <v>10.782159999999999</v>
      </c>
      <c r="W296">
        <v>1.6421410000000001</v>
      </c>
      <c r="Y296">
        <v>1.3058959999999999</v>
      </c>
      <c r="Z296">
        <v>4.0863779999999998</v>
      </c>
      <c r="AB296">
        <v>0.15392230000000001</v>
      </c>
      <c r="AC296">
        <v>2.1811510000000001E-3</v>
      </c>
      <c r="AD296">
        <v>7.0201779999999996</v>
      </c>
      <c r="AE296">
        <v>39.297530000000002</v>
      </c>
      <c r="AF296">
        <v>6.3729820000000004</v>
      </c>
      <c r="AH296">
        <v>23.615189999999998</v>
      </c>
      <c r="AJ296">
        <v>1.7548749999999998E-2</v>
      </c>
      <c r="AK296">
        <v>28.698619999999998</v>
      </c>
      <c r="AL296">
        <v>15.83938</v>
      </c>
      <c r="AM296">
        <v>8.7037259999999996</v>
      </c>
      <c r="AN296">
        <v>6.5155349999999999</v>
      </c>
      <c r="AP296">
        <v>2.3669880000000001</v>
      </c>
      <c r="AU296">
        <v>16.0915</v>
      </c>
      <c r="AV296">
        <v>1.02537E-4</v>
      </c>
      <c r="AW296">
        <v>18.690639999999998</v>
      </c>
      <c r="AX296">
        <v>2.2535419999999999</v>
      </c>
    </row>
    <row r="297" spans="1:50" x14ac:dyDescent="0.35">
      <c r="A297" s="75">
        <v>26877</v>
      </c>
      <c r="B297">
        <v>27.495609999999999</v>
      </c>
      <c r="C297">
        <v>22.817620000000002</v>
      </c>
      <c r="E297">
        <v>18.962340000000001</v>
      </c>
      <c r="F297">
        <v>41.925409999999999</v>
      </c>
      <c r="G297">
        <v>8.3062020000000004E-3</v>
      </c>
      <c r="I297">
        <v>0.2121064</v>
      </c>
      <c r="L297">
        <v>35.424169999999997</v>
      </c>
      <c r="M297">
        <v>16.917069999999999</v>
      </c>
      <c r="O297">
        <v>6.4253580000000001</v>
      </c>
      <c r="R297">
        <v>15.653420000000001</v>
      </c>
      <c r="S297">
        <v>17.69275</v>
      </c>
      <c r="U297">
        <v>19.665849999999999</v>
      </c>
      <c r="V297">
        <v>10.81216</v>
      </c>
      <c r="W297">
        <v>1.663748</v>
      </c>
      <c r="Y297">
        <v>1.3058959999999999</v>
      </c>
      <c r="Z297">
        <v>4.1555770000000001</v>
      </c>
      <c r="AA297">
        <v>10.31672</v>
      </c>
      <c r="AB297">
        <v>0.15615309999999999</v>
      </c>
      <c r="AC297">
        <v>2.1946320000000002E-3</v>
      </c>
      <c r="AD297">
        <v>7.0656160000000003</v>
      </c>
      <c r="AE297">
        <v>39.60295</v>
      </c>
      <c r="AF297">
        <v>6.4368910000000001</v>
      </c>
      <c r="AH297">
        <v>23.64649</v>
      </c>
      <c r="AJ297">
        <v>1.783038E-2</v>
      </c>
      <c r="AK297">
        <v>28.853750000000002</v>
      </c>
      <c r="AL297">
        <v>15.7677</v>
      </c>
      <c r="AM297">
        <v>8.7988630000000008</v>
      </c>
      <c r="AN297">
        <v>6.5502349999999998</v>
      </c>
      <c r="AP297">
        <v>2.3936500000000001</v>
      </c>
      <c r="AU297">
        <v>16.133410000000001</v>
      </c>
      <c r="AV297">
        <v>1.0368400000000001E-4</v>
      </c>
      <c r="AW297">
        <v>19.028169999999999</v>
      </c>
      <c r="AX297">
        <v>2.2535419999999999</v>
      </c>
    </row>
    <row r="298" spans="1:50" x14ac:dyDescent="0.35">
      <c r="A298" s="75">
        <v>26908</v>
      </c>
      <c r="B298">
        <v>27.51549</v>
      </c>
      <c r="C298">
        <v>22.92633</v>
      </c>
      <c r="E298">
        <v>19.041350000000001</v>
      </c>
      <c r="F298">
        <v>42.286299999999997</v>
      </c>
      <c r="G298">
        <v>9.7090010000000001E-3</v>
      </c>
      <c r="I298">
        <v>0.2202643</v>
      </c>
      <c r="L298">
        <v>35.424169999999997</v>
      </c>
      <c r="M298">
        <v>17.094850000000001</v>
      </c>
      <c r="O298">
        <v>6.5363660000000001</v>
      </c>
      <c r="R298">
        <v>15.77722</v>
      </c>
      <c r="S298">
        <v>17.853590000000001</v>
      </c>
      <c r="U298">
        <v>19.795449999999999</v>
      </c>
      <c r="V298">
        <v>10.908160000000001</v>
      </c>
      <c r="W298">
        <v>1.7501770000000001</v>
      </c>
      <c r="Y298">
        <v>1.349634</v>
      </c>
      <c r="Z298">
        <v>4.1737880000000001</v>
      </c>
      <c r="AB298">
        <v>0.15838379999999999</v>
      </c>
      <c r="AC298">
        <v>2.23106E-3</v>
      </c>
      <c r="AD298">
        <v>7.1053740000000003</v>
      </c>
      <c r="AE298">
        <v>40.722830000000002</v>
      </c>
      <c r="AF298">
        <v>6.4908149999999996</v>
      </c>
      <c r="AH298">
        <v>23.698650000000001</v>
      </c>
      <c r="AJ298">
        <v>1.825444E-2</v>
      </c>
      <c r="AK298">
        <v>29.141850000000002</v>
      </c>
      <c r="AL298">
        <v>15.911049999999999</v>
      </c>
      <c r="AM298">
        <v>8.8757610000000007</v>
      </c>
      <c r="AN298">
        <v>6.6119180000000002</v>
      </c>
      <c r="AP298">
        <v>2.462774</v>
      </c>
      <c r="AU298">
        <v>16.185939999999999</v>
      </c>
      <c r="AV298">
        <v>1.08399E-4</v>
      </c>
      <c r="AW298">
        <v>19.070360000000001</v>
      </c>
      <c r="AX298">
        <v>2.2535419999999999</v>
      </c>
    </row>
    <row r="299" spans="1:50" x14ac:dyDescent="0.35">
      <c r="A299" s="75">
        <v>26938</v>
      </c>
      <c r="B299">
        <v>27.91311</v>
      </c>
      <c r="C299">
        <v>23.081330000000001</v>
      </c>
      <c r="E299">
        <v>19.120360000000002</v>
      </c>
      <c r="F299">
        <v>43.16086</v>
      </c>
      <c r="G299">
        <v>1.8210859999999999E-2</v>
      </c>
      <c r="I299">
        <v>0.2202643</v>
      </c>
      <c r="L299">
        <v>35.685119999999998</v>
      </c>
      <c r="M299">
        <v>17.291350000000001</v>
      </c>
      <c r="O299">
        <v>6.6397550000000001</v>
      </c>
      <c r="R299">
        <v>15.87351</v>
      </c>
      <c r="S299">
        <v>18.043679999999998</v>
      </c>
      <c r="U299">
        <v>19.97139</v>
      </c>
      <c r="V299">
        <v>11.12416</v>
      </c>
      <c r="W299">
        <v>1.836605</v>
      </c>
      <c r="Y299">
        <v>1.387124</v>
      </c>
      <c r="Z299">
        <v>4.2721229999999997</v>
      </c>
      <c r="AB299">
        <v>0.1665633</v>
      </c>
      <c r="AC299">
        <v>2.2715230000000001E-3</v>
      </c>
      <c r="AD299">
        <v>7.162172</v>
      </c>
      <c r="AE299">
        <v>40.926450000000003</v>
      </c>
      <c r="AF299">
        <v>6.5008010000000001</v>
      </c>
      <c r="AH299">
        <v>23.86384</v>
      </c>
      <c r="AJ299">
        <v>1.8488569999999999E-2</v>
      </c>
      <c r="AK299">
        <v>29.429939999999998</v>
      </c>
      <c r="AL299">
        <v>16.054390000000001</v>
      </c>
      <c r="AM299">
        <v>8.9707439999999998</v>
      </c>
      <c r="AN299">
        <v>6.6987329999999998</v>
      </c>
      <c r="AP299">
        <v>2.510173</v>
      </c>
      <c r="AU299">
        <v>16.3536</v>
      </c>
      <c r="AV299">
        <v>1.11075E-4</v>
      </c>
      <c r="AW299">
        <v>19.239129999999999</v>
      </c>
      <c r="AX299">
        <v>2.2995329999999998</v>
      </c>
    </row>
    <row r="300" spans="1:50" x14ac:dyDescent="0.35">
      <c r="A300" s="75">
        <v>26969</v>
      </c>
      <c r="B300">
        <v>28.290859999999999</v>
      </c>
      <c r="C300">
        <v>23.224250000000001</v>
      </c>
      <c r="E300">
        <v>19.278379999999999</v>
      </c>
      <c r="F300">
        <v>44.06615</v>
      </c>
      <c r="G300">
        <v>1.9248709999999999E-2</v>
      </c>
      <c r="I300">
        <v>0.22842229999999999</v>
      </c>
      <c r="L300">
        <v>36.141779999999997</v>
      </c>
      <c r="M300">
        <v>17.581410000000002</v>
      </c>
      <c r="O300">
        <v>6.6479169999999996</v>
      </c>
      <c r="R300">
        <v>15.96979</v>
      </c>
      <c r="S300">
        <v>18.204519999999999</v>
      </c>
      <c r="U300">
        <v>20.134720000000002</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6.5786910000000001</v>
      </c>
      <c r="AH300">
        <v>24.013380000000002</v>
      </c>
      <c r="AJ300">
        <v>1.8716159999999999E-2</v>
      </c>
      <c r="AK300">
        <v>29.562909999999999</v>
      </c>
      <c r="AL300">
        <v>16.19773</v>
      </c>
      <c r="AM300">
        <v>9.0483340000000005</v>
      </c>
      <c r="AN300">
        <v>6.7714020000000001</v>
      </c>
      <c r="AP300">
        <v>2.5348600000000001</v>
      </c>
      <c r="AU300">
        <v>16.541930000000001</v>
      </c>
      <c r="AV300">
        <v>1.1230600000000001E-4</v>
      </c>
      <c r="AW300">
        <v>19.3657</v>
      </c>
      <c r="AX300">
        <v>2.2995329999999998</v>
      </c>
    </row>
    <row r="301" spans="1:50" x14ac:dyDescent="0.35">
      <c r="A301" s="75">
        <v>26999</v>
      </c>
      <c r="B301">
        <v>28.410139999999998</v>
      </c>
      <c r="C301">
        <v>23.514130000000002</v>
      </c>
      <c r="E301">
        <v>19.357389999999999</v>
      </c>
      <c r="F301">
        <v>44.729979999999998</v>
      </c>
      <c r="G301">
        <v>2.0162360000000001E-2</v>
      </c>
      <c r="I301">
        <v>0.22842229999999999</v>
      </c>
      <c r="L301">
        <v>36.467970000000001</v>
      </c>
      <c r="M301">
        <v>17.85275</v>
      </c>
      <c r="O301">
        <v>6.7202890000000002</v>
      </c>
      <c r="R301">
        <v>16.176120000000001</v>
      </c>
      <c r="S301">
        <v>18.3215</v>
      </c>
      <c r="U301">
        <v>20.349820000000001</v>
      </c>
      <c r="V301">
        <v>11.292160000000001</v>
      </c>
      <c r="W301">
        <v>2.0094620000000001</v>
      </c>
      <c r="Y301">
        <v>1.4621029999999999</v>
      </c>
      <c r="Z301">
        <v>4.3741000000000003</v>
      </c>
      <c r="AB301">
        <v>0.17325560000000001</v>
      </c>
      <c r="AC301">
        <v>2.4347399999999999E-3</v>
      </c>
      <c r="AD301">
        <v>7.3496040000000002</v>
      </c>
      <c r="AE301">
        <v>42.55536</v>
      </c>
      <c r="AF301">
        <v>6.7650930000000002</v>
      </c>
      <c r="AH301">
        <v>24.235949999999999</v>
      </c>
      <c r="AJ301">
        <v>1.9443129999999999E-2</v>
      </c>
      <c r="AK301">
        <v>29.718029999999999</v>
      </c>
      <c r="AL301">
        <v>16.269410000000001</v>
      </c>
      <c r="AM301">
        <v>9.1578630000000008</v>
      </c>
      <c r="AN301">
        <v>6.8435329999999999</v>
      </c>
      <c r="AP301">
        <v>2.6316329999999999</v>
      </c>
      <c r="AU301">
        <v>16.642520000000001</v>
      </c>
      <c r="AV301">
        <v>1.14048E-4</v>
      </c>
      <c r="AW301">
        <v>19.492270000000001</v>
      </c>
      <c r="AX301">
        <v>2.2995329999999998</v>
      </c>
    </row>
    <row r="302" spans="1:50" x14ac:dyDescent="0.35">
      <c r="A302" s="75">
        <v>27030</v>
      </c>
      <c r="B302">
        <v>28.827649999999998</v>
      </c>
      <c r="C302">
        <v>23.77985</v>
      </c>
      <c r="E302">
        <v>19.515409999999999</v>
      </c>
      <c r="F302">
        <v>45.091740000000001</v>
      </c>
      <c r="G302">
        <v>2.3008790000000001E-2</v>
      </c>
      <c r="I302">
        <v>0.23658019999999999</v>
      </c>
      <c r="L302">
        <v>36.728920000000002</v>
      </c>
      <c r="M302">
        <v>18.17089</v>
      </c>
      <c r="O302">
        <v>6.7600119999999997</v>
      </c>
      <c r="R302">
        <v>16.29992</v>
      </c>
      <c r="S302">
        <v>18.62856</v>
      </c>
      <c r="U302">
        <v>20.650839999999999</v>
      </c>
      <c r="V302">
        <v>11.50817</v>
      </c>
      <c r="W302">
        <v>2.0526759999999999</v>
      </c>
      <c r="Y302">
        <v>1.612063</v>
      </c>
      <c r="Z302">
        <v>4.4396570000000004</v>
      </c>
      <c r="AB302">
        <v>0.17771709999999999</v>
      </c>
      <c r="AC302">
        <v>2.5210660000000002E-3</v>
      </c>
      <c r="AD302">
        <v>7.4688790000000003</v>
      </c>
      <c r="AE302">
        <v>44.387889999999999</v>
      </c>
      <c r="AF302">
        <v>7.0546829999999998</v>
      </c>
      <c r="AH302">
        <v>24.467220000000001</v>
      </c>
      <c r="AJ302">
        <v>2.0138989999999999E-2</v>
      </c>
      <c r="AK302">
        <v>29.93965</v>
      </c>
      <c r="AL302">
        <v>16.556090000000001</v>
      </c>
      <c r="AM302">
        <v>9.3013530000000006</v>
      </c>
      <c r="AN302">
        <v>6.9316180000000003</v>
      </c>
      <c r="AP302">
        <v>2.6711320000000001</v>
      </c>
      <c r="AU302">
        <v>16.843150000000001</v>
      </c>
      <c r="AV302">
        <v>1.15152E-4</v>
      </c>
      <c r="AW302">
        <v>19.66104</v>
      </c>
      <c r="AX302">
        <v>2.3455240000000002</v>
      </c>
    </row>
    <row r="303" spans="1:50" x14ac:dyDescent="0.35">
      <c r="A303" s="75">
        <v>27061</v>
      </c>
      <c r="B303">
        <v>29.02646</v>
      </c>
      <c r="C303">
        <v>24.08784</v>
      </c>
      <c r="E303">
        <v>19.67343</v>
      </c>
      <c r="F303">
        <v>44.760710000000003</v>
      </c>
      <c r="G303">
        <v>2.86404E-2</v>
      </c>
      <c r="I303">
        <v>0.23658019999999999</v>
      </c>
      <c r="L303">
        <v>37.055109999999999</v>
      </c>
      <c r="M303">
        <v>18.227029999999999</v>
      </c>
      <c r="O303">
        <v>6.7828670000000004</v>
      </c>
      <c r="R303">
        <v>16.767600000000002</v>
      </c>
      <c r="S303">
        <v>18.877140000000001</v>
      </c>
      <c r="U303">
        <v>20.97495</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7.4268239999999999</v>
      </c>
      <c r="AH303">
        <v>24.926269999999999</v>
      </c>
      <c r="AJ303">
        <v>2.059416E-2</v>
      </c>
      <c r="AK303">
        <v>30.227740000000001</v>
      </c>
      <c r="AL303">
        <v>16.69943</v>
      </c>
      <c r="AM303">
        <v>9.4400510000000004</v>
      </c>
      <c r="AN303">
        <v>7.0168400000000002</v>
      </c>
      <c r="AP303">
        <v>2.84388</v>
      </c>
      <c r="AU303">
        <v>17.26285</v>
      </c>
      <c r="AV303">
        <v>1.15067E-4</v>
      </c>
      <c r="AW303">
        <v>19.914180000000002</v>
      </c>
      <c r="AX303">
        <v>2.3455240000000002</v>
      </c>
    </row>
    <row r="304" spans="1:50" x14ac:dyDescent="0.35">
      <c r="A304" s="75">
        <v>27089</v>
      </c>
      <c r="B304">
        <v>29.245149999999999</v>
      </c>
      <c r="C304">
        <v>24.389800000000001</v>
      </c>
      <c r="E304">
        <v>19.91046</v>
      </c>
      <c r="F304">
        <v>44.970570000000002</v>
      </c>
      <c r="G304">
        <v>3.2709290000000002E-2</v>
      </c>
      <c r="I304">
        <v>0.24473809999999999</v>
      </c>
      <c r="L304">
        <v>37.120350000000002</v>
      </c>
      <c r="M304">
        <v>18.386089999999999</v>
      </c>
      <c r="O304">
        <v>6.9303319999999999</v>
      </c>
      <c r="R304">
        <v>16.918900000000001</v>
      </c>
      <c r="S304">
        <v>19.09647</v>
      </c>
      <c r="U304">
        <v>21.209949999999999</v>
      </c>
      <c r="V304">
        <v>11.80738</v>
      </c>
      <c r="W304">
        <v>2.0958899999999998</v>
      </c>
      <c r="Y304">
        <v>1.6932910000000001</v>
      </c>
      <c r="Z304">
        <v>4.6254010000000001</v>
      </c>
      <c r="AB304">
        <v>0.19481960000000001</v>
      </c>
      <c r="AC304">
        <v>2.7975909999999999E-3</v>
      </c>
      <c r="AD304">
        <v>7.8267040000000003</v>
      </c>
      <c r="AE304">
        <v>46.118609999999997</v>
      </c>
      <c r="AF304">
        <v>7.7064279999999998</v>
      </c>
      <c r="AH304">
        <v>25.091460000000001</v>
      </c>
      <c r="AJ304">
        <v>2.0752989999999999E-2</v>
      </c>
      <c r="AK304">
        <v>30.670960000000001</v>
      </c>
      <c r="AL304">
        <v>16.842780000000001</v>
      </c>
      <c r="AM304">
        <v>9.557302</v>
      </c>
      <c r="AN304">
        <v>7.1158859999999997</v>
      </c>
      <c r="AP304">
        <v>2.942593</v>
      </c>
      <c r="AU304">
        <v>17.417090000000002</v>
      </c>
      <c r="AV304">
        <v>1.21481E-4</v>
      </c>
      <c r="AW304">
        <v>20.16733</v>
      </c>
      <c r="AX304">
        <v>2.3915139999999999</v>
      </c>
    </row>
    <row r="305" spans="1:50" x14ac:dyDescent="0.35">
      <c r="A305" s="75">
        <v>27120</v>
      </c>
      <c r="B305">
        <v>29.56325</v>
      </c>
      <c r="C305">
        <v>24.738050000000001</v>
      </c>
      <c r="E305">
        <v>20.068480000000001</v>
      </c>
      <c r="F305">
        <v>44.699249999999999</v>
      </c>
      <c r="G305">
        <v>3.7717340000000002E-2</v>
      </c>
      <c r="I305">
        <v>0.25289610000000001</v>
      </c>
      <c r="L305">
        <v>37.381300000000003</v>
      </c>
      <c r="M305">
        <v>18.694859999999998</v>
      </c>
      <c r="O305">
        <v>7.0821509999999996</v>
      </c>
      <c r="R305">
        <v>17.345310000000001</v>
      </c>
      <c r="S305">
        <v>19.40353</v>
      </c>
      <c r="U305">
        <v>21.44623</v>
      </c>
      <c r="V305">
        <v>12.21017</v>
      </c>
      <c r="W305">
        <v>2.1174970000000002</v>
      </c>
      <c r="Y305">
        <v>1.762022</v>
      </c>
      <c r="Z305">
        <v>4.7601570000000004</v>
      </c>
      <c r="AB305">
        <v>0.20894769999999999</v>
      </c>
      <c r="AC305">
        <v>2.8731260000000002E-3</v>
      </c>
      <c r="AD305">
        <v>7.9232589999999998</v>
      </c>
      <c r="AE305">
        <v>47.238480000000003</v>
      </c>
      <c r="AF305">
        <v>7.8488930000000003</v>
      </c>
      <c r="AH305">
        <v>25.416630000000001</v>
      </c>
      <c r="AJ305">
        <v>2.1034600000000001E-2</v>
      </c>
      <c r="AK305">
        <v>31.069859999999998</v>
      </c>
      <c r="AL305">
        <v>16.98612</v>
      </c>
      <c r="AM305">
        <v>9.672167</v>
      </c>
      <c r="AN305">
        <v>7.2209599999999998</v>
      </c>
      <c r="AP305">
        <v>2.9190900000000002</v>
      </c>
      <c r="AU305">
        <v>17.32264</v>
      </c>
      <c r="AV305">
        <v>1.2334999999999999E-4</v>
      </c>
      <c r="AW305">
        <v>20.251709999999999</v>
      </c>
      <c r="AX305">
        <v>2.3915139999999999</v>
      </c>
    </row>
    <row r="306" spans="1:50" x14ac:dyDescent="0.35">
      <c r="A306" s="75">
        <v>27150</v>
      </c>
      <c r="B306">
        <v>29.642769999999999</v>
      </c>
      <c r="C306">
        <v>25.100390000000001</v>
      </c>
      <c r="E306">
        <v>20.463519999999999</v>
      </c>
      <c r="F306">
        <v>45.48424</v>
      </c>
      <c r="G306">
        <v>4.0989119999999997E-2</v>
      </c>
      <c r="I306">
        <v>0.26105400000000001</v>
      </c>
      <c r="L306">
        <v>37.577010000000001</v>
      </c>
      <c r="M306">
        <v>18.938140000000001</v>
      </c>
      <c r="O306">
        <v>7.171392</v>
      </c>
      <c r="R306">
        <v>17.52413</v>
      </c>
      <c r="S306">
        <v>19.63749</v>
      </c>
      <c r="U306">
        <v>21.68337</v>
      </c>
      <c r="V306">
        <v>12.38279</v>
      </c>
      <c r="W306">
        <v>2.1607120000000002</v>
      </c>
      <c r="Y306">
        <v>1.762022</v>
      </c>
      <c r="Z306">
        <v>4.9459010000000001</v>
      </c>
      <c r="AA306">
        <v>11.71617</v>
      </c>
      <c r="AB306">
        <v>0.21489639999999999</v>
      </c>
      <c r="AC306">
        <v>2.9500160000000002E-3</v>
      </c>
      <c r="AD306">
        <v>8.0368549999999992</v>
      </c>
      <c r="AE306">
        <v>47.442100000000003</v>
      </c>
      <c r="AF306">
        <v>7.8881709999999998</v>
      </c>
      <c r="AH306">
        <v>25.646149999999999</v>
      </c>
      <c r="AJ306">
        <v>2.119998E-2</v>
      </c>
      <c r="AK306">
        <v>31.224989999999998</v>
      </c>
      <c r="AL306">
        <v>16.98612</v>
      </c>
      <c r="AM306">
        <v>9.7742719999999998</v>
      </c>
      <c r="AN306">
        <v>7.2980600000000004</v>
      </c>
      <c r="AP306">
        <v>2.9461189999999999</v>
      </c>
      <c r="AU306">
        <v>17.251110000000001</v>
      </c>
      <c r="AV306">
        <v>1.2543100000000001E-4</v>
      </c>
      <c r="AW306">
        <v>20.504860000000001</v>
      </c>
      <c r="AX306">
        <v>2.4375049999999998</v>
      </c>
    </row>
    <row r="307" spans="1:50" x14ac:dyDescent="0.35">
      <c r="A307" s="75">
        <v>27181</v>
      </c>
      <c r="B307">
        <v>30.020520000000001</v>
      </c>
      <c r="C307">
        <v>25.45871</v>
      </c>
      <c r="E307">
        <v>20.62154</v>
      </c>
      <c r="F307">
        <v>45.725709999999999</v>
      </c>
      <c r="G307">
        <v>4.9519050000000002E-2</v>
      </c>
      <c r="I307">
        <v>0.26105400000000001</v>
      </c>
      <c r="L307">
        <v>37.70749</v>
      </c>
      <c r="M307">
        <v>19.265630000000002</v>
      </c>
      <c r="O307">
        <v>7.2024090000000003</v>
      </c>
      <c r="R307">
        <v>17.579149999999998</v>
      </c>
      <c r="S307">
        <v>19.856819999999999</v>
      </c>
      <c r="U307">
        <v>21.862220000000001</v>
      </c>
      <c r="V307">
        <v>12.50938</v>
      </c>
      <c r="W307">
        <v>2.1823190000000001</v>
      </c>
      <c r="Y307">
        <v>1.780767</v>
      </c>
      <c r="Z307">
        <v>5.0624469999999997</v>
      </c>
      <c r="AB307">
        <v>0.21043490000000001</v>
      </c>
      <c r="AC307">
        <v>2.959452E-3</v>
      </c>
      <c r="AD307">
        <v>8.1504499999999993</v>
      </c>
      <c r="AE307">
        <v>47.747520000000002</v>
      </c>
      <c r="AF307">
        <v>7.8289210000000002</v>
      </c>
      <c r="AH307">
        <v>25.70701</v>
      </c>
      <c r="AJ307">
        <v>2.1409549999999999E-2</v>
      </c>
      <c r="AK307">
        <v>31.31363</v>
      </c>
      <c r="AL307">
        <v>17.057790000000001</v>
      </c>
      <c r="AM307">
        <v>9.8515680000000003</v>
      </c>
      <c r="AN307">
        <v>7.3609150000000003</v>
      </c>
      <c r="AP307">
        <v>2.9531700000000001</v>
      </c>
      <c r="AU307">
        <v>17.39753</v>
      </c>
      <c r="AV307">
        <v>1.27513E-4</v>
      </c>
      <c r="AW307">
        <v>20.67362</v>
      </c>
      <c r="AX307">
        <v>2.483495</v>
      </c>
    </row>
    <row r="308" spans="1:50" x14ac:dyDescent="0.35">
      <c r="A308" s="75">
        <v>27211</v>
      </c>
      <c r="B308">
        <v>30.060279999999999</v>
      </c>
      <c r="C308">
        <v>25.821059999999999</v>
      </c>
      <c r="E308">
        <v>20.77956</v>
      </c>
      <c r="F308">
        <v>45.876739999999998</v>
      </c>
      <c r="G308">
        <v>5.5218719999999999E-2</v>
      </c>
      <c r="I308">
        <v>0.26105400000000001</v>
      </c>
      <c r="L308">
        <v>37.837969999999999</v>
      </c>
      <c r="M308">
        <v>19.499549999999999</v>
      </c>
      <c r="O308">
        <v>7.2878410000000002</v>
      </c>
      <c r="R308">
        <v>17.936789999999998</v>
      </c>
      <c r="S308">
        <v>20.105399999999999</v>
      </c>
      <c r="U308">
        <v>22.08963</v>
      </c>
      <c r="V308">
        <v>12.624459999999999</v>
      </c>
      <c r="W308">
        <v>2.1823190000000001</v>
      </c>
      <c r="Y308">
        <v>1.787015</v>
      </c>
      <c r="Z308">
        <v>5.2336239999999998</v>
      </c>
      <c r="AB308">
        <v>0.21638360000000001</v>
      </c>
      <c r="AC308">
        <v>2.9999250000000001E-3</v>
      </c>
      <c r="AD308">
        <v>8.3151630000000001</v>
      </c>
      <c r="AE308">
        <v>48.663780000000003</v>
      </c>
      <c r="AF308">
        <v>8.0006780000000006</v>
      </c>
      <c r="AH308">
        <v>25.997399999999999</v>
      </c>
      <c r="AJ308">
        <v>2.1718999999999999E-2</v>
      </c>
      <c r="AK308">
        <v>31.424440000000001</v>
      </c>
      <c r="AL308">
        <v>17.2728</v>
      </c>
      <c r="AM308">
        <v>9.9633800000000008</v>
      </c>
      <c r="AN308">
        <v>7.4343360000000001</v>
      </c>
      <c r="AP308">
        <v>2.9778479999999998</v>
      </c>
      <c r="AU308">
        <v>17.44727</v>
      </c>
      <c r="AV308">
        <v>1.2908400000000001E-4</v>
      </c>
      <c r="AW308">
        <v>20.842390000000002</v>
      </c>
      <c r="AX308">
        <v>2.483495</v>
      </c>
    </row>
    <row r="309" spans="1:50" x14ac:dyDescent="0.35">
      <c r="A309" s="75">
        <v>27242</v>
      </c>
      <c r="B309">
        <v>30.219329999999999</v>
      </c>
      <c r="C309">
        <v>26.15119</v>
      </c>
      <c r="E309">
        <v>21.016590000000001</v>
      </c>
      <c r="F309">
        <v>46.328949999999999</v>
      </c>
      <c r="G309">
        <v>6.123485E-2</v>
      </c>
      <c r="I309">
        <v>0.26105400000000001</v>
      </c>
      <c r="L309">
        <v>37.903210000000001</v>
      </c>
      <c r="M309">
        <v>19.611830000000001</v>
      </c>
      <c r="O309">
        <v>7.408099</v>
      </c>
      <c r="R309">
        <v>18.198139999999999</v>
      </c>
      <c r="S309">
        <v>20.26624</v>
      </c>
      <c r="U309">
        <v>22.315770000000001</v>
      </c>
      <c r="V309">
        <v>12.63597</v>
      </c>
      <c r="W309">
        <v>2.1174970000000002</v>
      </c>
      <c r="Y309">
        <v>1.787015</v>
      </c>
      <c r="Z309">
        <v>5.4011579999999997</v>
      </c>
      <c r="AA309">
        <v>12.162369999999999</v>
      </c>
      <c r="AB309">
        <v>0.22084509999999999</v>
      </c>
      <c r="AC309">
        <v>3.0147609999999999E-3</v>
      </c>
      <c r="AD309">
        <v>8.4969149999999996</v>
      </c>
      <c r="AE309">
        <v>49.172820000000002</v>
      </c>
      <c r="AF309">
        <v>8.2509910000000009</v>
      </c>
      <c r="AH309">
        <v>26.047820000000002</v>
      </c>
      <c r="AJ309">
        <v>2.1948229999999999E-2</v>
      </c>
      <c r="AK309">
        <v>31.668209999999998</v>
      </c>
      <c r="AL309">
        <v>17.344480000000001</v>
      </c>
      <c r="AM309">
        <v>10.06466</v>
      </c>
      <c r="AN309">
        <v>7.4957159999999998</v>
      </c>
      <c r="AP309">
        <v>3.083612</v>
      </c>
      <c r="AU309">
        <v>17.624980000000001</v>
      </c>
      <c r="AV309">
        <v>1.3014600000000001E-4</v>
      </c>
      <c r="AW309">
        <v>21.09553</v>
      </c>
      <c r="AX309">
        <v>2.5294859999999999</v>
      </c>
    </row>
    <row r="310" spans="1:50" x14ac:dyDescent="0.35">
      <c r="A310" s="75">
        <v>27273</v>
      </c>
      <c r="B310">
        <v>30.298850000000002</v>
      </c>
      <c r="C310">
        <v>26.505479999999999</v>
      </c>
      <c r="E310">
        <v>21.174610000000001</v>
      </c>
      <c r="F310">
        <v>47.082340000000002</v>
      </c>
      <c r="G310">
        <v>6.9073159999999995E-2</v>
      </c>
      <c r="I310">
        <v>0.2692119</v>
      </c>
      <c r="L310">
        <v>37.968440000000001</v>
      </c>
      <c r="M310">
        <v>19.939319999999999</v>
      </c>
      <c r="O310">
        <v>7.5245480000000002</v>
      </c>
      <c r="R310">
        <v>18.583279999999998</v>
      </c>
      <c r="S310">
        <v>20.485569999999999</v>
      </c>
      <c r="U310">
        <v>22.58644</v>
      </c>
      <c r="V310">
        <v>12.77407</v>
      </c>
      <c r="W310">
        <v>2.1823190000000001</v>
      </c>
      <c r="Y310">
        <v>1.824505</v>
      </c>
      <c r="Z310">
        <v>5.6196799999999998</v>
      </c>
      <c r="AB310">
        <v>0.22902449999999999</v>
      </c>
      <c r="AC310">
        <v>3.0741050000000002E-3</v>
      </c>
      <c r="AD310">
        <v>8.7411440000000002</v>
      </c>
      <c r="AE310">
        <v>49.885469999999998</v>
      </c>
      <c r="AF310">
        <v>8.3881300000000003</v>
      </c>
      <c r="AH310">
        <v>26.204319999999999</v>
      </c>
      <c r="AJ310">
        <v>2.2197100000000001E-2</v>
      </c>
      <c r="AK310">
        <v>32.155760000000001</v>
      </c>
      <c r="AL310">
        <v>17.487819999999999</v>
      </c>
      <c r="AM310">
        <v>10.192299999999999</v>
      </c>
      <c r="AN310">
        <v>7.6001669999999999</v>
      </c>
      <c r="AP310">
        <v>3.2328570000000001</v>
      </c>
      <c r="AU310">
        <v>17.777550000000002</v>
      </c>
      <c r="AV310">
        <v>1.3341699999999999E-4</v>
      </c>
      <c r="AW310">
        <v>21.348680000000002</v>
      </c>
      <c r="AX310">
        <v>2.5754769999999998</v>
      </c>
    </row>
    <row r="311" spans="1:50" x14ac:dyDescent="0.35">
      <c r="A311" s="75">
        <v>27303</v>
      </c>
      <c r="B311">
        <v>30.696470000000001</v>
      </c>
      <c r="C311">
        <v>26.73094</v>
      </c>
      <c r="E311">
        <v>21.411639999999998</v>
      </c>
      <c r="F311">
        <v>47.384399999999999</v>
      </c>
      <c r="G311">
        <v>8.2122849999999997E-2</v>
      </c>
      <c r="I311">
        <v>0.2773699</v>
      </c>
      <c r="L311">
        <v>38.229399999999998</v>
      </c>
      <c r="M311">
        <v>20.201309999999999</v>
      </c>
      <c r="O311">
        <v>7.6045379999999998</v>
      </c>
      <c r="R311">
        <v>18.748339999999999</v>
      </c>
      <c r="S311">
        <v>20.73415</v>
      </c>
      <c r="U311">
        <v>22.878710000000002</v>
      </c>
      <c r="V311">
        <v>13.02725</v>
      </c>
      <c r="W311">
        <v>2.2039260000000001</v>
      </c>
      <c r="Y311">
        <v>1.8744909999999999</v>
      </c>
      <c r="Z311">
        <v>5.6342489999999996</v>
      </c>
      <c r="AB311">
        <v>0.2491014</v>
      </c>
      <c r="AC311">
        <v>3.1509960000000001E-3</v>
      </c>
      <c r="AD311">
        <v>8.9058569999999992</v>
      </c>
      <c r="AE311">
        <v>51.005339999999997</v>
      </c>
      <c r="AF311">
        <v>8.3095739999999996</v>
      </c>
      <c r="AH311">
        <v>26.451239999999999</v>
      </c>
      <c r="AJ311">
        <v>2.2637529999999999E-2</v>
      </c>
      <c r="AK311">
        <v>32.576819999999998</v>
      </c>
      <c r="AL311">
        <v>17.702829999999999</v>
      </c>
      <c r="AM311">
        <v>10.32813</v>
      </c>
      <c r="AN311">
        <v>7.6995199999999997</v>
      </c>
      <c r="AP311">
        <v>3.1447210000000001</v>
      </c>
      <c r="AU311">
        <v>18.328569999999999</v>
      </c>
      <c r="AV311">
        <v>1.3613500000000001E-4</v>
      </c>
      <c r="AW311">
        <v>21.559640000000002</v>
      </c>
      <c r="AX311">
        <v>2.5754769999999998</v>
      </c>
    </row>
    <row r="312" spans="1:50" x14ac:dyDescent="0.35">
      <c r="A312" s="75">
        <v>27334</v>
      </c>
      <c r="B312">
        <v>30.954930000000001</v>
      </c>
      <c r="C312">
        <v>27.01277</v>
      </c>
      <c r="E312">
        <v>21.569659999999999</v>
      </c>
      <c r="F312">
        <v>48.047339999999998</v>
      </c>
      <c r="G312">
        <v>9.0095579999999995E-2</v>
      </c>
      <c r="I312">
        <v>0.2855278</v>
      </c>
      <c r="L312">
        <v>38.490349999999999</v>
      </c>
      <c r="M312">
        <v>20.482009999999999</v>
      </c>
      <c r="O312">
        <v>7.8145810000000004</v>
      </c>
      <c r="R312">
        <v>18.872140000000002</v>
      </c>
      <c r="S312">
        <v>20.924230000000001</v>
      </c>
      <c r="U312">
        <v>23.096440000000001</v>
      </c>
      <c r="V312">
        <v>13.25741</v>
      </c>
      <c r="W312">
        <v>2.2471399999999999</v>
      </c>
      <c r="Y312">
        <v>1.9119809999999999</v>
      </c>
      <c r="Z312">
        <v>5.5686920000000004</v>
      </c>
      <c r="AA312">
        <v>12.7235</v>
      </c>
      <c r="AB312">
        <v>0.25430649999999999</v>
      </c>
      <c r="AC312">
        <v>3.5178919999999999E-3</v>
      </c>
      <c r="AD312">
        <v>9.0762499999999999</v>
      </c>
      <c r="AE312">
        <v>51.412570000000002</v>
      </c>
      <c r="AF312">
        <v>8.4220819999999996</v>
      </c>
      <c r="AH312">
        <v>26.75206</v>
      </c>
      <c r="AJ312">
        <v>2.3266269999999999E-2</v>
      </c>
      <c r="AK312">
        <v>32.820590000000003</v>
      </c>
      <c r="AL312">
        <v>17.7745</v>
      </c>
      <c r="AM312">
        <v>10.43956</v>
      </c>
      <c r="AN312">
        <v>7.8019910000000001</v>
      </c>
      <c r="AP312">
        <v>3.1082909999999999</v>
      </c>
      <c r="AU312">
        <v>18.49455</v>
      </c>
      <c r="AV312">
        <v>1.39066E-4</v>
      </c>
      <c r="AW312">
        <v>21.728400000000001</v>
      </c>
      <c r="AX312">
        <v>2.6214680000000001</v>
      </c>
    </row>
    <row r="313" spans="1:50" x14ac:dyDescent="0.35">
      <c r="A313" s="75">
        <v>27364</v>
      </c>
      <c r="B313">
        <v>31.153739999999999</v>
      </c>
      <c r="C313">
        <v>27.201989999999999</v>
      </c>
      <c r="E313">
        <v>21.80669</v>
      </c>
      <c r="F313">
        <v>48.107930000000003</v>
      </c>
      <c r="G313">
        <v>9.5949229999999996E-2</v>
      </c>
      <c r="I313">
        <v>0.2855278</v>
      </c>
      <c r="L313">
        <v>38.555579999999999</v>
      </c>
      <c r="M313">
        <v>20.613009999999999</v>
      </c>
      <c r="O313">
        <v>7.9217789999999999</v>
      </c>
      <c r="R313">
        <v>18.913409999999999</v>
      </c>
      <c r="S313">
        <v>21.099699999999999</v>
      </c>
      <c r="U313">
        <v>23.259260000000001</v>
      </c>
      <c r="V313">
        <v>13.453049999999999</v>
      </c>
      <c r="W313">
        <v>2.2687469999999998</v>
      </c>
      <c r="Y313">
        <v>1.955719</v>
      </c>
      <c r="Z313">
        <v>5.4849249999999996</v>
      </c>
      <c r="AB313">
        <v>0.26322950000000001</v>
      </c>
      <c r="AC313">
        <v>3.802508E-3</v>
      </c>
      <c r="AD313">
        <v>9.1500859999999999</v>
      </c>
      <c r="AE313">
        <v>51.514380000000003</v>
      </c>
      <c r="AF313">
        <v>8.5545609999999996</v>
      </c>
      <c r="AH313">
        <v>26.960719999999998</v>
      </c>
      <c r="AJ313">
        <v>2.3448009999999998E-2</v>
      </c>
      <c r="AK313">
        <v>32.953560000000003</v>
      </c>
      <c r="AL313">
        <v>17.917850000000001</v>
      </c>
      <c r="AM313">
        <v>10.516</v>
      </c>
      <c r="AN313">
        <v>7.8655710000000001</v>
      </c>
      <c r="AP313">
        <v>3.1200420000000002</v>
      </c>
      <c r="AU313">
        <v>18.56944</v>
      </c>
      <c r="AV313">
        <v>1.4212400000000001E-4</v>
      </c>
      <c r="AW313">
        <v>21.89716</v>
      </c>
      <c r="AX313">
        <v>2.6214680000000001</v>
      </c>
    </row>
    <row r="314" spans="1:50" x14ac:dyDescent="0.35">
      <c r="A314" s="75">
        <v>27395</v>
      </c>
      <c r="B314">
        <v>31.491720000000001</v>
      </c>
      <c r="C314">
        <v>27.495889999999999</v>
      </c>
      <c r="E314">
        <v>21.80669</v>
      </c>
      <c r="F314">
        <v>48.379249999999999</v>
      </c>
      <c r="G314">
        <v>0.1093145</v>
      </c>
      <c r="I314">
        <v>0.2936858</v>
      </c>
      <c r="L314">
        <v>38.947009999999999</v>
      </c>
      <c r="M314">
        <v>20.631720000000001</v>
      </c>
      <c r="O314">
        <v>8.0327859999999998</v>
      </c>
      <c r="R314">
        <v>19.436109999999999</v>
      </c>
      <c r="S314">
        <v>21.333649999999999</v>
      </c>
      <c r="U314">
        <v>23.454519999999999</v>
      </c>
      <c r="V314">
        <v>13.79829</v>
      </c>
      <c r="W314">
        <v>2.3119619999999999</v>
      </c>
      <c r="Y314">
        <v>1.974464</v>
      </c>
      <c r="Z314">
        <v>5.4849249999999996</v>
      </c>
      <c r="AB314">
        <v>0.2669474</v>
      </c>
      <c r="AC314">
        <v>3.876698E-3</v>
      </c>
      <c r="AD314">
        <v>9.269361</v>
      </c>
      <c r="AE314">
        <v>52.125219999999999</v>
      </c>
      <c r="AF314">
        <v>8.8494770000000003</v>
      </c>
      <c r="AH314">
        <v>27.15025</v>
      </c>
      <c r="AJ314">
        <v>2.374764E-2</v>
      </c>
      <c r="AK314">
        <v>33.263809999999999</v>
      </c>
      <c r="AL314">
        <v>18.419550000000001</v>
      </c>
      <c r="AM314">
        <v>10.62496</v>
      </c>
      <c r="AN314">
        <v>7.9768629999999998</v>
      </c>
      <c r="AP314">
        <v>3.2634110000000001</v>
      </c>
      <c r="AU314">
        <v>18.49399</v>
      </c>
      <c r="AV314">
        <v>1.43399E-4</v>
      </c>
      <c r="AW314">
        <v>21.981549999999999</v>
      </c>
      <c r="AX314">
        <v>2.6674579999999999</v>
      </c>
    </row>
    <row r="315" spans="1:50" x14ac:dyDescent="0.35">
      <c r="A315" s="75">
        <v>27426</v>
      </c>
      <c r="B315">
        <v>31.809819999999998</v>
      </c>
      <c r="C315">
        <v>27.805900000000001</v>
      </c>
      <c r="E315">
        <v>22.04372</v>
      </c>
      <c r="F315">
        <v>48.530279999999998</v>
      </c>
      <c r="G315">
        <v>0.127391</v>
      </c>
      <c r="I315">
        <v>0.30184369999999999</v>
      </c>
      <c r="L315">
        <v>39.14273</v>
      </c>
      <c r="M315">
        <v>20.687860000000001</v>
      </c>
      <c r="O315">
        <v>8.1095120000000005</v>
      </c>
      <c r="R315">
        <v>19.724959999999999</v>
      </c>
      <c r="S315">
        <v>21.494499999999999</v>
      </c>
      <c r="U315">
        <v>23.64188</v>
      </c>
      <c r="V315">
        <v>14.028460000000001</v>
      </c>
      <c r="W315">
        <v>2.3119619999999999</v>
      </c>
      <c r="Y315">
        <v>1.993209</v>
      </c>
      <c r="Z315">
        <v>5.4667139999999996</v>
      </c>
      <c r="AA315">
        <v>13.74436</v>
      </c>
      <c r="AB315">
        <v>0.27661400000000003</v>
      </c>
      <c r="AC315">
        <v>3.934697E-3</v>
      </c>
      <c r="AD315">
        <v>9.4056759999999997</v>
      </c>
      <c r="AE315">
        <v>52.227029999999999</v>
      </c>
      <c r="AF315">
        <v>9.0092510000000008</v>
      </c>
      <c r="AH315">
        <v>27.548439999999999</v>
      </c>
      <c r="AJ315">
        <v>2.387862E-2</v>
      </c>
      <c r="AK315">
        <v>33.352460000000001</v>
      </c>
      <c r="AL315">
        <v>18.491219999999998</v>
      </c>
      <c r="AM315">
        <v>10.710710000000001</v>
      </c>
      <c r="AN315">
        <v>8.0573340000000009</v>
      </c>
      <c r="AP315">
        <v>3.2128800000000002</v>
      </c>
      <c r="AU315">
        <v>18.6812</v>
      </c>
      <c r="AV315">
        <v>1.49813E-4</v>
      </c>
      <c r="AW315">
        <v>22.150310000000001</v>
      </c>
      <c r="AX315">
        <v>2.7134490000000002</v>
      </c>
    </row>
    <row r="316" spans="1:50" x14ac:dyDescent="0.35">
      <c r="A316" s="75">
        <v>27454</v>
      </c>
      <c r="B316">
        <v>31.948989999999998</v>
      </c>
      <c r="C316">
        <v>27.989080000000001</v>
      </c>
      <c r="E316">
        <v>22.122730000000001</v>
      </c>
      <c r="F316">
        <v>48.712040000000002</v>
      </c>
      <c r="G316">
        <v>0.15435289999999999</v>
      </c>
      <c r="I316">
        <v>0.31000159999999999</v>
      </c>
      <c r="L316">
        <v>39.338439999999999</v>
      </c>
      <c r="M316">
        <v>20.84693</v>
      </c>
      <c r="O316">
        <v>8.1622939999999993</v>
      </c>
      <c r="R316">
        <v>20.05509</v>
      </c>
      <c r="S316">
        <v>21.66996</v>
      </c>
      <c r="U316">
        <v>23.779109999999999</v>
      </c>
      <c r="V316">
        <v>14.304650000000001</v>
      </c>
      <c r="W316">
        <v>2.39839</v>
      </c>
      <c r="Y316">
        <v>2.0306989999999998</v>
      </c>
      <c r="Z316">
        <v>5.4011579999999997</v>
      </c>
      <c r="AB316">
        <v>0.29743439999999999</v>
      </c>
      <c r="AC316">
        <v>4.0304690000000001E-3</v>
      </c>
      <c r="AD316">
        <v>9.4170350000000003</v>
      </c>
      <c r="AE316">
        <v>52.634259999999998</v>
      </c>
      <c r="AF316">
        <v>9.1790099999999999</v>
      </c>
      <c r="AH316">
        <v>27.731020000000001</v>
      </c>
      <c r="AJ316">
        <v>2.4029249999999999E-2</v>
      </c>
      <c r="AK316">
        <v>33.840000000000003</v>
      </c>
      <c r="AL316">
        <v>18.706230000000001</v>
      </c>
      <c r="AM316">
        <v>10.784800000000001</v>
      </c>
      <c r="AN316">
        <v>8.1366060000000004</v>
      </c>
      <c r="AP316">
        <v>3.3762259999999999</v>
      </c>
      <c r="AU316">
        <v>18.787939999999999</v>
      </c>
      <c r="AV316">
        <v>1.5291299999999999E-4</v>
      </c>
      <c r="AW316">
        <v>22.234690000000001</v>
      </c>
      <c r="AX316">
        <v>2.7134490000000002</v>
      </c>
    </row>
    <row r="317" spans="1:50" x14ac:dyDescent="0.35">
      <c r="A317" s="75">
        <v>27485</v>
      </c>
      <c r="B317">
        <v>32.108040000000003</v>
      </c>
      <c r="C317">
        <v>28.301100000000002</v>
      </c>
      <c r="E317">
        <v>22.280750000000001</v>
      </c>
      <c r="F317">
        <v>48.832340000000002</v>
      </c>
      <c r="G317">
        <v>0.1864191</v>
      </c>
      <c r="I317">
        <v>0.31815959999999999</v>
      </c>
      <c r="L317">
        <v>39.664630000000002</v>
      </c>
      <c r="M317">
        <v>20.912420000000001</v>
      </c>
      <c r="O317">
        <v>8.3059510000000003</v>
      </c>
      <c r="R317">
        <v>20.4815</v>
      </c>
      <c r="S317">
        <v>21.860050000000001</v>
      </c>
      <c r="U317">
        <v>24.018239999999999</v>
      </c>
      <c r="V317">
        <v>14.857049999999999</v>
      </c>
      <c r="W317">
        <v>2.419997</v>
      </c>
      <c r="Y317">
        <v>2.0681889999999998</v>
      </c>
      <c r="Z317">
        <v>5.4339360000000001</v>
      </c>
      <c r="AB317">
        <v>0.31081900000000001</v>
      </c>
      <c r="AC317">
        <v>4.0992590000000001E-3</v>
      </c>
      <c r="AD317">
        <v>9.5419889999999992</v>
      </c>
      <c r="AE317">
        <v>53.550519999999999</v>
      </c>
      <c r="AF317">
        <v>9.4686000000000003</v>
      </c>
      <c r="AH317">
        <v>28.07357</v>
      </c>
      <c r="AJ317">
        <v>2.4232279999999998E-2</v>
      </c>
      <c r="AK317">
        <v>34.261060000000001</v>
      </c>
      <c r="AL317">
        <v>18.84958</v>
      </c>
      <c r="AM317">
        <v>10.90076</v>
      </c>
      <c r="AN317">
        <v>8.2499319999999994</v>
      </c>
      <c r="AP317">
        <v>3.345672</v>
      </c>
      <c r="AU317">
        <v>18.825949999999999</v>
      </c>
      <c r="AV317">
        <v>1.5350800000000001E-4</v>
      </c>
      <c r="AW317">
        <v>22.31907</v>
      </c>
      <c r="AX317">
        <v>2.759439</v>
      </c>
    </row>
    <row r="318" spans="1:50" x14ac:dyDescent="0.35">
      <c r="A318" s="75">
        <v>27515</v>
      </c>
      <c r="B318">
        <v>32.187559999999998</v>
      </c>
      <c r="C318">
        <v>28.538640000000001</v>
      </c>
      <c r="E318">
        <v>22.517779999999998</v>
      </c>
      <c r="F318">
        <v>49.194110000000002</v>
      </c>
      <c r="G318">
        <v>0.2161824</v>
      </c>
      <c r="I318">
        <v>0.32631749999999998</v>
      </c>
      <c r="L318">
        <v>39.860340000000001</v>
      </c>
      <c r="M318">
        <v>21.19313</v>
      </c>
      <c r="O318">
        <v>8.4082519999999992</v>
      </c>
      <c r="R318">
        <v>20.687830000000002</v>
      </c>
      <c r="S318">
        <v>22.020890000000001</v>
      </c>
      <c r="U318">
        <v>24.235289999999999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9.8081209999999999</v>
      </c>
      <c r="AH318">
        <v>28.245719999999999</v>
      </c>
      <c r="AJ318">
        <v>2.455647E-2</v>
      </c>
      <c r="AK318">
        <v>34.460509999999999</v>
      </c>
      <c r="AL318">
        <v>18.921250000000001</v>
      </c>
      <c r="AM318">
        <v>11.00056</v>
      </c>
      <c r="AN318">
        <v>8.3514459999999993</v>
      </c>
      <c r="AP318">
        <v>3.356249</v>
      </c>
      <c r="AU318">
        <v>19.124929999999999</v>
      </c>
      <c r="AV318">
        <v>1.5465499999999999E-4</v>
      </c>
      <c r="AW318">
        <v>22.445650000000001</v>
      </c>
      <c r="AX318">
        <v>2.759439</v>
      </c>
    </row>
    <row r="319" spans="1:50" x14ac:dyDescent="0.35">
      <c r="A319" s="75">
        <v>27546</v>
      </c>
      <c r="B319">
        <v>32.525539999999999</v>
      </c>
      <c r="C319">
        <v>28.641300000000001</v>
      </c>
      <c r="E319">
        <v>22.754809999999999</v>
      </c>
      <c r="F319">
        <v>49.374989999999997</v>
      </c>
      <c r="G319">
        <v>0.25891799999999998</v>
      </c>
      <c r="I319">
        <v>0.32631749999999998</v>
      </c>
      <c r="L319">
        <v>40.186529999999998</v>
      </c>
      <c r="M319">
        <v>21.314769999999999</v>
      </c>
      <c r="O319">
        <v>8.4311059999999998</v>
      </c>
      <c r="R319">
        <v>20.756609999999998</v>
      </c>
      <c r="S319">
        <v>22.181730000000002</v>
      </c>
      <c r="U319">
        <v>24.423030000000001</v>
      </c>
      <c r="V319">
        <v>15.777699999999999</v>
      </c>
      <c r="W319">
        <v>2.4416039999999999</v>
      </c>
      <c r="Y319">
        <v>2.0869339999999998</v>
      </c>
      <c r="Z319">
        <v>5.517703</v>
      </c>
      <c r="AB319">
        <v>0.3256907</v>
      </c>
      <c r="AC319">
        <v>4.1424219999999998E-3</v>
      </c>
      <c r="AD319">
        <v>9.6953429999999994</v>
      </c>
      <c r="AE319">
        <v>53.855939999999997</v>
      </c>
      <c r="AF319">
        <v>9.9379369999999998</v>
      </c>
      <c r="AH319">
        <v>28.449159999999999</v>
      </c>
      <c r="AJ319">
        <v>2.497398E-2</v>
      </c>
      <c r="AK319">
        <v>34.526989999999998</v>
      </c>
      <c r="AL319">
        <v>19.13626</v>
      </c>
      <c r="AM319">
        <v>11.0844</v>
      </c>
      <c r="AN319">
        <v>8.4238040000000005</v>
      </c>
      <c r="AP319">
        <v>3.4573119999999999</v>
      </c>
      <c r="AU319">
        <v>19.244520000000001</v>
      </c>
      <c r="AV319">
        <v>1.5440000000000001E-4</v>
      </c>
      <c r="AW319">
        <v>22.614409999999999</v>
      </c>
      <c r="AX319">
        <v>2.8054299999999999</v>
      </c>
    </row>
    <row r="320" spans="1:50" x14ac:dyDescent="0.35">
      <c r="A320" s="75">
        <v>27576</v>
      </c>
      <c r="B320">
        <v>32.744230000000002</v>
      </c>
      <c r="C320">
        <v>28.917090000000002</v>
      </c>
      <c r="E320">
        <v>23.07084</v>
      </c>
      <c r="F320">
        <v>49.284550000000003</v>
      </c>
      <c r="G320">
        <v>0.28300120000000001</v>
      </c>
      <c r="I320">
        <v>0.32631749999999998</v>
      </c>
      <c r="L320">
        <v>40.186529999999998</v>
      </c>
      <c r="M320">
        <v>21.427050000000001</v>
      </c>
      <c r="O320">
        <v>8.5649680000000004</v>
      </c>
      <c r="R320">
        <v>21.086729999999999</v>
      </c>
      <c r="S320">
        <v>22.342580000000002</v>
      </c>
      <c r="U320">
        <v>24.619959999999999</v>
      </c>
      <c r="V320">
        <v>15.93881</v>
      </c>
      <c r="W320">
        <v>2.419997</v>
      </c>
      <c r="Y320">
        <v>2.1056789999999999</v>
      </c>
      <c r="Z320">
        <v>5.4521470000000001</v>
      </c>
      <c r="AB320">
        <v>0.33312659999999999</v>
      </c>
      <c r="AC320">
        <v>4.1613129999999998E-3</v>
      </c>
      <c r="AD320">
        <v>9.7351019999999995</v>
      </c>
      <c r="AE320">
        <v>54.059559999999998</v>
      </c>
      <c r="AF320">
        <v>10.11835</v>
      </c>
      <c r="AH320">
        <v>28.699560000000002</v>
      </c>
      <c r="AJ320">
        <v>2.517374E-2</v>
      </c>
      <c r="AK320">
        <v>34.726439999999997</v>
      </c>
      <c r="AL320">
        <v>19.494620000000001</v>
      </c>
      <c r="AM320">
        <v>11.1753</v>
      </c>
      <c r="AN320">
        <v>8.4726660000000003</v>
      </c>
      <c r="AP320">
        <v>3.4831660000000002</v>
      </c>
      <c r="AU320">
        <v>19.492090000000001</v>
      </c>
      <c r="AV320">
        <v>1.5457000000000001E-4</v>
      </c>
      <c r="AW320">
        <v>22.867560000000001</v>
      </c>
      <c r="AX320">
        <v>2.8514210000000002</v>
      </c>
    </row>
    <row r="321" spans="1:50" x14ac:dyDescent="0.35">
      <c r="A321" s="75">
        <v>27607</v>
      </c>
      <c r="B321">
        <v>32.883400000000002</v>
      </c>
      <c r="C321">
        <v>29.136510000000001</v>
      </c>
      <c r="E321">
        <v>23.307870000000001</v>
      </c>
      <c r="F321">
        <v>49.435580000000002</v>
      </c>
      <c r="G321">
        <v>0.30820649999999999</v>
      </c>
      <c r="I321">
        <v>0.32631749999999998</v>
      </c>
      <c r="L321">
        <v>40.121290000000002</v>
      </c>
      <c r="M321">
        <v>21.492540000000002</v>
      </c>
      <c r="O321">
        <v>8.6993729999999996</v>
      </c>
      <c r="R321">
        <v>21.34808</v>
      </c>
      <c r="S321">
        <v>22.488800000000001</v>
      </c>
      <c r="U321">
        <v>24.67231</v>
      </c>
      <c r="V321">
        <v>16.03088</v>
      </c>
      <c r="W321">
        <v>2.3767830000000001</v>
      </c>
      <c r="Y321">
        <v>2.1244239999999999</v>
      </c>
      <c r="Z321">
        <v>5.4011579999999997</v>
      </c>
      <c r="AA321">
        <v>14.43158</v>
      </c>
      <c r="AB321">
        <v>0.341306</v>
      </c>
      <c r="AC321">
        <v>4.1626579999999996E-3</v>
      </c>
      <c r="AD321">
        <v>9.7975790000000007</v>
      </c>
      <c r="AE321">
        <v>53.855939999999997</v>
      </c>
      <c r="AF321">
        <v>10.338039999999999</v>
      </c>
      <c r="AH321">
        <v>28.817799999999998</v>
      </c>
      <c r="AJ321">
        <v>2.5391500000000001E-2</v>
      </c>
      <c r="AK321">
        <v>35.058860000000003</v>
      </c>
      <c r="AL321">
        <v>19.42295</v>
      </c>
      <c r="AM321">
        <v>11.210039999999999</v>
      </c>
      <c r="AN321">
        <v>8.5098819999999993</v>
      </c>
      <c r="AP321">
        <v>3.4326340000000002</v>
      </c>
      <c r="AU321">
        <v>19.7011</v>
      </c>
      <c r="AV321">
        <v>1.5508000000000001E-4</v>
      </c>
      <c r="AW321">
        <v>22.909749999999999</v>
      </c>
      <c r="AX321">
        <v>2.8514210000000002</v>
      </c>
    </row>
    <row r="322" spans="1:50" x14ac:dyDescent="0.35">
      <c r="A322" s="75">
        <v>27638</v>
      </c>
      <c r="B322">
        <v>32.943040000000003</v>
      </c>
      <c r="C322">
        <v>29.386119999999998</v>
      </c>
      <c r="E322">
        <v>23.386880000000001</v>
      </c>
      <c r="F322">
        <v>49.615580000000001</v>
      </c>
      <c r="G322">
        <v>0.33664620000000001</v>
      </c>
      <c r="I322">
        <v>0.33447549999999998</v>
      </c>
      <c r="L322">
        <v>40.317010000000003</v>
      </c>
      <c r="M322">
        <v>21.689039999999999</v>
      </c>
      <c r="O322">
        <v>8.8375880000000002</v>
      </c>
      <c r="R322">
        <v>21.650690000000001</v>
      </c>
      <c r="S322">
        <v>22.678889999999999</v>
      </c>
      <c r="U322">
        <v>24.874310000000001</v>
      </c>
      <c r="V322">
        <v>16.168980000000001</v>
      </c>
      <c r="W322">
        <v>2.4848180000000002</v>
      </c>
      <c r="Y322">
        <v>2.2056520000000002</v>
      </c>
      <c r="Z322">
        <v>5.368379</v>
      </c>
      <c r="AB322">
        <v>0.35022910000000002</v>
      </c>
      <c r="AC322">
        <v>4.2489850000000003E-3</v>
      </c>
      <c r="AD322">
        <v>9.8770950000000006</v>
      </c>
      <c r="AE322">
        <v>55.077629999999999</v>
      </c>
      <c r="AF322">
        <v>10.69753</v>
      </c>
      <c r="AH322">
        <v>29.035150000000002</v>
      </c>
      <c r="AJ322">
        <v>2.5576519999999998E-2</v>
      </c>
      <c r="AK322">
        <v>35.502079999999999</v>
      </c>
      <c r="AL322">
        <v>19.709630000000001</v>
      </c>
      <c r="AM322">
        <v>11.31273</v>
      </c>
      <c r="AN322">
        <v>8.5922230000000006</v>
      </c>
      <c r="AP322">
        <v>3.5901049999999999</v>
      </c>
      <c r="AU322">
        <v>19.75084</v>
      </c>
      <c r="AV322">
        <v>1.57076E-4</v>
      </c>
      <c r="AW322">
        <v>23.03632</v>
      </c>
      <c r="AX322">
        <v>2.897411</v>
      </c>
    </row>
    <row r="323" spans="1:50" x14ac:dyDescent="0.35">
      <c r="A323" s="75">
        <v>27668</v>
      </c>
      <c r="B323">
        <v>33.062330000000003</v>
      </c>
      <c r="C323">
        <v>29.720279999999999</v>
      </c>
      <c r="E323">
        <v>23.544899999999998</v>
      </c>
      <c r="F323">
        <v>49.677050000000001</v>
      </c>
      <c r="G323">
        <v>0.36496079999999997</v>
      </c>
      <c r="I323">
        <v>0.33447549999999998</v>
      </c>
      <c r="L323">
        <v>40.382240000000003</v>
      </c>
      <c r="M323">
        <v>21.136990000000001</v>
      </c>
      <c r="O323">
        <v>8.8375880000000002</v>
      </c>
      <c r="R323">
        <v>21.980820000000001</v>
      </c>
      <c r="S323">
        <v>22.85435</v>
      </c>
      <c r="U323">
        <v>25.063300000000002</v>
      </c>
      <c r="V323">
        <v>16.399139999999999</v>
      </c>
      <c r="W323">
        <v>2.5496400000000001</v>
      </c>
      <c r="Y323">
        <v>2.224396</v>
      </c>
      <c r="Z323">
        <v>5.3173899999999996</v>
      </c>
      <c r="AB323">
        <v>0.35989569999999999</v>
      </c>
      <c r="AC323">
        <v>4.5174189999999999E-3</v>
      </c>
      <c r="AD323">
        <v>9.9850100000000008</v>
      </c>
      <c r="AE323">
        <v>55.892090000000003</v>
      </c>
      <c r="AF323">
        <v>10.84732</v>
      </c>
      <c r="AH323">
        <v>29.488990000000001</v>
      </c>
      <c r="AJ323">
        <v>2.5707500000000001E-2</v>
      </c>
      <c r="AK323">
        <v>35.812339999999999</v>
      </c>
      <c r="AL323">
        <v>19.781300000000002</v>
      </c>
      <c r="AM323">
        <v>11.409409999999999</v>
      </c>
      <c r="AN323">
        <v>8.6566740000000006</v>
      </c>
      <c r="AP323">
        <v>3.5595509999999999</v>
      </c>
      <c r="AU323">
        <v>19.959849999999999</v>
      </c>
      <c r="AV323">
        <v>1.6081400000000001E-4</v>
      </c>
      <c r="AW323">
        <v>23.1629</v>
      </c>
      <c r="AX323">
        <v>2.897411</v>
      </c>
    </row>
    <row r="324" spans="1:50" x14ac:dyDescent="0.35">
      <c r="A324" s="75">
        <v>27699</v>
      </c>
      <c r="B324">
        <v>33.121969999999997</v>
      </c>
      <c r="C324">
        <v>30.04035</v>
      </c>
      <c r="E324">
        <v>23.781929999999999</v>
      </c>
      <c r="F324">
        <v>49.827199999999998</v>
      </c>
      <c r="G324">
        <v>0.39481939999999999</v>
      </c>
      <c r="I324">
        <v>0.33447549999999998</v>
      </c>
      <c r="L324">
        <v>40.512720000000002</v>
      </c>
      <c r="M324">
        <v>21.48319</v>
      </c>
      <c r="O324">
        <v>8.8952679999999997</v>
      </c>
      <c r="R324">
        <v>22.200900000000001</v>
      </c>
      <c r="S324">
        <v>23.00057</v>
      </c>
      <c r="U324">
        <v>25.218170000000001</v>
      </c>
      <c r="V324">
        <v>16.59478</v>
      </c>
      <c r="W324">
        <v>2.592854</v>
      </c>
      <c r="Y324">
        <v>2.28688</v>
      </c>
      <c r="Z324">
        <v>5.2991809999999999</v>
      </c>
      <c r="AA324">
        <v>14.790100000000001</v>
      </c>
      <c r="AB324">
        <v>0.3651008</v>
      </c>
      <c r="AC324">
        <v>4.660399E-3</v>
      </c>
      <c r="AD324">
        <v>10.098610000000001</v>
      </c>
      <c r="AE324">
        <v>55.688470000000002</v>
      </c>
      <c r="AF324">
        <v>10.767429999999999</v>
      </c>
      <c r="AH324">
        <v>29.721990000000002</v>
      </c>
      <c r="AJ324">
        <v>2.5887609999999998E-2</v>
      </c>
      <c r="AK324">
        <v>35.900979999999997</v>
      </c>
      <c r="AL324">
        <v>19.92465</v>
      </c>
      <c r="AM324">
        <v>11.478899999999999</v>
      </c>
      <c r="AN324">
        <v>8.722899</v>
      </c>
      <c r="AP324">
        <v>3.5666020000000001</v>
      </c>
      <c r="AU324">
        <v>20.163270000000001</v>
      </c>
      <c r="AV324">
        <v>1.6297999999999999E-4</v>
      </c>
      <c r="AW324">
        <v>23.331659999999999</v>
      </c>
      <c r="AX324">
        <v>2.9434019999999999</v>
      </c>
    </row>
    <row r="325" spans="1:50" x14ac:dyDescent="0.35">
      <c r="A325" s="75">
        <v>27729</v>
      </c>
      <c r="B325">
        <v>33.261139999999997</v>
      </c>
      <c r="C325">
        <v>30.2014</v>
      </c>
      <c r="E325">
        <v>23.860939999999999</v>
      </c>
      <c r="F325">
        <v>49.76661</v>
      </c>
      <c r="G325">
        <v>0.42284640000000001</v>
      </c>
      <c r="I325">
        <v>0.33447549999999998</v>
      </c>
      <c r="L325">
        <v>40.6432</v>
      </c>
      <c r="M325">
        <v>21.501899999999999</v>
      </c>
      <c r="O325">
        <v>9.0383820000000004</v>
      </c>
      <c r="R325">
        <v>22.338450000000002</v>
      </c>
      <c r="S325">
        <v>23.132169999999999</v>
      </c>
      <c r="U325">
        <v>25.328209999999999</v>
      </c>
      <c r="V325">
        <v>16.801929999999999</v>
      </c>
      <c r="W325">
        <v>2.6360679999999999</v>
      </c>
      <c r="Y325">
        <v>2.3368660000000001</v>
      </c>
      <c r="Z325">
        <v>5.1462139999999996</v>
      </c>
      <c r="AA325">
        <v>14.790100000000001</v>
      </c>
      <c r="AB325">
        <v>0.3688187</v>
      </c>
      <c r="AC325">
        <v>4.6968169999999998E-3</v>
      </c>
      <c r="AD325">
        <v>10.17812</v>
      </c>
      <c r="AE325">
        <v>55.688470000000002</v>
      </c>
      <c r="AF325">
        <v>10.817360000000001</v>
      </c>
      <c r="AH325">
        <v>29.895879999999998</v>
      </c>
      <c r="AJ325">
        <v>2.6098819999999998E-2</v>
      </c>
      <c r="AK325">
        <v>35.967460000000003</v>
      </c>
      <c r="AL325">
        <v>19.92465</v>
      </c>
      <c r="AM325">
        <v>11.54124</v>
      </c>
      <c r="AN325">
        <v>8.7965450000000001</v>
      </c>
      <c r="AP325">
        <v>3.788707</v>
      </c>
      <c r="AU325">
        <v>20.218599999999999</v>
      </c>
      <c r="AV325">
        <v>1.65231E-4</v>
      </c>
      <c r="AW325">
        <v>23.416039999999999</v>
      </c>
      <c r="AX325">
        <v>2.9434019999999999</v>
      </c>
    </row>
    <row r="326" spans="1:50" x14ac:dyDescent="0.35">
      <c r="A326" s="75">
        <v>27760</v>
      </c>
      <c r="B326">
        <v>33.77805</v>
      </c>
      <c r="C326">
        <v>30.47315</v>
      </c>
      <c r="E326">
        <v>23.93995</v>
      </c>
      <c r="F326">
        <v>50.038809999999998</v>
      </c>
      <c r="G326">
        <v>0.46712690000000001</v>
      </c>
      <c r="I326">
        <v>0.34263339999999998</v>
      </c>
      <c r="J326">
        <v>0.49801279999999998</v>
      </c>
      <c r="L326">
        <v>40.969389999999997</v>
      </c>
      <c r="M326">
        <v>21.623539999999998</v>
      </c>
      <c r="O326">
        <v>9.1455789999999997</v>
      </c>
      <c r="R326">
        <v>22.792380000000001</v>
      </c>
      <c r="S326">
        <v>23.380749999999999</v>
      </c>
      <c r="U326">
        <v>25.504079999999998</v>
      </c>
      <c r="V326">
        <v>17.020579999999999</v>
      </c>
      <c r="W326">
        <v>2.6360679999999999</v>
      </c>
      <c r="Y326">
        <v>2.3868529999999999</v>
      </c>
      <c r="Z326">
        <v>5.0151000000000003</v>
      </c>
      <c r="AA326">
        <v>15.92055</v>
      </c>
      <c r="AB326">
        <v>0.37402380000000002</v>
      </c>
      <c r="AC326">
        <v>4.7602160000000003E-3</v>
      </c>
      <c r="AD326">
        <v>10.28604</v>
      </c>
      <c r="AE326">
        <v>56.706539999999997</v>
      </c>
      <c r="AF326">
        <v>10.887259999999999</v>
      </c>
      <c r="AH326">
        <v>30.356670000000001</v>
      </c>
      <c r="AJ326">
        <v>2.6603120000000001E-2</v>
      </c>
      <c r="AK326">
        <v>36.259189999999997</v>
      </c>
      <c r="AL326">
        <v>20.139659999999999</v>
      </c>
      <c r="AM326">
        <v>11.651350000000001</v>
      </c>
      <c r="AN326">
        <v>8.9080359999999992</v>
      </c>
      <c r="AP326">
        <v>4.0378400000000001</v>
      </c>
      <c r="AU326">
        <v>20.514230000000001</v>
      </c>
      <c r="AV326">
        <v>1.7113600000000001E-4</v>
      </c>
      <c r="AW326">
        <v>23.45823</v>
      </c>
      <c r="AX326">
        <v>2.9434019999999999</v>
      </c>
    </row>
    <row r="327" spans="1:50" x14ac:dyDescent="0.35">
      <c r="A327" s="75">
        <v>27791</v>
      </c>
      <c r="B327">
        <v>34.135910000000003</v>
      </c>
      <c r="C327">
        <v>30.5503</v>
      </c>
      <c r="E327">
        <v>24.09797</v>
      </c>
      <c r="F327">
        <v>50.00808</v>
      </c>
      <c r="G327">
        <v>0.51407429999999998</v>
      </c>
      <c r="I327">
        <v>0.35079129999999997</v>
      </c>
      <c r="J327">
        <v>0.50231530000000002</v>
      </c>
      <c r="L327">
        <v>41.230339999999998</v>
      </c>
      <c r="M327">
        <v>21.773250000000001</v>
      </c>
      <c r="O327">
        <v>9.2489679999999996</v>
      </c>
      <c r="R327">
        <v>23.081230000000001</v>
      </c>
      <c r="S327">
        <v>23.541589999999999</v>
      </c>
      <c r="U327">
        <v>25.679860000000001</v>
      </c>
      <c r="V327">
        <v>17.239239999999999</v>
      </c>
      <c r="W327">
        <v>2.6360679999999999</v>
      </c>
      <c r="Y327">
        <v>2.436839</v>
      </c>
      <c r="Z327">
        <v>4.8803450000000002</v>
      </c>
      <c r="AA327">
        <v>15.92055</v>
      </c>
      <c r="AB327">
        <v>0.37402380000000002</v>
      </c>
      <c r="AC327">
        <v>4.7939339999999997E-3</v>
      </c>
      <c r="AD327">
        <v>10.51323</v>
      </c>
      <c r="AE327">
        <v>57.113770000000002</v>
      </c>
      <c r="AF327">
        <v>11.00709</v>
      </c>
      <c r="AH327">
        <v>30.501000000000001</v>
      </c>
      <c r="AJ327">
        <v>2.7100860000000001E-2</v>
      </c>
      <c r="AK327">
        <v>36.601260000000003</v>
      </c>
      <c r="AL327">
        <v>20.283000000000001</v>
      </c>
      <c r="AM327">
        <v>11.73536</v>
      </c>
      <c r="AN327">
        <v>8.9937070000000006</v>
      </c>
      <c r="AP327">
        <v>3.8897699999999999</v>
      </c>
      <c r="AU327">
        <v>20.674060000000001</v>
      </c>
      <c r="AV327">
        <v>1.74916E-4</v>
      </c>
      <c r="AW327">
        <v>23.542619999999999</v>
      </c>
      <c r="AX327">
        <v>2.9893930000000002</v>
      </c>
    </row>
    <row r="328" spans="1:50" x14ac:dyDescent="0.35">
      <c r="A328" s="75">
        <v>27820</v>
      </c>
      <c r="B328">
        <v>34.434130000000003</v>
      </c>
      <c r="C328">
        <v>30.743169999999999</v>
      </c>
      <c r="E328">
        <v>24.17698</v>
      </c>
      <c r="F328">
        <v>49.917639999999999</v>
      </c>
      <c r="G328">
        <v>0.58370469999999997</v>
      </c>
      <c r="I328">
        <v>0.35894920000000002</v>
      </c>
      <c r="J328">
        <v>0.50123969999999995</v>
      </c>
      <c r="L328">
        <v>41.360810000000001</v>
      </c>
      <c r="M328">
        <v>22.71828</v>
      </c>
      <c r="O328">
        <v>9.4633640000000003</v>
      </c>
      <c r="R328">
        <v>23.32883</v>
      </c>
      <c r="S328">
        <v>23.746300000000002</v>
      </c>
      <c r="U328">
        <v>25.794750000000001</v>
      </c>
      <c r="V328">
        <v>17.331299999999999</v>
      </c>
      <c r="W328">
        <v>2.7224970000000002</v>
      </c>
      <c r="Y328">
        <v>2.436839</v>
      </c>
      <c r="Z328">
        <v>4.8111459999999999</v>
      </c>
      <c r="AA328">
        <v>15.92055</v>
      </c>
      <c r="AB328">
        <v>0.37402380000000002</v>
      </c>
      <c r="AC328">
        <v>4.9665960000000002E-3</v>
      </c>
      <c r="AD328">
        <v>10.723380000000001</v>
      </c>
      <c r="AE328">
        <v>57.31738</v>
      </c>
      <c r="AF328">
        <v>11.196820000000001</v>
      </c>
      <c r="AH328">
        <v>30.575769999999999</v>
      </c>
      <c r="AJ328">
        <v>2.7366100000000001E-2</v>
      </c>
      <c r="AK328">
        <v>36.829300000000003</v>
      </c>
      <c r="AL328">
        <v>20.569690000000001</v>
      </c>
      <c r="AM328">
        <v>11.80864</v>
      </c>
      <c r="AN328">
        <v>9.0901060000000005</v>
      </c>
      <c r="AP328">
        <v>3.9931839999999998</v>
      </c>
      <c r="AU328">
        <v>20.87189</v>
      </c>
      <c r="AV328">
        <v>1.76785E-4</v>
      </c>
      <c r="AW328">
        <v>23.584810000000001</v>
      </c>
      <c r="AX328">
        <v>3.0353829999999999</v>
      </c>
    </row>
    <row r="329" spans="1:50" x14ac:dyDescent="0.35">
      <c r="A329" s="75">
        <v>27851</v>
      </c>
      <c r="B329">
        <v>34.593179999999997</v>
      </c>
      <c r="C329">
        <v>31.026959999999999</v>
      </c>
      <c r="E329">
        <v>24.255990000000001</v>
      </c>
      <c r="F329">
        <v>49.917639999999999</v>
      </c>
      <c r="G329">
        <v>0.65316149999999995</v>
      </c>
      <c r="I329">
        <v>0.36710720000000002</v>
      </c>
      <c r="J329">
        <v>0.50446650000000004</v>
      </c>
      <c r="L329">
        <v>41.556530000000002</v>
      </c>
      <c r="M329">
        <v>22.78378</v>
      </c>
      <c r="O329">
        <v>9.6549060000000004</v>
      </c>
      <c r="R329">
        <v>23.49389</v>
      </c>
      <c r="S329">
        <v>23.95101</v>
      </c>
      <c r="U329">
        <v>26.042860000000001</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11.316649999999999</v>
      </c>
      <c r="AH329">
        <v>31.007000000000001</v>
      </c>
      <c r="AJ329">
        <v>2.7557669999999999E-2</v>
      </c>
      <c r="AK329">
        <v>37.627459999999999</v>
      </c>
      <c r="AL329">
        <v>20.71303</v>
      </c>
      <c r="AM329">
        <v>11.92384</v>
      </c>
      <c r="AN329">
        <v>9.1966490000000007</v>
      </c>
      <c r="AP329">
        <v>3.7734299999999998</v>
      </c>
      <c r="AU329">
        <v>21.027249999999999</v>
      </c>
      <c r="AV329">
        <v>1.7708200000000001E-4</v>
      </c>
      <c r="AW329">
        <v>23.66919</v>
      </c>
      <c r="AX329">
        <v>3.0813739999999998</v>
      </c>
    </row>
    <row r="330" spans="1:50" x14ac:dyDescent="0.35">
      <c r="A330" s="75">
        <v>27881</v>
      </c>
      <c r="B330">
        <v>34.593179999999997</v>
      </c>
      <c r="C330">
        <v>31.252890000000001</v>
      </c>
      <c r="E330">
        <v>24.414010000000001</v>
      </c>
      <c r="F330">
        <v>49.827199999999998</v>
      </c>
      <c r="G330">
        <v>0.71744779999999997</v>
      </c>
      <c r="I330">
        <v>0.37526510000000002</v>
      </c>
      <c r="J330">
        <v>0.50339089999999997</v>
      </c>
      <c r="L330">
        <v>41.621769999999998</v>
      </c>
      <c r="M330">
        <v>23.017700000000001</v>
      </c>
      <c r="O330">
        <v>10.097300000000001</v>
      </c>
      <c r="R330">
        <v>23.562670000000001</v>
      </c>
      <c r="S330">
        <v>24.11185</v>
      </c>
      <c r="U330">
        <v>26.231629999999999</v>
      </c>
      <c r="V330">
        <v>17.860679999999999</v>
      </c>
      <c r="W330">
        <v>2.765711</v>
      </c>
      <c r="Y330">
        <v>2.493074</v>
      </c>
      <c r="Z330">
        <v>4.8803450000000002</v>
      </c>
      <c r="AA330">
        <v>16.862590000000001</v>
      </c>
      <c r="AB330">
        <v>0.42077680000000001</v>
      </c>
      <c r="AC330">
        <v>5.3631640000000001E-3</v>
      </c>
      <c r="AD330">
        <v>11.22888</v>
      </c>
      <c r="AE330">
        <v>58.84449</v>
      </c>
      <c r="AF330">
        <v>11.38655</v>
      </c>
      <c r="AH330">
        <v>31.196529999999999</v>
      </c>
      <c r="AJ330">
        <v>2.775087E-2</v>
      </c>
      <c r="AK330">
        <v>37.741489999999999</v>
      </c>
      <c r="AL330">
        <v>20.856369999999998</v>
      </c>
      <c r="AM330">
        <v>12.01768</v>
      </c>
      <c r="AN330">
        <v>9.2906840000000006</v>
      </c>
      <c r="AP330">
        <v>3.6617899999999999</v>
      </c>
      <c r="AU330">
        <v>21.210550000000001</v>
      </c>
      <c r="AV330">
        <v>1.7784699999999999E-4</v>
      </c>
      <c r="AW330">
        <v>23.837949999999999</v>
      </c>
      <c r="AX330">
        <v>3.0813739999999998</v>
      </c>
    </row>
    <row r="331" spans="1:50" x14ac:dyDescent="0.35">
      <c r="A331" s="75">
        <v>27912</v>
      </c>
      <c r="B331">
        <v>34.951039999999999</v>
      </c>
      <c r="C331">
        <v>31.302489999999999</v>
      </c>
      <c r="E331">
        <v>24.572030000000002</v>
      </c>
      <c r="F331">
        <v>49.917639999999999</v>
      </c>
      <c r="G331">
        <v>0.80596950000000001</v>
      </c>
      <c r="I331">
        <v>0.38342310000000002</v>
      </c>
      <c r="J331">
        <v>0.50984459999999998</v>
      </c>
      <c r="L331">
        <v>41.686999999999998</v>
      </c>
      <c r="M331">
        <v>22.961559999999999</v>
      </c>
      <c r="O331">
        <v>10.035270000000001</v>
      </c>
      <c r="R331">
        <v>23.61769</v>
      </c>
      <c r="S331">
        <v>24.214210000000001</v>
      </c>
      <c r="U331">
        <v>26.343710000000002</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11.4964</v>
      </c>
      <c r="AH331">
        <v>31.23479</v>
      </c>
      <c r="AJ331">
        <v>2.7862209999999998E-2</v>
      </c>
      <c r="AK331">
        <v>37.741489999999999</v>
      </c>
      <c r="AL331">
        <v>21.143059999999998</v>
      </c>
      <c r="AM331">
        <v>12.07122</v>
      </c>
      <c r="AN331">
        <v>9.3314160000000008</v>
      </c>
      <c r="AP331">
        <v>3.8968210000000001</v>
      </c>
      <c r="AU331">
        <v>21.388269999999999</v>
      </c>
      <c r="AV331">
        <v>1.8018299999999999E-4</v>
      </c>
      <c r="AW331">
        <v>23.96453</v>
      </c>
      <c r="AX331">
        <v>3.1273650000000002</v>
      </c>
    </row>
    <row r="332" spans="1:50" x14ac:dyDescent="0.35">
      <c r="A332" s="75">
        <v>27942</v>
      </c>
      <c r="B332">
        <v>34.911270000000002</v>
      </c>
      <c r="C332">
        <v>31.555969999999999</v>
      </c>
      <c r="E332">
        <v>24.730049999999999</v>
      </c>
      <c r="F332">
        <v>50.00808</v>
      </c>
      <c r="G332">
        <v>0.8774613</v>
      </c>
      <c r="I332">
        <v>0.39158100000000001</v>
      </c>
      <c r="J332">
        <v>0.51199589999999995</v>
      </c>
      <c r="L332">
        <v>41.621769999999998</v>
      </c>
      <c r="M332">
        <v>22.980270000000001</v>
      </c>
      <c r="O332">
        <v>10.097300000000001</v>
      </c>
      <c r="R332">
        <v>24.07161</v>
      </c>
      <c r="S332">
        <v>24.448160000000001</v>
      </c>
      <c r="U332">
        <v>26.46941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11.716089999999999</v>
      </c>
      <c r="AH332">
        <v>31.476479999999999</v>
      </c>
      <c r="AJ332">
        <v>2.809799E-2</v>
      </c>
      <c r="AK332">
        <v>37.627459999999999</v>
      </c>
      <c r="AL332">
        <v>21.2864</v>
      </c>
      <c r="AM332">
        <v>12.142239999999999</v>
      </c>
      <c r="AN332">
        <v>9.3736999999999995</v>
      </c>
      <c r="AP332">
        <v>4.219989</v>
      </c>
      <c r="AU332">
        <v>21.414539999999999</v>
      </c>
      <c r="AV332">
        <v>1.81585E-4</v>
      </c>
      <c r="AW332">
        <v>24.091100000000001</v>
      </c>
      <c r="AX332">
        <v>3.1273650000000002</v>
      </c>
    </row>
    <row r="333" spans="1:50" x14ac:dyDescent="0.35">
      <c r="A333" s="75">
        <v>27973</v>
      </c>
      <c r="B333">
        <v>35.328780000000002</v>
      </c>
      <c r="C333">
        <v>31.677199999999999</v>
      </c>
      <c r="E333">
        <v>24.730049999999999</v>
      </c>
      <c r="F333">
        <v>50.188960000000002</v>
      </c>
      <c r="G333">
        <v>0.92540739999999999</v>
      </c>
      <c r="I333">
        <v>0.39973890000000001</v>
      </c>
      <c r="J333">
        <v>0.51414709999999997</v>
      </c>
      <c r="L333">
        <v>41.75224</v>
      </c>
      <c r="M333">
        <v>23.139340000000001</v>
      </c>
      <c r="O333">
        <v>10.182740000000001</v>
      </c>
      <c r="R333">
        <v>24.387979999999999</v>
      </c>
      <c r="S333">
        <v>24.623629999999999</v>
      </c>
      <c r="U333">
        <v>26.587779999999999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11.83592</v>
      </c>
      <c r="AH333">
        <v>31.71818</v>
      </c>
      <c r="AJ333">
        <v>2.8366499999999999E-2</v>
      </c>
      <c r="AK333">
        <v>37.969529999999999</v>
      </c>
      <c r="AL333">
        <v>21.2864</v>
      </c>
      <c r="AM333">
        <v>12.20393</v>
      </c>
      <c r="AN333">
        <v>9.4475429999999996</v>
      </c>
      <c r="AP333">
        <v>4.2963740000000001</v>
      </c>
      <c r="AU333">
        <v>21.545860000000001</v>
      </c>
      <c r="AV333">
        <v>1.8413300000000001E-4</v>
      </c>
      <c r="AW333">
        <v>24.217669999999998</v>
      </c>
      <c r="AX333">
        <v>3.2193459999999998</v>
      </c>
    </row>
    <row r="334" spans="1:50" x14ac:dyDescent="0.35">
      <c r="A334" s="75">
        <v>28004</v>
      </c>
      <c r="B334">
        <v>35.308900000000001</v>
      </c>
      <c r="C334">
        <v>32.087730000000001</v>
      </c>
      <c r="E334">
        <v>24.888069999999999</v>
      </c>
      <c r="F334">
        <v>50.068669999999997</v>
      </c>
      <c r="G334">
        <v>0.99590029999999996</v>
      </c>
      <c r="I334">
        <v>0.40789690000000001</v>
      </c>
      <c r="J334">
        <v>0.50984459999999998</v>
      </c>
      <c r="L334">
        <v>41.817480000000003</v>
      </c>
      <c r="M334">
        <v>23.710100000000001</v>
      </c>
      <c r="O334">
        <v>10.374280000000001</v>
      </c>
      <c r="R334">
        <v>24.580549999999999</v>
      </c>
      <c r="S334">
        <v>24.88682</v>
      </c>
      <c r="U334">
        <v>26.818650000000002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11.925789999999999</v>
      </c>
      <c r="AH334">
        <v>31.75122</v>
      </c>
      <c r="AJ334">
        <v>2.9334160000000001E-2</v>
      </c>
      <c r="AK334">
        <v>38.368609999999997</v>
      </c>
      <c r="AL334">
        <v>21.358070000000001</v>
      </c>
      <c r="AM334">
        <v>12.32915</v>
      </c>
      <c r="AN334">
        <v>9.5509839999999997</v>
      </c>
      <c r="AP334">
        <v>4.4162410000000003</v>
      </c>
      <c r="AU334">
        <v>21.582190000000001</v>
      </c>
      <c r="AV334">
        <v>1.8744599999999999E-4</v>
      </c>
      <c r="AW334">
        <v>24.302050000000001</v>
      </c>
      <c r="AX334">
        <v>3.2193459999999998</v>
      </c>
    </row>
    <row r="335" spans="1:50" x14ac:dyDescent="0.35">
      <c r="A335" s="75">
        <v>28034</v>
      </c>
      <c r="B335">
        <v>35.448070000000001</v>
      </c>
      <c r="C335">
        <v>32.159370000000003</v>
      </c>
      <c r="E335">
        <v>25.04609</v>
      </c>
      <c r="F335">
        <v>50.188960000000002</v>
      </c>
      <c r="G335">
        <v>1.0627679999999999</v>
      </c>
      <c r="I335">
        <v>0.40789690000000001</v>
      </c>
      <c r="J335">
        <v>0.50769339999999996</v>
      </c>
      <c r="L335">
        <v>41.882719999999999</v>
      </c>
      <c r="M335">
        <v>23.972090000000001</v>
      </c>
      <c r="O335">
        <v>10.51793</v>
      </c>
      <c r="R335">
        <v>24.841899999999999</v>
      </c>
      <c r="S335">
        <v>25.12078</v>
      </c>
      <c r="U335">
        <v>27.034649999999999</v>
      </c>
      <c r="V335">
        <v>18.815860000000001</v>
      </c>
      <c r="W335">
        <v>2.8305319999999998</v>
      </c>
      <c r="Y335">
        <v>2.6680259999999998</v>
      </c>
      <c r="Z335">
        <v>5.1134360000000001</v>
      </c>
      <c r="AA335">
        <v>17.89884</v>
      </c>
      <c r="AB335">
        <v>0.4675298</v>
      </c>
      <c r="AC335">
        <v>6.0430029999999999E-3</v>
      </c>
      <c r="AD335">
        <v>11.98996</v>
      </c>
      <c r="AE335">
        <v>60.778820000000003</v>
      </c>
      <c r="AF335">
        <v>11.795970000000001</v>
      </c>
      <c r="AH335">
        <v>31.999880000000001</v>
      </c>
      <c r="AJ335">
        <v>3.098621E-2</v>
      </c>
      <c r="AK335">
        <v>38.8247</v>
      </c>
      <c r="AL335">
        <v>21.358070000000001</v>
      </c>
      <c r="AM335">
        <v>12.473509999999999</v>
      </c>
      <c r="AN335">
        <v>9.674417</v>
      </c>
      <c r="AP335">
        <v>4.5654849999999998</v>
      </c>
      <c r="AU335">
        <v>21.888999999999999</v>
      </c>
      <c r="AV335">
        <v>1.90292E-4</v>
      </c>
      <c r="AW335">
        <v>24.428629999999998</v>
      </c>
      <c r="AX335">
        <v>3.2193459999999998</v>
      </c>
    </row>
    <row r="336" spans="1:50" x14ac:dyDescent="0.35">
      <c r="A336" s="75">
        <v>28065</v>
      </c>
      <c r="B336">
        <v>35.487830000000002</v>
      </c>
      <c r="C336">
        <v>32.2806</v>
      </c>
      <c r="E336">
        <v>25.1251</v>
      </c>
      <c r="F336">
        <v>50.279409999999999</v>
      </c>
      <c r="G336">
        <v>1.1033729999999999</v>
      </c>
      <c r="I336">
        <v>0.4242128</v>
      </c>
      <c r="J336">
        <v>0.50984459999999998</v>
      </c>
      <c r="L336">
        <v>42.013190000000002</v>
      </c>
      <c r="M336">
        <v>24.24344</v>
      </c>
      <c r="O336">
        <v>10.714370000000001</v>
      </c>
      <c r="R336">
        <v>25.006959999999999</v>
      </c>
      <c r="S336">
        <v>25.325489999999999</v>
      </c>
      <c r="U336">
        <v>27.166450000000001</v>
      </c>
      <c r="V336">
        <v>19.080539999999999</v>
      </c>
      <c r="W336">
        <v>2.8737469999999998</v>
      </c>
      <c r="Y336">
        <v>2.674274</v>
      </c>
      <c r="Z336">
        <v>5.1462139999999996</v>
      </c>
      <c r="AA336">
        <v>17.89884</v>
      </c>
      <c r="AB336">
        <v>0.4675298</v>
      </c>
      <c r="AC336">
        <v>6.3127820000000003E-3</v>
      </c>
      <c r="AD336">
        <v>12.25123</v>
      </c>
      <c r="AE336">
        <v>60.778820000000003</v>
      </c>
      <c r="AF336">
        <v>11.78599</v>
      </c>
      <c r="AH336">
        <v>32.203319999999998</v>
      </c>
      <c r="AJ336">
        <v>3.2386119999999997E-2</v>
      </c>
      <c r="AK336">
        <v>38.938720000000004</v>
      </c>
      <c r="AL336">
        <v>21.429739999999999</v>
      </c>
      <c r="AM336">
        <v>12.562469999999999</v>
      </c>
      <c r="AN336">
        <v>9.7737590000000001</v>
      </c>
      <c r="AP336">
        <v>4.6254189999999999</v>
      </c>
      <c r="AU336">
        <v>22.058890000000002</v>
      </c>
      <c r="AV336">
        <v>1.9131199999999999E-4</v>
      </c>
      <c r="AW336">
        <v>24.47082</v>
      </c>
      <c r="AX336">
        <v>3.2193459999999998</v>
      </c>
    </row>
    <row r="337" spans="1:50" x14ac:dyDescent="0.35">
      <c r="A337" s="75">
        <v>28095</v>
      </c>
      <c r="B337">
        <v>35.666759999999996</v>
      </c>
      <c r="C337">
        <v>32.456940000000003</v>
      </c>
      <c r="E337">
        <v>25.20411</v>
      </c>
      <c r="F337">
        <v>50.400579999999998</v>
      </c>
      <c r="G337">
        <v>1.1599539999999999</v>
      </c>
      <c r="I337">
        <v>0.4242128</v>
      </c>
      <c r="J337">
        <v>0.51092020000000005</v>
      </c>
      <c r="L337">
        <v>42.14367</v>
      </c>
      <c r="M337">
        <v>24.30894</v>
      </c>
      <c r="O337">
        <v>10.825379999999999</v>
      </c>
      <c r="R337">
        <v>25.089490000000001</v>
      </c>
      <c r="S337">
        <v>25.413219999999999</v>
      </c>
      <c r="U337">
        <v>27.30339</v>
      </c>
      <c r="V337">
        <v>19.33372</v>
      </c>
      <c r="W337">
        <v>2.9385680000000001</v>
      </c>
      <c r="Y337">
        <v>2.6680259999999998</v>
      </c>
      <c r="Z337">
        <v>5.1462139999999996</v>
      </c>
      <c r="AA337">
        <v>17.89884</v>
      </c>
      <c r="AB337">
        <v>0.49090630000000002</v>
      </c>
      <c r="AC337">
        <v>6.4827449999999998E-3</v>
      </c>
      <c r="AD337">
        <v>12.26479</v>
      </c>
      <c r="AE337">
        <v>61.49147</v>
      </c>
      <c r="AF337">
        <v>11.85589</v>
      </c>
      <c r="AH337">
        <v>32.427630000000001</v>
      </c>
      <c r="AJ337">
        <v>3.3198220000000001E-2</v>
      </c>
      <c r="AK337">
        <v>38.938720000000004</v>
      </c>
      <c r="AL337">
        <v>21.50142</v>
      </c>
      <c r="AM337">
        <v>12.64794</v>
      </c>
      <c r="AN337">
        <v>9.8435389999999998</v>
      </c>
      <c r="AP337">
        <v>4.8157940000000004</v>
      </c>
      <c r="AU337">
        <v>22.0913</v>
      </c>
      <c r="AV337">
        <v>1.97173E-4</v>
      </c>
      <c r="AW337">
        <v>24.555199999999999</v>
      </c>
      <c r="AX337">
        <v>3.2653370000000002</v>
      </c>
    </row>
    <row r="338" spans="1:50" x14ac:dyDescent="0.35">
      <c r="A338" s="75">
        <v>28126</v>
      </c>
      <c r="B338">
        <v>36.104149999999997</v>
      </c>
      <c r="C338">
        <v>32.790329999999997</v>
      </c>
      <c r="E338">
        <v>25.441140000000001</v>
      </c>
      <c r="F338">
        <v>50.490139999999997</v>
      </c>
      <c r="G338">
        <v>1.2286429999999999</v>
      </c>
      <c r="I338">
        <v>0.4323707</v>
      </c>
      <c r="J338">
        <v>0.51414709999999997</v>
      </c>
      <c r="L338">
        <v>42.60033</v>
      </c>
      <c r="M338">
        <v>24.308520000000001</v>
      </c>
      <c r="O338">
        <v>11.177989999999999</v>
      </c>
      <c r="R338">
        <v>25.447130000000001</v>
      </c>
      <c r="S338">
        <v>25.486329999999999</v>
      </c>
      <c r="U338">
        <v>27.530930000000001</v>
      </c>
      <c r="V338">
        <v>19.84008</v>
      </c>
      <c r="W338">
        <v>2.9385680000000001</v>
      </c>
      <c r="Y338">
        <v>2.7117640000000001</v>
      </c>
      <c r="Z338">
        <v>5.1644240000000003</v>
      </c>
      <c r="AA338">
        <v>18.55827</v>
      </c>
      <c r="AB338">
        <v>0.49090630000000002</v>
      </c>
      <c r="AC338">
        <v>6.4673550000000002E-3</v>
      </c>
      <c r="AD338">
        <v>12.423629999999999</v>
      </c>
      <c r="AE338">
        <v>62.000509999999998</v>
      </c>
      <c r="AF338">
        <v>11.94576</v>
      </c>
      <c r="AH338">
        <v>32.752789999999997</v>
      </c>
      <c r="AJ338">
        <v>3.4255929999999997E-2</v>
      </c>
      <c r="AK338">
        <v>38.995730000000002</v>
      </c>
      <c r="AL338">
        <v>21.931439999999998</v>
      </c>
      <c r="AM338">
        <v>12.77755</v>
      </c>
      <c r="AN338">
        <v>9.9685059999999996</v>
      </c>
      <c r="AP338">
        <v>4.7958160000000003</v>
      </c>
      <c r="AU338">
        <v>22.36458</v>
      </c>
      <c r="AV338">
        <v>1.9849000000000001E-4</v>
      </c>
      <c r="AW338">
        <v>24.68177</v>
      </c>
      <c r="AX338">
        <v>3.3113269999999999</v>
      </c>
    </row>
    <row r="339" spans="1:50" x14ac:dyDescent="0.35">
      <c r="A339" s="75">
        <v>28157</v>
      </c>
      <c r="B339">
        <v>36.322839999999999</v>
      </c>
      <c r="C339">
        <v>33.0383</v>
      </c>
      <c r="E339">
        <v>25.599160000000001</v>
      </c>
      <c r="F339">
        <v>50.52176</v>
      </c>
      <c r="G339">
        <v>1.300222</v>
      </c>
      <c r="I339">
        <v>0.44868659999999999</v>
      </c>
      <c r="J339">
        <v>0.51522270000000003</v>
      </c>
      <c r="L339">
        <v>42.796050000000001</v>
      </c>
      <c r="M339">
        <v>24.329709999999999</v>
      </c>
      <c r="O339">
        <v>11.345050000000001</v>
      </c>
      <c r="R339">
        <v>25.688459999999999</v>
      </c>
      <c r="S339">
        <v>25.661799999999999</v>
      </c>
      <c r="U339">
        <v>27.787379999999999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12.22537</v>
      </c>
      <c r="AH339">
        <v>32.968409999999999</v>
      </c>
      <c r="AJ339">
        <v>3.5012370000000001E-2</v>
      </c>
      <c r="AK339">
        <v>39.280790000000003</v>
      </c>
      <c r="AL339">
        <v>22.07479</v>
      </c>
      <c r="AM339">
        <v>12.90455</v>
      </c>
      <c r="AN339">
        <v>10.065480000000001</v>
      </c>
      <c r="AP339">
        <v>4.930167</v>
      </c>
      <c r="AU339">
        <v>22.645119999999999</v>
      </c>
      <c r="AV339">
        <v>2.0159099999999999E-4</v>
      </c>
      <c r="AW339">
        <v>24.934920000000002</v>
      </c>
      <c r="AX339">
        <v>3.3113269999999999</v>
      </c>
    </row>
    <row r="340" spans="1:50" x14ac:dyDescent="0.35">
      <c r="A340" s="75">
        <v>28185</v>
      </c>
      <c r="B340">
        <v>36.422240000000002</v>
      </c>
      <c r="C340">
        <v>33.007989999999999</v>
      </c>
      <c r="E340">
        <v>25.915199999999999</v>
      </c>
      <c r="F340">
        <v>50.430439999999997</v>
      </c>
      <c r="G340">
        <v>1.3795809999999999</v>
      </c>
      <c r="I340">
        <v>0.47316039999999998</v>
      </c>
      <c r="J340">
        <v>0.51952520000000002</v>
      </c>
      <c r="L340">
        <v>42.861280000000001</v>
      </c>
      <c r="M340">
        <v>24.689990000000002</v>
      </c>
      <c r="O340">
        <v>11.616580000000001</v>
      </c>
      <c r="R340">
        <v>26.037050000000001</v>
      </c>
      <c r="S340">
        <v>25.89575</v>
      </c>
      <c r="U340">
        <v>27.980869999999999</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12.39513</v>
      </c>
      <c r="AH340">
        <v>33.110999999999997</v>
      </c>
      <c r="AJ340">
        <v>3.5623090000000003E-2</v>
      </c>
      <c r="AK340">
        <v>39.451819999999998</v>
      </c>
      <c r="AL340">
        <v>22.433140000000002</v>
      </c>
      <c r="AM340">
        <v>13.018000000000001</v>
      </c>
      <c r="AN340">
        <v>10.173159999999999</v>
      </c>
      <c r="AP340">
        <v>5.3182910000000003</v>
      </c>
      <c r="AU340">
        <v>22.857479999999999</v>
      </c>
      <c r="AV340">
        <v>2.0664500000000001E-4</v>
      </c>
      <c r="AW340">
        <v>25.10369</v>
      </c>
      <c r="AX340">
        <v>3.3573179999999998</v>
      </c>
    </row>
    <row r="341" spans="1:50" x14ac:dyDescent="0.35">
      <c r="A341" s="75">
        <v>28216</v>
      </c>
      <c r="B341">
        <v>36.50177</v>
      </c>
      <c r="C341">
        <v>33.187080000000002</v>
      </c>
      <c r="E341">
        <v>26.073219999999999</v>
      </c>
      <c r="F341">
        <v>50.490139999999997</v>
      </c>
      <c r="G341">
        <v>1.4444220000000001</v>
      </c>
      <c r="I341">
        <v>0.50579209999999997</v>
      </c>
      <c r="J341">
        <v>0.52597890000000003</v>
      </c>
      <c r="L341">
        <v>43.057000000000002</v>
      </c>
      <c r="M341">
        <v>24.944310000000002</v>
      </c>
      <c r="O341">
        <v>11.82771</v>
      </c>
      <c r="R341">
        <v>26.22475</v>
      </c>
      <c r="S341">
        <v>26.232060000000001</v>
      </c>
      <c r="U341">
        <v>28.280940000000001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12.405110000000001</v>
      </c>
      <c r="AH341">
        <v>33.310960000000001</v>
      </c>
      <c r="AJ341">
        <v>3.6161770000000003E-2</v>
      </c>
      <c r="AK341">
        <v>40.135959999999997</v>
      </c>
      <c r="AL341">
        <v>22.57649</v>
      </c>
      <c r="AM341">
        <v>13.170579999999999</v>
      </c>
      <c r="AN341">
        <v>10.306010000000001</v>
      </c>
      <c r="AP341">
        <v>5.4994149999999999</v>
      </c>
      <c r="AU341">
        <v>23.129079999999998</v>
      </c>
      <c r="AV341">
        <v>2.0915199999999999E-4</v>
      </c>
      <c r="AW341">
        <v>25.314640000000001</v>
      </c>
      <c r="AX341">
        <v>3.4492989999999999</v>
      </c>
    </row>
    <row r="342" spans="1:50" x14ac:dyDescent="0.35">
      <c r="A342" s="75">
        <v>28246</v>
      </c>
      <c r="B342">
        <v>36.601170000000003</v>
      </c>
      <c r="C342">
        <v>33.520470000000003</v>
      </c>
      <c r="E342">
        <v>26.38926</v>
      </c>
      <c r="F342">
        <v>50.460290000000001</v>
      </c>
      <c r="G342">
        <v>1.4996510000000001</v>
      </c>
      <c r="I342">
        <v>0.52210800000000002</v>
      </c>
      <c r="J342">
        <v>0.52597890000000003</v>
      </c>
      <c r="L342">
        <v>43.187469999999998</v>
      </c>
      <c r="M342">
        <v>25.304590000000001</v>
      </c>
      <c r="O342">
        <v>11.931100000000001</v>
      </c>
      <c r="R342">
        <v>26.573350000000001</v>
      </c>
      <c r="S342">
        <v>26.480630000000001</v>
      </c>
      <c r="U342">
        <v>28.471959999999999</v>
      </c>
      <c r="V342">
        <v>20.910340000000001</v>
      </c>
      <c r="W342">
        <v>3.1114250000000001</v>
      </c>
      <c r="Y342">
        <v>2.7992409999999999</v>
      </c>
      <c r="Z342">
        <v>5.3501690000000002</v>
      </c>
      <c r="AA342">
        <v>19.217700000000001</v>
      </c>
      <c r="AB342">
        <v>0.5376592</v>
      </c>
      <c r="AC342">
        <v>6.977647E-3</v>
      </c>
      <c r="AD342">
        <v>13.13842</v>
      </c>
      <c r="AE342">
        <v>64.342070000000007</v>
      </c>
      <c r="AF342">
        <v>12.534929999999999</v>
      </c>
      <c r="AH342">
        <v>33.436160000000001</v>
      </c>
      <c r="AJ342">
        <v>3.6479409999999997E-2</v>
      </c>
      <c r="AK342">
        <v>40.249980000000001</v>
      </c>
      <c r="AL342">
        <v>22.719830000000002</v>
      </c>
      <c r="AM342">
        <v>13.262600000000001</v>
      </c>
      <c r="AN342">
        <v>10.38688</v>
      </c>
      <c r="AP342">
        <v>5.5392219999999996</v>
      </c>
      <c r="AU342">
        <v>23.411860000000001</v>
      </c>
      <c r="AV342">
        <v>2.1250699999999999E-4</v>
      </c>
      <c r="AW342">
        <v>25.441210000000002</v>
      </c>
      <c r="AX342">
        <v>3.4492989999999999</v>
      </c>
    </row>
    <row r="343" spans="1:50" x14ac:dyDescent="0.35">
      <c r="A343" s="75">
        <v>28277</v>
      </c>
      <c r="B343">
        <v>36.959029999999998</v>
      </c>
      <c r="C343">
        <v>33.729869999999998</v>
      </c>
      <c r="E343">
        <v>26.468260000000001</v>
      </c>
      <c r="F343">
        <v>50.792200000000001</v>
      </c>
      <c r="G343">
        <v>1.5495920000000001</v>
      </c>
      <c r="I343">
        <v>0.53842389999999996</v>
      </c>
      <c r="J343">
        <v>0.5345839</v>
      </c>
      <c r="L343">
        <v>43.383189999999999</v>
      </c>
      <c r="M343">
        <v>25.431750000000001</v>
      </c>
      <c r="O343">
        <v>12.264659999999999</v>
      </c>
      <c r="R343">
        <v>26.787859999999998</v>
      </c>
      <c r="S343">
        <v>26.68534</v>
      </c>
      <c r="U343">
        <v>28.62473</v>
      </c>
      <c r="V343">
        <v>21.129000000000001</v>
      </c>
      <c r="W343">
        <v>3.133032</v>
      </c>
      <c r="Y343">
        <v>2.7992409999999999</v>
      </c>
      <c r="Z343">
        <v>5.3829469999999997</v>
      </c>
      <c r="AA343">
        <v>19.217700000000001</v>
      </c>
      <c r="AB343">
        <v>0.5376592</v>
      </c>
      <c r="AC343">
        <v>7.1440380000000001E-3</v>
      </c>
      <c r="AD343">
        <v>13.229189999999999</v>
      </c>
      <c r="AE343">
        <v>64.138459999999995</v>
      </c>
      <c r="AF343">
        <v>12.65476</v>
      </c>
      <c r="AH343">
        <v>33.606560000000002</v>
      </c>
      <c r="AJ343">
        <v>3.6926390000000003E-2</v>
      </c>
      <c r="AK343">
        <v>40.249980000000001</v>
      </c>
      <c r="AL343">
        <v>22.934840000000001</v>
      </c>
      <c r="AM343">
        <v>13.349819999999999</v>
      </c>
      <c r="AN343">
        <v>10.478</v>
      </c>
      <c r="AP343">
        <v>5.5332509999999999</v>
      </c>
      <c r="AU343">
        <v>23.937740000000002</v>
      </c>
      <c r="AV343">
        <v>2.13909E-4</v>
      </c>
      <c r="AW343">
        <v>25.60998</v>
      </c>
      <c r="AX343">
        <v>3.4492989999999999</v>
      </c>
    </row>
    <row r="344" spans="1:50" x14ac:dyDescent="0.35">
      <c r="A344" s="75">
        <v>28307</v>
      </c>
      <c r="B344">
        <v>37.098199999999999</v>
      </c>
      <c r="C344">
        <v>33.831809999999997</v>
      </c>
      <c r="E344">
        <v>26.784300000000002</v>
      </c>
      <c r="F344">
        <v>50.822929999999999</v>
      </c>
      <c r="G344">
        <v>1.6100969999999999</v>
      </c>
      <c r="I344">
        <v>0.54658180000000001</v>
      </c>
      <c r="J344">
        <v>0.53565960000000001</v>
      </c>
      <c r="L344">
        <v>43.317950000000003</v>
      </c>
      <c r="M344">
        <v>25.601299999999998</v>
      </c>
      <c r="O344">
        <v>12.666790000000001</v>
      </c>
      <c r="R344">
        <v>26.975570000000001</v>
      </c>
      <c r="S344">
        <v>26.9193</v>
      </c>
      <c r="U344">
        <v>28.72578</v>
      </c>
      <c r="V344">
        <v>21.152010000000001</v>
      </c>
      <c r="W344">
        <v>3.1114250000000001</v>
      </c>
      <c r="Y344">
        <v>2.8429790000000001</v>
      </c>
      <c r="Z344">
        <v>5.4667139999999996</v>
      </c>
      <c r="AA344">
        <v>19.406110000000002</v>
      </c>
      <c r="AB344">
        <v>0.56103579999999997</v>
      </c>
      <c r="AC344">
        <v>7.249424E-3</v>
      </c>
      <c r="AD344">
        <v>13.30861</v>
      </c>
      <c r="AE344">
        <v>63.934840000000001</v>
      </c>
      <c r="AF344">
        <v>12.815200000000001</v>
      </c>
      <c r="AH344">
        <v>33.763060000000003</v>
      </c>
      <c r="AJ344">
        <v>3.7343910000000001E-2</v>
      </c>
      <c r="AK344">
        <v>40.249980000000001</v>
      </c>
      <c r="AL344">
        <v>23.221530000000001</v>
      </c>
      <c r="AM344">
        <v>13.430580000000001</v>
      </c>
      <c r="AN344">
        <v>10.552580000000001</v>
      </c>
      <c r="AP344">
        <v>5.5372320000000004</v>
      </c>
      <c r="AU344">
        <v>24.15401</v>
      </c>
      <c r="AV344">
        <v>2.2163900000000001E-4</v>
      </c>
      <c r="AW344">
        <v>25.736550000000001</v>
      </c>
      <c r="AX344">
        <v>3.4952899999999998</v>
      </c>
    </row>
    <row r="345" spans="1:50" x14ac:dyDescent="0.35">
      <c r="A345" s="75">
        <v>28338</v>
      </c>
      <c r="B345">
        <v>37.118079999999999</v>
      </c>
      <c r="C345">
        <v>33.93927</v>
      </c>
      <c r="E345">
        <v>26.784300000000002</v>
      </c>
      <c r="F345">
        <v>50.822929999999999</v>
      </c>
      <c r="G345">
        <v>1.6648270000000001</v>
      </c>
      <c r="I345">
        <v>0.54658180000000001</v>
      </c>
      <c r="J345">
        <v>0.53350830000000005</v>
      </c>
      <c r="L345">
        <v>43.317950000000003</v>
      </c>
      <c r="M345">
        <v>25.834420000000001</v>
      </c>
      <c r="O345">
        <v>13.077629999999999</v>
      </c>
      <c r="R345">
        <v>27.404599999999999</v>
      </c>
      <c r="S345">
        <v>27.065519999999999</v>
      </c>
      <c r="U345">
        <v>28.820599999999999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12.984959999999999</v>
      </c>
      <c r="AH345">
        <v>33.66742</v>
      </c>
      <c r="AJ345">
        <v>3.8110169999999999E-2</v>
      </c>
      <c r="AK345">
        <v>40.421019999999999</v>
      </c>
      <c r="AL345">
        <v>23.221530000000001</v>
      </c>
      <c r="AM345">
        <v>13.504149999999999</v>
      </c>
      <c r="AN345">
        <v>10.629339999999999</v>
      </c>
      <c r="AP345">
        <v>5.6168469999999999</v>
      </c>
      <c r="AU345">
        <v>24.22052</v>
      </c>
      <c r="AV345">
        <v>2.2592900000000001E-4</v>
      </c>
      <c r="AW345">
        <v>25.820930000000001</v>
      </c>
      <c r="AX345">
        <v>3.5412810000000001</v>
      </c>
    </row>
    <row r="346" spans="1:50" x14ac:dyDescent="0.35">
      <c r="A346" s="75">
        <v>28369</v>
      </c>
      <c r="B346">
        <v>37.058439999999997</v>
      </c>
      <c r="C346">
        <v>34.17897</v>
      </c>
      <c r="E346">
        <v>27.021329999999999</v>
      </c>
      <c r="F346">
        <v>50.852789999999999</v>
      </c>
      <c r="G346">
        <v>1.726925</v>
      </c>
      <c r="I346">
        <v>0.54658180000000001</v>
      </c>
      <c r="J346">
        <v>0.53135699999999997</v>
      </c>
      <c r="L346">
        <v>43.383189999999999</v>
      </c>
      <c r="M346">
        <v>26.109929999999999</v>
      </c>
      <c r="O346">
        <v>13.259919999999999</v>
      </c>
      <c r="R346">
        <v>27.511859999999999</v>
      </c>
      <c r="S346">
        <v>27.299469999999999</v>
      </c>
      <c r="U346">
        <v>28.999169999999999</v>
      </c>
      <c r="V346">
        <v>21.37067</v>
      </c>
      <c r="W346">
        <v>3.133032</v>
      </c>
      <c r="Y346">
        <v>2.905462</v>
      </c>
      <c r="Z346">
        <v>5.5686920000000004</v>
      </c>
      <c r="AA346">
        <v>19.406110000000002</v>
      </c>
      <c r="AB346">
        <v>0.58441220000000005</v>
      </c>
      <c r="AC346">
        <v>7.8207320000000004E-3</v>
      </c>
      <c r="AD346">
        <v>13.6036</v>
      </c>
      <c r="AE346">
        <v>65.054720000000003</v>
      </c>
      <c r="AF346">
        <v>13.024900000000001</v>
      </c>
      <c r="AH346">
        <v>33.594389999999997</v>
      </c>
      <c r="AJ346">
        <v>3.8786389999999997E-2</v>
      </c>
      <c r="AK346">
        <v>40.706069999999997</v>
      </c>
      <c r="AL346">
        <v>23.36487</v>
      </c>
      <c r="AM346">
        <v>13.613350000000001</v>
      </c>
      <c r="AN346">
        <v>10.735900000000001</v>
      </c>
      <c r="AP346">
        <v>5.5969429999999996</v>
      </c>
      <c r="AU346">
        <v>24.469760000000001</v>
      </c>
      <c r="AV346">
        <v>2.42453E-4</v>
      </c>
      <c r="AW346">
        <v>25.90532</v>
      </c>
      <c r="AX346">
        <v>3.5412810000000001</v>
      </c>
    </row>
    <row r="347" spans="1:50" x14ac:dyDescent="0.35">
      <c r="A347" s="75">
        <v>28399</v>
      </c>
      <c r="B347">
        <v>37.237369999999999</v>
      </c>
      <c r="C347">
        <v>34.250610000000002</v>
      </c>
      <c r="E347">
        <v>27.25836</v>
      </c>
      <c r="F347">
        <v>50.954650000000001</v>
      </c>
      <c r="G347">
        <v>1.7994520000000001</v>
      </c>
      <c r="I347">
        <v>0.54658180000000001</v>
      </c>
      <c r="J347">
        <v>0.53135699999999997</v>
      </c>
      <c r="L347">
        <v>43.383189999999999</v>
      </c>
      <c r="M347">
        <v>26.42783</v>
      </c>
      <c r="O347">
        <v>13.466150000000001</v>
      </c>
      <c r="R347">
        <v>27.64593</v>
      </c>
      <c r="S347">
        <v>27.518799999999999</v>
      </c>
      <c r="U347">
        <v>29.136600000000001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12.984959999999999</v>
      </c>
      <c r="AH347">
        <v>33.742199999999997</v>
      </c>
      <c r="AJ347">
        <v>3.9082739999999998E-2</v>
      </c>
      <c r="AK347">
        <v>40.877110000000002</v>
      </c>
      <c r="AL347">
        <v>23.436540000000001</v>
      </c>
      <c r="AM347">
        <v>13.7143</v>
      </c>
      <c r="AN347">
        <v>10.847860000000001</v>
      </c>
      <c r="AP347">
        <v>5.7143759999999997</v>
      </c>
      <c r="AU347">
        <v>24.61562</v>
      </c>
      <c r="AV347">
        <v>2.59953E-4</v>
      </c>
      <c r="AW347">
        <v>25.989699999999999</v>
      </c>
      <c r="AX347">
        <v>3.5872709999999999</v>
      </c>
    </row>
    <row r="348" spans="1:50" x14ac:dyDescent="0.35">
      <c r="A348" s="75">
        <v>28430</v>
      </c>
      <c r="B348">
        <v>37.058439999999997</v>
      </c>
      <c r="C348">
        <v>34.374600000000001</v>
      </c>
      <c r="E348">
        <v>27.41638</v>
      </c>
      <c r="F348">
        <v>50.90372</v>
      </c>
      <c r="G348">
        <v>1.8390219999999999</v>
      </c>
      <c r="I348">
        <v>0.54658180000000001</v>
      </c>
      <c r="J348">
        <v>0.53350830000000005</v>
      </c>
      <c r="L348">
        <v>43.448430000000002</v>
      </c>
      <c r="M348">
        <v>27.254359999999998</v>
      </c>
      <c r="O348">
        <v>13.57498</v>
      </c>
      <c r="R348">
        <v>27.699560000000002</v>
      </c>
      <c r="S348">
        <v>27.62116</v>
      </c>
      <c r="U348">
        <v>29.218979999999998</v>
      </c>
      <c r="V348">
        <v>21.566310000000001</v>
      </c>
      <c r="W348">
        <v>3.2626750000000002</v>
      </c>
      <c r="Y348">
        <v>2.942952</v>
      </c>
      <c r="Z348">
        <v>5.5504819999999997</v>
      </c>
      <c r="AA348">
        <v>19.78293</v>
      </c>
      <c r="AB348">
        <v>0.63116519999999998</v>
      </c>
      <c r="AC348">
        <v>9.0631749999999997E-3</v>
      </c>
      <c r="AD348">
        <v>13.921279999999999</v>
      </c>
      <c r="AE348">
        <v>64.749300000000005</v>
      </c>
      <c r="AF348">
        <v>13.034890000000001</v>
      </c>
      <c r="AH348">
        <v>33.905639999999998</v>
      </c>
      <c r="AJ348">
        <v>3.9510080000000003E-2</v>
      </c>
      <c r="AK348">
        <v>40.93412</v>
      </c>
      <c r="AL348">
        <v>23.436540000000001</v>
      </c>
      <c r="AM348">
        <v>13.782489999999999</v>
      </c>
      <c r="AN348">
        <v>10.937609999999999</v>
      </c>
      <c r="AP348">
        <v>5.7820489999999998</v>
      </c>
      <c r="AU348">
        <v>24.810099999999998</v>
      </c>
      <c r="AV348">
        <v>2.7728300000000002E-4</v>
      </c>
      <c r="AW348">
        <v>26.11627</v>
      </c>
      <c r="AX348">
        <v>3.5872709999999999</v>
      </c>
    </row>
    <row r="349" spans="1:50" x14ac:dyDescent="0.35">
      <c r="A349" s="75">
        <v>28460</v>
      </c>
      <c r="B349">
        <v>37.15784</v>
      </c>
      <c r="C349">
        <v>34.509610000000002</v>
      </c>
      <c r="E349">
        <v>27.574400000000001</v>
      </c>
      <c r="F349">
        <v>51.005569999999999</v>
      </c>
      <c r="G349">
        <v>1.896428</v>
      </c>
      <c r="I349">
        <v>0.54658180000000001</v>
      </c>
      <c r="J349">
        <v>0.53781080000000003</v>
      </c>
      <c r="L349">
        <v>43.578899999999997</v>
      </c>
      <c r="M349">
        <v>27.275549999999999</v>
      </c>
      <c r="O349">
        <v>13.682180000000001</v>
      </c>
      <c r="R349">
        <v>27.806819999999998</v>
      </c>
      <c r="S349">
        <v>27.694269999999999</v>
      </c>
      <c r="U349">
        <v>29.30538</v>
      </c>
      <c r="V349">
        <v>21.68139</v>
      </c>
      <c r="W349">
        <v>3.3058890000000001</v>
      </c>
      <c r="Y349">
        <v>2.9866899999999998</v>
      </c>
      <c r="Z349">
        <v>5.5504819999999997</v>
      </c>
      <c r="AA349">
        <v>19.78293</v>
      </c>
      <c r="AB349">
        <v>0.6545417</v>
      </c>
      <c r="AC349">
        <v>9.2406640000000009E-3</v>
      </c>
      <c r="AD349">
        <v>13.98935</v>
      </c>
      <c r="AE349">
        <v>64.647490000000005</v>
      </c>
      <c r="AF349">
        <v>13.154719999999999</v>
      </c>
      <c r="AH349">
        <v>33.832610000000003</v>
      </c>
      <c r="AJ349">
        <v>4.0056939999999999E-2</v>
      </c>
      <c r="AK349">
        <v>40.93412</v>
      </c>
      <c r="AL349">
        <v>23.508209999999998</v>
      </c>
      <c r="AM349">
        <v>13.84835</v>
      </c>
      <c r="AN349">
        <v>11.010300000000001</v>
      </c>
      <c r="AP349">
        <v>5.8964949999999998</v>
      </c>
      <c r="AU349">
        <v>24.973839999999999</v>
      </c>
      <c r="AV349">
        <v>2.8938899999999998E-4</v>
      </c>
      <c r="AW349">
        <v>26.20065</v>
      </c>
      <c r="AX349">
        <v>3.6332620000000002</v>
      </c>
    </row>
    <row r="350" spans="1:50" x14ac:dyDescent="0.35">
      <c r="A350" s="75">
        <v>28491</v>
      </c>
      <c r="B350">
        <v>37.535589999999999</v>
      </c>
      <c r="C350">
        <v>34.683190000000003</v>
      </c>
      <c r="E350">
        <v>27.732420000000001</v>
      </c>
      <c r="F350">
        <v>51.005569999999999</v>
      </c>
      <c r="G350">
        <v>1.9308920000000001</v>
      </c>
      <c r="I350">
        <v>0.55473980000000001</v>
      </c>
      <c r="J350">
        <v>0.54318889999999997</v>
      </c>
      <c r="L350">
        <v>43.905090000000001</v>
      </c>
      <c r="M350">
        <v>27.381519999999998</v>
      </c>
      <c r="O350">
        <v>13.90039</v>
      </c>
      <c r="R350">
        <v>27.887260000000001</v>
      </c>
      <c r="S350">
        <v>27.825869999999998</v>
      </c>
      <c r="U350">
        <v>29.483540000000001</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13.534179999999999</v>
      </c>
      <c r="AH350">
        <v>33.98563</v>
      </c>
      <c r="AJ350">
        <v>4.0947650000000002E-2</v>
      </c>
      <c r="AK350">
        <v>40.820099999999996</v>
      </c>
      <c r="AL350">
        <v>24.009910000000001</v>
      </c>
      <c r="AM350">
        <v>13.96508</v>
      </c>
      <c r="AN350">
        <v>11.11463</v>
      </c>
      <c r="AP350">
        <v>6.039803</v>
      </c>
      <c r="AU350">
        <v>25.4986</v>
      </c>
      <c r="AV350">
        <v>3.0094200000000001E-4</v>
      </c>
      <c r="AW350">
        <v>26.369420000000002</v>
      </c>
      <c r="AX350">
        <v>3.6792530000000001</v>
      </c>
    </row>
    <row r="351" spans="1:50" x14ac:dyDescent="0.35">
      <c r="A351" s="75">
        <v>28522</v>
      </c>
      <c r="B351">
        <v>37.71452</v>
      </c>
      <c r="C351">
        <v>34.820950000000003</v>
      </c>
      <c r="E351">
        <v>27.969449999999998</v>
      </c>
      <c r="F351">
        <v>51.055619999999998</v>
      </c>
      <c r="G351">
        <v>1.977428</v>
      </c>
      <c r="I351">
        <v>0.56289769999999995</v>
      </c>
      <c r="J351">
        <v>0.54211319999999996</v>
      </c>
      <c r="L351">
        <v>44.035559999999997</v>
      </c>
      <c r="M351">
        <v>27.508679999999998</v>
      </c>
      <c r="O351">
        <v>14.03697</v>
      </c>
      <c r="R351">
        <v>28.235859999999999</v>
      </c>
      <c r="S351">
        <v>28.03058</v>
      </c>
      <c r="U351">
        <v>29.67193</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13.81378</v>
      </c>
      <c r="AH351">
        <v>34.063879999999997</v>
      </c>
      <c r="AJ351">
        <v>4.153544E-2</v>
      </c>
      <c r="AK351">
        <v>40.991129999999998</v>
      </c>
      <c r="AL351">
        <v>24.081589999999998</v>
      </c>
      <c r="AM351">
        <v>14.07114</v>
      </c>
      <c r="AN351">
        <v>11.20689</v>
      </c>
      <c r="AP351">
        <v>6.0557259999999999</v>
      </c>
      <c r="AU351">
        <v>25.78753</v>
      </c>
      <c r="AV351">
        <v>3.16955E-4</v>
      </c>
      <c r="AW351">
        <v>26.538180000000001</v>
      </c>
      <c r="AX351">
        <v>3.6792530000000001</v>
      </c>
    </row>
    <row r="352" spans="1:50" x14ac:dyDescent="0.35">
      <c r="A352" s="75">
        <v>28550</v>
      </c>
      <c r="B352">
        <v>37.813920000000003</v>
      </c>
      <c r="C352">
        <v>34.909120000000001</v>
      </c>
      <c r="E352">
        <v>28.206479999999999</v>
      </c>
      <c r="F352">
        <v>51.106549999999999</v>
      </c>
      <c r="G352">
        <v>2.0353050000000001</v>
      </c>
      <c r="I352">
        <v>0.5792136</v>
      </c>
      <c r="J352">
        <v>0.54318889999999997</v>
      </c>
      <c r="L352">
        <v>44.166040000000002</v>
      </c>
      <c r="M352">
        <v>27.69942</v>
      </c>
      <c r="O352">
        <v>14.217079999999999</v>
      </c>
      <c r="R352">
        <v>28.316299999999998</v>
      </c>
      <c r="S352">
        <v>28.279150000000001</v>
      </c>
      <c r="U352">
        <v>29.899180000000001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13.99353</v>
      </c>
      <c r="AH352">
        <v>34.159520000000001</v>
      </c>
      <c r="AJ352">
        <v>4.1967690000000002E-2</v>
      </c>
      <c r="AK352">
        <v>41.333190000000002</v>
      </c>
      <c r="AL352">
        <v>24.368269999999999</v>
      </c>
      <c r="AM352">
        <v>14.183540000000001</v>
      </c>
      <c r="AN352">
        <v>11.29734</v>
      </c>
      <c r="AP352">
        <v>6.1104609999999999</v>
      </c>
      <c r="AU352">
        <v>25.795349999999999</v>
      </c>
      <c r="AV352">
        <v>3.2286000000000001E-4</v>
      </c>
      <c r="AW352">
        <v>26.749140000000001</v>
      </c>
      <c r="AX352">
        <v>3.6792530000000001</v>
      </c>
    </row>
    <row r="353" spans="1:50" x14ac:dyDescent="0.35">
      <c r="A353" s="75">
        <v>28581</v>
      </c>
      <c r="B353">
        <v>37.933210000000003</v>
      </c>
      <c r="C353">
        <v>34.936669999999999</v>
      </c>
      <c r="E353">
        <v>28.285489999999999</v>
      </c>
      <c r="F353">
        <v>51.208410000000001</v>
      </c>
      <c r="G353">
        <v>2.088441</v>
      </c>
      <c r="I353">
        <v>0.58737150000000005</v>
      </c>
      <c r="J353">
        <v>0.54964259999999998</v>
      </c>
      <c r="L353">
        <v>44.361759999999997</v>
      </c>
      <c r="M353">
        <v>27.80538</v>
      </c>
      <c r="O353">
        <v>14.51637</v>
      </c>
      <c r="R353">
        <v>28.47719</v>
      </c>
      <c r="S353">
        <v>28.586220000000001</v>
      </c>
      <c r="U353">
        <v>30.15099</v>
      </c>
      <c r="V353">
        <v>22.3949</v>
      </c>
      <c r="W353">
        <v>3.4787460000000001</v>
      </c>
      <c r="Y353">
        <v>3.0616690000000002</v>
      </c>
      <c r="Z353">
        <v>5.4157260000000003</v>
      </c>
      <c r="AA353">
        <v>20.442360000000001</v>
      </c>
      <c r="AB353">
        <v>0.74804760000000003</v>
      </c>
      <c r="AC353">
        <v>1.050529E-2</v>
      </c>
      <c r="AD353">
        <v>14.56799</v>
      </c>
      <c r="AE353">
        <v>66.480019999999996</v>
      </c>
      <c r="AF353">
        <v>13.973560000000001</v>
      </c>
      <c r="AH353">
        <v>34.352530000000002</v>
      </c>
      <c r="AJ353">
        <v>4.2434329999999999E-2</v>
      </c>
      <c r="AK353">
        <v>41.618250000000003</v>
      </c>
      <c r="AL353">
        <v>24.43994</v>
      </c>
      <c r="AM353">
        <v>14.322649999999999</v>
      </c>
      <c r="AN353">
        <v>11.42708</v>
      </c>
      <c r="AP353">
        <v>6.4856470000000002</v>
      </c>
      <c r="AU353">
        <v>25.95965</v>
      </c>
      <c r="AV353">
        <v>3.3250199999999998E-4</v>
      </c>
      <c r="AW353">
        <v>26.960090000000001</v>
      </c>
      <c r="AX353">
        <v>3.7712340000000002</v>
      </c>
    </row>
    <row r="354" spans="1:50" x14ac:dyDescent="0.35">
      <c r="A354" s="75">
        <v>28611</v>
      </c>
      <c r="B354">
        <v>37.992849999999997</v>
      </c>
      <c r="C354">
        <v>34.983510000000003</v>
      </c>
      <c r="E354">
        <v>28.680540000000001</v>
      </c>
      <c r="F354">
        <v>51.259340000000002</v>
      </c>
      <c r="G354">
        <v>2.132568</v>
      </c>
      <c r="I354">
        <v>0.60368739999999999</v>
      </c>
      <c r="J354">
        <v>0.55609640000000005</v>
      </c>
      <c r="L354">
        <v>44.426990000000004</v>
      </c>
      <c r="M354">
        <v>28.038509999999999</v>
      </c>
      <c r="O354">
        <v>14.661659999999999</v>
      </c>
      <c r="R354">
        <v>28.906220000000001</v>
      </c>
      <c r="S354">
        <v>28.864039999999999</v>
      </c>
      <c r="U354">
        <v>30.390930000000001</v>
      </c>
      <c r="V354">
        <v>22.52148</v>
      </c>
      <c r="W354">
        <v>3.500353</v>
      </c>
      <c r="Y354">
        <v>3.0491730000000001</v>
      </c>
      <c r="Z354">
        <v>5.4339360000000001</v>
      </c>
      <c r="AA354">
        <v>20.442360000000001</v>
      </c>
      <c r="AB354">
        <v>0.77142409999999995</v>
      </c>
      <c r="AC354">
        <v>1.0699429999999999E-2</v>
      </c>
      <c r="AD354">
        <v>14.704140000000001</v>
      </c>
      <c r="AE354">
        <v>66.887249999999995</v>
      </c>
      <c r="AF354">
        <v>14.11336</v>
      </c>
      <c r="AH354">
        <v>34.40643</v>
      </c>
      <c r="AJ354">
        <v>4.2850199999999998E-2</v>
      </c>
      <c r="AK354">
        <v>41.675260000000002</v>
      </c>
      <c r="AL354">
        <v>24.511610000000001</v>
      </c>
      <c r="AM354">
        <v>14.44576</v>
      </c>
      <c r="AN354">
        <v>11.52238</v>
      </c>
      <c r="AP354">
        <v>6.5563060000000002</v>
      </c>
      <c r="AU354">
        <v>26.09937</v>
      </c>
      <c r="AV354">
        <v>3.49704E-4</v>
      </c>
      <c r="AW354">
        <v>27.213239999999999</v>
      </c>
      <c r="AX354">
        <v>3.7712340000000002</v>
      </c>
    </row>
    <row r="355" spans="1:50" x14ac:dyDescent="0.35">
      <c r="A355" s="75">
        <v>28642</v>
      </c>
      <c r="B355">
        <v>38.132019999999997</v>
      </c>
      <c r="C355">
        <v>34.986269999999998</v>
      </c>
      <c r="E355">
        <v>28.917570000000001</v>
      </c>
      <c r="F355">
        <v>51.361190000000001</v>
      </c>
      <c r="G355">
        <v>2.1756489999999999</v>
      </c>
      <c r="I355">
        <v>0.62000330000000003</v>
      </c>
      <c r="J355">
        <v>0.56470129999999996</v>
      </c>
      <c r="L355">
        <v>44.557470000000002</v>
      </c>
      <c r="M355">
        <v>28.10209</v>
      </c>
      <c r="O355">
        <v>14.809670000000001</v>
      </c>
      <c r="R355">
        <v>28.906220000000001</v>
      </c>
      <c r="S355">
        <v>29.083369999999999</v>
      </c>
      <c r="U355">
        <v>30.608809999999998</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14.50281</v>
      </c>
      <c r="AH355">
        <v>34.503810000000001</v>
      </c>
      <c r="AJ355">
        <v>4.3439640000000002E-2</v>
      </c>
      <c r="AK355">
        <v>41.618250000000003</v>
      </c>
      <c r="AL355">
        <v>24.654959999999999</v>
      </c>
      <c r="AM355">
        <v>14.561450000000001</v>
      </c>
      <c r="AN355">
        <v>11.61117</v>
      </c>
      <c r="AP355">
        <v>6.5612820000000003</v>
      </c>
      <c r="AU355">
        <v>26.126750000000001</v>
      </c>
      <c r="AV355">
        <v>3.64061E-4</v>
      </c>
      <c r="AW355">
        <v>27.508579999999998</v>
      </c>
      <c r="AX355">
        <v>3.7712340000000002</v>
      </c>
    </row>
    <row r="356" spans="1:50" x14ac:dyDescent="0.35">
      <c r="A356" s="75">
        <v>28672</v>
      </c>
      <c r="B356">
        <v>38.211539999999999</v>
      </c>
      <c r="C356">
        <v>35.179130000000001</v>
      </c>
      <c r="E356">
        <v>29.312609999999999</v>
      </c>
      <c r="F356">
        <v>51.361190000000001</v>
      </c>
      <c r="G356">
        <v>2.230416</v>
      </c>
      <c r="I356">
        <v>0.62000330000000003</v>
      </c>
      <c r="J356">
        <v>0.56577690000000003</v>
      </c>
      <c r="L356">
        <v>44.492229999999999</v>
      </c>
      <c r="M356">
        <v>28.165669999999999</v>
      </c>
      <c r="O356">
        <v>15.13072</v>
      </c>
      <c r="R356">
        <v>28.98667</v>
      </c>
      <c r="S356">
        <v>29.4343</v>
      </c>
      <c r="U356">
        <v>30.799759999999999</v>
      </c>
      <c r="V356">
        <v>22.79768</v>
      </c>
      <c r="W356">
        <v>3.4787460000000001</v>
      </c>
      <c r="Y356">
        <v>3.0554209999999999</v>
      </c>
      <c r="Z356">
        <v>5.5504819999999997</v>
      </c>
      <c r="AA356">
        <v>21.00759</v>
      </c>
      <c r="AB356">
        <v>0.81817709999999999</v>
      </c>
      <c r="AC356">
        <v>1.1170889999999999E-2</v>
      </c>
      <c r="AD356">
        <v>14.91971</v>
      </c>
      <c r="AE356">
        <v>66.785439999999994</v>
      </c>
      <c r="AF356">
        <v>14.71251</v>
      </c>
      <c r="AH356">
        <v>34.566400000000002</v>
      </c>
      <c r="AJ356">
        <v>4.4176430000000003E-2</v>
      </c>
      <c r="AK356">
        <v>41.960320000000003</v>
      </c>
      <c r="AL356">
        <v>24.94164</v>
      </c>
      <c r="AM356">
        <v>14.680389999999999</v>
      </c>
      <c r="AN356">
        <v>11.70126</v>
      </c>
      <c r="AP356">
        <v>6.6856799999999996</v>
      </c>
      <c r="AU356">
        <v>26.238520000000001</v>
      </c>
      <c r="AV356">
        <v>3.7786599999999998E-4</v>
      </c>
      <c r="AW356">
        <v>27.719529999999999</v>
      </c>
      <c r="AX356">
        <v>3.9092060000000002</v>
      </c>
    </row>
    <row r="357" spans="1:50" x14ac:dyDescent="0.35">
      <c r="A357" s="75">
        <v>28703</v>
      </c>
      <c r="B357">
        <v>38.450119999999998</v>
      </c>
      <c r="C357">
        <v>35.338940000000001</v>
      </c>
      <c r="E357">
        <v>29.39162</v>
      </c>
      <c r="F357">
        <v>51.412120000000002</v>
      </c>
      <c r="G357">
        <v>2.2929560000000002</v>
      </c>
      <c r="I357">
        <v>0.62000330000000003</v>
      </c>
      <c r="J357">
        <v>0.56255010000000005</v>
      </c>
      <c r="L357">
        <v>44.426990000000004</v>
      </c>
      <c r="M357">
        <v>28.292829999999999</v>
      </c>
      <c r="O357">
        <v>15.394629999999999</v>
      </c>
      <c r="R357">
        <v>29.120740000000001</v>
      </c>
      <c r="S357">
        <v>29.609760000000001</v>
      </c>
      <c r="U357">
        <v>30.918970000000002</v>
      </c>
      <c r="V357">
        <v>22.947289999999999</v>
      </c>
      <c r="W357">
        <v>3.4355319999999998</v>
      </c>
      <c r="Y357">
        <v>3.092911</v>
      </c>
      <c r="Z357">
        <v>5.5686920000000004</v>
      </c>
      <c r="AA357">
        <v>21.00759</v>
      </c>
      <c r="AB357">
        <v>0.86493010000000004</v>
      </c>
      <c r="AC357">
        <v>1.143713E-2</v>
      </c>
      <c r="AD357">
        <v>14.999129999999999</v>
      </c>
      <c r="AE357">
        <v>66.989059999999995</v>
      </c>
      <c r="AF357">
        <v>14.742470000000001</v>
      </c>
      <c r="AH357">
        <v>34.606400000000001</v>
      </c>
      <c r="AJ357">
        <v>4.4616870000000003E-2</v>
      </c>
      <c r="AK357">
        <v>42.131360000000001</v>
      </c>
      <c r="AL357">
        <v>24.94164</v>
      </c>
      <c r="AM357">
        <v>14.75305</v>
      </c>
      <c r="AN357">
        <v>11.76843</v>
      </c>
      <c r="AP357">
        <v>6.7603200000000001</v>
      </c>
      <c r="AU357">
        <v>26.2212</v>
      </c>
      <c r="AV357">
        <v>3.8784799999999999E-4</v>
      </c>
      <c r="AW357">
        <v>27.8461</v>
      </c>
      <c r="AX357">
        <v>3.9551970000000001</v>
      </c>
    </row>
    <row r="358" spans="1:50" x14ac:dyDescent="0.35">
      <c r="A358" s="75">
        <v>28734</v>
      </c>
      <c r="B358">
        <v>38.310949999999998</v>
      </c>
      <c r="C358">
        <v>35.493229999999997</v>
      </c>
      <c r="E358">
        <v>29.312609999999999</v>
      </c>
      <c r="F358">
        <v>51.259340000000002</v>
      </c>
      <c r="G358">
        <v>2.3587669999999998</v>
      </c>
      <c r="I358">
        <v>0.62000330000000003</v>
      </c>
      <c r="J358">
        <v>0.56792819999999999</v>
      </c>
      <c r="L358">
        <v>44.361759999999997</v>
      </c>
      <c r="M358">
        <v>28.483560000000001</v>
      </c>
      <c r="O358">
        <v>15.521420000000001</v>
      </c>
      <c r="R358">
        <v>29.308440000000001</v>
      </c>
      <c r="S358">
        <v>29.799849999999999</v>
      </c>
      <c r="U358">
        <v>31.12764</v>
      </c>
      <c r="V358">
        <v>23.039349999999999</v>
      </c>
      <c r="W358">
        <v>3.52196</v>
      </c>
      <c r="Y358">
        <v>3.0554209999999999</v>
      </c>
      <c r="Z358">
        <v>5.6524590000000003</v>
      </c>
      <c r="AA358">
        <v>21.00759</v>
      </c>
      <c r="AB358">
        <v>0.86493010000000004</v>
      </c>
      <c r="AC358">
        <v>1.178102E-2</v>
      </c>
      <c r="AD358">
        <v>15.23739</v>
      </c>
      <c r="AE358">
        <v>67.701710000000006</v>
      </c>
      <c r="AF358">
        <v>15.04205</v>
      </c>
      <c r="AH358">
        <v>34.668990000000001</v>
      </c>
      <c r="AJ358">
        <v>4.5126079999999999E-2</v>
      </c>
      <c r="AK358">
        <v>42.473419999999997</v>
      </c>
      <c r="AL358">
        <v>25.3</v>
      </c>
      <c r="AM358">
        <v>14.871230000000001</v>
      </c>
      <c r="AN358">
        <v>11.86684</v>
      </c>
      <c r="AP358">
        <v>6.8558579999999996</v>
      </c>
      <c r="AU358">
        <v>26.405609999999999</v>
      </c>
      <c r="AV358">
        <v>4.05263E-4</v>
      </c>
      <c r="AW358">
        <v>28.05706</v>
      </c>
      <c r="AX358">
        <v>4.0011869999999998</v>
      </c>
    </row>
    <row r="359" spans="1:50" x14ac:dyDescent="0.35">
      <c r="A359" s="75">
        <v>28764</v>
      </c>
      <c r="B359">
        <v>38.390479999999997</v>
      </c>
      <c r="C359">
        <v>35.575890000000001</v>
      </c>
      <c r="E359">
        <v>29.707660000000001</v>
      </c>
      <c r="F359">
        <v>51.158360000000002</v>
      </c>
      <c r="G359">
        <v>2.4024429999999999</v>
      </c>
      <c r="I359">
        <v>0.63631919999999997</v>
      </c>
      <c r="J359">
        <v>0.57007940000000001</v>
      </c>
      <c r="L359">
        <v>44.426990000000004</v>
      </c>
      <c r="M359">
        <v>29.013390000000001</v>
      </c>
      <c r="O359">
        <v>15.66344</v>
      </c>
      <c r="R359">
        <v>29.49615</v>
      </c>
      <c r="S359">
        <v>30.077670000000001</v>
      </c>
      <c r="U359">
        <v>31.34787</v>
      </c>
      <c r="V359">
        <v>23.14293</v>
      </c>
      <c r="W359">
        <v>3.5867819999999999</v>
      </c>
      <c r="Y359">
        <v>3.0804140000000002</v>
      </c>
      <c r="Z359">
        <v>5.7216579999999997</v>
      </c>
      <c r="AA359">
        <v>21.384409999999999</v>
      </c>
      <c r="AB359">
        <v>0.88830659999999995</v>
      </c>
      <c r="AC359">
        <v>1.24577E-2</v>
      </c>
      <c r="AD359">
        <v>15.37354</v>
      </c>
      <c r="AE359">
        <v>67.803510000000003</v>
      </c>
      <c r="AF359">
        <v>15.171860000000001</v>
      </c>
      <c r="AH359">
        <v>34.86027</v>
      </c>
      <c r="AJ359">
        <v>4.5672940000000002E-2</v>
      </c>
      <c r="AK359">
        <v>42.587440000000001</v>
      </c>
      <c r="AL359">
        <v>25.3</v>
      </c>
      <c r="AM359">
        <v>15.003360000000001</v>
      </c>
      <c r="AN359">
        <v>11.97438</v>
      </c>
      <c r="AP359">
        <v>7.0638519999999998</v>
      </c>
      <c r="AU359">
        <v>26.540299999999998</v>
      </c>
      <c r="AV359">
        <v>4.2484400000000001E-4</v>
      </c>
      <c r="AW359">
        <v>28.310210000000001</v>
      </c>
      <c r="AX359">
        <v>4.0471779999999997</v>
      </c>
    </row>
    <row r="360" spans="1:50" x14ac:dyDescent="0.35">
      <c r="A360" s="75">
        <v>28795</v>
      </c>
      <c r="B360">
        <v>38.410350000000001</v>
      </c>
      <c r="C360">
        <v>35.686100000000003</v>
      </c>
      <c r="E360">
        <v>29.865680000000001</v>
      </c>
      <c r="F360">
        <v>51.259340000000002</v>
      </c>
      <c r="G360">
        <v>2.4346329999999998</v>
      </c>
      <c r="I360">
        <v>0.64447710000000002</v>
      </c>
      <c r="J360">
        <v>0.57223069999999998</v>
      </c>
      <c r="L360">
        <v>44.557470000000002</v>
      </c>
      <c r="M360">
        <v>29.204129999999999</v>
      </c>
      <c r="O360">
        <v>15.732010000000001</v>
      </c>
      <c r="R360">
        <v>29.657029999999999</v>
      </c>
      <c r="S360">
        <v>30.238510000000002</v>
      </c>
      <c r="U360">
        <v>31.452539999999999</v>
      </c>
      <c r="V360">
        <v>23.304040000000001</v>
      </c>
      <c r="W360">
        <v>3.6299959999999998</v>
      </c>
      <c r="Y360">
        <v>3.149146</v>
      </c>
      <c r="Z360">
        <v>5.7216579999999997</v>
      </c>
      <c r="AA360">
        <v>21.384409999999999</v>
      </c>
      <c r="AB360">
        <v>0.91168309999999997</v>
      </c>
      <c r="AC360">
        <v>1.323423E-2</v>
      </c>
      <c r="AD360">
        <v>15.53238</v>
      </c>
      <c r="AE360">
        <v>67.192670000000007</v>
      </c>
      <c r="AF360">
        <v>15.251749999999999</v>
      </c>
      <c r="AH360">
        <v>34.975029999999997</v>
      </c>
      <c r="AJ360">
        <v>4.6142849999999999E-2</v>
      </c>
      <c r="AK360">
        <v>42.587440000000001</v>
      </c>
      <c r="AL360">
        <v>25.371670000000002</v>
      </c>
      <c r="AM360">
        <v>15.070489999999999</v>
      </c>
      <c r="AN360">
        <v>12.059530000000001</v>
      </c>
      <c r="AP360">
        <v>7.1454579999999996</v>
      </c>
      <c r="AU360">
        <v>26.647600000000001</v>
      </c>
      <c r="AV360">
        <v>4.3822400000000002E-4</v>
      </c>
      <c r="AW360">
        <v>28.436779999999999</v>
      </c>
      <c r="AX360">
        <v>4.0471779999999997</v>
      </c>
    </row>
    <row r="361" spans="1:50" x14ac:dyDescent="0.35">
      <c r="A361" s="75">
        <v>28825</v>
      </c>
      <c r="B361">
        <v>38.529640000000001</v>
      </c>
      <c r="C361">
        <v>35.843150000000001</v>
      </c>
      <c r="E361">
        <v>29.944690000000001</v>
      </c>
      <c r="F361">
        <v>51.361190000000001</v>
      </c>
      <c r="G361">
        <v>2.4714299999999998</v>
      </c>
      <c r="I361">
        <v>0.65263499999999997</v>
      </c>
      <c r="J361">
        <v>0.58191130000000002</v>
      </c>
      <c r="L361">
        <v>44.687950000000001</v>
      </c>
      <c r="M361">
        <v>29.22532</v>
      </c>
      <c r="O361">
        <v>15.945309999999999</v>
      </c>
      <c r="R361">
        <v>29.603400000000001</v>
      </c>
      <c r="S361">
        <v>30.384740000000001</v>
      </c>
      <c r="U361">
        <v>31.57236</v>
      </c>
      <c r="V361">
        <v>23.499680000000001</v>
      </c>
      <c r="W361">
        <v>3.694817</v>
      </c>
      <c r="Y361">
        <v>3.1866349999999999</v>
      </c>
      <c r="Z361">
        <v>5.6342489999999996</v>
      </c>
      <c r="AA361">
        <v>21.384409999999999</v>
      </c>
      <c r="AB361">
        <v>0.91168309999999997</v>
      </c>
      <c r="AC361">
        <v>1.368904E-2</v>
      </c>
      <c r="AD361">
        <v>15.611800000000001</v>
      </c>
      <c r="AE361">
        <v>67.090869999999995</v>
      </c>
      <c r="AF361">
        <v>15.311669999999999</v>
      </c>
      <c r="AH361">
        <v>34.973289999999999</v>
      </c>
      <c r="AJ361">
        <v>4.653417E-2</v>
      </c>
      <c r="AK361">
        <v>42.530430000000003</v>
      </c>
      <c r="AL361">
        <v>25.371670000000002</v>
      </c>
      <c r="AM361">
        <v>15.14194</v>
      </c>
      <c r="AN361">
        <v>12.13734</v>
      </c>
      <c r="AP361">
        <v>7.274832</v>
      </c>
      <c r="AU361">
        <v>26.814689999999999</v>
      </c>
      <c r="AV361">
        <v>4.4557199999999998E-4</v>
      </c>
      <c r="AW361">
        <v>28.56335</v>
      </c>
      <c r="AX361">
        <v>4.0471779999999997</v>
      </c>
    </row>
    <row r="362" spans="1:50" x14ac:dyDescent="0.35">
      <c r="A362" s="75">
        <v>28856</v>
      </c>
      <c r="B362">
        <v>38.867620000000002</v>
      </c>
      <c r="C362">
        <v>36.055309999999999</v>
      </c>
      <c r="E362">
        <v>30.102709999999998</v>
      </c>
      <c r="F362">
        <v>51.564909999999998</v>
      </c>
      <c r="G362">
        <v>2.5265430000000002</v>
      </c>
      <c r="I362">
        <v>0.66895090000000001</v>
      </c>
      <c r="J362">
        <v>0.58513809999999999</v>
      </c>
      <c r="L362">
        <v>45.14461</v>
      </c>
      <c r="M362">
        <v>29.22532</v>
      </c>
      <c r="O362">
        <v>16.21902</v>
      </c>
      <c r="R362">
        <v>29.844740000000002</v>
      </c>
      <c r="S362">
        <v>30.662559999999999</v>
      </c>
      <c r="U362">
        <v>31.854890000000001</v>
      </c>
      <c r="V362">
        <v>23.844919999999998</v>
      </c>
      <c r="W362">
        <v>3.8460670000000001</v>
      </c>
      <c r="Y362">
        <v>3.1928839999999998</v>
      </c>
      <c r="Z362">
        <v>5.5869020000000003</v>
      </c>
      <c r="AA362">
        <v>22.232240000000001</v>
      </c>
      <c r="AB362">
        <v>0.93505950000000004</v>
      </c>
      <c r="AC362">
        <v>1.436574E-2</v>
      </c>
      <c r="AD362">
        <v>15.87275</v>
      </c>
      <c r="AE362">
        <v>67.192670000000007</v>
      </c>
      <c r="AF362">
        <v>15.44148</v>
      </c>
      <c r="AH362">
        <v>35.249769999999998</v>
      </c>
      <c r="AJ362">
        <v>4.8186220000000002E-2</v>
      </c>
      <c r="AK362">
        <v>42.473419999999997</v>
      </c>
      <c r="AL362">
        <v>25.3</v>
      </c>
      <c r="AM362">
        <v>15.30514</v>
      </c>
      <c r="AN362">
        <v>12.287459999999999</v>
      </c>
      <c r="AP362">
        <v>7.3325529999999999</v>
      </c>
      <c r="AU362">
        <v>26.99297</v>
      </c>
      <c r="AV362">
        <v>4.5597900000000002E-4</v>
      </c>
      <c r="AW362">
        <v>28.816500000000001</v>
      </c>
      <c r="AX362">
        <v>4.0931689999999996</v>
      </c>
    </row>
    <row r="363" spans="1:50" x14ac:dyDescent="0.35">
      <c r="A363" s="75">
        <v>28887</v>
      </c>
      <c r="B363">
        <v>39.086320000000001</v>
      </c>
      <c r="C363">
        <v>36.173780000000001</v>
      </c>
      <c r="E363">
        <v>30.49776</v>
      </c>
      <c r="F363">
        <v>52.12424</v>
      </c>
      <c r="G363">
        <v>2.5675680000000001</v>
      </c>
      <c r="I363">
        <v>0.68526679999999995</v>
      </c>
      <c r="J363">
        <v>0.58513809999999999</v>
      </c>
      <c r="L363">
        <v>45.275089999999999</v>
      </c>
      <c r="M363">
        <v>29.394870000000001</v>
      </c>
      <c r="O363">
        <v>16.344719999999999</v>
      </c>
      <c r="R363">
        <v>30.19333</v>
      </c>
      <c r="S363">
        <v>30.867270000000001</v>
      </c>
      <c r="U363">
        <v>32.12312</v>
      </c>
      <c r="V363">
        <v>24.040559999999999</v>
      </c>
      <c r="W363">
        <v>3.8460670000000001</v>
      </c>
      <c r="Y363">
        <v>3.2678639999999999</v>
      </c>
      <c r="Z363">
        <v>5.5359129999999999</v>
      </c>
      <c r="AA363">
        <v>22.232240000000001</v>
      </c>
      <c r="AB363">
        <v>0.95843610000000001</v>
      </c>
      <c r="AC363">
        <v>1.471518E-2</v>
      </c>
      <c r="AD363">
        <v>16.11102</v>
      </c>
      <c r="AE363">
        <v>66.989059999999995</v>
      </c>
      <c r="AF363">
        <v>15.98138</v>
      </c>
      <c r="AH363">
        <v>35.434089999999998</v>
      </c>
      <c r="AJ363">
        <v>4.88788E-2</v>
      </c>
      <c r="AK363">
        <v>42.70147</v>
      </c>
      <c r="AL363">
        <v>25.4</v>
      </c>
      <c r="AM363">
        <v>15.44115</v>
      </c>
      <c r="AN363">
        <v>12.385949999999999</v>
      </c>
      <c r="AP363">
        <v>7.4559559999999996</v>
      </c>
      <c r="AU363">
        <v>27.212589999999999</v>
      </c>
      <c r="AV363">
        <v>4.6617300000000001E-4</v>
      </c>
      <c r="AW363">
        <v>29.154029999999999</v>
      </c>
      <c r="AX363">
        <v>4.1391590000000003</v>
      </c>
    </row>
    <row r="364" spans="1:50" x14ac:dyDescent="0.35">
      <c r="A364" s="75">
        <v>28915</v>
      </c>
      <c r="B364">
        <v>39.145960000000002</v>
      </c>
      <c r="C364">
        <v>36.195819999999998</v>
      </c>
      <c r="E364">
        <v>30.813800000000001</v>
      </c>
      <c r="F364">
        <v>52.378</v>
      </c>
      <c r="G364">
        <v>2.6397349999999999</v>
      </c>
      <c r="I364">
        <v>0.70974060000000005</v>
      </c>
      <c r="J364">
        <v>0.58513809999999999</v>
      </c>
      <c r="L364">
        <v>45.53604</v>
      </c>
      <c r="M364">
        <v>29.649190000000001</v>
      </c>
      <c r="O364">
        <v>16.514500000000002</v>
      </c>
      <c r="R364">
        <v>30.40784</v>
      </c>
      <c r="S364">
        <v>31.14509</v>
      </c>
      <c r="U364">
        <v>32.428220000000003</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16.270980000000002</v>
      </c>
      <c r="AH364">
        <v>35.496690000000001</v>
      </c>
      <c r="AJ364">
        <v>4.9541910000000002E-2</v>
      </c>
      <c r="AK364">
        <v>43.100549999999998</v>
      </c>
      <c r="AL364">
        <v>25.5</v>
      </c>
      <c r="AM364">
        <v>15.59333</v>
      </c>
      <c r="AN364">
        <v>12.50521</v>
      </c>
      <c r="AP364">
        <v>7.5753789999999999</v>
      </c>
      <c r="AU364">
        <v>27.351749999999999</v>
      </c>
      <c r="AV364">
        <v>4.7781199999999998E-4</v>
      </c>
      <c r="AW364">
        <v>29.449359999999999</v>
      </c>
      <c r="AX364">
        <v>4.1851500000000001</v>
      </c>
    </row>
    <row r="365" spans="1:50" x14ac:dyDescent="0.35">
      <c r="A365" s="75">
        <v>28946</v>
      </c>
      <c r="B365">
        <v>39.185720000000003</v>
      </c>
      <c r="C365">
        <v>36.281239999999997</v>
      </c>
      <c r="E365">
        <v>31.050830000000001</v>
      </c>
      <c r="F365">
        <v>52.530790000000003</v>
      </c>
      <c r="G365">
        <v>2.7081930000000001</v>
      </c>
      <c r="I365">
        <v>0.72605649999999999</v>
      </c>
      <c r="J365">
        <v>0.58944059999999998</v>
      </c>
      <c r="L365">
        <v>45.731749999999998</v>
      </c>
      <c r="M365">
        <v>29.75515</v>
      </c>
      <c r="O365">
        <v>16.763719999999999</v>
      </c>
      <c r="R365">
        <v>30.675989999999999</v>
      </c>
      <c r="S365">
        <v>31.45215</v>
      </c>
      <c r="U365">
        <v>32.779910000000001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16.67041</v>
      </c>
      <c r="AH365">
        <v>35.583629999999999</v>
      </c>
      <c r="AJ365">
        <v>4.9985630000000003E-2</v>
      </c>
      <c r="AK365">
        <v>43.385599999999997</v>
      </c>
      <c r="AL365">
        <v>25.6</v>
      </c>
      <c r="AM365">
        <v>15.78153</v>
      </c>
      <c r="AN365">
        <v>12.65616</v>
      </c>
      <c r="AP365">
        <v>7.7923309999999999</v>
      </c>
      <c r="AU365">
        <v>27.50487</v>
      </c>
      <c r="AV365">
        <v>5.0215000000000004E-4</v>
      </c>
      <c r="AW365">
        <v>29.78689</v>
      </c>
      <c r="AX365">
        <v>4.231141</v>
      </c>
    </row>
    <row r="366" spans="1:50" x14ac:dyDescent="0.35">
      <c r="A366" s="75">
        <v>28976</v>
      </c>
      <c r="B366">
        <v>39.185720000000003</v>
      </c>
      <c r="C366">
        <v>36.380429999999997</v>
      </c>
      <c r="E366">
        <v>31.366869999999999</v>
      </c>
      <c r="F366">
        <v>52.734499999999997</v>
      </c>
      <c r="G366">
        <v>2.7764039999999999</v>
      </c>
      <c r="I366">
        <v>0.74237229999999998</v>
      </c>
      <c r="J366">
        <v>0.59481870000000003</v>
      </c>
      <c r="L366">
        <v>45.862220000000001</v>
      </c>
      <c r="M366">
        <v>30.24259</v>
      </c>
      <c r="O366">
        <v>16.959620000000001</v>
      </c>
      <c r="R366">
        <v>30.783249999999999</v>
      </c>
      <c r="S366">
        <v>31.788460000000001</v>
      </c>
      <c r="U366">
        <v>33.118499999999997</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17.18967</v>
      </c>
      <c r="AH366">
        <v>35.78707</v>
      </c>
      <c r="AJ366">
        <v>5.0640560000000001E-2</v>
      </c>
      <c r="AK366">
        <v>43.385599999999997</v>
      </c>
      <c r="AL366">
        <v>25.7</v>
      </c>
      <c r="AM366">
        <v>15.95331</v>
      </c>
      <c r="AN366">
        <v>12.775779999999999</v>
      </c>
      <c r="AP366">
        <v>8.0192340000000009</v>
      </c>
      <c r="AU366">
        <v>27.670850000000002</v>
      </c>
      <c r="AV366">
        <v>5.2428000000000002E-4</v>
      </c>
      <c r="AW366">
        <v>30.166609999999999</v>
      </c>
      <c r="AX366">
        <v>4.231141</v>
      </c>
    </row>
    <row r="367" spans="1:50" x14ac:dyDescent="0.35">
      <c r="A367" s="75">
        <v>29007</v>
      </c>
      <c r="B367">
        <v>39.364649999999997</v>
      </c>
      <c r="C367">
        <v>36.570540000000001</v>
      </c>
      <c r="E367">
        <v>31.524889999999999</v>
      </c>
      <c r="F367">
        <v>53.445740000000001</v>
      </c>
      <c r="G367">
        <v>2.8460990000000002</v>
      </c>
      <c r="I367">
        <v>0.75053020000000004</v>
      </c>
      <c r="J367">
        <v>0.60987740000000001</v>
      </c>
      <c r="L367">
        <v>46.123179999999998</v>
      </c>
      <c r="M367">
        <v>30.5181</v>
      </c>
      <c r="O367">
        <v>17.109259999999999</v>
      </c>
      <c r="R367">
        <v>30.997769999999999</v>
      </c>
      <c r="S367">
        <v>32.051650000000002</v>
      </c>
      <c r="U367">
        <v>33.416629999999998</v>
      </c>
      <c r="V367">
        <v>25.271940000000001</v>
      </c>
      <c r="W367">
        <v>4.2133880000000001</v>
      </c>
      <c r="Y367">
        <v>3.555285</v>
      </c>
      <c r="Z367">
        <v>5.8054249999999996</v>
      </c>
      <c r="AA367">
        <v>22.985880000000002</v>
      </c>
      <c r="AB367">
        <v>1.122072</v>
      </c>
      <c r="AC367">
        <v>1.8320469999999998E-2</v>
      </c>
      <c r="AD367">
        <v>16.848490000000002</v>
      </c>
      <c r="AE367">
        <v>69.127009999999999</v>
      </c>
      <c r="AF367">
        <v>17.349450000000001</v>
      </c>
      <c r="AH367">
        <v>35.945300000000003</v>
      </c>
      <c r="AJ367">
        <v>5.1202159999999997E-2</v>
      </c>
      <c r="AK367">
        <v>43.385599999999997</v>
      </c>
      <c r="AL367">
        <v>25.8</v>
      </c>
      <c r="AM367">
        <v>16.12895</v>
      </c>
      <c r="AN367">
        <v>12.956670000000001</v>
      </c>
      <c r="AP367">
        <v>8.0421230000000001</v>
      </c>
      <c r="AU367">
        <v>27.793800000000001</v>
      </c>
      <c r="AV367">
        <v>5.8102800000000003E-4</v>
      </c>
      <c r="AW367">
        <v>30.50414</v>
      </c>
      <c r="AX367">
        <v>4.2771309999999998</v>
      </c>
    </row>
    <row r="368" spans="1:50" x14ac:dyDescent="0.35">
      <c r="A368" s="75">
        <v>29037</v>
      </c>
      <c r="B368">
        <v>39.702629999999999</v>
      </c>
      <c r="C368">
        <v>36.873620000000003</v>
      </c>
      <c r="E368">
        <v>31.76192</v>
      </c>
      <c r="F368">
        <v>53.598529999999997</v>
      </c>
      <c r="G368">
        <v>2.9489100000000001</v>
      </c>
      <c r="I368">
        <v>0.75868820000000003</v>
      </c>
      <c r="J368">
        <v>0.6141799</v>
      </c>
      <c r="L368">
        <v>46.384129999999999</v>
      </c>
      <c r="M368">
        <v>31.217479999999998</v>
      </c>
      <c r="O368">
        <v>17.478739999999998</v>
      </c>
      <c r="R368">
        <v>31.158660000000001</v>
      </c>
      <c r="S368">
        <v>32.475700000000003</v>
      </c>
      <c r="U368">
        <v>33.824869999999997</v>
      </c>
      <c r="V368">
        <v>26.365210000000001</v>
      </c>
      <c r="W368">
        <v>4.1917809999999998</v>
      </c>
      <c r="Y368">
        <v>3.6427619999999998</v>
      </c>
      <c r="Z368">
        <v>5.9401809999999999</v>
      </c>
      <c r="AA368">
        <v>23.92793</v>
      </c>
      <c r="AB368">
        <v>1.1922010000000001</v>
      </c>
      <c r="AC368">
        <v>1.932996E-2</v>
      </c>
      <c r="AD368">
        <v>16.995989999999999</v>
      </c>
      <c r="AE368">
        <v>69.737849999999995</v>
      </c>
      <c r="AF368">
        <v>17.42933</v>
      </c>
      <c r="AH368">
        <v>36.124400000000001</v>
      </c>
      <c r="AJ368">
        <v>5.1822699999999999E-2</v>
      </c>
      <c r="AK368">
        <v>43.556640000000002</v>
      </c>
      <c r="AL368">
        <v>26</v>
      </c>
      <c r="AM368">
        <v>16.356819999999999</v>
      </c>
      <c r="AN368">
        <v>13.19477</v>
      </c>
      <c r="AP368">
        <v>8.0650119999999994</v>
      </c>
      <c r="AU368">
        <v>27.984359999999999</v>
      </c>
      <c r="AV368">
        <v>6.31362E-4</v>
      </c>
      <c r="AW368">
        <v>30.841670000000001</v>
      </c>
      <c r="AX368">
        <v>4.4610940000000001</v>
      </c>
    </row>
    <row r="369" spans="1:50" x14ac:dyDescent="0.35">
      <c r="A369" s="75">
        <v>29068</v>
      </c>
      <c r="B369">
        <v>39.702629999999999</v>
      </c>
      <c r="C369">
        <v>37.047199999999997</v>
      </c>
      <c r="E369">
        <v>31.84093</v>
      </c>
      <c r="F369">
        <v>53.496670000000002</v>
      </c>
      <c r="G369">
        <v>3.0882990000000001</v>
      </c>
      <c r="I369">
        <v>0.77500409999999997</v>
      </c>
      <c r="J369">
        <v>0.61310430000000005</v>
      </c>
      <c r="L369">
        <v>46.449370000000002</v>
      </c>
      <c r="M369">
        <v>31.7685</v>
      </c>
      <c r="O369">
        <v>17.650690000000001</v>
      </c>
      <c r="R369">
        <v>31.292729999999999</v>
      </c>
      <c r="S369">
        <v>32.811999999999998</v>
      </c>
      <c r="U369">
        <v>34.026589999999999</v>
      </c>
      <c r="V369">
        <v>26.57236</v>
      </c>
      <c r="W369">
        <v>4.1485669999999999</v>
      </c>
      <c r="Y369">
        <v>3.7239900000000001</v>
      </c>
      <c r="Z369">
        <v>6.0567260000000003</v>
      </c>
      <c r="AA369">
        <v>23.92793</v>
      </c>
      <c r="AB369">
        <v>1.2155769999999999</v>
      </c>
      <c r="AC369">
        <v>2.0949570000000001E-2</v>
      </c>
      <c r="AD369">
        <v>17.200209999999998</v>
      </c>
      <c r="AE369">
        <v>69.025199999999998</v>
      </c>
      <c r="AF369">
        <v>17.489249999999998</v>
      </c>
      <c r="AH369">
        <v>36.237430000000003</v>
      </c>
      <c r="AJ369">
        <v>5.2606970000000003E-2</v>
      </c>
      <c r="AK369">
        <v>43.727670000000003</v>
      </c>
      <c r="AL369">
        <v>26</v>
      </c>
      <c r="AM369">
        <v>16.473749999999999</v>
      </c>
      <c r="AN369">
        <v>13.312889999999999</v>
      </c>
      <c r="AP369">
        <v>8.2361850000000008</v>
      </c>
      <c r="AU369">
        <v>28.378350000000001</v>
      </c>
      <c r="AV369">
        <v>6.5773999999999997E-4</v>
      </c>
      <c r="AW369">
        <v>31.13701</v>
      </c>
      <c r="AX369">
        <v>4.5070839999999999</v>
      </c>
    </row>
    <row r="370" spans="1:50" x14ac:dyDescent="0.35">
      <c r="A370" s="75">
        <v>29099</v>
      </c>
      <c r="B370">
        <v>39.74239</v>
      </c>
      <c r="C370">
        <v>37.12435</v>
      </c>
      <c r="E370">
        <v>32.156970000000001</v>
      </c>
      <c r="F370">
        <v>53.751309999999997</v>
      </c>
      <c r="G370">
        <v>3.2093989999999999</v>
      </c>
      <c r="I370">
        <v>0.79132000000000002</v>
      </c>
      <c r="J370">
        <v>0.61955800000000005</v>
      </c>
      <c r="L370">
        <v>46.64508</v>
      </c>
      <c r="M370">
        <v>32.128779999999999</v>
      </c>
      <c r="O370">
        <v>17.883040000000001</v>
      </c>
      <c r="R370">
        <v>31.560880000000001</v>
      </c>
      <c r="S370">
        <v>33.089820000000003</v>
      </c>
      <c r="U370">
        <v>34.407899999999998</v>
      </c>
      <c r="V370">
        <v>26.837050000000001</v>
      </c>
      <c r="W370">
        <v>4.2349949999999996</v>
      </c>
      <c r="Y370">
        <v>3.7552310000000002</v>
      </c>
      <c r="Z370">
        <v>6.1077149999999998</v>
      </c>
      <c r="AA370">
        <v>23.92793</v>
      </c>
      <c r="AB370">
        <v>1.26233</v>
      </c>
      <c r="AC370">
        <v>2.262465E-2</v>
      </c>
      <c r="AD370">
        <v>17.642700000000001</v>
      </c>
      <c r="AE370">
        <v>69.941460000000006</v>
      </c>
      <c r="AF370">
        <v>17.728909999999999</v>
      </c>
      <c r="AH370">
        <v>36.437399999999997</v>
      </c>
      <c r="AJ370">
        <v>5.3252069999999999E-2</v>
      </c>
      <c r="AK370">
        <v>44.126750000000001</v>
      </c>
      <c r="AL370">
        <v>26.1</v>
      </c>
      <c r="AM370">
        <v>16.668479999999999</v>
      </c>
      <c r="AN370">
        <v>13.48626</v>
      </c>
      <c r="AP370">
        <v>8.4173100000000005</v>
      </c>
      <c r="AU370">
        <v>28.501300000000001</v>
      </c>
      <c r="AV370">
        <v>6.8827999999999999E-4</v>
      </c>
      <c r="AW370">
        <v>31.474530000000001</v>
      </c>
      <c r="AX370">
        <v>4.5530749999999998</v>
      </c>
    </row>
    <row r="371" spans="1:50" x14ac:dyDescent="0.35">
      <c r="A371" s="75">
        <v>29129</v>
      </c>
      <c r="B371">
        <v>39.941200000000002</v>
      </c>
      <c r="C371">
        <v>37.386099999999999</v>
      </c>
      <c r="E371">
        <v>32.393990000000002</v>
      </c>
      <c r="F371">
        <v>53.700380000000003</v>
      </c>
      <c r="G371">
        <v>3.287496</v>
      </c>
      <c r="I371">
        <v>0.79947789999999996</v>
      </c>
      <c r="J371">
        <v>0.63354109999999997</v>
      </c>
      <c r="L371">
        <v>46.710320000000003</v>
      </c>
      <c r="M371">
        <v>32.298319999999997</v>
      </c>
      <c r="O371">
        <v>18.123010000000001</v>
      </c>
      <c r="R371">
        <v>31.74858</v>
      </c>
      <c r="S371">
        <v>33.48462</v>
      </c>
      <c r="U371">
        <v>34.71602</v>
      </c>
      <c r="V371">
        <v>27.113250000000001</v>
      </c>
      <c r="W371">
        <v>4.3646380000000002</v>
      </c>
      <c r="Y371">
        <v>3.786473</v>
      </c>
      <c r="Z371">
        <v>6.1404930000000002</v>
      </c>
      <c r="AA371">
        <v>24.775759999999998</v>
      </c>
      <c r="AB371">
        <v>1.355836</v>
      </c>
      <c r="AC371">
        <v>2.4394019999999999E-2</v>
      </c>
      <c r="AD371">
        <v>17.971720000000001</v>
      </c>
      <c r="AE371">
        <v>70.755920000000003</v>
      </c>
      <c r="AF371">
        <v>17.848739999999999</v>
      </c>
      <c r="AH371">
        <v>36.673879999999997</v>
      </c>
      <c r="AJ371">
        <v>5.4182069999999999E-2</v>
      </c>
      <c r="AK371">
        <v>44.468820000000001</v>
      </c>
      <c r="AL371">
        <v>26.3</v>
      </c>
      <c r="AM371">
        <v>16.864599999999999</v>
      </c>
      <c r="AN371">
        <v>13.676679999999999</v>
      </c>
      <c r="AP371">
        <v>8.598433</v>
      </c>
      <c r="AU371">
        <v>28.77178</v>
      </c>
      <c r="AV371">
        <v>7.3585299999999996E-4</v>
      </c>
      <c r="AW371">
        <v>31.727679999999999</v>
      </c>
      <c r="AX371">
        <v>4.5990659999999997</v>
      </c>
    </row>
    <row r="372" spans="1:50" x14ac:dyDescent="0.35">
      <c r="A372" s="75">
        <v>29160</v>
      </c>
      <c r="B372">
        <v>40.120130000000003</v>
      </c>
      <c r="C372">
        <v>37.543140000000001</v>
      </c>
      <c r="E372">
        <v>32.710030000000003</v>
      </c>
      <c r="F372">
        <v>53.904089999999997</v>
      </c>
      <c r="G372">
        <v>3.3579319999999999</v>
      </c>
      <c r="I372">
        <v>0.82395169999999995</v>
      </c>
      <c r="J372">
        <v>0.64859979999999995</v>
      </c>
      <c r="L372">
        <v>46.971269999999997</v>
      </c>
      <c r="M372">
        <v>32.616219999999998</v>
      </c>
      <c r="O372">
        <v>18.166550000000001</v>
      </c>
      <c r="R372">
        <v>31.989909999999998</v>
      </c>
      <c r="S372">
        <v>33.703949999999999</v>
      </c>
      <c r="U372">
        <v>34.970489999999998</v>
      </c>
      <c r="V372">
        <v>27.35492</v>
      </c>
      <c r="W372">
        <v>4.451066</v>
      </c>
      <c r="Y372">
        <v>3.8114659999999998</v>
      </c>
      <c r="Z372">
        <v>6.1914819999999997</v>
      </c>
      <c r="AA372">
        <v>24.775759999999998</v>
      </c>
      <c r="AB372">
        <v>1.4259660000000001</v>
      </c>
      <c r="AC372">
        <v>2.6767969999999999E-2</v>
      </c>
      <c r="AD372">
        <v>18.221329999999998</v>
      </c>
      <c r="AE372">
        <v>70.450490000000002</v>
      </c>
      <c r="AF372">
        <v>18.118359999999999</v>
      </c>
      <c r="AH372">
        <v>36.91384</v>
      </c>
      <c r="AJ372">
        <v>5.4879570000000003E-2</v>
      </c>
      <c r="AK372">
        <v>44.525829999999999</v>
      </c>
      <c r="AL372">
        <v>26.5</v>
      </c>
      <c r="AM372">
        <v>17.011099999999999</v>
      </c>
      <c r="AN372">
        <v>13.824490000000001</v>
      </c>
      <c r="AP372">
        <v>8.6889959999999995</v>
      </c>
      <c r="AU372">
        <v>29.189800000000002</v>
      </c>
      <c r="AV372">
        <v>7.7399599999999999E-4</v>
      </c>
      <c r="AW372">
        <v>32.023020000000002</v>
      </c>
      <c r="AX372">
        <v>4.5990659999999997</v>
      </c>
    </row>
    <row r="373" spans="1:50" x14ac:dyDescent="0.35">
      <c r="A373" s="75">
        <v>29190</v>
      </c>
      <c r="B373">
        <v>40.338830000000002</v>
      </c>
      <c r="C373">
        <v>37.683660000000003</v>
      </c>
      <c r="D373">
        <v>0</v>
      </c>
      <c r="E373">
        <v>32.868049999999997</v>
      </c>
      <c r="F373">
        <v>54.005070000000003</v>
      </c>
      <c r="G373">
        <v>3.4328159999999999</v>
      </c>
      <c r="I373">
        <v>0.8321096</v>
      </c>
      <c r="J373">
        <v>0.65828039999999999</v>
      </c>
      <c r="L373">
        <v>47.101750000000003</v>
      </c>
      <c r="M373">
        <v>32.6798</v>
      </c>
      <c r="O373">
        <v>18.431550000000001</v>
      </c>
      <c r="R373">
        <v>32.150799999999997</v>
      </c>
      <c r="S373">
        <v>33.967149999999997</v>
      </c>
      <c r="U373">
        <v>35.289900000000003</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18.558399999999999</v>
      </c>
      <c r="AH373">
        <v>37.066859999999998</v>
      </c>
      <c r="AJ373">
        <v>5.5850490000000003E-2</v>
      </c>
      <c r="AK373">
        <v>44.582839999999997</v>
      </c>
      <c r="AL373">
        <v>26.5</v>
      </c>
      <c r="AM373">
        <v>17.192830000000001</v>
      </c>
      <c r="AN373">
        <v>13.98259</v>
      </c>
      <c r="AP373">
        <v>8.8024470000000008</v>
      </c>
      <c r="AU373">
        <v>29.43122</v>
      </c>
      <c r="AV373">
        <v>8.1022799999999997E-4</v>
      </c>
      <c r="AW373">
        <v>32.360550000000003</v>
      </c>
      <c r="AX373">
        <v>4.6450560000000003</v>
      </c>
    </row>
    <row r="374" spans="1:50" x14ac:dyDescent="0.35">
      <c r="A374" s="75">
        <v>29221</v>
      </c>
      <c r="B374">
        <v>40.81597</v>
      </c>
      <c r="C374">
        <v>38.209919999999997</v>
      </c>
      <c r="D374">
        <v>0</v>
      </c>
      <c r="E374">
        <v>33.026069999999997</v>
      </c>
      <c r="F374">
        <v>54.157859999999999</v>
      </c>
      <c r="G374">
        <v>3.5059710000000002</v>
      </c>
      <c r="I374">
        <v>0.85658350000000005</v>
      </c>
      <c r="J374">
        <v>0.67118789999999995</v>
      </c>
      <c r="L374">
        <v>47.362699999999997</v>
      </c>
      <c r="M374">
        <v>32.955309999999997</v>
      </c>
      <c r="O374">
        <v>18.938700000000001</v>
      </c>
      <c r="R374">
        <v>32.526200000000003</v>
      </c>
      <c r="S374">
        <v>34.625140000000002</v>
      </c>
      <c r="U374">
        <v>35.803600000000003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19.3626</v>
      </c>
      <c r="AH374">
        <v>37.254649999999998</v>
      </c>
      <c r="AJ374">
        <v>5.8573350000000003E-2</v>
      </c>
      <c r="AK374">
        <v>44.810890000000001</v>
      </c>
      <c r="AL374">
        <v>26.9</v>
      </c>
      <c r="AM374">
        <v>17.514710000000001</v>
      </c>
      <c r="AN374">
        <v>14.292400000000001</v>
      </c>
      <c r="AP374">
        <v>8.8840529999999998</v>
      </c>
      <c r="AT374">
        <v>3.43517E-4</v>
      </c>
      <c r="AU374">
        <v>30.413679999999999</v>
      </c>
      <c r="AV374">
        <v>8.9458599999999995E-4</v>
      </c>
      <c r="AW374">
        <v>32.824649999999998</v>
      </c>
      <c r="AX374">
        <v>4.6450560000000003</v>
      </c>
    </row>
    <row r="375" spans="1:50" x14ac:dyDescent="0.35">
      <c r="A375" s="75">
        <v>29252</v>
      </c>
      <c r="B375">
        <v>41.173830000000002</v>
      </c>
      <c r="C375">
        <v>38.498739999999998</v>
      </c>
      <c r="D375">
        <v>0</v>
      </c>
      <c r="E375">
        <v>33.421120000000002</v>
      </c>
      <c r="F375">
        <v>54.259720000000002</v>
      </c>
      <c r="G375">
        <v>3.5699809999999998</v>
      </c>
      <c r="I375">
        <v>0.86474139999999999</v>
      </c>
      <c r="J375">
        <v>0.67441479999999998</v>
      </c>
      <c r="L375">
        <v>47.949840000000002</v>
      </c>
      <c r="M375">
        <v>33.294400000000003</v>
      </c>
      <c r="O375">
        <v>19.10793</v>
      </c>
      <c r="R375">
        <v>33.008870000000002</v>
      </c>
      <c r="S375">
        <v>34.992719999999998</v>
      </c>
      <c r="U375">
        <v>36.271920000000001</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20.202079999999999</v>
      </c>
      <c r="AH375">
        <v>37.560690000000001</v>
      </c>
      <c r="AJ375">
        <v>5.9927420000000002E-2</v>
      </c>
      <c r="AK375">
        <v>45.266979999999997</v>
      </c>
      <c r="AL375">
        <v>27.4</v>
      </c>
      <c r="AM375">
        <v>17.788150000000002</v>
      </c>
      <c r="AN375">
        <v>14.551170000000001</v>
      </c>
      <c r="AP375">
        <v>9.0492539999999995</v>
      </c>
      <c r="AT375">
        <v>3.5909499999999998E-4</v>
      </c>
      <c r="AU375">
        <v>30.876429999999999</v>
      </c>
      <c r="AV375">
        <v>1.0134759999999999E-3</v>
      </c>
      <c r="AW375">
        <v>33.28875</v>
      </c>
      <c r="AX375">
        <v>4.6910470000000002</v>
      </c>
    </row>
    <row r="376" spans="1:50" x14ac:dyDescent="0.35">
      <c r="A376" s="75">
        <v>29281</v>
      </c>
      <c r="B376">
        <v>41.313000000000002</v>
      </c>
      <c r="C376">
        <v>38.569189999999999</v>
      </c>
      <c r="D376">
        <v>0</v>
      </c>
      <c r="E376">
        <v>33.658149999999999</v>
      </c>
      <c r="F376">
        <v>54.412500000000001</v>
      </c>
      <c r="G376">
        <v>3.6750159999999998</v>
      </c>
      <c r="I376">
        <v>0.88105730000000004</v>
      </c>
      <c r="J376">
        <v>0.70022960000000001</v>
      </c>
      <c r="L376">
        <v>48.14555</v>
      </c>
      <c r="M376">
        <v>33.760649999999998</v>
      </c>
      <c r="O376">
        <v>19.21078</v>
      </c>
      <c r="R376">
        <v>33.330649999999999</v>
      </c>
      <c r="S376">
        <v>35.39705</v>
      </c>
      <c r="U376">
        <v>36.68947</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20.953679999999999</v>
      </c>
      <c r="AH376">
        <v>37.717179999999999</v>
      </c>
      <c r="AJ376">
        <v>6.1160310000000002E-2</v>
      </c>
      <c r="AK376">
        <v>45.666049999999998</v>
      </c>
      <c r="AL376">
        <v>27.8</v>
      </c>
      <c r="AM376">
        <v>18.005279999999999</v>
      </c>
      <c r="AN376">
        <v>14.70308</v>
      </c>
      <c r="AP376">
        <v>9.1646970000000003</v>
      </c>
      <c r="AT376">
        <v>3.6975300000000001E-4</v>
      </c>
      <c r="AU376">
        <v>31.032800000000002</v>
      </c>
      <c r="AV376">
        <v>1.0517040000000001E-3</v>
      </c>
      <c r="AW376">
        <v>33.79504</v>
      </c>
      <c r="AX376">
        <v>4.7370380000000001</v>
      </c>
    </row>
    <row r="377" spans="1:50" x14ac:dyDescent="0.35">
      <c r="A377" s="75">
        <v>29312</v>
      </c>
      <c r="B377">
        <v>41.491930000000004</v>
      </c>
      <c r="C377">
        <v>38.618499999999997</v>
      </c>
      <c r="D377">
        <v>0</v>
      </c>
      <c r="E377">
        <v>33.895180000000003</v>
      </c>
      <c r="F377">
        <v>54.667140000000003</v>
      </c>
      <c r="G377">
        <v>3.7681900000000002</v>
      </c>
      <c r="I377">
        <v>0.91368899999999997</v>
      </c>
      <c r="J377">
        <v>0.70238089999999997</v>
      </c>
      <c r="L377">
        <v>48.406500000000001</v>
      </c>
      <c r="M377">
        <v>34.014969999999998</v>
      </c>
      <c r="O377">
        <v>19.396329999999999</v>
      </c>
      <c r="R377">
        <v>33.974200000000003</v>
      </c>
      <c r="S377">
        <v>35.83813</v>
      </c>
      <c r="U377">
        <v>37.17933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21.108129999999999</v>
      </c>
      <c r="AH377">
        <v>37.9328</v>
      </c>
      <c r="AJ377">
        <v>6.2229479999999997E-2</v>
      </c>
      <c r="AK377">
        <v>46.122149999999998</v>
      </c>
      <c r="AL377">
        <v>28</v>
      </c>
      <c r="AM377">
        <v>18.26032</v>
      </c>
      <c r="AN377">
        <v>14.92746</v>
      </c>
      <c r="AP377">
        <v>9.2263979999999997</v>
      </c>
      <c r="AT377">
        <v>3.7795100000000001E-4</v>
      </c>
      <c r="AU377">
        <v>31.24343</v>
      </c>
      <c r="AV377">
        <v>1.091886E-3</v>
      </c>
      <c r="AW377">
        <v>34.174759999999999</v>
      </c>
      <c r="AX377">
        <v>4.783029</v>
      </c>
    </row>
    <row r="378" spans="1:50" x14ac:dyDescent="0.35">
      <c r="A378" s="75">
        <v>29342</v>
      </c>
      <c r="B378">
        <v>41.690739999999998</v>
      </c>
      <c r="C378">
        <v>38.73122</v>
      </c>
      <c r="D378">
        <v>0</v>
      </c>
      <c r="E378">
        <v>34.290230000000001</v>
      </c>
      <c r="F378">
        <v>55.022759999999998</v>
      </c>
      <c r="G378">
        <v>3.8554309999999998</v>
      </c>
      <c r="I378">
        <v>0.94632079999999996</v>
      </c>
      <c r="J378">
        <v>0.70453209999999999</v>
      </c>
      <c r="L378">
        <v>48.667450000000002</v>
      </c>
      <c r="M378">
        <v>34.48122</v>
      </c>
      <c r="O378">
        <v>19.530740000000002</v>
      </c>
      <c r="R378">
        <v>34.349600000000002</v>
      </c>
      <c r="S378">
        <v>36.132190000000001</v>
      </c>
      <c r="U378">
        <v>37.515720000000002</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21.771190000000001</v>
      </c>
      <c r="AH378">
        <v>38.171019999999999</v>
      </c>
      <c r="AJ378">
        <v>6.3244620000000001E-2</v>
      </c>
      <c r="AK378">
        <v>46.236170000000001</v>
      </c>
      <c r="AL378">
        <v>28.3</v>
      </c>
      <c r="AM378">
        <v>18.4358</v>
      </c>
      <c r="AN378">
        <v>15.05612</v>
      </c>
      <c r="AP378">
        <v>9.2164459999999995</v>
      </c>
      <c r="AT378">
        <v>3.8369000000000001E-4</v>
      </c>
      <c r="AU378">
        <v>31.342369999999999</v>
      </c>
      <c r="AV378">
        <v>1.124805E-3</v>
      </c>
      <c r="AW378">
        <v>34.51229</v>
      </c>
      <c r="AX378">
        <v>4.8290189999999997</v>
      </c>
    </row>
    <row r="379" spans="1:50" x14ac:dyDescent="0.35">
      <c r="A379" s="75">
        <v>29373</v>
      </c>
      <c r="B379">
        <v>42.148009999999999</v>
      </c>
      <c r="C379">
        <v>38.822800000000001</v>
      </c>
      <c r="D379">
        <v>0</v>
      </c>
      <c r="E379">
        <v>34.685279999999999</v>
      </c>
      <c r="F379">
        <v>55.175550000000001</v>
      </c>
      <c r="G379">
        <v>3.9290790000000002</v>
      </c>
      <c r="I379">
        <v>0.96263659999999995</v>
      </c>
      <c r="J379">
        <v>0.72389329999999996</v>
      </c>
      <c r="L379">
        <v>48.797930000000001</v>
      </c>
      <c r="M379">
        <v>34.565989999999999</v>
      </c>
      <c r="O379">
        <v>19.833829999999999</v>
      </c>
      <c r="R379">
        <v>34.48368</v>
      </c>
      <c r="S379">
        <v>36.389479999999999</v>
      </c>
      <c r="U379">
        <v>37.836889999999997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22.036819999999999</v>
      </c>
      <c r="AH379">
        <v>38.259700000000002</v>
      </c>
      <c r="AJ379">
        <v>6.4498799999999995E-2</v>
      </c>
      <c r="AK379">
        <v>46.236170000000001</v>
      </c>
      <c r="AL379">
        <v>28.7</v>
      </c>
      <c r="AM379">
        <v>18.616679999999999</v>
      </c>
      <c r="AN379">
        <v>15.19609</v>
      </c>
      <c r="AP379">
        <v>9.3129799999999996</v>
      </c>
      <c r="AT379">
        <v>3.9762800000000002E-4</v>
      </c>
      <c r="AU379">
        <v>31.425339999999998</v>
      </c>
      <c r="AV379">
        <v>1.169914E-3</v>
      </c>
      <c r="AW379">
        <v>34.892009999999999</v>
      </c>
      <c r="AX379">
        <v>4.9210000000000003</v>
      </c>
    </row>
    <row r="380" spans="1:50" x14ac:dyDescent="0.35">
      <c r="A380" s="75">
        <v>29403</v>
      </c>
      <c r="B380">
        <v>42.32694</v>
      </c>
      <c r="C380">
        <v>39.280700000000003</v>
      </c>
      <c r="D380">
        <v>0</v>
      </c>
      <c r="E380">
        <v>34.922310000000003</v>
      </c>
      <c r="F380">
        <v>55.379260000000002</v>
      </c>
      <c r="G380">
        <v>4.0086589999999998</v>
      </c>
      <c r="I380">
        <v>0.97079459999999995</v>
      </c>
      <c r="J380">
        <v>0.73034699999999997</v>
      </c>
      <c r="L380">
        <v>48.863169999999997</v>
      </c>
      <c r="M380">
        <v>35.201790000000003</v>
      </c>
      <c r="O380">
        <v>20.114070000000002</v>
      </c>
      <c r="R380">
        <v>34.698189999999997</v>
      </c>
      <c r="S380">
        <v>36.90408</v>
      </c>
      <c r="U380">
        <v>37.976649999999999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22.213899999999999</v>
      </c>
      <c r="AH380">
        <v>38.421410000000002</v>
      </c>
      <c r="AJ380">
        <v>6.6299849999999994E-2</v>
      </c>
      <c r="AK380">
        <v>46.635249999999999</v>
      </c>
      <c r="AL380">
        <v>29</v>
      </c>
      <c r="AM380">
        <v>18.733599999999999</v>
      </c>
      <c r="AN380">
        <v>15.34756</v>
      </c>
      <c r="AP380">
        <v>9.4025470000000002</v>
      </c>
      <c r="AT380">
        <v>4.0582599999999997E-4</v>
      </c>
      <c r="AU380">
        <v>31.69023</v>
      </c>
      <c r="AV380">
        <v>1.194805E-3</v>
      </c>
      <c r="AW380">
        <v>34.892009999999999</v>
      </c>
      <c r="AX380">
        <v>5.012982</v>
      </c>
    </row>
    <row r="381" spans="1:50" x14ac:dyDescent="0.35">
      <c r="A381" s="75">
        <v>29434</v>
      </c>
      <c r="B381">
        <v>42.605269999999997</v>
      </c>
      <c r="C381">
        <v>39.37932</v>
      </c>
      <c r="D381">
        <v>0</v>
      </c>
      <c r="E381">
        <v>35.317360000000001</v>
      </c>
      <c r="F381">
        <v>55.734879999999997</v>
      </c>
      <c r="G381">
        <v>4.096889</v>
      </c>
      <c r="I381">
        <v>0.9789525</v>
      </c>
      <c r="J381">
        <v>0.73142269999999998</v>
      </c>
      <c r="L381">
        <v>48.92841</v>
      </c>
      <c r="M381">
        <v>35.328940000000003</v>
      </c>
      <c r="O381">
        <v>20.349689999999999</v>
      </c>
      <c r="R381">
        <v>35.154040000000002</v>
      </c>
      <c r="S381">
        <v>37.271659999999997</v>
      </c>
      <c r="U381">
        <v>38.191400000000002</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22.589369999999999</v>
      </c>
      <c r="AH381">
        <v>38.550089999999997</v>
      </c>
      <c r="AJ381">
        <v>6.7673559999999994E-2</v>
      </c>
      <c r="AK381">
        <v>46.863289999999999</v>
      </c>
      <c r="AL381">
        <v>29.2</v>
      </c>
      <c r="AM381">
        <v>18.868960000000001</v>
      </c>
      <c r="AN381">
        <v>15.466989999999999</v>
      </c>
      <c r="AP381">
        <v>9.4921129999999998</v>
      </c>
      <c r="AT381">
        <v>4.0254700000000001E-4</v>
      </c>
      <c r="AU381">
        <v>31.868939999999998</v>
      </c>
      <c r="AV381">
        <v>1.2377060000000001E-3</v>
      </c>
      <c r="AW381">
        <v>35.145159999999997</v>
      </c>
      <c r="AX381">
        <v>5.012982</v>
      </c>
    </row>
    <row r="382" spans="1:50" x14ac:dyDescent="0.35">
      <c r="A382" s="75">
        <v>29465</v>
      </c>
      <c r="B382">
        <v>42.505870000000002</v>
      </c>
      <c r="C382">
        <v>39.625880000000002</v>
      </c>
      <c r="D382">
        <v>0</v>
      </c>
      <c r="E382">
        <v>35.554389999999998</v>
      </c>
      <c r="F382">
        <v>55.785809999999998</v>
      </c>
      <c r="G382">
        <v>4.1841309999999998</v>
      </c>
      <c r="I382">
        <v>0.99526840000000005</v>
      </c>
      <c r="J382">
        <v>0.74110330000000002</v>
      </c>
      <c r="L382">
        <v>48.92841</v>
      </c>
      <c r="M382">
        <v>35.519680000000001</v>
      </c>
      <c r="O382">
        <v>20.56626</v>
      </c>
      <c r="R382">
        <v>35.636710000000001</v>
      </c>
      <c r="S382">
        <v>37.602469999999997</v>
      </c>
      <c r="U382">
        <v>38.542259999999999</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23.009440000000001</v>
      </c>
      <c r="AH382">
        <v>38.583129999999997</v>
      </c>
      <c r="AJ382">
        <v>6.8425089999999994E-2</v>
      </c>
      <c r="AK382">
        <v>47.205359999999999</v>
      </c>
      <c r="AL382">
        <v>29.5</v>
      </c>
      <c r="AM382">
        <v>19.058730000000001</v>
      </c>
      <c r="AN382">
        <v>15.627700000000001</v>
      </c>
      <c r="AP382">
        <v>9.5080369999999998</v>
      </c>
      <c r="AT382">
        <v>4.1484399999999999E-4</v>
      </c>
      <c r="AU382">
        <v>32.775289999999998</v>
      </c>
      <c r="AV382">
        <v>1.2849389999999999E-3</v>
      </c>
      <c r="AW382">
        <v>35.440489999999997</v>
      </c>
      <c r="AX382">
        <v>5.1509539999999996</v>
      </c>
    </row>
    <row r="383" spans="1:50" x14ac:dyDescent="0.35">
      <c r="A383" s="75">
        <v>29495</v>
      </c>
      <c r="B383">
        <v>42.645040000000002</v>
      </c>
      <c r="C383">
        <v>39.992199999999997</v>
      </c>
      <c r="D383">
        <v>0</v>
      </c>
      <c r="E383">
        <v>35.870420000000003</v>
      </c>
      <c r="F383">
        <v>55.683950000000003</v>
      </c>
      <c r="G383">
        <v>4.3064669999999996</v>
      </c>
      <c r="I383">
        <v>1.011584</v>
      </c>
      <c r="J383">
        <v>0.74970820000000005</v>
      </c>
      <c r="L383">
        <v>48.993639999999999</v>
      </c>
      <c r="M383">
        <v>35.752800000000001</v>
      </c>
      <c r="O383">
        <v>20.73114</v>
      </c>
      <c r="R383">
        <v>35.985300000000002</v>
      </c>
      <c r="S383">
        <v>38.006790000000002</v>
      </c>
      <c r="U383">
        <v>38.855370000000001</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23.65053</v>
      </c>
      <c r="AH383">
        <v>38.876989999999999</v>
      </c>
      <c r="AJ383">
        <v>6.9461499999999995E-2</v>
      </c>
      <c r="AK383">
        <v>47.433410000000002</v>
      </c>
      <c r="AL383">
        <v>29.7</v>
      </c>
      <c r="AM383">
        <v>19.253920000000001</v>
      </c>
      <c r="AN383">
        <v>15.79865</v>
      </c>
      <c r="AP383">
        <v>9.5946180000000005</v>
      </c>
      <c r="AT383">
        <v>4.3288099999999998E-4</v>
      </c>
      <c r="AU383">
        <v>33.241230000000002</v>
      </c>
      <c r="AV383">
        <v>1.344236E-3</v>
      </c>
      <c r="AW383">
        <v>35.778019999999998</v>
      </c>
      <c r="AX383">
        <v>5.2429350000000001</v>
      </c>
    </row>
    <row r="384" spans="1:50" x14ac:dyDescent="0.35">
      <c r="A384" s="75">
        <v>29526</v>
      </c>
      <c r="B384">
        <v>42.664920000000002</v>
      </c>
      <c r="C384">
        <v>40.400790000000001</v>
      </c>
      <c r="D384">
        <v>0</v>
      </c>
      <c r="E384">
        <v>36.344479999999997</v>
      </c>
      <c r="F384">
        <v>56.192360000000001</v>
      </c>
      <c r="G384">
        <v>4.4196580000000001</v>
      </c>
      <c r="I384">
        <v>1.0360579999999999</v>
      </c>
      <c r="J384">
        <v>0.76261570000000001</v>
      </c>
      <c r="L384">
        <v>49.319839999999999</v>
      </c>
      <c r="M384">
        <v>36.091900000000003</v>
      </c>
      <c r="O384">
        <v>20.942820000000001</v>
      </c>
      <c r="R384">
        <v>36.307079999999999</v>
      </c>
      <c r="S384">
        <v>38.264099999999999</v>
      </c>
      <c r="U384">
        <v>39.177439999999997</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23.783010000000001</v>
      </c>
      <c r="AH384">
        <v>39.238669999999999</v>
      </c>
      <c r="AJ384">
        <v>7.0666569999999998E-2</v>
      </c>
      <c r="AK384">
        <v>47.49042</v>
      </c>
      <c r="AL384">
        <v>29.9</v>
      </c>
      <c r="AM384">
        <v>19.423680000000001</v>
      </c>
      <c r="AN384">
        <v>15.961349999999999</v>
      </c>
      <c r="AP384">
        <v>9.6533350000000002</v>
      </c>
      <c r="AT384">
        <v>4.4517899999999997E-4</v>
      </c>
      <c r="AU384">
        <v>33.44547</v>
      </c>
      <c r="AV384">
        <v>1.3639870000000001E-3</v>
      </c>
      <c r="AW384">
        <v>36.073360000000001</v>
      </c>
      <c r="AX384">
        <v>5.288926</v>
      </c>
    </row>
    <row r="385" spans="1:50" x14ac:dyDescent="0.35">
      <c r="A385" s="75">
        <v>29556</v>
      </c>
      <c r="B385">
        <v>43.022779999999997</v>
      </c>
      <c r="C385">
        <v>40.527589999999996</v>
      </c>
      <c r="D385">
        <v>0</v>
      </c>
      <c r="E385">
        <v>36.502499999999998</v>
      </c>
      <c r="F385">
        <v>56.395189999999999</v>
      </c>
      <c r="G385">
        <v>4.5051690000000004</v>
      </c>
      <c r="I385">
        <v>1.0523739999999999</v>
      </c>
      <c r="J385">
        <v>0.77552310000000002</v>
      </c>
      <c r="L385">
        <v>49.711260000000003</v>
      </c>
      <c r="M385">
        <v>36.240250000000003</v>
      </c>
      <c r="O385">
        <v>21.235569999999999</v>
      </c>
      <c r="R385">
        <v>36.575220000000002</v>
      </c>
      <c r="S385">
        <v>38.631659999999997</v>
      </c>
      <c r="U385">
        <v>39.42145</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24.534610000000001</v>
      </c>
      <c r="AH385">
        <v>39.659469999999999</v>
      </c>
      <c r="AJ385">
        <v>7.2520020000000004E-2</v>
      </c>
      <c r="AK385">
        <v>47.547429999999999</v>
      </c>
      <c r="AL385">
        <v>30.1</v>
      </c>
      <c r="AM385">
        <v>19.596720000000001</v>
      </c>
      <c r="AN385">
        <v>16.10868</v>
      </c>
      <c r="AP385">
        <v>9.9170590000000001</v>
      </c>
      <c r="AT385">
        <v>4.68135E-4</v>
      </c>
      <c r="AU385">
        <v>33.589080000000003</v>
      </c>
      <c r="AV385">
        <v>1.418484E-3</v>
      </c>
      <c r="AW385">
        <v>36.410890000000002</v>
      </c>
      <c r="AX385">
        <v>5.3809069999999997</v>
      </c>
    </row>
    <row r="386" spans="1:50" x14ac:dyDescent="0.35">
      <c r="A386" s="75">
        <v>29587</v>
      </c>
      <c r="B386">
        <v>43.67886</v>
      </c>
      <c r="C386">
        <v>40.872779999999999</v>
      </c>
      <c r="D386">
        <v>0</v>
      </c>
      <c r="E386">
        <v>37.055570000000003</v>
      </c>
      <c r="F386">
        <v>56.955410000000001</v>
      </c>
      <c r="G386">
        <v>4.5785710000000002</v>
      </c>
      <c r="I386">
        <v>1.076848</v>
      </c>
      <c r="J386">
        <v>0.81424549999999996</v>
      </c>
      <c r="L386">
        <v>50.167929999999998</v>
      </c>
      <c r="M386">
        <v>36.482039999999998</v>
      </c>
      <c r="O386">
        <v>21.667079999999999</v>
      </c>
      <c r="R386">
        <v>36.896999999999998</v>
      </c>
      <c r="S386">
        <v>39.072749999999999</v>
      </c>
      <c r="U386">
        <v>39.810070000000003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24.93205</v>
      </c>
      <c r="AH386">
        <v>39.958550000000002</v>
      </c>
      <c r="AJ386">
        <v>7.4856469999999994E-2</v>
      </c>
      <c r="AK386">
        <v>48.003520000000002</v>
      </c>
      <c r="AL386">
        <v>31</v>
      </c>
      <c r="AM386">
        <v>19.846699999999998</v>
      </c>
      <c r="AN386">
        <v>16.340260000000001</v>
      </c>
      <c r="AP386">
        <v>10.21462</v>
      </c>
      <c r="AT386">
        <v>5.14866E-4</v>
      </c>
      <c r="AU386">
        <v>34.214590000000001</v>
      </c>
      <c r="AV386">
        <v>1.4690300000000001E-3</v>
      </c>
      <c r="AW386">
        <v>36.706229999999998</v>
      </c>
      <c r="AX386">
        <v>5.3809069999999997</v>
      </c>
    </row>
    <row r="387" spans="1:50" x14ac:dyDescent="0.35">
      <c r="A387" s="75">
        <v>29618</v>
      </c>
      <c r="B387">
        <v>43.937309999999997</v>
      </c>
      <c r="C387">
        <v>41.232050000000001</v>
      </c>
      <c r="D387">
        <v>0</v>
      </c>
      <c r="E387">
        <v>37.450620000000001</v>
      </c>
      <c r="F387">
        <v>57.514740000000003</v>
      </c>
      <c r="G387">
        <v>4.5926590000000003</v>
      </c>
      <c r="I387">
        <v>1.10948</v>
      </c>
      <c r="J387">
        <v>0.83360670000000003</v>
      </c>
      <c r="L387">
        <v>50.559350000000002</v>
      </c>
      <c r="M387">
        <v>36.864600000000003</v>
      </c>
      <c r="O387">
        <v>21.777000000000001</v>
      </c>
      <c r="R387">
        <v>37.089970000000001</v>
      </c>
      <c r="S387">
        <v>39.44032</v>
      </c>
      <c r="U387">
        <v>40.170859999999998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25.1311</v>
      </c>
      <c r="AH387">
        <v>40.189810000000001</v>
      </c>
      <c r="AJ387">
        <v>7.6695169999999993E-2</v>
      </c>
      <c r="AK387">
        <v>48.231560000000002</v>
      </c>
      <c r="AL387">
        <v>31.3</v>
      </c>
      <c r="AM387">
        <v>20.03689</v>
      </c>
      <c r="AN387">
        <v>16.5092</v>
      </c>
      <c r="AP387">
        <v>10.354939999999999</v>
      </c>
      <c r="AT387">
        <v>5.2470399999999997E-4</v>
      </c>
      <c r="AU387">
        <v>34.865630000000003</v>
      </c>
      <c r="AV387">
        <v>1.490056E-3</v>
      </c>
      <c r="AW387">
        <v>37.085949999999997</v>
      </c>
      <c r="AX387">
        <v>5.4728880000000002</v>
      </c>
    </row>
    <row r="388" spans="1:50" x14ac:dyDescent="0.35">
      <c r="A388" s="75">
        <v>29646</v>
      </c>
      <c r="B388">
        <v>44.275289999999998</v>
      </c>
      <c r="C388">
        <v>41.499749999999999</v>
      </c>
      <c r="D388">
        <v>0</v>
      </c>
      <c r="E388">
        <v>37.924680000000002</v>
      </c>
      <c r="F388">
        <v>57.870359999999998</v>
      </c>
      <c r="G388">
        <v>4.6294829999999996</v>
      </c>
      <c r="I388">
        <v>1.133953</v>
      </c>
      <c r="J388">
        <v>0.84866540000000001</v>
      </c>
      <c r="L388">
        <v>50.950780000000002</v>
      </c>
      <c r="M388">
        <v>37.594929999999998</v>
      </c>
      <c r="O388">
        <v>22.21069</v>
      </c>
      <c r="R388">
        <v>37.475929999999998</v>
      </c>
      <c r="S388">
        <v>39.80789</v>
      </c>
      <c r="U388">
        <v>40.492609999999999</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25.617750000000001</v>
      </c>
      <c r="AH388">
        <v>40.495849999999997</v>
      </c>
      <c r="AJ388">
        <v>7.8335760000000004E-2</v>
      </c>
      <c r="AK388">
        <v>48.573630000000001</v>
      </c>
      <c r="AL388">
        <v>31.9</v>
      </c>
      <c r="AM388">
        <v>20.220610000000001</v>
      </c>
      <c r="AN388">
        <v>16.695920000000001</v>
      </c>
      <c r="AP388">
        <v>10.483320000000001</v>
      </c>
      <c r="AT388">
        <v>5.3864199999999998E-4</v>
      </c>
      <c r="AU388">
        <v>35.053919999999998</v>
      </c>
      <c r="AV388">
        <v>1.500122E-3</v>
      </c>
      <c r="AW388">
        <v>37.339089999999999</v>
      </c>
      <c r="AX388">
        <v>5.4728880000000002</v>
      </c>
    </row>
    <row r="389" spans="1:50" x14ac:dyDescent="0.35">
      <c r="A389" s="75">
        <v>29677</v>
      </c>
      <c r="B389">
        <v>44.553629999999998</v>
      </c>
      <c r="C389">
        <v>41.478610000000003</v>
      </c>
      <c r="D389">
        <v>0</v>
      </c>
      <c r="E389">
        <v>38.161709999999999</v>
      </c>
      <c r="F389">
        <v>57.769379999999998</v>
      </c>
      <c r="G389">
        <v>4.6860790000000003</v>
      </c>
      <c r="I389">
        <v>1.166585</v>
      </c>
      <c r="J389">
        <v>0.87555590000000005</v>
      </c>
      <c r="L389">
        <v>51.211730000000003</v>
      </c>
      <c r="M389">
        <v>38.012270000000001</v>
      </c>
      <c r="O389">
        <v>22.431619999999999</v>
      </c>
      <c r="R389">
        <v>37.823279999999997</v>
      </c>
      <c r="S389">
        <v>40.359250000000003</v>
      </c>
      <c r="U389">
        <v>40.869489999999999</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25.83877</v>
      </c>
      <c r="AH389">
        <v>40.749720000000003</v>
      </c>
      <c r="AJ389">
        <v>8.0102430000000002E-2</v>
      </c>
      <c r="AK389">
        <v>48.972709999999999</v>
      </c>
      <c r="AL389">
        <v>32.1</v>
      </c>
      <c r="AM389">
        <v>20.427199999999999</v>
      </c>
      <c r="AN389">
        <v>16.895879999999998</v>
      </c>
      <c r="AP389">
        <v>10.75103</v>
      </c>
      <c r="AT389">
        <v>5.4684000000000004E-4</v>
      </c>
      <c r="AU389">
        <v>35.26455</v>
      </c>
      <c r="AV389">
        <v>1.5085330000000001E-3</v>
      </c>
      <c r="AW389">
        <v>37.592239999999997</v>
      </c>
      <c r="AX389">
        <v>5.5188790000000001</v>
      </c>
    </row>
    <row r="390" spans="1:50" x14ac:dyDescent="0.35">
      <c r="A390" s="75">
        <v>29707</v>
      </c>
      <c r="B390">
        <v>44.513860000000001</v>
      </c>
      <c r="C390">
        <v>41.443390000000001</v>
      </c>
      <c r="D390">
        <v>0</v>
      </c>
      <c r="E390">
        <v>38.47775</v>
      </c>
      <c r="F390">
        <v>58.27778</v>
      </c>
      <c r="G390">
        <v>4.7481109999999997</v>
      </c>
      <c r="I390">
        <v>1.1910590000000001</v>
      </c>
      <c r="J390">
        <v>0.91642959999999996</v>
      </c>
      <c r="L390">
        <v>51.472679999999997</v>
      </c>
      <c r="M390">
        <v>38.638269999999999</v>
      </c>
      <c r="O390">
        <v>22.536090000000002</v>
      </c>
      <c r="R390">
        <v>38.24783</v>
      </c>
      <c r="S390">
        <v>40.726819999999996</v>
      </c>
      <c r="U390">
        <v>41.21152</v>
      </c>
      <c r="V390">
        <v>33.84552</v>
      </c>
      <c r="W390">
        <v>6.3524919999999998</v>
      </c>
      <c r="X390">
        <v>3.1041609999999999</v>
      </c>
      <c r="Y390">
        <v>4.6737320000000002</v>
      </c>
      <c r="Z390">
        <v>7.284097</v>
      </c>
      <c r="AA390">
        <v>32.31212</v>
      </c>
      <c r="AB390">
        <v>2.641543</v>
      </c>
      <c r="AC390">
        <v>9.1456029999999994E-2</v>
      </c>
      <c r="AD390">
        <v>24.04083</v>
      </c>
      <c r="AE390">
        <v>78.289640000000006</v>
      </c>
      <c r="AF390">
        <v>26.41329</v>
      </c>
      <c r="AH390">
        <v>41.059229999999999</v>
      </c>
      <c r="AJ390">
        <v>8.1314040000000004E-2</v>
      </c>
      <c r="AK390">
        <v>49.200760000000002</v>
      </c>
      <c r="AL390">
        <v>32.200000000000003</v>
      </c>
      <c r="AM390">
        <v>20.604849999999999</v>
      </c>
      <c r="AN390">
        <v>17.04194</v>
      </c>
      <c r="AP390">
        <v>10.80775</v>
      </c>
      <c r="AT390">
        <v>5.6569699999999999E-4</v>
      </c>
      <c r="AU390">
        <v>35.478369999999998</v>
      </c>
      <c r="AV390">
        <v>1.5501169999999999E-3</v>
      </c>
      <c r="AW390">
        <v>37.88758</v>
      </c>
      <c r="AX390">
        <v>5.5648689999999998</v>
      </c>
    </row>
    <row r="391" spans="1:50" x14ac:dyDescent="0.35">
      <c r="A391" s="75">
        <v>29738</v>
      </c>
      <c r="B391">
        <v>44.792200000000001</v>
      </c>
      <c r="C391">
        <v>41.67586</v>
      </c>
      <c r="D391">
        <v>0</v>
      </c>
      <c r="E391">
        <v>39.109830000000002</v>
      </c>
      <c r="F391">
        <v>58.684330000000003</v>
      </c>
      <c r="G391">
        <v>4.7525599999999999</v>
      </c>
      <c r="I391">
        <v>1.2236910000000001</v>
      </c>
      <c r="J391">
        <v>0.94439569999999995</v>
      </c>
      <c r="L391">
        <v>51.668399999999998</v>
      </c>
      <c r="M391">
        <v>39.020829999999997</v>
      </c>
      <c r="O391">
        <v>22.555689999999998</v>
      </c>
      <c r="R391">
        <v>38.710970000000003</v>
      </c>
      <c r="S391">
        <v>41.131149999999998</v>
      </c>
      <c r="U391">
        <v>41.526919999999997</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27.14226</v>
      </c>
      <c r="AH391">
        <v>41.480029999999999</v>
      </c>
      <c r="AJ391">
        <v>8.2450339999999997E-2</v>
      </c>
      <c r="AK391">
        <v>49.314779999999999</v>
      </c>
      <c r="AL391">
        <v>32.6</v>
      </c>
      <c r="AM391">
        <v>20.779920000000001</v>
      </c>
      <c r="AN391">
        <v>17.186610000000002</v>
      </c>
      <c r="AP391">
        <v>10.882389999999999</v>
      </c>
      <c r="AT391">
        <v>5.7225600000000005E-4</v>
      </c>
      <c r="AU391">
        <v>35.609220000000001</v>
      </c>
      <c r="AV391">
        <v>1.611197E-3</v>
      </c>
      <c r="AW391">
        <v>38.225110000000001</v>
      </c>
      <c r="AX391">
        <v>5.6108599999999997</v>
      </c>
    </row>
    <row r="392" spans="1:50" x14ac:dyDescent="0.35">
      <c r="A392" s="75">
        <v>29768</v>
      </c>
      <c r="B392">
        <v>45.070540000000001</v>
      </c>
      <c r="C392">
        <v>42.352139999999999</v>
      </c>
      <c r="D392">
        <v>1.0000000000000001E-9</v>
      </c>
      <c r="E392">
        <v>39.42586</v>
      </c>
      <c r="F392">
        <v>58.98903</v>
      </c>
      <c r="G392">
        <v>4.7819700000000003</v>
      </c>
      <c r="I392">
        <v>1.2481640000000001</v>
      </c>
      <c r="J392">
        <v>1.001404</v>
      </c>
      <c r="L392">
        <v>51.994590000000002</v>
      </c>
      <c r="M392">
        <v>39.299050000000001</v>
      </c>
      <c r="O392">
        <v>22.997540000000001</v>
      </c>
      <c r="R392">
        <v>38.82676</v>
      </c>
      <c r="S392">
        <v>41.829529999999998</v>
      </c>
      <c r="U392">
        <v>41.864840000000001</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27.407879999999999</v>
      </c>
      <c r="AH392">
        <v>41.688690000000001</v>
      </c>
      <c r="AJ392">
        <v>8.3902630000000006E-2</v>
      </c>
      <c r="AK392">
        <v>49.770870000000002</v>
      </c>
      <c r="AL392">
        <v>33.1</v>
      </c>
      <c r="AM392">
        <v>20.980119999999999</v>
      </c>
      <c r="AN392">
        <v>17.354600000000001</v>
      </c>
      <c r="AP392">
        <v>11.16901</v>
      </c>
      <c r="AT392">
        <v>5.7307500000000004E-4</v>
      </c>
      <c r="AU392">
        <v>35.934739999999998</v>
      </c>
      <c r="AV392">
        <v>1.633284E-3</v>
      </c>
      <c r="AW392">
        <v>38.647019999999998</v>
      </c>
      <c r="AX392">
        <v>5.7488320000000002</v>
      </c>
    </row>
    <row r="393" spans="1:50" x14ac:dyDescent="0.35">
      <c r="A393" s="75">
        <v>29799</v>
      </c>
      <c r="B393">
        <v>45.328989999999997</v>
      </c>
      <c r="C393">
        <v>42.556440000000002</v>
      </c>
      <c r="D393">
        <v>1.0000000000000001E-9</v>
      </c>
      <c r="E393">
        <v>39.741900000000001</v>
      </c>
      <c r="F393">
        <v>59.904850000000003</v>
      </c>
      <c r="G393">
        <v>4.8402950000000002</v>
      </c>
      <c r="I393">
        <v>1.26448</v>
      </c>
      <c r="J393">
        <v>1.0175380000000001</v>
      </c>
      <c r="L393">
        <v>52.125059999999998</v>
      </c>
      <c r="M393">
        <v>39.438160000000003</v>
      </c>
      <c r="O393">
        <v>23.27778</v>
      </c>
      <c r="R393">
        <v>38.942540000000001</v>
      </c>
      <c r="S393">
        <v>42.34413</v>
      </c>
      <c r="U393">
        <v>42.117660000000001</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27.69547</v>
      </c>
      <c r="AH393">
        <v>41.83475</v>
      </c>
      <c r="AJ393">
        <v>8.5631650000000004E-2</v>
      </c>
      <c r="AK393">
        <v>49.884889999999999</v>
      </c>
      <c r="AL393">
        <v>33.1</v>
      </c>
      <c r="AM393">
        <v>21.125430000000001</v>
      </c>
      <c r="AN393">
        <v>17.482489999999999</v>
      </c>
      <c r="AP393">
        <v>11.460599999999999</v>
      </c>
      <c r="AT393">
        <v>5.7307500000000004E-4</v>
      </c>
      <c r="AU393">
        <v>36.206000000000003</v>
      </c>
      <c r="AV393">
        <v>1.646834E-3</v>
      </c>
      <c r="AW393">
        <v>38.942360000000001</v>
      </c>
      <c r="AX393">
        <v>5.840814</v>
      </c>
    </row>
    <row r="394" spans="1:50" x14ac:dyDescent="0.35">
      <c r="A394" s="75">
        <v>29830</v>
      </c>
      <c r="B394">
        <v>45.428400000000003</v>
      </c>
      <c r="C394">
        <v>42.950940000000003</v>
      </c>
      <c r="D394">
        <v>1.0000000000000001E-9</v>
      </c>
      <c r="E394">
        <v>40.057940000000002</v>
      </c>
      <c r="F394">
        <v>59.955779999999997</v>
      </c>
      <c r="G394">
        <v>4.8850280000000001</v>
      </c>
      <c r="I394">
        <v>1.2726379999999999</v>
      </c>
      <c r="J394">
        <v>1.0422769999999999</v>
      </c>
      <c r="L394">
        <v>52.386009999999999</v>
      </c>
      <c r="M394">
        <v>39.785939999999997</v>
      </c>
      <c r="O394">
        <v>23.462789999999998</v>
      </c>
      <c r="R394">
        <v>39.367089999999997</v>
      </c>
      <c r="S394">
        <v>42.82197</v>
      </c>
      <c r="U394">
        <v>42.53481</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28.048970000000001</v>
      </c>
      <c r="AH394">
        <v>42.194690000000001</v>
      </c>
      <c r="AJ394">
        <v>8.7224750000000004E-2</v>
      </c>
      <c r="AK394">
        <v>50.340980000000002</v>
      </c>
      <c r="AL394">
        <v>33.4</v>
      </c>
      <c r="AM394">
        <v>21.357810000000001</v>
      </c>
      <c r="AN394">
        <v>17.676760000000002</v>
      </c>
      <c r="AP394">
        <v>11.63575</v>
      </c>
      <c r="AT394">
        <v>5.8209400000000001E-4</v>
      </c>
      <c r="AU394">
        <v>36.467689999999997</v>
      </c>
      <c r="AV394">
        <v>1.725372E-3</v>
      </c>
      <c r="AW394">
        <v>39.322069999999997</v>
      </c>
      <c r="AX394">
        <v>5.9787860000000004</v>
      </c>
    </row>
    <row r="395" spans="1:50" x14ac:dyDescent="0.35">
      <c r="A395" s="75">
        <v>29860</v>
      </c>
      <c r="B395">
        <v>45.70673</v>
      </c>
      <c r="C395">
        <v>43.120010000000001</v>
      </c>
      <c r="D395">
        <v>1.0000000000000001E-9</v>
      </c>
      <c r="E395">
        <v>40.45299</v>
      </c>
      <c r="F395">
        <v>59.752070000000003</v>
      </c>
      <c r="G395">
        <v>4.9005989999999997</v>
      </c>
      <c r="I395">
        <v>1.2889539999999999</v>
      </c>
      <c r="J395">
        <v>1.116495</v>
      </c>
      <c r="L395">
        <v>52.646970000000003</v>
      </c>
      <c r="M395">
        <v>39.994610000000002</v>
      </c>
      <c r="O395">
        <v>23.726700000000001</v>
      </c>
      <c r="R395">
        <v>39.868830000000003</v>
      </c>
      <c r="S395">
        <v>43.373330000000003</v>
      </c>
      <c r="U395">
        <v>42.774949999999997</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27.982399999999998</v>
      </c>
      <c r="AH395">
        <v>42.307720000000003</v>
      </c>
      <c r="AJ395">
        <v>8.9160059999999999E-2</v>
      </c>
      <c r="AK395">
        <v>50.797069999999998</v>
      </c>
      <c r="AL395">
        <v>33.5</v>
      </c>
      <c r="AM395">
        <v>21.53125</v>
      </c>
      <c r="AN395">
        <v>17.873719999999999</v>
      </c>
      <c r="AP395">
        <v>11.831799999999999</v>
      </c>
      <c r="AT395">
        <v>6.0587E-4</v>
      </c>
      <c r="AU395">
        <v>36.703850000000003</v>
      </c>
      <c r="AV395">
        <v>1.7660639999999999E-3</v>
      </c>
      <c r="AW395">
        <v>39.406460000000003</v>
      </c>
      <c r="AX395">
        <v>6.0247760000000001</v>
      </c>
    </row>
    <row r="396" spans="1:50" x14ac:dyDescent="0.35">
      <c r="A396" s="75">
        <v>29891</v>
      </c>
      <c r="B396">
        <v>45.647089999999999</v>
      </c>
      <c r="C396">
        <v>43.549720000000001</v>
      </c>
      <c r="D396">
        <v>1.0000000000000001E-9</v>
      </c>
      <c r="E396">
        <v>40.769030000000001</v>
      </c>
      <c r="F396">
        <v>60.107689999999998</v>
      </c>
      <c r="G396">
        <v>4.9094949999999997</v>
      </c>
      <c r="I396">
        <v>1.313428</v>
      </c>
      <c r="J396">
        <v>1.1885619999999999</v>
      </c>
      <c r="L396">
        <v>52.907919999999997</v>
      </c>
      <c r="M396">
        <v>40.481499999999997</v>
      </c>
      <c r="O396">
        <v>23.932390000000002</v>
      </c>
      <c r="R396">
        <v>39.868830000000003</v>
      </c>
      <c r="S396">
        <v>43.740900000000003</v>
      </c>
      <c r="U396">
        <v>42.998829999999998</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27.739409999999999</v>
      </c>
      <c r="AH396">
        <v>42.572029999999998</v>
      </c>
      <c r="AJ396">
        <v>9.087597E-2</v>
      </c>
      <c r="AK396">
        <v>50.968110000000003</v>
      </c>
      <c r="AL396">
        <v>33.6</v>
      </c>
      <c r="AM396">
        <v>21.667470000000002</v>
      </c>
      <c r="AN396">
        <v>18.049240000000001</v>
      </c>
      <c r="AP396">
        <v>11.970129999999999</v>
      </c>
      <c r="AT396">
        <v>6.1488799999999996E-4</v>
      </c>
      <c r="AU396">
        <v>36.841079999999998</v>
      </c>
      <c r="AV396">
        <v>1.803528E-3</v>
      </c>
      <c r="AW396">
        <v>39.533029999999997</v>
      </c>
      <c r="AX396">
        <v>6.070767</v>
      </c>
    </row>
    <row r="397" spans="1:50" x14ac:dyDescent="0.35">
      <c r="A397" s="75">
        <v>29921</v>
      </c>
      <c r="B397">
        <v>45.786259999999999</v>
      </c>
      <c r="C397">
        <v>43.824469999999998</v>
      </c>
      <c r="D397">
        <v>1.0000000000000001E-9</v>
      </c>
      <c r="E397">
        <v>40.927050000000001</v>
      </c>
      <c r="F397">
        <v>60.107689999999998</v>
      </c>
      <c r="G397">
        <v>4.934952</v>
      </c>
      <c r="I397">
        <v>1.329744</v>
      </c>
      <c r="J397">
        <v>1.27999</v>
      </c>
      <c r="L397">
        <v>53.03839</v>
      </c>
      <c r="M397">
        <v>40.690170000000002</v>
      </c>
      <c r="O397">
        <v>24.294799999999999</v>
      </c>
      <c r="R397">
        <v>39.946019999999997</v>
      </c>
      <c r="S397">
        <v>43.998199999999997</v>
      </c>
      <c r="U397">
        <v>43.16854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27.89386</v>
      </c>
      <c r="AH397">
        <v>42.848500000000001</v>
      </c>
      <c r="AJ397">
        <v>9.332211E-2</v>
      </c>
      <c r="AK397">
        <v>51.025120000000001</v>
      </c>
      <c r="AL397">
        <v>33.700000000000003</v>
      </c>
      <c r="AM397">
        <v>21.793569999999999</v>
      </c>
      <c r="AN397">
        <v>18.174060000000001</v>
      </c>
      <c r="AP397">
        <v>12.26571</v>
      </c>
      <c r="AT397">
        <v>6.3538400000000001E-4</v>
      </c>
      <c r="AU397">
        <v>36.65598</v>
      </c>
      <c r="AV397">
        <v>1.8241290000000001E-3</v>
      </c>
      <c r="AW397">
        <v>39.659599999999998</v>
      </c>
      <c r="AX397">
        <v>6.1167569999999998</v>
      </c>
    </row>
    <row r="398" spans="1:50" x14ac:dyDescent="0.35">
      <c r="A398" s="75">
        <v>29952</v>
      </c>
      <c r="B398">
        <v>46.362810000000003</v>
      </c>
      <c r="C398">
        <v>44.247140000000002</v>
      </c>
      <c r="D398">
        <v>1.0000000000000001E-9</v>
      </c>
      <c r="E398">
        <v>41.243090000000002</v>
      </c>
      <c r="F398">
        <v>60.413260000000001</v>
      </c>
      <c r="G398">
        <v>4.9693050000000003</v>
      </c>
      <c r="I398">
        <v>1.3542179999999999</v>
      </c>
      <c r="J398">
        <v>1.405837</v>
      </c>
      <c r="L398">
        <v>53.495060000000002</v>
      </c>
      <c r="M398">
        <v>40.968389999999999</v>
      </c>
      <c r="O398">
        <v>24.79814</v>
      </c>
      <c r="R398">
        <v>40.67933</v>
      </c>
      <c r="S398">
        <v>44.476039999999998</v>
      </c>
      <c r="U398">
        <v>43.396619999999999</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28.027000000000001</v>
      </c>
      <c r="AH398">
        <v>43.431010000000001</v>
      </c>
      <c r="AJ398">
        <v>9.7959000000000004E-2</v>
      </c>
      <c r="AK398">
        <v>51.367190000000001</v>
      </c>
      <c r="AL398">
        <v>34.799999999999997</v>
      </c>
      <c r="AM398">
        <v>22.00789</v>
      </c>
      <c r="AN398">
        <v>18.413530000000002</v>
      </c>
      <c r="AP398">
        <v>12.50853</v>
      </c>
      <c r="AT398">
        <v>6.4932100000000001E-4</v>
      </c>
      <c r="AU398">
        <v>37.460209999999996</v>
      </c>
      <c r="AV398">
        <v>1.9120540000000001E-3</v>
      </c>
      <c r="AW398">
        <v>39.786169999999998</v>
      </c>
      <c r="AX398">
        <v>6.1167569999999998</v>
      </c>
    </row>
    <row r="399" spans="1:50" x14ac:dyDescent="0.35">
      <c r="A399" s="75">
        <v>29983</v>
      </c>
      <c r="B399">
        <v>46.541739999999997</v>
      </c>
      <c r="C399">
        <v>44.352809999999998</v>
      </c>
      <c r="D399">
        <v>1.0000000000000001E-9</v>
      </c>
      <c r="E399">
        <v>41.717140000000001</v>
      </c>
      <c r="F399">
        <v>60.515120000000003</v>
      </c>
      <c r="G399">
        <v>4.9300079999999999</v>
      </c>
      <c r="I399">
        <v>1.386849</v>
      </c>
      <c r="J399">
        <v>1.453165</v>
      </c>
      <c r="L399">
        <v>53.560299999999998</v>
      </c>
      <c r="M399">
        <v>41.211840000000002</v>
      </c>
      <c r="O399">
        <v>24.991309999999999</v>
      </c>
      <c r="R399">
        <v>40.872300000000003</v>
      </c>
      <c r="S399">
        <v>44.917119999999997</v>
      </c>
      <c r="U399">
        <v>43.569099999999999</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28.159479999999999</v>
      </c>
      <c r="AH399">
        <v>43.850070000000002</v>
      </c>
      <c r="AJ399">
        <v>0.1018083</v>
      </c>
      <c r="AK399">
        <v>51.595230000000001</v>
      </c>
      <c r="AL399">
        <v>35</v>
      </c>
      <c r="AM399">
        <v>22.14883</v>
      </c>
      <c r="AN399">
        <v>18.544239999999999</v>
      </c>
      <c r="AP399">
        <v>12.85187</v>
      </c>
      <c r="AT399">
        <v>6.6325900000000003E-4</v>
      </c>
      <c r="AU399">
        <v>37.98997</v>
      </c>
      <c r="AV399">
        <v>1.955591E-3</v>
      </c>
      <c r="AW399">
        <v>39.912750000000003</v>
      </c>
      <c r="AX399">
        <v>6.2087389999999996</v>
      </c>
    </row>
    <row r="400" spans="1:50" x14ac:dyDescent="0.35">
      <c r="A400" s="75">
        <v>30011</v>
      </c>
      <c r="B400">
        <v>46.91948</v>
      </c>
      <c r="C400">
        <v>44.423259999999999</v>
      </c>
      <c r="D400">
        <v>1.0000000000000001E-9</v>
      </c>
      <c r="E400">
        <v>42.270209999999999</v>
      </c>
      <c r="F400">
        <v>60.616100000000003</v>
      </c>
      <c r="G400">
        <v>4.9517569999999997</v>
      </c>
      <c r="I400">
        <v>1.419481</v>
      </c>
      <c r="J400">
        <v>1.5467439999999999</v>
      </c>
      <c r="L400">
        <v>53.560299999999998</v>
      </c>
      <c r="M400">
        <v>41.559620000000002</v>
      </c>
      <c r="O400">
        <v>25.236730000000001</v>
      </c>
      <c r="R400">
        <v>41.41263</v>
      </c>
      <c r="S400">
        <v>45.46848</v>
      </c>
      <c r="U400">
        <v>43.676580000000001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28.424440000000001</v>
      </c>
      <c r="AH400">
        <v>43.891800000000003</v>
      </c>
      <c r="AJ400">
        <v>0.1055267</v>
      </c>
      <c r="AK400">
        <v>51.994309999999999</v>
      </c>
      <c r="AL400">
        <v>35.6</v>
      </c>
      <c r="AM400">
        <v>22.273019999999999</v>
      </c>
      <c r="AN400">
        <v>18.696339999999999</v>
      </c>
      <c r="AP400">
        <v>13.168340000000001</v>
      </c>
      <c r="AT400">
        <v>6.9359399999999996E-4</v>
      </c>
      <c r="AU400">
        <v>38.085720000000002</v>
      </c>
      <c r="AV400">
        <v>2.0001530000000002E-3</v>
      </c>
      <c r="AW400">
        <v>39.870559999999998</v>
      </c>
      <c r="AX400">
        <v>6.346711</v>
      </c>
    </row>
    <row r="401" spans="1:50" x14ac:dyDescent="0.35">
      <c r="A401" s="75">
        <v>30042</v>
      </c>
      <c r="B401">
        <v>47.138179999999998</v>
      </c>
      <c r="C401">
        <v>44.972740000000002</v>
      </c>
      <c r="D401">
        <v>1.0000000000000001E-9</v>
      </c>
      <c r="E401">
        <v>42.507240000000003</v>
      </c>
      <c r="F401">
        <v>60.9726</v>
      </c>
      <c r="G401">
        <v>4.946815</v>
      </c>
      <c r="I401">
        <v>1.452113</v>
      </c>
      <c r="J401">
        <v>1.610206</v>
      </c>
      <c r="L401">
        <v>53.756010000000003</v>
      </c>
      <c r="M401">
        <v>41.803060000000002</v>
      </c>
      <c r="O401">
        <v>25.568660000000001</v>
      </c>
      <c r="R401">
        <v>41.644199999999998</v>
      </c>
      <c r="S401">
        <v>45.983080000000001</v>
      </c>
      <c r="U401">
        <v>43.967579999999998</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28.469049999999999</v>
      </c>
      <c r="AH401">
        <v>44.041339999999998</v>
      </c>
      <c r="AJ401">
        <v>0.11124580000000001</v>
      </c>
      <c r="AK401">
        <v>52.16534</v>
      </c>
      <c r="AL401">
        <v>35.700000000000003</v>
      </c>
      <c r="AM401">
        <v>22.502549999999999</v>
      </c>
      <c r="AN401">
        <v>18.887519999999999</v>
      </c>
      <c r="AP401">
        <v>13.409179999999999</v>
      </c>
      <c r="AT401">
        <v>6.9687299999999998E-4</v>
      </c>
      <c r="AU401">
        <v>38.34102</v>
      </c>
      <c r="AV401">
        <v>2.0191039999999999E-3</v>
      </c>
      <c r="AW401">
        <v>40.039319999999996</v>
      </c>
      <c r="AX401">
        <v>6.4386919999999996</v>
      </c>
    </row>
    <row r="402" spans="1:50" x14ac:dyDescent="0.35">
      <c r="A402" s="75">
        <v>30072</v>
      </c>
      <c r="B402">
        <v>47.217700000000001</v>
      </c>
      <c r="C402">
        <v>45.374279999999999</v>
      </c>
      <c r="D402">
        <v>1.0000000000000001E-9</v>
      </c>
      <c r="E402">
        <v>43.060310000000001</v>
      </c>
      <c r="F402">
        <v>61.735639999999997</v>
      </c>
      <c r="G402">
        <v>4.9218529999999996</v>
      </c>
      <c r="I402">
        <v>1.4929030000000001</v>
      </c>
      <c r="J402">
        <v>1.6887259999999999</v>
      </c>
      <c r="L402">
        <v>54.147440000000003</v>
      </c>
      <c r="M402">
        <v>42.289949999999997</v>
      </c>
      <c r="O402">
        <v>25.938680000000002</v>
      </c>
      <c r="R402">
        <v>42.454700000000003</v>
      </c>
      <c r="S402">
        <v>46.350650000000002</v>
      </c>
      <c r="U402">
        <v>44.340940000000003</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28.690069999999999</v>
      </c>
      <c r="AH402">
        <v>44.649940000000001</v>
      </c>
      <c r="AJ402">
        <v>0.1174987</v>
      </c>
      <c r="AK402">
        <v>52.336379999999998</v>
      </c>
      <c r="AL402">
        <v>35.799999999999997</v>
      </c>
      <c r="AM402">
        <v>22.749400000000001</v>
      </c>
      <c r="AN402">
        <v>19.044709999999998</v>
      </c>
      <c r="AP402">
        <v>13.42013</v>
      </c>
      <c r="AT402">
        <v>7.2884700000000002E-4</v>
      </c>
      <c r="AU402">
        <v>38.503779999999999</v>
      </c>
      <c r="AV402">
        <v>2.025251E-3</v>
      </c>
      <c r="AW402">
        <v>40.419040000000003</v>
      </c>
      <c r="AX402">
        <v>6.4846830000000004</v>
      </c>
    </row>
    <row r="403" spans="1:50" x14ac:dyDescent="0.35">
      <c r="A403" s="75">
        <v>30103</v>
      </c>
      <c r="B403">
        <v>47.456270000000004</v>
      </c>
      <c r="C403">
        <v>45.782859999999999</v>
      </c>
      <c r="D403">
        <v>1.0000000000000001E-9</v>
      </c>
      <c r="E403">
        <v>43.534370000000003</v>
      </c>
      <c r="F403">
        <v>62.294980000000002</v>
      </c>
      <c r="G403">
        <v>4.9544759999999997</v>
      </c>
      <c r="I403">
        <v>1.5255339999999999</v>
      </c>
      <c r="J403">
        <v>1.799515</v>
      </c>
      <c r="L403">
        <v>54.734580000000001</v>
      </c>
      <c r="M403">
        <v>42.60295</v>
      </c>
      <c r="O403">
        <v>26.187909999999999</v>
      </c>
      <c r="R403">
        <v>42.609090000000002</v>
      </c>
      <c r="S403">
        <v>46.681460000000001</v>
      </c>
      <c r="U403">
        <v>44.754860000000001</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28.866479999999999</v>
      </c>
      <c r="AH403">
        <v>45.159419999999997</v>
      </c>
      <c r="AJ403">
        <v>0.1231589</v>
      </c>
      <c r="AK403">
        <v>52.393389999999997</v>
      </c>
      <c r="AL403">
        <v>36.1</v>
      </c>
      <c r="AM403">
        <v>23.010380000000001</v>
      </c>
      <c r="AN403">
        <v>19.213560000000001</v>
      </c>
      <c r="AP403">
        <v>13.552490000000001</v>
      </c>
      <c r="AT403">
        <v>7.4606399999999995E-4</v>
      </c>
      <c r="AU403">
        <v>38.634630000000001</v>
      </c>
      <c r="AV403">
        <v>2.0595679999999999E-3</v>
      </c>
      <c r="AW403">
        <v>40.925330000000002</v>
      </c>
      <c r="AX403">
        <v>6.5306740000000003</v>
      </c>
    </row>
    <row r="404" spans="1:50" x14ac:dyDescent="0.35">
      <c r="A404" s="75">
        <v>30133</v>
      </c>
      <c r="B404">
        <v>47.555680000000002</v>
      </c>
      <c r="C404">
        <v>46.113959999999999</v>
      </c>
      <c r="D404">
        <v>1.0000000000000001E-9</v>
      </c>
      <c r="E404">
        <v>43.7714</v>
      </c>
      <c r="F404">
        <v>62.548740000000002</v>
      </c>
      <c r="G404">
        <v>5.0525919999999998</v>
      </c>
      <c r="I404">
        <v>1.5418499999999999</v>
      </c>
      <c r="J404">
        <v>1.9931270000000001</v>
      </c>
      <c r="L404">
        <v>54.799819999999997</v>
      </c>
      <c r="M404">
        <v>42.95073</v>
      </c>
      <c r="O404">
        <v>26.524190000000001</v>
      </c>
      <c r="R404">
        <v>42.956440000000001</v>
      </c>
      <c r="S404">
        <v>46.828490000000002</v>
      </c>
      <c r="U404">
        <v>44.903230000000001</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28.933060000000001</v>
      </c>
      <c r="AH404">
        <v>45.62717</v>
      </c>
      <c r="AJ404">
        <v>0.12950519999999999</v>
      </c>
      <c r="AK404">
        <v>52.735460000000003</v>
      </c>
      <c r="AL404">
        <v>36.700000000000003</v>
      </c>
      <c r="AM404">
        <v>23.184069999999998</v>
      </c>
      <c r="AN404">
        <v>19.315049999999999</v>
      </c>
      <c r="AP404">
        <v>13.538550000000001</v>
      </c>
      <c r="AT404">
        <v>7.6820000000000002E-4</v>
      </c>
      <c r="AU404">
        <v>38.902700000000003</v>
      </c>
      <c r="AV404">
        <v>2.080569E-3</v>
      </c>
      <c r="AW404">
        <v>41.136290000000002</v>
      </c>
      <c r="AX404">
        <v>6.5766640000000001</v>
      </c>
    </row>
    <row r="405" spans="1:50" x14ac:dyDescent="0.35">
      <c r="A405" s="75">
        <v>30164</v>
      </c>
      <c r="B405">
        <v>47.635199999999998</v>
      </c>
      <c r="C405">
        <v>46.395740000000004</v>
      </c>
      <c r="D405">
        <v>1.0000000000000001E-9</v>
      </c>
      <c r="E405">
        <v>43.92942</v>
      </c>
      <c r="F405">
        <v>63.006210000000003</v>
      </c>
      <c r="G405">
        <v>5.215706</v>
      </c>
      <c r="I405">
        <v>1.566324</v>
      </c>
      <c r="J405">
        <v>2.0651929999999998</v>
      </c>
      <c r="L405">
        <v>54.734580000000001</v>
      </c>
      <c r="M405">
        <v>43.228960000000001</v>
      </c>
      <c r="O405">
        <v>26.708120000000001</v>
      </c>
      <c r="R405">
        <v>42.763469999999998</v>
      </c>
      <c r="S405">
        <v>46.975520000000003</v>
      </c>
      <c r="U405">
        <v>45.073560000000001</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29.021599999999999</v>
      </c>
      <c r="AH405">
        <v>45.877560000000003</v>
      </c>
      <c r="AJ405">
        <v>0.144038</v>
      </c>
      <c r="AK405">
        <v>52.792470000000002</v>
      </c>
      <c r="AL405">
        <v>36.700000000000003</v>
      </c>
      <c r="AM405">
        <v>23.435379999999999</v>
      </c>
      <c r="AN405">
        <v>19.407869999999999</v>
      </c>
      <c r="AP405">
        <v>13.76844</v>
      </c>
      <c r="AT405">
        <v>7.6491999999999999E-4</v>
      </c>
      <c r="AU405">
        <v>39.004829999999998</v>
      </c>
      <c r="AV405">
        <v>2.10874E-3</v>
      </c>
      <c r="AW405">
        <v>41.220669999999998</v>
      </c>
      <c r="AX405">
        <v>6.6686449999999997</v>
      </c>
    </row>
    <row r="406" spans="1:50" x14ac:dyDescent="0.35">
      <c r="A406" s="75">
        <v>30195</v>
      </c>
      <c r="B406">
        <v>47.655079999999998</v>
      </c>
      <c r="C406">
        <v>46.966360000000002</v>
      </c>
      <c r="D406">
        <v>1.0000000000000001E-9</v>
      </c>
      <c r="E406">
        <v>44.166449999999998</v>
      </c>
      <c r="F406">
        <v>63.260860000000001</v>
      </c>
      <c r="G406">
        <v>5.4393710000000004</v>
      </c>
      <c r="I406">
        <v>1.5907979999999999</v>
      </c>
      <c r="J406">
        <v>2.1759819999999999</v>
      </c>
      <c r="L406">
        <v>54.930289999999999</v>
      </c>
      <c r="M406">
        <v>43.715850000000003</v>
      </c>
      <c r="O406">
        <v>26.739129999999999</v>
      </c>
      <c r="R406">
        <v>42.686279999999996</v>
      </c>
      <c r="S406">
        <v>47.159300000000002</v>
      </c>
      <c r="U406">
        <v>45.306640000000002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29.15408</v>
      </c>
      <c r="AH406">
        <v>46.214889999999997</v>
      </c>
      <c r="AJ406">
        <v>0.1517268</v>
      </c>
      <c r="AK406">
        <v>53.077530000000003</v>
      </c>
      <c r="AL406">
        <v>37</v>
      </c>
      <c r="AM406">
        <v>23.649360000000001</v>
      </c>
      <c r="AN406">
        <v>19.54588</v>
      </c>
      <c r="AP406">
        <v>13.94459</v>
      </c>
      <c r="AT406">
        <v>7.7639799999999998E-4</v>
      </c>
      <c r="AU406">
        <v>39.21546</v>
      </c>
      <c r="AV406">
        <v>2.1743019999999999E-3</v>
      </c>
      <c r="AW406">
        <v>41.305050000000001</v>
      </c>
      <c r="AX406">
        <v>6.7606270000000004</v>
      </c>
    </row>
    <row r="407" spans="1:50" x14ac:dyDescent="0.35">
      <c r="A407" s="75">
        <v>30225</v>
      </c>
      <c r="B407">
        <v>47.794249999999998</v>
      </c>
      <c r="C407">
        <v>47.353810000000003</v>
      </c>
      <c r="D407">
        <v>1.0000000000000001E-9</v>
      </c>
      <c r="E407">
        <v>44.482489999999999</v>
      </c>
      <c r="F407">
        <v>63.413640000000001</v>
      </c>
      <c r="G407">
        <v>5.7003529999999998</v>
      </c>
      <c r="I407">
        <v>1.615272</v>
      </c>
      <c r="J407">
        <v>2.2426710000000001</v>
      </c>
      <c r="L407">
        <v>55.191240000000001</v>
      </c>
      <c r="M407">
        <v>44.237520000000004</v>
      </c>
      <c r="O407">
        <v>27.00686</v>
      </c>
      <c r="R407">
        <v>42.879249999999999</v>
      </c>
      <c r="S407">
        <v>47.416600000000003</v>
      </c>
      <c r="U407">
        <v>45.528179999999999</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29.087499999999999</v>
      </c>
      <c r="AH407">
        <v>46.70872</v>
      </c>
      <c r="AJ407">
        <v>0.1595925</v>
      </c>
      <c r="AK407">
        <v>53.305570000000003</v>
      </c>
      <c r="AL407">
        <v>37.299999999999997</v>
      </c>
      <c r="AM407">
        <v>23.880849999999999</v>
      </c>
      <c r="AN407">
        <v>19.72626</v>
      </c>
      <c r="AP407">
        <v>14.02819</v>
      </c>
      <c r="AT407">
        <v>7.9033599999999999E-4</v>
      </c>
      <c r="AU407">
        <v>39.761180000000003</v>
      </c>
      <c r="AV407">
        <v>2.2332049999999998E-3</v>
      </c>
      <c r="AW407">
        <v>41.431629999999998</v>
      </c>
      <c r="AX407">
        <v>6.852608</v>
      </c>
    </row>
    <row r="408" spans="1:50" x14ac:dyDescent="0.35">
      <c r="A408" s="75">
        <v>30256</v>
      </c>
      <c r="B408">
        <v>47.794249999999998</v>
      </c>
      <c r="C408">
        <v>47.403120000000001</v>
      </c>
      <c r="D408">
        <v>1.0000000000000001E-9</v>
      </c>
      <c r="E408">
        <v>44.719520000000003</v>
      </c>
      <c r="F408">
        <v>63.617350000000002</v>
      </c>
      <c r="G408">
        <v>5.8896649999999999</v>
      </c>
      <c r="I408">
        <v>1.639745</v>
      </c>
      <c r="J408">
        <v>2.277091</v>
      </c>
      <c r="L408">
        <v>55.321719999999999</v>
      </c>
      <c r="M408">
        <v>44.585299999999997</v>
      </c>
      <c r="O408">
        <v>27.095009999999998</v>
      </c>
      <c r="R408">
        <v>42.995040000000003</v>
      </c>
      <c r="S408">
        <v>47.857689999999998</v>
      </c>
      <c r="U408">
        <v>45.559939999999997</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28.911090000000002</v>
      </c>
      <c r="AH408">
        <v>47.15213</v>
      </c>
      <c r="AJ408">
        <v>0.16766120000000001</v>
      </c>
      <c r="AK408">
        <v>53.305570000000003</v>
      </c>
      <c r="AL408">
        <v>37.5</v>
      </c>
      <c r="AM408">
        <v>24.009779999999999</v>
      </c>
      <c r="AN408">
        <v>19.870239999999999</v>
      </c>
      <c r="AP408">
        <v>14.14363</v>
      </c>
      <c r="AT408">
        <v>8.0837200000000002E-4</v>
      </c>
      <c r="AU408">
        <v>40.077129999999997</v>
      </c>
      <c r="AV408">
        <v>2.2849379999999998E-3</v>
      </c>
      <c r="AW408">
        <v>41.347239999999999</v>
      </c>
      <c r="AX408">
        <v>6.9445889999999997</v>
      </c>
    </row>
    <row r="409" spans="1:50" x14ac:dyDescent="0.35">
      <c r="A409" s="75">
        <v>30286</v>
      </c>
      <c r="B409">
        <v>47.933419999999998</v>
      </c>
      <c r="C409">
        <v>47.374940000000002</v>
      </c>
      <c r="D409">
        <v>1.0000000000000001E-9</v>
      </c>
      <c r="E409">
        <v>44.719520000000003</v>
      </c>
      <c r="F409">
        <v>63.413379999999997</v>
      </c>
      <c r="G409">
        <v>5.9581239999999998</v>
      </c>
      <c r="I409">
        <v>1.6479029999999999</v>
      </c>
      <c r="J409">
        <v>2.3265699999999998</v>
      </c>
      <c r="L409">
        <v>55.452190000000002</v>
      </c>
      <c r="M409">
        <v>44.341850000000001</v>
      </c>
      <c r="O409">
        <v>27.697929999999999</v>
      </c>
      <c r="R409">
        <v>43.496769999999998</v>
      </c>
      <c r="S409">
        <v>48.262009999999997</v>
      </c>
      <c r="U409">
        <v>45.539200000000001</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29.242619999999999</v>
      </c>
      <c r="AH409">
        <v>47.315579999999997</v>
      </c>
      <c r="AJ409">
        <v>0.18556520000000001</v>
      </c>
      <c r="AK409">
        <v>53.191549999999999</v>
      </c>
      <c r="AL409">
        <v>37.700000000000003</v>
      </c>
      <c r="AM409">
        <v>24.25515</v>
      </c>
      <c r="AN409">
        <v>20.018270000000001</v>
      </c>
      <c r="AP409">
        <v>14.505879999999999</v>
      </c>
      <c r="AT409">
        <v>8.2313000000000004E-4</v>
      </c>
      <c r="AU409">
        <v>40.192010000000003</v>
      </c>
      <c r="AV409">
        <v>2.3648419999999998E-3</v>
      </c>
      <c r="AW409">
        <v>41.17848</v>
      </c>
      <c r="AX409">
        <v>6.9445889999999997</v>
      </c>
    </row>
    <row r="410" spans="1:50" x14ac:dyDescent="0.35">
      <c r="A410" s="75">
        <v>30317</v>
      </c>
      <c r="B410">
        <v>48.251519999999999</v>
      </c>
      <c r="C410">
        <v>47.952599999999997</v>
      </c>
      <c r="D410">
        <v>2.0000000000000001E-9</v>
      </c>
      <c r="E410">
        <v>44.640509999999999</v>
      </c>
      <c r="F410">
        <v>63.318649999999998</v>
      </c>
      <c r="G410">
        <v>6.0629119999999999</v>
      </c>
      <c r="I410">
        <v>1.6642189999999999</v>
      </c>
      <c r="J410">
        <v>2.38788</v>
      </c>
      <c r="L410">
        <v>55.713149999999999</v>
      </c>
      <c r="M410">
        <v>44.724409999999999</v>
      </c>
      <c r="O410">
        <v>28.165900000000001</v>
      </c>
      <c r="R410">
        <v>43.959919999999997</v>
      </c>
      <c r="S410">
        <v>48.73986</v>
      </c>
      <c r="U410">
        <v>45.698300000000003</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29.463640000000002</v>
      </c>
      <c r="AH410">
        <v>47.861579999999996</v>
      </c>
      <c r="AJ410">
        <v>0.20575660000000001</v>
      </c>
      <c r="AK410">
        <v>53.191549999999999</v>
      </c>
      <c r="AL410">
        <v>38.299999999999997</v>
      </c>
      <c r="AM410">
        <v>24.516739999999999</v>
      </c>
      <c r="AN410">
        <v>20.226410000000001</v>
      </c>
      <c r="AP410">
        <v>15.07512</v>
      </c>
      <c r="AT410">
        <v>8.32148E-4</v>
      </c>
      <c r="AU410">
        <v>41.079210000000003</v>
      </c>
      <c r="AV410">
        <v>2.4642090000000002E-3</v>
      </c>
      <c r="AW410">
        <v>41.262860000000003</v>
      </c>
      <c r="AX410">
        <v>6.9905799999999996</v>
      </c>
    </row>
    <row r="411" spans="1:50" x14ac:dyDescent="0.35">
      <c r="A411" s="75">
        <v>30348</v>
      </c>
      <c r="B411">
        <v>48.470210000000002</v>
      </c>
      <c r="C411">
        <v>48.220289999999999</v>
      </c>
      <c r="D411">
        <v>2.0000000000000001E-9</v>
      </c>
      <c r="E411">
        <v>44.877540000000003</v>
      </c>
      <c r="F411">
        <v>63.40616</v>
      </c>
      <c r="G411">
        <v>6.0700789999999998</v>
      </c>
      <c r="I411">
        <v>1.688693</v>
      </c>
      <c r="J411">
        <v>2.4126189999999998</v>
      </c>
      <c r="L411">
        <v>55.713149999999999</v>
      </c>
      <c r="M411">
        <v>44.828740000000003</v>
      </c>
      <c r="O411">
        <v>28.307379999999998</v>
      </c>
      <c r="R411">
        <v>44.152889999999999</v>
      </c>
      <c r="S411">
        <v>49.07067</v>
      </c>
      <c r="U411">
        <v>45.79419</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29.662019999999998</v>
      </c>
      <c r="AH411">
        <v>48.002420000000001</v>
      </c>
      <c r="AJ411">
        <v>0.21679870000000001</v>
      </c>
      <c r="AK411">
        <v>53.305570000000003</v>
      </c>
      <c r="AL411">
        <v>38.5</v>
      </c>
      <c r="AM411">
        <v>24.6557</v>
      </c>
      <c r="AN411">
        <v>20.357240000000001</v>
      </c>
      <c r="AP411">
        <v>15.38264</v>
      </c>
      <c r="AT411">
        <v>8.6986099999999998E-4</v>
      </c>
      <c r="AU411">
        <v>41.095170000000003</v>
      </c>
      <c r="AV411">
        <v>2.5261849999999998E-3</v>
      </c>
      <c r="AW411">
        <v>41.305050000000001</v>
      </c>
      <c r="AX411">
        <v>7.128552</v>
      </c>
    </row>
    <row r="412" spans="1:50" x14ac:dyDescent="0.35">
      <c r="A412" s="75">
        <v>30376</v>
      </c>
      <c r="B412">
        <v>48.569609999999997</v>
      </c>
      <c r="C412">
        <v>48.396410000000003</v>
      </c>
      <c r="D412">
        <v>2.0000000000000001E-9</v>
      </c>
      <c r="E412">
        <v>45.351590000000002</v>
      </c>
      <c r="F412">
        <v>63.527149999999999</v>
      </c>
      <c r="G412">
        <v>6.1850009999999997</v>
      </c>
      <c r="I412">
        <v>1.721325</v>
      </c>
      <c r="J412">
        <v>2.4319799999999998</v>
      </c>
      <c r="L412">
        <v>55.713149999999999</v>
      </c>
      <c r="M412">
        <v>44.724409999999999</v>
      </c>
      <c r="O412">
        <v>28.479330000000001</v>
      </c>
      <c r="R412">
        <v>44.538849999999996</v>
      </c>
      <c r="S412">
        <v>49.54851</v>
      </c>
      <c r="U412">
        <v>45.921129999999998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29.772539999999999</v>
      </c>
      <c r="AH412">
        <v>48.07893</v>
      </c>
      <c r="AJ412">
        <v>0.2272923</v>
      </c>
      <c r="AK412">
        <v>53.362580000000001</v>
      </c>
      <c r="AL412">
        <v>38.9</v>
      </c>
      <c r="AM412">
        <v>24.809000000000001</v>
      </c>
      <c r="AN412">
        <v>20.490130000000001</v>
      </c>
      <c r="AP412">
        <v>15.74091</v>
      </c>
      <c r="AT412">
        <v>9.1249400000000002E-4</v>
      </c>
      <c r="AU412">
        <v>41.248359999999998</v>
      </c>
      <c r="AV412">
        <v>2.577406E-3</v>
      </c>
      <c r="AW412">
        <v>41.305050000000001</v>
      </c>
      <c r="AX412">
        <v>7.1745419999999998</v>
      </c>
    </row>
    <row r="413" spans="1:50" x14ac:dyDescent="0.35">
      <c r="A413" s="75">
        <v>30407</v>
      </c>
      <c r="B413">
        <v>48.529850000000003</v>
      </c>
      <c r="C413">
        <v>48.551389999999998</v>
      </c>
      <c r="D413">
        <v>2.0000000000000001E-9</v>
      </c>
      <c r="E413">
        <v>45.351590000000002</v>
      </c>
      <c r="F413">
        <v>63.725729999999999</v>
      </c>
      <c r="G413">
        <v>6.3688750000000001</v>
      </c>
      <c r="I413">
        <v>1.77843</v>
      </c>
      <c r="J413">
        <v>2.471778</v>
      </c>
      <c r="L413">
        <v>55.843620000000001</v>
      </c>
      <c r="M413">
        <v>45.037410000000001</v>
      </c>
      <c r="O413">
        <v>28.87058</v>
      </c>
      <c r="R413">
        <v>44.886200000000002</v>
      </c>
      <c r="S413">
        <v>50.173380000000002</v>
      </c>
      <c r="U413">
        <v>46.250920000000001</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29.684660000000001</v>
      </c>
      <c r="AH413">
        <v>48.228470000000002</v>
      </c>
      <c r="AJ413">
        <v>0.2416826</v>
      </c>
      <c r="AK413">
        <v>53.590629999999997</v>
      </c>
      <c r="AL413">
        <v>39</v>
      </c>
      <c r="AM413">
        <v>25.079370000000001</v>
      </c>
      <c r="AN413">
        <v>20.680070000000001</v>
      </c>
      <c r="AP413">
        <v>16.078279999999999</v>
      </c>
      <c r="AT413">
        <v>9.4610699999999996E-4</v>
      </c>
      <c r="AU413">
        <v>41.573869999999999</v>
      </c>
      <c r="AV413">
        <v>2.6153090000000001E-3</v>
      </c>
      <c r="AW413">
        <v>41.600389999999997</v>
      </c>
      <c r="AX413">
        <v>7.2665240000000004</v>
      </c>
    </row>
    <row r="414" spans="1:50" x14ac:dyDescent="0.35">
      <c r="A414" s="75">
        <v>30437</v>
      </c>
      <c r="B414">
        <v>48.390689999999999</v>
      </c>
      <c r="C414">
        <v>48.805</v>
      </c>
      <c r="D414">
        <v>2.0000000000000001E-9</v>
      </c>
      <c r="E414">
        <v>45.430599999999998</v>
      </c>
      <c r="F414">
        <v>63.780360000000002</v>
      </c>
      <c r="G414">
        <v>6.4566109999999997</v>
      </c>
      <c r="I414">
        <v>1.8192200000000001</v>
      </c>
      <c r="J414">
        <v>2.5341640000000001</v>
      </c>
      <c r="L414">
        <v>55.9741</v>
      </c>
      <c r="M414">
        <v>45.524299999999997</v>
      </c>
      <c r="O414">
        <v>28.990290000000002</v>
      </c>
      <c r="R414">
        <v>45.619509999999998</v>
      </c>
      <c r="S414">
        <v>50.504199999999997</v>
      </c>
      <c r="U414">
        <v>46.533830000000002</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29.772539999999999</v>
      </c>
      <c r="AH414">
        <v>48.471910000000001</v>
      </c>
      <c r="AJ414">
        <v>0.25216470000000002</v>
      </c>
      <c r="AK414">
        <v>53.647640000000003</v>
      </c>
      <c r="AL414">
        <v>39.1</v>
      </c>
      <c r="AM414">
        <v>25.279430000000001</v>
      </c>
      <c r="AN414">
        <v>20.783750000000001</v>
      </c>
      <c r="AP414">
        <v>16.049410000000002</v>
      </c>
      <c r="AT414">
        <v>9.7808199999999991E-4</v>
      </c>
      <c r="AU414">
        <v>41.835560000000001</v>
      </c>
      <c r="AV414">
        <v>2.6327239999999999E-3</v>
      </c>
      <c r="AW414">
        <v>41.853540000000002</v>
      </c>
      <c r="AX414">
        <v>7.3125140000000002</v>
      </c>
    </row>
    <row r="415" spans="1:50" x14ac:dyDescent="0.35">
      <c r="A415" s="75">
        <v>30468</v>
      </c>
      <c r="B415">
        <v>48.629260000000002</v>
      </c>
      <c r="C415">
        <v>49.122010000000003</v>
      </c>
      <c r="D415">
        <v>2.0000000000000001E-9</v>
      </c>
      <c r="E415">
        <v>45.90466</v>
      </c>
      <c r="F415">
        <v>64.043890000000005</v>
      </c>
      <c r="G415">
        <v>6.5571979999999996</v>
      </c>
      <c r="I415">
        <v>1.8355360000000001</v>
      </c>
      <c r="J415">
        <v>2.5556770000000002</v>
      </c>
      <c r="L415">
        <v>56.169809999999998</v>
      </c>
      <c r="M415">
        <v>45.628630000000001</v>
      </c>
      <c r="O415">
        <v>29.160070000000001</v>
      </c>
      <c r="R415">
        <v>46.121250000000003</v>
      </c>
      <c r="S415">
        <v>50.798250000000003</v>
      </c>
      <c r="U415">
        <v>46.651000000000003</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29.75057</v>
      </c>
      <c r="AH415">
        <v>48.60754</v>
      </c>
      <c r="AJ415">
        <v>0.26171359999999999</v>
      </c>
      <c r="AK415">
        <v>53.704650000000001</v>
      </c>
      <c r="AL415">
        <v>39.299999999999997</v>
      </c>
      <c r="AM415">
        <v>25.412279999999999</v>
      </c>
      <c r="AN415">
        <v>20.893999999999998</v>
      </c>
      <c r="AP415">
        <v>16.324090000000002</v>
      </c>
      <c r="AT415">
        <v>1.008416E-3</v>
      </c>
      <c r="AU415">
        <v>42.062150000000003</v>
      </c>
      <c r="AV415">
        <v>2.667553E-3</v>
      </c>
      <c r="AW415">
        <v>41.980110000000003</v>
      </c>
      <c r="AX415">
        <v>7.3125140000000002</v>
      </c>
    </row>
    <row r="416" spans="1:50" x14ac:dyDescent="0.35">
      <c r="A416" s="75">
        <v>30498</v>
      </c>
      <c r="B416">
        <v>48.887709999999998</v>
      </c>
      <c r="C416">
        <v>49.586950000000002</v>
      </c>
      <c r="D416">
        <v>2.0000000000000001E-9</v>
      </c>
      <c r="E416">
        <v>46.141689999999997</v>
      </c>
      <c r="F416">
        <v>63.919089999999997</v>
      </c>
      <c r="G416">
        <v>6.682747</v>
      </c>
      <c r="I416">
        <v>1.8518520000000001</v>
      </c>
      <c r="J416">
        <v>2.5115759999999998</v>
      </c>
      <c r="L416">
        <v>56.365519999999997</v>
      </c>
      <c r="M416">
        <v>45.663409999999999</v>
      </c>
      <c r="O416">
        <v>29.263999999999999</v>
      </c>
      <c r="R416">
        <v>46.314219999999999</v>
      </c>
      <c r="S416">
        <v>51.239330000000002</v>
      </c>
      <c r="U416">
        <v>46.827080000000002</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29.75057</v>
      </c>
      <c r="AH416">
        <v>49.337850000000003</v>
      </c>
      <c r="AJ416">
        <v>0.27465329999999999</v>
      </c>
      <c r="AK416">
        <v>53.989710000000002</v>
      </c>
      <c r="AL416">
        <v>39.6</v>
      </c>
      <c r="AM416">
        <v>25.59544</v>
      </c>
      <c r="AN416">
        <v>21.021249999999998</v>
      </c>
      <c r="AP416">
        <v>16.661460000000002</v>
      </c>
      <c r="AT416">
        <v>1.0100560000000001E-3</v>
      </c>
      <c r="AU416">
        <v>42.397239999999996</v>
      </c>
      <c r="AV416">
        <v>2.6952120000000002E-3</v>
      </c>
      <c r="AW416">
        <v>42.148879999999998</v>
      </c>
      <c r="AX416">
        <v>7.404496</v>
      </c>
    </row>
    <row r="417" spans="1:50" x14ac:dyDescent="0.35">
      <c r="A417" s="75">
        <v>30529</v>
      </c>
      <c r="B417">
        <v>49.166049999999998</v>
      </c>
      <c r="C417">
        <v>50.05894</v>
      </c>
      <c r="D417">
        <v>3E-9</v>
      </c>
      <c r="E417">
        <v>46.378720000000001</v>
      </c>
      <c r="F417">
        <v>64.091200000000001</v>
      </c>
      <c r="G417">
        <v>6.8624200000000002</v>
      </c>
      <c r="I417">
        <v>1.8518520000000001</v>
      </c>
      <c r="J417">
        <v>2.5029710000000001</v>
      </c>
      <c r="L417">
        <v>56.561239999999998</v>
      </c>
      <c r="M417">
        <v>45.872079999999997</v>
      </c>
      <c r="O417">
        <v>29.656880000000001</v>
      </c>
      <c r="R417">
        <v>46.352820000000001</v>
      </c>
      <c r="S417">
        <v>51.533389999999997</v>
      </c>
      <c r="U417">
        <v>46.962580000000003</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29.772539999999999</v>
      </c>
      <c r="AH417">
        <v>49.692570000000003</v>
      </c>
      <c r="AJ417">
        <v>0.28531380000000001</v>
      </c>
      <c r="AK417">
        <v>54.160739999999997</v>
      </c>
      <c r="AL417">
        <v>39.5</v>
      </c>
      <c r="AM417">
        <v>25.755369999999999</v>
      </c>
      <c r="AN417">
        <v>21.159300000000002</v>
      </c>
      <c r="AP417">
        <v>17.174969999999998</v>
      </c>
      <c r="AT417">
        <v>1.0789230000000001E-3</v>
      </c>
      <c r="AU417">
        <v>42.614260000000002</v>
      </c>
      <c r="AV417">
        <v>2.7582129999999998E-3</v>
      </c>
      <c r="AW417">
        <v>42.275449999999999</v>
      </c>
      <c r="AX417">
        <v>7.4964769999999996</v>
      </c>
    </row>
    <row r="418" spans="1:50" x14ac:dyDescent="0.35">
      <c r="A418" s="75">
        <v>30560</v>
      </c>
      <c r="B418">
        <v>49.22569</v>
      </c>
      <c r="C418">
        <v>50.411169999999998</v>
      </c>
      <c r="D418">
        <v>3E-9</v>
      </c>
      <c r="E418">
        <v>46.378720000000001</v>
      </c>
      <c r="F418">
        <v>64.1708</v>
      </c>
      <c r="G418">
        <v>7.0225689999999998</v>
      </c>
      <c r="I418">
        <v>1.8600099999999999</v>
      </c>
      <c r="J418">
        <v>2.50082</v>
      </c>
      <c r="L418">
        <v>56.691719999999997</v>
      </c>
      <c r="M418">
        <v>46.324190000000002</v>
      </c>
      <c r="O418">
        <v>29.894130000000001</v>
      </c>
      <c r="R418">
        <v>46.70017</v>
      </c>
      <c r="S418">
        <v>51.937719999999999</v>
      </c>
      <c r="U418">
        <v>47.254489999999997</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29.817139999999998</v>
      </c>
      <c r="AH418">
        <v>50.170749999999998</v>
      </c>
      <c r="AJ418">
        <v>0.29409479999999999</v>
      </c>
      <c r="AK418">
        <v>54.38879</v>
      </c>
      <c r="AL418">
        <v>39.9</v>
      </c>
      <c r="AM418">
        <v>25.979220000000002</v>
      </c>
      <c r="AN418">
        <v>21.347480000000001</v>
      </c>
      <c r="AP418">
        <v>17.74024</v>
      </c>
      <c r="AT418">
        <v>1.1223749999999999E-3</v>
      </c>
      <c r="AU418">
        <v>42.923819999999999</v>
      </c>
      <c r="AV418">
        <v>2.8473370000000001E-3</v>
      </c>
      <c r="AW418">
        <v>42.486400000000003</v>
      </c>
      <c r="AX418">
        <v>7.5424680000000004</v>
      </c>
    </row>
    <row r="419" spans="1:50" x14ac:dyDescent="0.35">
      <c r="A419" s="75">
        <v>30590</v>
      </c>
      <c r="B419">
        <v>49.50403</v>
      </c>
      <c r="C419">
        <v>50.418210000000002</v>
      </c>
      <c r="D419">
        <v>3E-9</v>
      </c>
      <c r="E419">
        <v>46.694760000000002</v>
      </c>
      <c r="F419">
        <v>64.324460000000002</v>
      </c>
      <c r="G419">
        <v>7.1926030000000001</v>
      </c>
      <c r="I419">
        <v>1.8926419999999999</v>
      </c>
      <c r="J419">
        <v>2.5255589999999999</v>
      </c>
      <c r="L419">
        <v>56.691719999999997</v>
      </c>
      <c r="M419">
        <v>46.602420000000002</v>
      </c>
      <c r="O419">
        <v>30.299530000000001</v>
      </c>
      <c r="R419">
        <v>46.815959999999997</v>
      </c>
      <c r="S419">
        <v>52.34205</v>
      </c>
      <c r="U419">
        <v>47.490749999999998</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29.795169999999999</v>
      </c>
      <c r="AH419">
        <v>50.628070000000001</v>
      </c>
      <c r="AJ419">
        <v>0.30385319999999999</v>
      </c>
      <c r="AK419">
        <v>54.61683</v>
      </c>
      <c r="AL419">
        <v>40.1</v>
      </c>
      <c r="AM419">
        <v>26.210429999999999</v>
      </c>
      <c r="AN419">
        <v>21.553090000000001</v>
      </c>
      <c r="AP419">
        <v>18.058700000000002</v>
      </c>
      <c r="AT419">
        <v>1.1764849999999999E-3</v>
      </c>
      <c r="AU419">
        <v>43.27487</v>
      </c>
      <c r="AV419">
        <v>2.9984370000000001E-3</v>
      </c>
      <c r="AW419">
        <v>42.61298</v>
      </c>
      <c r="AX419">
        <v>7.5884590000000003</v>
      </c>
    </row>
    <row r="420" spans="1:50" x14ac:dyDescent="0.35">
      <c r="A420" s="75">
        <v>30621</v>
      </c>
      <c r="B420">
        <v>49.583550000000002</v>
      </c>
      <c r="C420">
        <v>50.671819999999997</v>
      </c>
      <c r="D420">
        <v>3E-9</v>
      </c>
      <c r="E420">
        <v>46.694760000000002</v>
      </c>
      <c r="F420">
        <v>64.732039999999998</v>
      </c>
      <c r="G420">
        <v>7.2880000000000003</v>
      </c>
      <c r="I420">
        <v>1.9171149999999999</v>
      </c>
      <c r="J420">
        <v>2.5416940000000001</v>
      </c>
      <c r="L420">
        <v>56.822189999999999</v>
      </c>
      <c r="M420">
        <v>47.019750000000002</v>
      </c>
      <c r="O420">
        <v>30.608059999999998</v>
      </c>
      <c r="R420">
        <v>47.24051</v>
      </c>
      <c r="S420">
        <v>52.56259</v>
      </c>
      <c r="U420">
        <v>47.589100000000002</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29.7286</v>
      </c>
      <c r="AH420">
        <v>50.88194</v>
      </c>
      <c r="AJ420">
        <v>0.32169829999999999</v>
      </c>
      <c r="AK420">
        <v>54.787860000000002</v>
      </c>
      <c r="AL420">
        <v>40.200000000000003</v>
      </c>
      <c r="AM420">
        <v>26.409220000000001</v>
      </c>
      <c r="AN420">
        <v>21.721109999999999</v>
      </c>
      <c r="AP420">
        <v>18.463740000000001</v>
      </c>
      <c r="AT420">
        <v>1.2404339999999999E-3</v>
      </c>
      <c r="AU420">
        <v>43.536560000000001</v>
      </c>
      <c r="AV420">
        <v>3.1106089999999999E-3</v>
      </c>
      <c r="AW420">
        <v>42.697360000000003</v>
      </c>
      <c r="AX420">
        <v>7.6804399999999999</v>
      </c>
    </row>
    <row r="421" spans="1:50" x14ac:dyDescent="0.35">
      <c r="A421" s="75">
        <v>30651</v>
      </c>
      <c r="B421">
        <v>49.76249</v>
      </c>
      <c r="C421">
        <v>50.763399999999997</v>
      </c>
      <c r="D421">
        <v>4.0000000000000002E-9</v>
      </c>
      <c r="E421">
        <v>46.773769999999999</v>
      </c>
      <c r="F421">
        <v>64.768129999999999</v>
      </c>
      <c r="G421">
        <v>7.3339689999999997</v>
      </c>
      <c r="I421">
        <v>1.925273</v>
      </c>
      <c r="J421">
        <v>2.576114</v>
      </c>
      <c r="L421">
        <v>56.952660000000002</v>
      </c>
      <c r="M421">
        <v>47.019750000000002</v>
      </c>
      <c r="O421">
        <v>31.083110000000001</v>
      </c>
      <c r="R421">
        <v>47.201909999999998</v>
      </c>
      <c r="S421">
        <v>52.746380000000002</v>
      </c>
      <c r="U421">
        <v>47.643180000000001</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29.817139999999998</v>
      </c>
      <c r="AH421">
        <v>51.111469999999997</v>
      </c>
      <c r="AJ421">
        <v>0.33546160000000003</v>
      </c>
      <c r="AK421">
        <v>54.787860000000002</v>
      </c>
      <c r="AL421">
        <v>40.4</v>
      </c>
      <c r="AM421">
        <v>26.574190000000002</v>
      </c>
      <c r="AN421">
        <v>21.877939999999999</v>
      </c>
      <c r="AP421">
        <v>19.176300000000001</v>
      </c>
      <c r="AT421">
        <v>1.31668E-3</v>
      </c>
      <c r="AU421">
        <v>43.890799999999999</v>
      </c>
      <c r="AV421">
        <v>3.2412209999999999E-3</v>
      </c>
      <c r="AW421">
        <v>42.739550000000001</v>
      </c>
      <c r="AX421">
        <v>7.6804399999999999</v>
      </c>
    </row>
    <row r="422" spans="1:50" x14ac:dyDescent="0.35">
      <c r="A422" s="75">
        <v>30682</v>
      </c>
      <c r="B422">
        <v>50.975230000000003</v>
      </c>
      <c r="C422">
        <v>51.235390000000002</v>
      </c>
      <c r="D422">
        <v>4.0000000000000002E-9</v>
      </c>
      <c r="E422">
        <v>47.08981</v>
      </c>
      <c r="F422">
        <v>65.000789999999995</v>
      </c>
      <c r="G422">
        <v>7.3391599999999997</v>
      </c>
      <c r="I422">
        <v>1.9497469999999999</v>
      </c>
      <c r="J422">
        <v>2.6148359999999999</v>
      </c>
      <c r="L422">
        <v>57.148380000000003</v>
      </c>
      <c r="M422">
        <v>47.158859999999997</v>
      </c>
      <c r="O422">
        <v>31.564679999999999</v>
      </c>
      <c r="R422">
        <v>47.587859999999999</v>
      </c>
      <c r="S422">
        <v>53.113950000000003</v>
      </c>
      <c r="U422">
        <v>47.904400000000003</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29.993559999999999</v>
      </c>
      <c r="AH422">
        <v>51.407069999999997</v>
      </c>
      <c r="AJ422">
        <v>0.3567729</v>
      </c>
      <c r="AK422">
        <v>54.9589</v>
      </c>
      <c r="AL422">
        <v>40.700000000000003</v>
      </c>
      <c r="AM422">
        <v>26.818359999999998</v>
      </c>
      <c r="AN422">
        <v>22.07085</v>
      </c>
      <c r="AP422">
        <v>19.582339999999999</v>
      </c>
      <c r="AT422">
        <v>1.347834E-3</v>
      </c>
      <c r="AU422">
        <v>44.497160000000001</v>
      </c>
      <c r="AV422">
        <v>3.3528809999999998E-3</v>
      </c>
      <c r="AW422">
        <v>42.992690000000003</v>
      </c>
      <c r="AX422">
        <v>7.7264299999999997</v>
      </c>
    </row>
    <row r="423" spans="1:50" x14ac:dyDescent="0.35">
      <c r="A423" s="75">
        <v>30713</v>
      </c>
      <c r="B423">
        <v>51.213810000000002</v>
      </c>
      <c r="C423">
        <v>51.622839999999997</v>
      </c>
      <c r="D423">
        <v>4.0000000000000002E-9</v>
      </c>
      <c r="E423">
        <v>47.326839999999997</v>
      </c>
      <c r="F423">
        <v>65.23545</v>
      </c>
      <c r="G423">
        <v>7.3275480000000002</v>
      </c>
      <c r="I423">
        <v>1.974221</v>
      </c>
      <c r="J423">
        <v>2.6352730000000002</v>
      </c>
      <c r="L423">
        <v>57.344090000000001</v>
      </c>
      <c r="M423">
        <v>47.680529999999997</v>
      </c>
      <c r="O423">
        <v>31.6844</v>
      </c>
      <c r="R423">
        <v>47.780839999999998</v>
      </c>
      <c r="S423">
        <v>53.444760000000002</v>
      </c>
      <c r="U423">
        <v>48.168430000000001</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30.259180000000001</v>
      </c>
      <c r="AH423">
        <v>51.774000000000001</v>
      </c>
      <c r="AJ423">
        <v>0.37560199999999999</v>
      </c>
      <c r="AK423">
        <v>55.243949999999998</v>
      </c>
      <c r="AL423">
        <v>40.9</v>
      </c>
      <c r="AM423">
        <v>27.025980000000001</v>
      </c>
      <c r="AN423">
        <v>22.209040000000002</v>
      </c>
      <c r="AP423">
        <v>19.890840000000001</v>
      </c>
      <c r="AT423">
        <v>1.356852E-3</v>
      </c>
      <c r="AU423">
        <v>44.315249999999999</v>
      </c>
      <c r="AV423">
        <v>3.4041010000000001E-3</v>
      </c>
      <c r="AW423">
        <v>43.203650000000003</v>
      </c>
      <c r="AX423">
        <v>7.8184120000000004</v>
      </c>
    </row>
    <row r="424" spans="1:50" x14ac:dyDescent="0.35">
      <c r="A424" s="75">
        <v>30742</v>
      </c>
      <c r="B424">
        <v>51.392740000000003</v>
      </c>
      <c r="C424">
        <v>51.84122</v>
      </c>
      <c r="D424">
        <v>5.0000000000000001E-9</v>
      </c>
      <c r="E424">
        <v>47.405850000000001</v>
      </c>
      <c r="F424">
        <v>65.659670000000006</v>
      </c>
      <c r="G424">
        <v>7.513395</v>
      </c>
      <c r="I424">
        <v>2.0150109999999999</v>
      </c>
      <c r="J424">
        <v>2.6686169999999998</v>
      </c>
      <c r="L424">
        <v>57.409329999999997</v>
      </c>
      <c r="M424">
        <v>47.854419999999998</v>
      </c>
      <c r="O424">
        <v>31.939599999999999</v>
      </c>
      <c r="R424">
        <v>48.1282</v>
      </c>
      <c r="S424">
        <v>53.812330000000003</v>
      </c>
      <c r="U424">
        <v>48.294339999999998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30.369689999999999</v>
      </c>
      <c r="AH424">
        <v>51.962710000000001</v>
      </c>
      <c r="AJ424">
        <v>0.3916559</v>
      </c>
      <c r="AK424">
        <v>55.472000000000001</v>
      </c>
      <c r="AL424">
        <v>41.4</v>
      </c>
      <c r="AM424">
        <v>27.187860000000001</v>
      </c>
      <c r="AN424">
        <v>22.372489999999999</v>
      </c>
      <c r="AP424">
        <v>20.619319999999998</v>
      </c>
      <c r="AT424">
        <v>1.37079E-3</v>
      </c>
      <c r="AU424">
        <v>44.953530000000001</v>
      </c>
      <c r="AV424">
        <v>3.5096149999999998E-3</v>
      </c>
      <c r="AW424">
        <v>43.288029999999999</v>
      </c>
      <c r="AX424">
        <v>7.910393</v>
      </c>
    </row>
    <row r="425" spans="1:50" x14ac:dyDescent="0.35">
      <c r="A425" s="75">
        <v>30773</v>
      </c>
      <c r="B425">
        <v>51.392740000000003</v>
      </c>
      <c r="C425">
        <v>52.186410000000002</v>
      </c>
      <c r="D425">
        <v>5.0000000000000001E-9</v>
      </c>
      <c r="E425">
        <v>47.563870000000001</v>
      </c>
      <c r="F425">
        <v>65.756299999999996</v>
      </c>
      <c r="G425">
        <v>7.6255990000000002</v>
      </c>
      <c r="I425">
        <v>2.0558000000000001</v>
      </c>
      <c r="J425">
        <v>2.7019609999999998</v>
      </c>
      <c r="L425">
        <v>57.47457</v>
      </c>
      <c r="M425">
        <v>47.99353</v>
      </c>
      <c r="O425">
        <v>32.090330000000002</v>
      </c>
      <c r="R425">
        <v>48.475549999999998</v>
      </c>
      <c r="S425">
        <v>54.143140000000002</v>
      </c>
      <c r="U425">
        <v>48.532519999999998</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30.45823</v>
      </c>
      <c r="AH425">
        <v>52.146180000000001</v>
      </c>
      <c r="AJ425">
        <v>0.40859879999999998</v>
      </c>
      <c r="AK425">
        <v>55.643039999999999</v>
      </c>
      <c r="AL425">
        <v>41.6</v>
      </c>
      <c r="AM425">
        <v>27.411000000000001</v>
      </c>
      <c r="AN425">
        <v>22.57779</v>
      </c>
      <c r="AP425">
        <v>21.009440000000001</v>
      </c>
      <c r="AT425">
        <v>1.3929260000000001E-3</v>
      </c>
      <c r="AU425">
        <v>45.243940000000002</v>
      </c>
      <c r="AV425">
        <v>3.7283260000000001E-3</v>
      </c>
      <c r="AW425">
        <v>43.498989999999999</v>
      </c>
      <c r="AX425">
        <v>8.0483650000000004</v>
      </c>
    </row>
    <row r="426" spans="1:50" x14ac:dyDescent="0.35">
      <c r="A426" s="75">
        <v>30803</v>
      </c>
      <c r="B426">
        <v>51.253570000000003</v>
      </c>
      <c r="C426">
        <v>52.299120000000002</v>
      </c>
      <c r="D426">
        <v>6E-9</v>
      </c>
      <c r="E426">
        <v>47.563870000000001</v>
      </c>
      <c r="F426">
        <v>65.619669999999999</v>
      </c>
      <c r="G426">
        <v>7.7170430000000003</v>
      </c>
      <c r="I426">
        <v>2.0802740000000002</v>
      </c>
      <c r="J426">
        <v>2.733155</v>
      </c>
      <c r="L426">
        <v>57.539810000000003</v>
      </c>
      <c r="M426">
        <v>48.480420000000002</v>
      </c>
      <c r="O426">
        <v>32.263919999999999</v>
      </c>
      <c r="R426">
        <v>48.977290000000004</v>
      </c>
      <c r="S426">
        <v>54.437199999999997</v>
      </c>
      <c r="U426">
        <v>48.713250000000002</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30.413630000000001</v>
      </c>
      <c r="AH426">
        <v>52.329639999999998</v>
      </c>
      <c r="AJ426">
        <v>0.42214760000000001</v>
      </c>
      <c r="AK426">
        <v>55.643039999999999</v>
      </c>
      <c r="AL426">
        <v>41.6</v>
      </c>
      <c r="AM426">
        <v>27.575610000000001</v>
      </c>
      <c r="AN426">
        <v>22.714829999999999</v>
      </c>
      <c r="AP426">
        <v>20.82732</v>
      </c>
      <c r="AT426">
        <v>1.4634330000000001E-3</v>
      </c>
      <c r="AU426">
        <v>45.563079999999999</v>
      </c>
      <c r="AV426">
        <v>3.9091339999999999E-3</v>
      </c>
      <c r="AW426">
        <v>43.62556</v>
      </c>
      <c r="AX426">
        <v>8.1403470000000002</v>
      </c>
    </row>
    <row r="427" spans="1:50" x14ac:dyDescent="0.35">
      <c r="A427" s="75">
        <v>30834</v>
      </c>
      <c r="B427">
        <v>51.710830000000001</v>
      </c>
      <c r="C427">
        <v>52.440010000000001</v>
      </c>
      <c r="D427">
        <v>6E-9</v>
      </c>
      <c r="E427">
        <v>47.879910000000002</v>
      </c>
      <c r="F427">
        <v>65.830879999999993</v>
      </c>
      <c r="G427">
        <v>7.8151510000000002</v>
      </c>
      <c r="I427">
        <v>2.1129060000000002</v>
      </c>
      <c r="J427">
        <v>2.7794059999999998</v>
      </c>
      <c r="L427">
        <v>57.735520000000001</v>
      </c>
      <c r="M427">
        <v>48.758650000000003</v>
      </c>
      <c r="O427">
        <v>32.492460000000001</v>
      </c>
      <c r="R427">
        <v>49.093069999999997</v>
      </c>
      <c r="S427">
        <v>54.694499999999998</v>
      </c>
      <c r="U427">
        <v>48.81324</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30.259180000000001</v>
      </c>
      <c r="AH427">
        <v>52.345370000000003</v>
      </c>
      <c r="AJ427">
        <v>0.43742540000000002</v>
      </c>
      <c r="AK427">
        <v>55.643039999999999</v>
      </c>
      <c r="AL427">
        <v>41.8</v>
      </c>
      <c r="AM427">
        <v>27.73377</v>
      </c>
      <c r="AN427">
        <v>22.904640000000001</v>
      </c>
      <c r="AP427">
        <v>21.460260000000002</v>
      </c>
      <c r="AT427">
        <v>1.5650939999999999E-3</v>
      </c>
      <c r="AU427">
        <v>45.454569999999997</v>
      </c>
      <c r="AV427">
        <v>4.1626739999999999E-3</v>
      </c>
      <c r="AW427">
        <v>43.752139999999997</v>
      </c>
      <c r="AX427">
        <v>8.186337</v>
      </c>
    </row>
    <row r="428" spans="1:50" x14ac:dyDescent="0.35">
      <c r="A428" s="75">
        <v>30864</v>
      </c>
      <c r="B428">
        <v>51.611429999999999</v>
      </c>
      <c r="C428">
        <v>52.728839999999998</v>
      </c>
      <c r="D428">
        <v>6.9999999999999998E-9</v>
      </c>
      <c r="E428">
        <v>48.037930000000003</v>
      </c>
      <c r="F428">
        <v>65.714399999999998</v>
      </c>
      <c r="G428">
        <v>7.8841159999999997</v>
      </c>
      <c r="I428">
        <v>2.1373799999999998</v>
      </c>
      <c r="J428">
        <v>2.8105989999999998</v>
      </c>
      <c r="L428">
        <v>57.670279999999998</v>
      </c>
      <c r="M428">
        <v>48.654310000000002</v>
      </c>
      <c r="O428">
        <v>32.99145</v>
      </c>
      <c r="R428">
        <v>49.286050000000003</v>
      </c>
      <c r="S428">
        <v>55.062069999999999</v>
      </c>
      <c r="U428">
        <v>48.9512</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30.259180000000001</v>
      </c>
      <c r="AH428">
        <v>52.46069</v>
      </c>
      <c r="AJ428">
        <v>0.45176509999999998</v>
      </c>
      <c r="AK428">
        <v>55.643039999999999</v>
      </c>
      <c r="AL428">
        <v>42</v>
      </c>
      <c r="AM428">
        <v>27.878530000000001</v>
      </c>
      <c r="AN428">
        <v>22.9788</v>
      </c>
      <c r="AP428">
        <v>22.02055</v>
      </c>
      <c r="AT428">
        <v>1.6151049999999999E-3</v>
      </c>
      <c r="AU428">
        <v>45.572650000000003</v>
      </c>
      <c r="AV428">
        <v>4.2010889999999999E-3</v>
      </c>
      <c r="AW428">
        <v>43.920900000000003</v>
      </c>
      <c r="AX428">
        <v>8.2783180000000005</v>
      </c>
    </row>
    <row r="429" spans="1:50" x14ac:dyDescent="0.35">
      <c r="A429" s="75">
        <v>30895</v>
      </c>
      <c r="B429">
        <v>52.08858</v>
      </c>
      <c r="C429">
        <v>52.933140000000002</v>
      </c>
      <c r="D429">
        <v>8.0000000000000005E-9</v>
      </c>
      <c r="E429">
        <v>48.037930000000003</v>
      </c>
      <c r="F429">
        <v>65.947559999999996</v>
      </c>
      <c r="G429">
        <v>7.9041309999999996</v>
      </c>
      <c r="I429">
        <v>2.1455380000000002</v>
      </c>
      <c r="J429">
        <v>2.8224309999999999</v>
      </c>
      <c r="L429">
        <v>57.539810000000003</v>
      </c>
      <c r="M429">
        <v>48.86298</v>
      </c>
      <c r="O429">
        <v>33.22054</v>
      </c>
      <c r="R429">
        <v>49.479030000000002</v>
      </c>
      <c r="S429">
        <v>55.356119999999997</v>
      </c>
      <c r="U429">
        <v>49.044420000000002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30.413630000000001</v>
      </c>
      <c r="AH429">
        <v>52.591740000000001</v>
      </c>
      <c r="AJ429">
        <v>0.46460649999999998</v>
      </c>
      <c r="AK429">
        <v>55.700049999999997</v>
      </c>
      <c r="AL429">
        <v>42</v>
      </c>
      <c r="AM429">
        <v>27.9984</v>
      </c>
      <c r="AN429">
        <v>23.098189999999999</v>
      </c>
      <c r="AP429">
        <v>22.413650000000001</v>
      </c>
      <c r="AT429">
        <v>1.647899E-3</v>
      </c>
      <c r="AU429">
        <v>45.91413</v>
      </c>
      <c r="AV429">
        <v>4.3055790000000004E-3</v>
      </c>
      <c r="AW429">
        <v>44.089660000000002</v>
      </c>
      <c r="AX429">
        <v>8.3702989999999993</v>
      </c>
    </row>
    <row r="430" spans="1:50" x14ac:dyDescent="0.35">
      <c r="A430" s="75">
        <v>30926</v>
      </c>
      <c r="B430">
        <v>51.989170000000001</v>
      </c>
      <c r="C430">
        <v>53.09516</v>
      </c>
      <c r="D430">
        <v>8.9999999999999995E-9</v>
      </c>
      <c r="E430">
        <v>48.11694</v>
      </c>
      <c r="F430">
        <v>65.907359999999997</v>
      </c>
      <c r="G430">
        <v>8.1344589999999997</v>
      </c>
      <c r="I430">
        <v>2.1700119999999998</v>
      </c>
      <c r="J430">
        <v>2.8525480000000001</v>
      </c>
      <c r="L430">
        <v>57.605049999999999</v>
      </c>
      <c r="M430">
        <v>49.210760000000001</v>
      </c>
      <c r="O430">
        <v>33.28801</v>
      </c>
      <c r="R430">
        <v>49.787790000000001</v>
      </c>
      <c r="S430">
        <v>55.613430000000001</v>
      </c>
      <c r="U430">
        <v>49.329279999999997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30.767790000000002</v>
      </c>
      <c r="AH430">
        <v>52.644150000000003</v>
      </c>
      <c r="AJ430">
        <v>0.47844680000000001</v>
      </c>
      <c r="AK430">
        <v>55.928089999999997</v>
      </c>
      <c r="AL430">
        <v>42.3</v>
      </c>
      <c r="AM430">
        <v>28.204409999999999</v>
      </c>
      <c r="AN430">
        <v>23.213889999999999</v>
      </c>
      <c r="AP430">
        <v>22.48132</v>
      </c>
      <c r="AT430">
        <v>1.7274250000000001E-3</v>
      </c>
      <c r="AU430">
        <v>46.210920000000002</v>
      </c>
      <c r="AV430">
        <v>4.3947020000000003E-3</v>
      </c>
      <c r="AW430">
        <v>44.300620000000002</v>
      </c>
      <c r="AX430">
        <v>8.41629</v>
      </c>
    </row>
    <row r="431" spans="1:50" x14ac:dyDescent="0.35">
      <c r="A431" s="75">
        <v>30956</v>
      </c>
      <c r="B431">
        <v>52.08858</v>
      </c>
      <c r="C431">
        <v>53.341720000000002</v>
      </c>
      <c r="D431">
        <v>8.9999999999999995E-9</v>
      </c>
      <c r="E431">
        <v>48.27496</v>
      </c>
      <c r="F431">
        <v>66.324169999999995</v>
      </c>
      <c r="G431">
        <v>8.8005180000000003</v>
      </c>
      <c r="I431">
        <v>2.1863269999999999</v>
      </c>
      <c r="J431">
        <v>2.9213879999999999</v>
      </c>
      <c r="L431">
        <v>57.931229999999999</v>
      </c>
      <c r="M431">
        <v>49.419429999999998</v>
      </c>
      <c r="O431">
        <v>33.488810000000001</v>
      </c>
      <c r="R431">
        <v>50.019359999999999</v>
      </c>
      <c r="S431">
        <v>55.981000000000002</v>
      </c>
      <c r="U431">
        <v>49.560600000000001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30.612680000000001</v>
      </c>
      <c r="AH431">
        <v>53.053019999999997</v>
      </c>
      <c r="AJ431">
        <v>0.49516369999999998</v>
      </c>
      <c r="AK431">
        <v>56.327170000000002</v>
      </c>
      <c r="AL431">
        <v>42.5</v>
      </c>
      <c r="AM431">
        <v>28.425909999999998</v>
      </c>
      <c r="AN431">
        <v>23.429449999999999</v>
      </c>
      <c r="AP431">
        <v>22.669409999999999</v>
      </c>
      <c r="AT431">
        <v>1.8126889999999999E-3</v>
      </c>
      <c r="AU431">
        <v>46.437510000000003</v>
      </c>
      <c r="AV431">
        <v>4.5862660000000003E-3</v>
      </c>
      <c r="AW431">
        <v>44.427190000000003</v>
      </c>
      <c r="AX431">
        <v>8.5542619999999996</v>
      </c>
    </row>
    <row r="432" spans="1:50" x14ac:dyDescent="0.35">
      <c r="A432" s="75">
        <v>30987</v>
      </c>
      <c r="B432">
        <v>52.22775</v>
      </c>
      <c r="C432">
        <v>53.362850000000002</v>
      </c>
      <c r="D432">
        <v>1E-8</v>
      </c>
      <c r="E432">
        <v>48.511980000000001</v>
      </c>
      <c r="F432">
        <v>66.670389999999998</v>
      </c>
      <c r="G432">
        <v>8.9028279999999995</v>
      </c>
      <c r="I432">
        <v>2.2271169999999998</v>
      </c>
      <c r="J432">
        <v>2.968715</v>
      </c>
      <c r="L432">
        <v>57.996470000000002</v>
      </c>
      <c r="M432">
        <v>49.767200000000003</v>
      </c>
      <c r="O432">
        <v>33.660760000000003</v>
      </c>
      <c r="R432">
        <v>50.057960000000001</v>
      </c>
      <c r="S432">
        <v>56.16478</v>
      </c>
      <c r="U432">
        <v>49.598379999999999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30.546769999999999</v>
      </c>
      <c r="AH432">
        <v>53.19979</v>
      </c>
      <c r="AJ432">
        <v>0.51215739999999998</v>
      </c>
      <c r="AK432">
        <v>56.384180000000001</v>
      </c>
      <c r="AL432">
        <v>42.6</v>
      </c>
      <c r="AM432">
        <v>28.54655</v>
      </c>
      <c r="AN432">
        <v>23.577680000000001</v>
      </c>
      <c r="AP432">
        <v>23.02768</v>
      </c>
      <c r="AT432">
        <v>1.905332E-3</v>
      </c>
      <c r="AU432">
        <v>46.724730000000001</v>
      </c>
      <c r="AV432">
        <v>4.7629760000000004E-3</v>
      </c>
      <c r="AW432">
        <v>44.427190000000003</v>
      </c>
      <c r="AX432">
        <v>8.6462439999999994</v>
      </c>
    </row>
    <row r="433" spans="1:50" x14ac:dyDescent="0.35">
      <c r="A433" s="75">
        <v>31017</v>
      </c>
      <c r="B433">
        <v>52.267510000000001</v>
      </c>
      <c r="C433">
        <v>53.475569999999998</v>
      </c>
      <c r="D433">
        <v>1.2E-8</v>
      </c>
      <c r="E433">
        <v>48.511980000000001</v>
      </c>
      <c r="F433">
        <v>66.648949999999999</v>
      </c>
      <c r="G433">
        <v>9.0236830000000001</v>
      </c>
      <c r="I433">
        <v>2.276065</v>
      </c>
      <c r="J433">
        <v>3.022497</v>
      </c>
      <c r="L433">
        <v>58.061709999999998</v>
      </c>
      <c r="M433">
        <v>49.662869999999998</v>
      </c>
      <c r="O433">
        <v>33.888759999999998</v>
      </c>
      <c r="R433">
        <v>50.096550000000001</v>
      </c>
      <c r="S433">
        <v>56.27505</v>
      </c>
      <c r="U433">
        <v>49.650509999999997</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30.546769999999999</v>
      </c>
      <c r="AH433">
        <v>53.19979</v>
      </c>
      <c r="AJ433">
        <v>0.53390919999999997</v>
      </c>
      <c r="AK433">
        <v>56.327170000000002</v>
      </c>
      <c r="AL433">
        <v>42.8</v>
      </c>
      <c r="AM433">
        <v>28.677109999999999</v>
      </c>
      <c r="AN433">
        <v>23.67615</v>
      </c>
      <c r="AP433">
        <v>23.239660000000001</v>
      </c>
      <c r="AT433">
        <v>1.9914170000000001E-3</v>
      </c>
      <c r="AU433">
        <v>47.471510000000002</v>
      </c>
      <c r="AV433">
        <v>4.8515870000000001E-3</v>
      </c>
      <c r="AW433">
        <v>44.427190000000003</v>
      </c>
      <c r="AX433">
        <v>8.6922339999999991</v>
      </c>
    </row>
    <row r="434" spans="1:50" x14ac:dyDescent="0.35">
      <c r="A434" s="75">
        <v>31048</v>
      </c>
      <c r="B434">
        <v>52.685009999999998</v>
      </c>
      <c r="C434">
        <v>53.82076</v>
      </c>
      <c r="D434">
        <v>1.3000000000000001E-8</v>
      </c>
      <c r="E434">
        <v>48.749009999999998</v>
      </c>
      <c r="F434">
        <v>67.300510000000003</v>
      </c>
      <c r="G434">
        <v>9.3069140000000008</v>
      </c>
      <c r="I434">
        <v>2.3250120000000001</v>
      </c>
      <c r="J434">
        <v>3.131135</v>
      </c>
      <c r="L434">
        <v>58.387900000000002</v>
      </c>
      <c r="M434">
        <v>49.906320000000001</v>
      </c>
      <c r="O434">
        <v>34.519979999999997</v>
      </c>
      <c r="R434">
        <v>50.636879999999998</v>
      </c>
      <c r="S434">
        <v>56.569110000000002</v>
      </c>
      <c r="U434">
        <v>49.828200000000002</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30.626660000000001</v>
      </c>
      <c r="AH434">
        <v>53.362290000000002</v>
      </c>
      <c r="AJ434">
        <v>0.57351419999999997</v>
      </c>
      <c r="AK434">
        <v>56.270159999999997</v>
      </c>
      <c r="AL434">
        <v>43.1</v>
      </c>
      <c r="AM434">
        <v>28.938320000000001</v>
      </c>
      <c r="AN434">
        <v>23.933489999999999</v>
      </c>
      <c r="AP434">
        <v>24.31147</v>
      </c>
      <c r="AT434">
        <v>2.2365520000000002E-3</v>
      </c>
      <c r="AU434">
        <v>47.75235</v>
      </c>
      <c r="AV434">
        <v>5.122031E-3</v>
      </c>
      <c r="AW434">
        <v>44.511569999999999</v>
      </c>
      <c r="AX434">
        <v>8.7842160000000007</v>
      </c>
    </row>
    <row r="435" spans="1:50" x14ac:dyDescent="0.35">
      <c r="A435" s="75">
        <v>31079</v>
      </c>
      <c r="B435">
        <v>52.963349999999998</v>
      </c>
      <c r="C435">
        <v>54.377279999999999</v>
      </c>
      <c r="D435">
        <v>1.4999999999999999E-8</v>
      </c>
      <c r="E435">
        <v>49.065049999999999</v>
      </c>
      <c r="F435">
        <v>67.849530000000001</v>
      </c>
      <c r="G435">
        <v>9.4940020000000001</v>
      </c>
      <c r="I435">
        <v>2.398434</v>
      </c>
      <c r="J435">
        <v>3.121454</v>
      </c>
      <c r="L435">
        <v>58.648850000000003</v>
      </c>
      <c r="M435">
        <v>50.219320000000003</v>
      </c>
      <c r="O435">
        <v>34.770290000000003</v>
      </c>
      <c r="R435">
        <v>50.791739999999997</v>
      </c>
      <c r="S435">
        <v>56.863169999999997</v>
      </c>
      <c r="U435">
        <v>50.050919999999998</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30.844349999999999</v>
      </c>
      <c r="AH435">
        <v>53.692529999999998</v>
      </c>
      <c r="AJ435">
        <v>0.59734050000000005</v>
      </c>
      <c r="AK435">
        <v>56.441189999999999</v>
      </c>
      <c r="AL435">
        <v>43.2</v>
      </c>
      <c r="AM435">
        <v>29.14263</v>
      </c>
      <c r="AN435">
        <v>24.13804</v>
      </c>
      <c r="AP435">
        <v>24.950389999999999</v>
      </c>
      <c r="AT435">
        <v>2.3005E-3</v>
      </c>
      <c r="AU435">
        <v>48.173609999999996</v>
      </c>
      <c r="AV435">
        <v>5.2910570000000001E-3</v>
      </c>
      <c r="AW435">
        <v>44.722529999999999</v>
      </c>
      <c r="AX435">
        <v>9.1061510000000006</v>
      </c>
    </row>
    <row r="436" spans="1:50" x14ac:dyDescent="0.35">
      <c r="A436" s="75">
        <v>31107</v>
      </c>
      <c r="B436">
        <v>53.241680000000002</v>
      </c>
      <c r="C436">
        <v>54.814039999999999</v>
      </c>
      <c r="D436">
        <v>1.6000000000000001E-8</v>
      </c>
      <c r="E436">
        <v>49.144060000000003</v>
      </c>
      <c r="F436">
        <v>68.226939999999999</v>
      </c>
      <c r="G436">
        <v>9.7609220000000008</v>
      </c>
      <c r="I436">
        <v>2.4718550000000001</v>
      </c>
      <c r="J436">
        <v>3.1494200000000001</v>
      </c>
      <c r="L436">
        <v>58.844560000000001</v>
      </c>
      <c r="M436">
        <v>50.601880000000001</v>
      </c>
      <c r="O436">
        <v>34.98686</v>
      </c>
      <c r="R436">
        <v>51.25629</v>
      </c>
      <c r="S436">
        <v>57.267490000000002</v>
      </c>
      <c r="U436">
        <v>50.282080000000001</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30.875640000000001</v>
      </c>
      <c r="AH436">
        <v>53.975589999999997</v>
      </c>
      <c r="AJ436">
        <v>0.62048720000000002</v>
      </c>
      <c r="AK436">
        <v>56.840269999999997</v>
      </c>
      <c r="AL436">
        <v>43.7</v>
      </c>
      <c r="AM436">
        <v>29.363240000000001</v>
      </c>
      <c r="AN436">
        <v>24.369389999999999</v>
      </c>
      <c r="AP436">
        <v>25.334530000000001</v>
      </c>
      <c r="AT436">
        <v>2.4620110000000001E-3</v>
      </c>
      <c r="AU436">
        <v>48.543810000000001</v>
      </c>
      <c r="AV436">
        <v>5.5440860000000002E-3</v>
      </c>
      <c r="AW436">
        <v>44.891300000000001</v>
      </c>
      <c r="AX436">
        <v>9.1061510000000006</v>
      </c>
    </row>
    <row r="437" spans="1:50" x14ac:dyDescent="0.35">
      <c r="A437" s="75">
        <v>31138</v>
      </c>
      <c r="B437">
        <v>53.341090000000001</v>
      </c>
      <c r="C437">
        <v>55.032420000000002</v>
      </c>
      <c r="D437">
        <v>1.7E-8</v>
      </c>
      <c r="E437">
        <v>49.38109</v>
      </c>
      <c r="F437">
        <v>68.143739999999994</v>
      </c>
      <c r="G437">
        <v>9.9835910000000005</v>
      </c>
      <c r="I437">
        <v>2.5371190000000001</v>
      </c>
      <c r="J437">
        <v>3.1494200000000001</v>
      </c>
      <c r="L437">
        <v>58.909799999999997</v>
      </c>
      <c r="M437">
        <v>50.775759999999998</v>
      </c>
      <c r="O437">
        <v>35.347630000000002</v>
      </c>
      <c r="R437">
        <v>51.566000000000003</v>
      </c>
      <c r="S437">
        <v>57.671819999999997</v>
      </c>
      <c r="U437">
        <v>50.590539999999997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30.906929999999999</v>
      </c>
      <c r="AH437">
        <v>54.447360000000003</v>
      </c>
      <c r="AJ437">
        <v>0.63958000000000004</v>
      </c>
      <c r="AK437">
        <v>57.06832</v>
      </c>
      <c r="AL437">
        <v>43.9</v>
      </c>
      <c r="AM437">
        <v>29.59291</v>
      </c>
      <c r="AN437">
        <v>24.55311</v>
      </c>
      <c r="AP437">
        <v>25.614180000000001</v>
      </c>
      <c r="AT437">
        <v>2.5948270000000001E-3</v>
      </c>
      <c r="AU437">
        <v>48.738480000000003</v>
      </c>
      <c r="AV437">
        <v>5.5901839999999998E-3</v>
      </c>
      <c r="AW437">
        <v>45.102249999999998</v>
      </c>
      <c r="AX437">
        <v>9.3361029999999996</v>
      </c>
    </row>
    <row r="438" spans="1:50" x14ac:dyDescent="0.35">
      <c r="A438" s="75">
        <v>31168</v>
      </c>
      <c r="B438">
        <v>53.201920000000001</v>
      </c>
      <c r="C438">
        <v>55.08878</v>
      </c>
      <c r="D438">
        <v>1.9000000000000001E-8</v>
      </c>
      <c r="E438">
        <v>49.539110000000001</v>
      </c>
      <c r="F438">
        <v>68.096419999999995</v>
      </c>
      <c r="G438">
        <v>10.184760000000001</v>
      </c>
      <c r="I438">
        <v>2.6594880000000001</v>
      </c>
      <c r="J438">
        <v>3.1558739999999998</v>
      </c>
      <c r="L438">
        <v>58.909799999999997</v>
      </c>
      <c r="M438">
        <v>51.123550000000002</v>
      </c>
      <c r="O438">
        <v>35.458640000000003</v>
      </c>
      <c r="R438">
        <v>51.669240000000002</v>
      </c>
      <c r="S438">
        <v>57.965879999999999</v>
      </c>
      <c r="U438">
        <v>50.75985</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31.12529</v>
      </c>
      <c r="AH438">
        <v>54.515500000000003</v>
      </c>
      <c r="AJ438">
        <v>0.65473170000000003</v>
      </c>
      <c r="AK438">
        <v>57.125329999999998</v>
      </c>
      <c r="AL438">
        <v>44</v>
      </c>
      <c r="AM438">
        <v>29.734749999999998</v>
      </c>
      <c r="AN438">
        <v>24.667059999999999</v>
      </c>
      <c r="AP438">
        <v>25.694790000000001</v>
      </c>
      <c r="AT438">
        <v>2.6423779999999999E-3</v>
      </c>
      <c r="AU438">
        <v>49.290590000000002</v>
      </c>
      <c r="AV438">
        <v>5.7243809999999997E-3</v>
      </c>
      <c r="AW438">
        <v>45.27102</v>
      </c>
      <c r="AX438">
        <v>9.4280840000000001</v>
      </c>
    </row>
    <row r="439" spans="1:50" x14ac:dyDescent="0.35">
      <c r="A439" s="75">
        <v>31199</v>
      </c>
      <c r="B439">
        <v>53.380850000000002</v>
      </c>
      <c r="C439">
        <v>55.095829999999999</v>
      </c>
      <c r="D439">
        <v>2E-8</v>
      </c>
      <c r="E439">
        <v>49.776139999999998</v>
      </c>
      <c r="F439">
        <v>68.062839999999994</v>
      </c>
      <c r="G439">
        <v>10.55993</v>
      </c>
      <c r="I439">
        <v>2.7084350000000001</v>
      </c>
      <c r="J439">
        <v>3.1913689999999999</v>
      </c>
      <c r="L439">
        <v>58.909799999999997</v>
      </c>
      <c r="M439">
        <v>51.123550000000002</v>
      </c>
      <c r="O439">
        <v>35.398240000000001</v>
      </c>
      <c r="R439">
        <v>51.772469999999998</v>
      </c>
      <c r="S439">
        <v>58.186419999999998</v>
      </c>
      <c r="U439">
        <v>50.884810000000002</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31.155909999999999</v>
      </c>
      <c r="AH439">
        <v>54.630830000000003</v>
      </c>
      <c r="AJ439">
        <v>0.67112939999999999</v>
      </c>
      <c r="AK439">
        <v>57.06832</v>
      </c>
      <c r="AL439">
        <v>44.3</v>
      </c>
      <c r="AM439">
        <v>29.82996</v>
      </c>
      <c r="AN439">
        <v>24.71003</v>
      </c>
      <c r="AP439">
        <v>25.732600000000001</v>
      </c>
      <c r="AT439">
        <v>2.700587E-3</v>
      </c>
      <c r="AU439">
        <v>49.127830000000003</v>
      </c>
      <c r="AV439">
        <v>5.680844E-3</v>
      </c>
      <c r="AW439">
        <v>45.397590000000001</v>
      </c>
      <c r="AX439">
        <v>9.5660570000000007</v>
      </c>
    </row>
    <row r="440" spans="1:50" x14ac:dyDescent="0.35">
      <c r="A440" s="75">
        <v>31229</v>
      </c>
      <c r="B440">
        <v>53.420610000000003</v>
      </c>
      <c r="C440">
        <v>55.39875</v>
      </c>
      <c r="D440">
        <v>2.1999999999999998E-8</v>
      </c>
      <c r="E440">
        <v>50.013170000000002</v>
      </c>
      <c r="F440">
        <v>67.917500000000004</v>
      </c>
      <c r="G440">
        <v>10.696350000000001</v>
      </c>
      <c r="I440">
        <v>2.6921189999999999</v>
      </c>
      <c r="J440">
        <v>3.2311670000000001</v>
      </c>
      <c r="L440">
        <v>58.909799999999997</v>
      </c>
      <c r="M440">
        <v>50.914879999999997</v>
      </c>
      <c r="O440">
        <v>35.599580000000003</v>
      </c>
      <c r="R440">
        <v>51.720849999999999</v>
      </c>
      <c r="S440">
        <v>58.406959999999998</v>
      </c>
      <c r="U440">
        <v>50.972209999999997</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31.155909999999999</v>
      </c>
      <c r="AH440">
        <v>54.919130000000003</v>
      </c>
      <c r="AJ440">
        <v>0.69450210000000001</v>
      </c>
      <c r="AK440">
        <v>56.95429</v>
      </c>
      <c r="AL440">
        <v>44.5</v>
      </c>
      <c r="AM440">
        <v>29.95251</v>
      </c>
      <c r="AN440">
        <v>24.75217</v>
      </c>
      <c r="AP440">
        <v>25.818190000000001</v>
      </c>
      <c r="AT440">
        <v>2.8571790000000001E-3</v>
      </c>
      <c r="AU440">
        <v>49.095910000000003</v>
      </c>
      <c r="AV440">
        <v>5.7617720000000001E-3</v>
      </c>
      <c r="AW440">
        <v>45.481969999999997</v>
      </c>
      <c r="AX440">
        <v>9.6120470000000005</v>
      </c>
    </row>
    <row r="441" spans="1:50" x14ac:dyDescent="0.35">
      <c r="A441" s="75">
        <v>31260</v>
      </c>
      <c r="B441">
        <v>53.460380000000001</v>
      </c>
      <c r="C441">
        <v>55.39875</v>
      </c>
      <c r="D441">
        <v>2.4999999999999999E-8</v>
      </c>
      <c r="E441">
        <v>50.013170000000002</v>
      </c>
      <c r="F441">
        <v>67.902850000000001</v>
      </c>
      <c r="G441">
        <v>10.79125</v>
      </c>
      <c r="I441">
        <v>2.6758039999999998</v>
      </c>
      <c r="J441">
        <v>3.2333189999999998</v>
      </c>
      <c r="L441">
        <v>58.714089999999999</v>
      </c>
      <c r="M441">
        <v>50.845320000000001</v>
      </c>
      <c r="O441">
        <v>35.652900000000002</v>
      </c>
      <c r="R441">
        <v>51.772469999999998</v>
      </c>
      <c r="S441">
        <v>58.48048</v>
      </c>
      <c r="U441">
        <v>51.006880000000002</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31.218489999999999</v>
      </c>
      <c r="AH441">
        <v>54.719940000000001</v>
      </c>
      <c r="AJ441">
        <v>0.72486450000000002</v>
      </c>
      <c r="AK441">
        <v>56.95429</v>
      </c>
      <c r="AL441">
        <v>44.3</v>
      </c>
      <c r="AM441">
        <v>30.061309999999999</v>
      </c>
      <c r="AN441">
        <v>24.80076</v>
      </c>
      <c r="AP441">
        <v>26.018219999999999</v>
      </c>
      <c r="AT441">
        <v>2.9080099999999999E-3</v>
      </c>
      <c r="AU441">
        <v>49.076770000000003</v>
      </c>
      <c r="AV441">
        <v>5.9108229999999999E-3</v>
      </c>
      <c r="AW441">
        <v>45.56635</v>
      </c>
      <c r="AX441">
        <v>9.7040290000000002</v>
      </c>
    </row>
    <row r="442" spans="1:50" x14ac:dyDescent="0.35">
      <c r="A442" s="75">
        <v>31291</v>
      </c>
      <c r="B442">
        <v>53.480260000000001</v>
      </c>
      <c r="C442">
        <v>55.51146</v>
      </c>
      <c r="D442">
        <v>2.7999999999999999E-8</v>
      </c>
      <c r="E442">
        <v>50.092179999999999</v>
      </c>
      <c r="F442">
        <v>68.112260000000006</v>
      </c>
      <c r="G442">
        <v>10.92249</v>
      </c>
      <c r="I442">
        <v>2.7002769999999998</v>
      </c>
      <c r="J442">
        <v>3.267738</v>
      </c>
      <c r="L442">
        <v>58.779330000000002</v>
      </c>
      <c r="M442">
        <v>51.123550000000002</v>
      </c>
      <c r="O442">
        <v>36.044150000000002</v>
      </c>
      <c r="R442">
        <v>51.978940000000001</v>
      </c>
      <c r="S442">
        <v>58.553989999999999</v>
      </c>
      <c r="U442">
        <v>51.11956</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31.561340000000001</v>
      </c>
      <c r="AH442">
        <v>54.714689999999997</v>
      </c>
      <c r="AJ442">
        <v>0.75381390000000004</v>
      </c>
      <c r="AK442">
        <v>57.239350000000002</v>
      </c>
      <c r="AL442">
        <v>44.8</v>
      </c>
      <c r="AM442">
        <v>30.2498</v>
      </c>
      <c r="AN442">
        <v>24.965879999999999</v>
      </c>
      <c r="AP442">
        <v>26.048079999999999</v>
      </c>
      <c r="AT442">
        <v>3.0154100000000001E-3</v>
      </c>
      <c r="AU442">
        <v>49.293779999999998</v>
      </c>
      <c r="AV442">
        <v>6.1915099999999999E-3</v>
      </c>
      <c r="AW442">
        <v>45.692920000000001</v>
      </c>
      <c r="AX442">
        <v>9.8420009999999998</v>
      </c>
    </row>
    <row r="443" spans="1:50" x14ac:dyDescent="0.35">
      <c r="A443" s="75">
        <v>31321</v>
      </c>
      <c r="B443">
        <v>53.480260000000001</v>
      </c>
      <c r="C443">
        <v>55.483280000000001</v>
      </c>
      <c r="D443">
        <v>3.1E-8</v>
      </c>
      <c r="E443">
        <v>50.2502</v>
      </c>
      <c r="F443">
        <v>68.281769999999995</v>
      </c>
      <c r="G443">
        <v>11.08708</v>
      </c>
      <c r="I443">
        <v>2.7247509999999999</v>
      </c>
      <c r="J443">
        <v>3.2914020000000002</v>
      </c>
      <c r="L443">
        <v>58.844560000000001</v>
      </c>
      <c r="M443">
        <v>51.262659999999997</v>
      </c>
      <c r="O443">
        <v>36.229709999999997</v>
      </c>
      <c r="R443">
        <v>52.030560000000001</v>
      </c>
      <c r="S443">
        <v>58.737769999999998</v>
      </c>
      <c r="U443">
        <v>51.350189999999998</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31.654540000000001</v>
      </c>
      <c r="AH443">
        <v>55.175980000000003</v>
      </c>
      <c r="AJ443">
        <v>0.7824489</v>
      </c>
      <c r="AK443">
        <v>57.41039</v>
      </c>
      <c r="AL443">
        <v>44.9</v>
      </c>
      <c r="AM443">
        <v>30.50433</v>
      </c>
      <c r="AN443">
        <v>25.170570000000001</v>
      </c>
      <c r="AP443">
        <v>26.30583</v>
      </c>
      <c r="AT443">
        <v>3.4294339999999999E-3</v>
      </c>
      <c r="AU443">
        <v>49.612920000000003</v>
      </c>
      <c r="AV443">
        <v>6.5792480000000002E-3</v>
      </c>
      <c r="AW443">
        <v>45.861690000000003</v>
      </c>
      <c r="AX443">
        <v>9.9799729999999993</v>
      </c>
    </row>
    <row r="444" spans="1:50" x14ac:dyDescent="0.35">
      <c r="A444" s="75">
        <v>31352</v>
      </c>
      <c r="B444">
        <v>53.599539999999998</v>
      </c>
      <c r="C444">
        <v>55.610080000000004</v>
      </c>
      <c r="D444">
        <v>3.5000000000000002E-8</v>
      </c>
      <c r="E444">
        <v>50.40822</v>
      </c>
      <c r="F444">
        <v>68.764629999999997</v>
      </c>
      <c r="G444">
        <v>11.264530000000001</v>
      </c>
      <c r="I444">
        <v>2.749225</v>
      </c>
      <c r="J444">
        <v>3.3053849999999998</v>
      </c>
      <c r="L444">
        <v>58.909799999999997</v>
      </c>
      <c r="M444">
        <v>51.471319999999999</v>
      </c>
      <c r="O444">
        <v>36.508859999999999</v>
      </c>
      <c r="R444">
        <v>52.030560000000001</v>
      </c>
      <c r="S444">
        <v>58.848050000000001</v>
      </c>
      <c r="U444">
        <v>51.425600000000003</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31.28107</v>
      </c>
      <c r="AH444">
        <v>55.312269999999998</v>
      </c>
      <c r="AJ444">
        <v>0.81854839999999995</v>
      </c>
      <c r="AK444">
        <v>57.41039</v>
      </c>
      <c r="AL444">
        <v>45</v>
      </c>
      <c r="AM444">
        <v>30.68018</v>
      </c>
      <c r="AN444">
        <v>25.353269999999998</v>
      </c>
      <c r="AP444">
        <v>26.71386</v>
      </c>
      <c r="AT444">
        <v>3.5720880000000002E-3</v>
      </c>
      <c r="AU444">
        <v>49.938429999999997</v>
      </c>
      <c r="AV444">
        <v>6.8845210000000002E-3</v>
      </c>
      <c r="AW444">
        <v>45.988259999999997</v>
      </c>
      <c r="AX444">
        <v>10.117940000000001</v>
      </c>
    </row>
    <row r="445" spans="1:50" x14ac:dyDescent="0.35">
      <c r="A445" s="75">
        <v>31382</v>
      </c>
      <c r="B445">
        <v>53.738709999999998</v>
      </c>
      <c r="C445">
        <v>55.631219999999999</v>
      </c>
      <c r="D445">
        <v>4.0000000000000001E-8</v>
      </c>
      <c r="E445">
        <v>50.645240000000001</v>
      </c>
      <c r="F445">
        <v>68.807130000000001</v>
      </c>
      <c r="G445">
        <v>11.40738</v>
      </c>
      <c r="I445">
        <v>2.7900149999999999</v>
      </c>
      <c r="J445">
        <v>3.3527119999999999</v>
      </c>
      <c r="L445">
        <v>58.97504</v>
      </c>
      <c r="M445">
        <v>51.436549999999997</v>
      </c>
      <c r="O445">
        <v>36.660130000000002</v>
      </c>
      <c r="R445">
        <v>52.133789999999998</v>
      </c>
      <c r="S445">
        <v>58.921559999999999</v>
      </c>
      <c r="U445">
        <v>51.551859999999998</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31.467469999999999</v>
      </c>
      <c r="AH445">
        <v>55.401380000000003</v>
      </c>
      <c r="AJ445">
        <v>0.87427290000000002</v>
      </c>
      <c r="AK445">
        <v>57.239350000000002</v>
      </c>
      <c r="AL445">
        <v>45.2</v>
      </c>
      <c r="AM445">
        <v>30.903040000000001</v>
      </c>
      <c r="AN445">
        <v>25.458349999999999</v>
      </c>
      <c r="AP445">
        <v>27.15174</v>
      </c>
      <c r="AT445">
        <v>3.7213010000000002E-3</v>
      </c>
      <c r="AU445">
        <v>50.142679999999999</v>
      </c>
      <c r="AV445">
        <v>6.9956690000000004E-3</v>
      </c>
      <c r="AW445">
        <v>46.114829999999998</v>
      </c>
      <c r="AX445">
        <v>10.301909999999999</v>
      </c>
    </row>
    <row r="446" spans="1:50" x14ac:dyDescent="0.35">
      <c r="A446" s="75">
        <v>31413</v>
      </c>
      <c r="B446">
        <v>54.215859999999999</v>
      </c>
      <c r="C446">
        <v>55.69462</v>
      </c>
      <c r="D446">
        <v>4.6000000000000002E-8</v>
      </c>
      <c r="E446">
        <v>50.882269999999998</v>
      </c>
      <c r="F446">
        <v>68.777850000000001</v>
      </c>
      <c r="G446">
        <v>11.713089999999999</v>
      </c>
      <c r="I446">
        <v>2.871594</v>
      </c>
      <c r="J446">
        <v>3.3753000000000002</v>
      </c>
      <c r="L446">
        <v>59.170749999999998</v>
      </c>
      <c r="M446">
        <v>51.297440000000002</v>
      </c>
      <c r="O446">
        <v>37.714149999999997</v>
      </c>
      <c r="R446">
        <v>52.49512</v>
      </c>
      <c r="S446">
        <v>58.958320000000001</v>
      </c>
      <c r="U446">
        <v>51.70438</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31.74841</v>
      </c>
      <c r="AH446">
        <v>55.301780000000001</v>
      </c>
      <c r="AJ446">
        <v>0.9515673</v>
      </c>
      <c r="AK446">
        <v>57.011310000000002</v>
      </c>
      <c r="AL446">
        <v>45.6</v>
      </c>
      <c r="AM446">
        <v>31.176310000000001</v>
      </c>
      <c r="AN446">
        <v>25.640599999999999</v>
      </c>
      <c r="AP446">
        <v>27.8643</v>
      </c>
      <c r="AT446">
        <v>4.0320249999999998E-3</v>
      </c>
      <c r="AU446">
        <v>50.707549999999998</v>
      </c>
      <c r="AV446">
        <v>7.219502E-3</v>
      </c>
      <c r="AW446">
        <v>46.241410000000002</v>
      </c>
      <c r="AX446">
        <v>10.62384</v>
      </c>
    </row>
    <row r="447" spans="1:50" x14ac:dyDescent="0.35">
      <c r="A447" s="75">
        <v>31444</v>
      </c>
      <c r="B447">
        <v>54.295380000000002</v>
      </c>
      <c r="C447">
        <v>55.736890000000002</v>
      </c>
      <c r="D447">
        <v>5.2000000000000002E-8</v>
      </c>
      <c r="E447">
        <v>51.119300000000003</v>
      </c>
      <c r="F447">
        <v>68.760919999999999</v>
      </c>
      <c r="G447">
        <v>11.819129999999999</v>
      </c>
      <c r="I447">
        <v>2.9613309999999999</v>
      </c>
      <c r="J447">
        <v>3.3828299999999998</v>
      </c>
      <c r="L447">
        <v>59.105510000000002</v>
      </c>
      <c r="M447">
        <v>51.262659999999997</v>
      </c>
      <c r="O447">
        <v>37.882300000000001</v>
      </c>
      <c r="R447">
        <v>52.701590000000003</v>
      </c>
      <c r="S447">
        <v>58.81129</v>
      </c>
      <c r="U447">
        <v>51.64902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31.934809999999999</v>
      </c>
      <c r="AH447">
        <v>55.07114</v>
      </c>
      <c r="AJ447">
        <v>0.99387230000000004</v>
      </c>
      <c r="AK447">
        <v>57.125329999999998</v>
      </c>
      <c r="AL447">
        <v>45.8</v>
      </c>
      <c r="AM447">
        <v>31.23695</v>
      </c>
      <c r="AN447">
        <v>25.694510000000001</v>
      </c>
      <c r="AP447">
        <v>28.22655</v>
      </c>
      <c r="AT447">
        <v>4.2558439999999999E-3</v>
      </c>
      <c r="AU447">
        <v>50.739460000000001</v>
      </c>
      <c r="AV447">
        <v>7.3449910000000004E-3</v>
      </c>
      <c r="AW447">
        <v>46.114829999999998</v>
      </c>
      <c r="AX447">
        <v>10.715820000000001</v>
      </c>
    </row>
    <row r="448" spans="1:50" x14ac:dyDescent="0.35">
      <c r="A448" s="75">
        <v>31472</v>
      </c>
      <c r="B448">
        <v>54.195979999999999</v>
      </c>
      <c r="C448">
        <v>55.652349999999998</v>
      </c>
      <c r="D448">
        <v>5.4E-8</v>
      </c>
      <c r="E448">
        <v>51.277320000000003</v>
      </c>
      <c r="F448">
        <v>68.84572</v>
      </c>
      <c r="G448">
        <v>11.99657</v>
      </c>
      <c r="I448">
        <v>3.0347529999999998</v>
      </c>
      <c r="J448">
        <v>3.412947</v>
      </c>
      <c r="L448">
        <v>58.909799999999997</v>
      </c>
      <c r="M448">
        <v>51.471319999999999</v>
      </c>
      <c r="O448">
        <v>38.010170000000002</v>
      </c>
      <c r="R448">
        <v>52.701590000000003</v>
      </c>
      <c r="S448">
        <v>58.958320000000001</v>
      </c>
      <c r="U448">
        <v>51.542659999999998</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31.997389999999999</v>
      </c>
      <c r="AH448">
        <v>54.788080000000001</v>
      </c>
      <c r="AJ448">
        <v>1.040068</v>
      </c>
      <c r="AK448">
        <v>57.125329999999998</v>
      </c>
      <c r="AL448">
        <v>46.1</v>
      </c>
      <c r="AM448">
        <v>31.280999999999999</v>
      </c>
      <c r="AN448">
        <v>25.754280000000001</v>
      </c>
      <c r="AP448">
        <v>28.55198</v>
      </c>
      <c r="AT448">
        <v>4.5198360000000002E-3</v>
      </c>
      <c r="AU448">
        <v>50.653300000000002</v>
      </c>
      <c r="AV448">
        <v>7.4407739999999998E-3</v>
      </c>
      <c r="AW448">
        <v>45.903880000000001</v>
      </c>
      <c r="AX448">
        <v>10.8538</v>
      </c>
    </row>
    <row r="449" spans="1:50" x14ac:dyDescent="0.35">
      <c r="A449" s="75">
        <v>31503</v>
      </c>
      <c r="B449">
        <v>54.076689999999999</v>
      </c>
      <c r="C449">
        <v>55.82846</v>
      </c>
      <c r="D449">
        <v>5.5000000000000003E-8</v>
      </c>
      <c r="E449">
        <v>51.277320000000003</v>
      </c>
      <c r="F449">
        <v>68.808030000000002</v>
      </c>
      <c r="G449">
        <v>12.16315</v>
      </c>
      <c r="I449">
        <v>3.1163319999999999</v>
      </c>
      <c r="J449">
        <v>3.4355349999999998</v>
      </c>
      <c r="L449">
        <v>58.909799999999997</v>
      </c>
      <c r="M449">
        <v>52.792879999999997</v>
      </c>
      <c r="O449">
        <v>38.102679999999999</v>
      </c>
      <c r="R449">
        <v>52.908059999999999</v>
      </c>
      <c r="S449">
        <v>59.17886</v>
      </c>
      <c r="U449">
        <v>51.578290000000003</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31.966100000000001</v>
      </c>
      <c r="AH449">
        <v>54.725180000000002</v>
      </c>
      <c r="AJ449">
        <v>1.094368</v>
      </c>
      <c r="AK449">
        <v>57.29636</v>
      </c>
      <c r="AL449">
        <v>46.4</v>
      </c>
      <c r="AM449">
        <v>31.41423</v>
      </c>
      <c r="AN449">
        <v>25.85595</v>
      </c>
      <c r="AP449">
        <v>28.9192</v>
      </c>
      <c r="AT449">
        <v>4.8592540000000004E-3</v>
      </c>
      <c r="AU449">
        <v>50.962859999999999</v>
      </c>
      <c r="AV449">
        <v>7.4689450000000003E-3</v>
      </c>
      <c r="AW449">
        <v>45.819499999999998</v>
      </c>
      <c r="AX449">
        <v>11.03776</v>
      </c>
    </row>
    <row r="450" spans="1:50" x14ac:dyDescent="0.35">
      <c r="A450" s="75">
        <v>31533</v>
      </c>
      <c r="B450">
        <v>54.017049999999998</v>
      </c>
      <c r="C450">
        <v>55.701659999999997</v>
      </c>
      <c r="D450">
        <v>5.5000000000000003E-8</v>
      </c>
      <c r="E450">
        <v>51.593359999999997</v>
      </c>
      <c r="F450">
        <v>68.598330000000004</v>
      </c>
      <c r="G450">
        <v>12.249890000000001</v>
      </c>
      <c r="I450">
        <v>3.0918580000000002</v>
      </c>
      <c r="J450">
        <v>3.4645769999999998</v>
      </c>
      <c r="L450">
        <v>58.909799999999997</v>
      </c>
      <c r="M450">
        <v>53.175440000000002</v>
      </c>
      <c r="O450">
        <v>38.20879</v>
      </c>
      <c r="R450">
        <v>52.804819999999999</v>
      </c>
      <c r="S450">
        <v>59.325890000000001</v>
      </c>
      <c r="U450">
        <v>51.709859999999999</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32.15316</v>
      </c>
      <c r="AH450">
        <v>54.730420000000002</v>
      </c>
      <c r="AJ450">
        <v>1.1551819999999999</v>
      </c>
      <c r="AK450">
        <v>57.29636</v>
      </c>
      <c r="AL450">
        <v>46.5</v>
      </c>
      <c r="AM450">
        <v>31.587209999999999</v>
      </c>
      <c r="AN450">
        <v>25.919160000000002</v>
      </c>
      <c r="AP450">
        <v>28.788830000000001</v>
      </c>
      <c r="AT450">
        <v>5.174896E-3</v>
      </c>
      <c r="AU450">
        <v>50.959670000000003</v>
      </c>
      <c r="AV450">
        <v>7.6108249999999999E-3</v>
      </c>
      <c r="AW450">
        <v>45.946069999999999</v>
      </c>
      <c r="AX450">
        <v>11.03776</v>
      </c>
    </row>
    <row r="451" spans="1:50" x14ac:dyDescent="0.35">
      <c r="A451" s="75">
        <v>31564</v>
      </c>
      <c r="B451">
        <v>54.195979999999999</v>
      </c>
      <c r="C451">
        <v>55.772109999999998</v>
      </c>
      <c r="D451">
        <v>5.5999999999999999E-8</v>
      </c>
      <c r="E451">
        <v>51.672370000000001</v>
      </c>
      <c r="F451">
        <v>68.584590000000006</v>
      </c>
      <c r="G451">
        <v>12.413489999999999</v>
      </c>
      <c r="I451">
        <v>3.0673840000000001</v>
      </c>
      <c r="J451">
        <v>3.562459</v>
      </c>
      <c r="L451">
        <v>58.909799999999997</v>
      </c>
      <c r="M451">
        <v>53.105890000000002</v>
      </c>
      <c r="O451">
        <v>38.55977</v>
      </c>
      <c r="R451">
        <v>53.114530000000002</v>
      </c>
      <c r="S451">
        <v>59.50967</v>
      </c>
      <c r="U451">
        <v>51.839309999999998</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32.090589999999999</v>
      </c>
      <c r="AH451">
        <v>54.693730000000002</v>
      </c>
      <c r="AJ451">
        <v>1.229333</v>
      </c>
      <c r="AK451">
        <v>57.06832</v>
      </c>
      <c r="AL451">
        <v>47.3</v>
      </c>
      <c r="AM451">
        <v>31.794650000000001</v>
      </c>
      <c r="AN451">
        <v>26.009</v>
      </c>
      <c r="AP451">
        <v>28.880389999999998</v>
      </c>
      <c r="AT451">
        <v>5.458564E-3</v>
      </c>
      <c r="AU451">
        <v>50.962859999999999</v>
      </c>
      <c r="AV451">
        <v>7.7926569999999997E-3</v>
      </c>
      <c r="AW451">
        <v>46.199219999999997</v>
      </c>
      <c r="AX451">
        <v>11.17573</v>
      </c>
    </row>
    <row r="452" spans="1:50" x14ac:dyDescent="0.35">
      <c r="A452" s="75">
        <v>31594</v>
      </c>
      <c r="B452">
        <v>54.215859999999999</v>
      </c>
      <c r="C452">
        <v>55.772109999999998</v>
      </c>
      <c r="D452">
        <v>5.7000000000000001E-8</v>
      </c>
      <c r="E452">
        <v>52.067419999999998</v>
      </c>
      <c r="F452">
        <v>68.260620000000003</v>
      </c>
      <c r="G452">
        <v>12.53683</v>
      </c>
      <c r="I452">
        <v>3.0673840000000001</v>
      </c>
      <c r="J452">
        <v>3.663567</v>
      </c>
      <c r="L452">
        <v>58.714089999999999</v>
      </c>
      <c r="M452">
        <v>52.758110000000002</v>
      </c>
      <c r="O452">
        <v>38.945030000000003</v>
      </c>
      <c r="R452">
        <v>53.114530000000002</v>
      </c>
      <c r="S452">
        <v>59.583190000000002</v>
      </c>
      <c r="U452">
        <v>51.813139999999997</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32.121879999999997</v>
      </c>
      <c r="AH452">
        <v>54.59413</v>
      </c>
      <c r="AJ452">
        <v>1.290672</v>
      </c>
      <c r="AK452">
        <v>56.612220000000001</v>
      </c>
      <c r="AL452">
        <v>47.8</v>
      </c>
      <c r="AM452">
        <v>31.910679999999999</v>
      </c>
      <c r="AN452">
        <v>26.01652</v>
      </c>
      <c r="AP452">
        <v>28.878399999999999</v>
      </c>
      <c r="AT452">
        <v>5.5708839999999999E-3</v>
      </c>
      <c r="AU452">
        <v>51.080939999999998</v>
      </c>
      <c r="AV452">
        <v>7.9386349999999994E-3</v>
      </c>
      <c r="AW452">
        <v>46.199219999999997</v>
      </c>
      <c r="AX452">
        <v>11.40568</v>
      </c>
    </row>
    <row r="453" spans="1:50" x14ac:dyDescent="0.35">
      <c r="A453" s="75">
        <v>31625</v>
      </c>
      <c r="B453">
        <v>54.355029999999999</v>
      </c>
      <c r="C453">
        <v>55.821420000000003</v>
      </c>
      <c r="D453">
        <v>5.8999999999999999E-8</v>
      </c>
      <c r="E453">
        <v>52.146430000000002</v>
      </c>
      <c r="F453">
        <v>68.392229999999998</v>
      </c>
      <c r="G453">
        <v>12.61591</v>
      </c>
      <c r="I453">
        <v>3.108174</v>
      </c>
      <c r="J453">
        <v>3.6915330000000002</v>
      </c>
      <c r="L453">
        <v>58.518380000000001</v>
      </c>
      <c r="M453">
        <v>53.03633</v>
      </c>
      <c r="O453">
        <v>39.055489999999999</v>
      </c>
      <c r="R453">
        <v>53.269379999999998</v>
      </c>
      <c r="S453">
        <v>59.656700000000001</v>
      </c>
      <c r="U453">
        <v>51.854050000000001</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32.090589999999999</v>
      </c>
      <c r="AH453">
        <v>54.426389999999998</v>
      </c>
      <c r="AJ453">
        <v>1.3935740000000001</v>
      </c>
      <c r="AK453">
        <v>56.72625</v>
      </c>
      <c r="AL453">
        <v>47.9</v>
      </c>
      <c r="AM453">
        <v>32.101109999999998</v>
      </c>
      <c r="AN453">
        <v>26.053190000000001</v>
      </c>
      <c r="AP453">
        <v>29.14809</v>
      </c>
      <c r="AT453">
        <v>5.9266989999999997E-3</v>
      </c>
      <c r="AU453">
        <v>51.013919999999999</v>
      </c>
      <c r="AV453">
        <v>8.0077829999999992E-3</v>
      </c>
      <c r="AW453">
        <v>46.2836</v>
      </c>
      <c r="AX453">
        <v>11.543659999999999</v>
      </c>
    </row>
    <row r="454" spans="1:50" x14ac:dyDescent="0.35">
      <c r="A454" s="75">
        <v>31656</v>
      </c>
      <c r="B454">
        <v>54.39479</v>
      </c>
      <c r="C454">
        <v>56.01867</v>
      </c>
      <c r="D454">
        <v>5.9999999999999995E-8</v>
      </c>
      <c r="E454">
        <v>52.146430000000002</v>
      </c>
      <c r="F454">
        <v>68.511219999999994</v>
      </c>
      <c r="G454">
        <v>12.80917</v>
      </c>
      <c r="I454">
        <v>3.1571220000000002</v>
      </c>
      <c r="J454">
        <v>3.7496170000000002</v>
      </c>
      <c r="L454">
        <v>58.58361</v>
      </c>
      <c r="M454">
        <v>53.453670000000002</v>
      </c>
      <c r="O454">
        <v>39.459800000000001</v>
      </c>
      <c r="R454">
        <v>53.527470000000001</v>
      </c>
      <c r="S454">
        <v>59.87724</v>
      </c>
      <c r="U454">
        <v>52.054319999999997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32.277659999999997</v>
      </c>
      <c r="AH454">
        <v>54.567920000000001</v>
      </c>
      <c r="AJ454">
        <v>1.4771749999999999</v>
      </c>
      <c r="AK454">
        <v>56.95429</v>
      </c>
      <c r="AL454">
        <v>48.6</v>
      </c>
      <c r="AM454">
        <v>32.373710000000003</v>
      </c>
      <c r="AN454">
        <v>26.201820000000001</v>
      </c>
      <c r="AP454">
        <v>29.268509999999999</v>
      </c>
      <c r="AT454">
        <v>6.3595800000000001E-3</v>
      </c>
      <c r="AU454">
        <v>51.486240000000002</v>
      </c>
      <c r="AV454">
        <v>8.1921749999999995E-3</v>
      </c>
      <c r="AW454">
        <v>46.49456</v>
      </c>
      <c r="AX454">
        <v>11.77361</v>
      </c>
    </row>
    <row r="455" spans="1:50" x14ac:dyDescent="0.35">
      <c r="A455" s="75">
        <v>31686</v>
      </c>
      <c r="B455">
        <v>54.355029999999999</v>
      </c>
      <c r="C455">
        <v>55.955269999999999</v>
      </c>
      <c r="D455">
        <v>6.1000000000000004E-8</v>
      </c>
      <c r="E455">
        <v>52.462470000000003</v>
      </c>
      <c r="F455">
        <v>68.527959999999993</v>
      </c>
      <c r="G455">
        <v>13.00367</v>
      </c>
      <c r="I455">
        <v>3.2223850000000001</v>
      </c>
      <c r="J455">
        <v>3.7463899999999999</v>
      </c>
      <c r="L455">
        <v>58.387900000000002</v>
      </c>
      <c r="M455">
        <v>53.558</v>
      </c>
      <c r="O455">
        <v>39.607259999999997</v>
      </c>
      <c r="R455">
        <v>53.630699999999997</v>
      </c>
      <c r="S455">
        <v>60.024270000000001</v>
      </c>
      <c r="U455">
        <v>52.115110000000001</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31.966100000000001</v>
      </c>
      <c r="AH455">
        <v>54.636069999999997</v>
      </c>
      <c r="AJ455">
        <v>1.561612</v>
      </c>
      <c r="AK455">
        <v>57.125329999999998</v>
      </c>
      <c r="AL455">
        <v>48.8</v>
      </c>
      <c r="AM455">
        <v>32.621960000000001</v>
      </c>
      <c r="AN455">
        <v>26.362760000000002</v>
      </c>
      <c r="AP455">
        <v>29.454609999999999</v>
      </c>
      <c r="AT455">
        <v>6.7613059999999999E-3</v>
      </c>
      <c r="AU455">
        <v>51.671340000000001</v>
      </c>
      <c r="AV455">
        <v>8.7935019999999999E-3</v>
      </c>
      <c r="AW455">
        <v>46.536749999999998</v>
      </c>
      <c r="AX455">
        <v>11.911580000000001</v>
      </c>
    </row>
    <row r="456" spans="1:50" x14ac:dyDescent="0.35">
      <c r="A456" s="75">
        <v>31717</v>
      </c>
      <c r="B456">
        <v>54.25562</v>
      </c>
      <c r="C456">
        <v>55.912999999999997</v>
      </c>
      <c r="D456">
        <v>6.5E-8</v>
      </c>
      <c r="E456">
        <v>52.6995</v>
      </c>
      <c r="F456">
        <v>68.697460000000007</v>
      </c>
      <c r="G456">
        <v>13.18656</v>
      </c>
      <c r="I456">
        <v>3.287649</v>
      </c>
      <c r="J456">
        <v>3.791566</v>
      </c>
      <c r="L456">
        <v>58.322659999999999</v>
      </c>
      <c r="M456">
        <v>53.697110000000002</v>
      </c>
      <c r="O456">
        <v>39.516390000000001</v>
      </c>
      <c r="R456">
        <v>53.579090000000001</v>
      </c>
      <c r="S456">
        <v>60.097790000000003</v>
      </c>
      <c r="U456">
        <v>52.160400000000003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31.90418</v>
      </c>
      <c r="AH456">
        <v>54.646549999999998</v>
      </c>
      <c r="AJ456">
        <v>1.667117</v>
      </c>
      <c r="AK456">
        <v>57.182340000000003</v>
      </c>
      <c r="AL456">
        <v>49</v>
      </c>
      <c r="AM456">
        <v>32.82526</v>
      </c>
      <c r="AN456">
        <v>26.45251</v>
      </c>
      <c r="AP456">
        <v>29.7044</v>
      </c>
      <c r="AT456">
        <v>7.1400780000000002E-3</v>
      </c>
      <c r="AU456">
        <v>51.68092</v>
      </c>
      <c r="AV456">
        <v>8.993773E-3</v>
      </c>
      <c r="AW456">
        <v>46.578940000000003</v>
      </c>
      <c r="AX456">
        <v>12.04955</v>
      </c>
    </row>
    <row r="457" spans="1:50" x14ac:dyDescent="0.35">
      <c r="A457" s="75">
        <v>31747</v>
      </c>
      <c r="B457">
        <v>54.335149999999999</v>
      </c>
      <c r="C457">
        <v>55.955269999999999</v>
      </c>
      <c r="D457">
        <v>7.1999999999999996E-8</v>
      </c>
      <c r="E457">
        <v>52.778509999999997</v>
      </c>
      <c r="F457">
        <v>68.834689999999995</v>
      </c>
      <c r="G457">
        <v>13.38724</v>
      </c>
      <c r="I457">
        <v>3.3692280000000001</v>
      </c>
      <c r="J457">
        <v>3.8700860000000001</v>
      </c>
      <c r="L457">
        <v>58.387900000000002</v>
      </c>
      <c r="M457">
        <v>53.662329999999997</v>
      </c>
      <c r="O457">
        <v>39.685079999999999</v>
      </c>
      <c r="R457">
        <v>53.682319999999997</v>
      </c>
      <c r="S457">
        <v>60.171300000000002</v>
      </c>
      <c r="U457">
        <v>52.207230000000003</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31.90418</v>
      </c>
      <c r="AH457">
        <v>54.615099999999998</v>
      </c>
      <c r="AJ457">
        <v>1.798805</v>
      </c>
      <c r="AK457">
        <v>57.06832</v>
      </c>
      <c r="AL457">
        <v>49.2</v>
      </c>
      <c r="AM457">
        <v>33.075159999999997</v>
      </c>
      <c r="AN457">
        <v>26.54363</v>
      </c>
      <c r="AP457">
        <v>30.19802</v>
      </c>
      <c r="AT457">
        <v>7.4048889999999996E-3</v>
      </c>
      <c r="AU457">
        <v>51.808570000000003</v>
      </c>
      <c r="AV457">
        <v>9.1412879999999992E-3</v>
      </c>
      <c r="AW457">
        <v>46.621130000000001</v>
      </c>
      <c r="AX457">
        <v>12.187519999999999</v>
      </c>
    </row>
    <row r="458" spans="1:50" x14ac:dyDescent="0.35">
      <c r="A458" s="75">
        <v>31778</v>
      </c>
      <c r="B458">
        <v>54.39479</v>
      </c>
      <c r="C458">
        <v>56.187739999999998</v>
      </c>
      <c r="D458">
        <v>8.2000000000000006E-8</v>
      </c>
      <c r="E458">
        <v>52.936529999999998</v>
      </c>
      <c r="F458">
        <v>69.232950000000002</v>
      </c>
      <c r="G458">
        <v>13.653420000000001</v>
      </c>
      <c r="I458">
        <v>3.4834390000000002</v>
      </c>
      <c r="J458">
        <v>3.97227</v>
      </c>
      <c r="L458">
        <v>58.714089999999999</v>
      </c>
      <c r="M458">
        <v>53.766669999999998</v>
      </c>
      <c r="O458">
        <v>39.989260000000002</v>
      </c>
      <c r="R458">
        <v>54.353349999999999</v>
      </c>
      <c r="S458">
        <v>60.722659999999998</v>
      </c>
      <c r="U458">
        <v>52.455669999999998</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32.028680000000001</v>
      </c>
      <c r="AH458">
        <v>54.698970000000003</v>
      </c>
      <c r="AJ458">
        <v>1.9444520000000001</v>
      </c>
      <c r="AK458">
        <v>56.327170000000002</v>
      </c>
      <c r="AL458">
        <v>49.9</v>
      </c>
      <c r="AM458">
        <v>33.363930000000003</v>
      </c>
      <c r="AN458">
        <v>26.73001</v>
      </c>
      <c r="AP458">
        <v>30.652819999999998</v>
      </c>
      <c r="AT458">
        <v>7.8787630000000004E-3</v>
      </c>
      <c r="AU458">
        <v>52.284080000000003</v>
      </c>
      <c r="AV458">
        <v>9.4101940000000002E-3</v>
      </c>
      <c r="AW458">
        <v>46.916469999999997</v>
      </c>
      <c r="AX458">
        <v>12.3255</v>
      </c>
    </row>
    <row r="459" spans="1:50" x14ac:dyDescent="0.35">
      <c r="A459" s="75">
        <v>31809</v>
      </c>
      <c r="B459">
        <v>54.335149999999999</v>
      </c>
      <c r="C459">
        <v>56.300449999999998</v>
      </c>
      <c r="D459">
        <v>9.2000000000000003E-8</v>
      </c>
      <c r="E459">
        <v>53.173560000000002</v>
      </c>
      <c r="F459">
        <v>69.436139999999995</v>
      </c>
      <c r="G459">
        <v>13.88969</v>
      </c>
      <c r="I459">
        <v>3.5487030000000002</v>
      </c>
      <c r="J459">
        <v>3.9744220000000001</v>
      </c>
      <c r="L459">
        <v>58.779330000000002</v>
      </c>
      <c r="M459">
        <v>53.73189</v>
      </c>
      <c r="O459">
        <v>40.159579999999998</v>
      </c>
      <c r="R459">
        <v>54.559820000000002</v>
      </c>
      <c r="S459">
        <v>60.832929999999998</v>
      </c>
      <c r="U459">
        <v>52.608539999999998</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32.090589999999999</v>
      </c>
      <c r="AH459">
        <v>54.78284</v>
      </c>
      <c r="AJ459">
        <v>2.084759</v>
      </c>
      <c r="AK459">
        <v>56.384180000000001</v>
      </c>
      <c r="AL459">
        <v>50.4</v>
      </c>
      <c r="AM459">
        <v>33.577599999999997</v>
      </c>
      <c r="AN459">
        <v>26.845230000000001</v>
      </c>
      <c r="AP459">
        <v>31.007110000000001</v>
      </c>
      <c r="AT459">
        <v>8.4444589999999996E-3</v>
      </c>
      <c r="AU459">
        <v>52.450040000000001</v>
      </c>
      <c r="AV459">
        <v>9.6642470000000008E-3</v>
      </c>
      <c r="AW459">
        <v>47.085230000000003</v>
      </c>
      <c r="AX459">
        <v>12.509460000000001</v>
      </c>
    </row>
    <row r="460" spans="1:50" x14ac:dyDescent="0.35">
      <c r="A460" s="75">
        <v>31837</v>
      </c>
      <c r="B460">
        <v>54.454430000000002</v>
      </c>
      <c r="C460">
        <v>56.356810000000003</v>
      </c>
      <c r="D460">
        <v>1.0700000000000001E-7</v>
      </c>
      <c r="E460">
        <v>53.331580000000002</v>
      </c>
      <c r="F460">
        <v>69.533169999999998</v>
      </c>
      <c r="G460">
        <v>14.11755</v>
      </c>
      <c r="I460">
        <v>3.646598</v>
      </c>
      <c r="J460">
        <v>4.0400349999999996</v>
      </c>
      <c r="L460">
        <v>58.779330000000002</v>
      </c>
      <c r="M460">
        <v>54.218780000000002</v>
      </c>
      <c r="O460">
        <v>40.39302</v>
      </c>
      <c r="R460">
        <v>54.869529999999997</v>
      </c>
      <c r="S460">
        <v>60.906440000000003</v>
      </c>
      <c r="U460">
        <v>52.780209999999997</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32.340229999999998</v>
      </c>
      <c r="AH460">
        <v>54.767110000000002</v>
      </c>
      <c r="AJ460">
        <v>2.222534</v>
      </c>
      <c r="AK460">
        <v>56.498199999999997</v>
      </c>
      <c r="AL460">
        <v>50.9</v>
      </c>
      <c r="AM460">
        <v>33.820909999999998</v>
      </c>
      <c r="AN460">
        <v>26.971879999999999</v>
      </c>
      <c r="AP460">
        <v>31.425090000000001</v>
      </c>
      <c r="AT460">
        <v>9.3717100000000001E-3</v>
      </c>
      <c r="AU460">
        <v>52.555349999999997</v>
      </c>
      <c r="AV460">
        <v>1.0025350000000001E-2</v>
      </c>
      <c r="AW460">
        <v>47.29618</v>
      </c>
      <c r="AX460">
        <v>12.69342</v>
      </c>
    </row>
    <row r="461" spans="1:50" x14ac:dyDescent="0.35">
      <c r="A461" s="75">
        <v>31868</v>
      </c>
      <c r="B461">
        <v>54.553840000000001</v>
      </c>
      <c r="C461">
        <v>56.617460000000001</v>
      </c>
      <c r="D461">
        <v>1.2800000000000001E-7</v>
      </c>
      <c r="E461">
        <v>53.647620000000003</v>
      </c>
      <c r="F461">
        <v>69.619979999999998</v>
      </c>
      <c r="G461">
        <v>14.45046</v>
      </c>
      <c r="I461">
        <v>3.7281780000000002</v>
      </c>
      <c r="J461">
        <v>4.1260839999999996</v>
      </c>
      <c r="L461">
        <v>58.909799999999997</v>
      </c>
      <c r="M461">
        <v>54.42745</v>
      </c>
      <c r="O461">
        <v>40.484439999999999</v>
      </c>
      <c r="R461">
        <v>55.12762</v>
      </c>
      <c r="S461">
        <v>61.237259999999999</v>
      </c>
      <c r="U461">
        <v>53.092309999999998</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32.527299999999997</v>
      </c>
      <c r="AH461">
        <v>54.630830000000003</v>
      </c>
      <c r="AJ461">
        <v>2.416995</v>
      </c>
      <c r="AK461">
        <v>56.612220000000001</v>
      </c>
      <c r="AL461">
        <v>51.1</v>
      </c>
      <c r="AM461">
        <v>34.169029999999999</v>
      </c>
      <c r="AN461">
        <v>27.12885</v>
      </c>
      <c r="AP461">
        <v>31.583320000000001</v>
      </c>
      <c r="AT461">
        <v>9.9677419999999999E-3</v>
      </c>
      <c r="AU461">
        <v>52.69258</v>
      </c>
      <c r="AV461">
        <v>1.0235350000000001E-2</v>
      </c>
      <c r="AW461">
        <v>47.549329999999998</v>
      </c>
      <c r="AX461">
        <v>12.87738</v>
      </c>
    </row>
    <row r="462" spans="1:50" x14ac:dyDescent="0.35">
      <c r="A462" s="75">
        <v>31898</v>
      </c>
      <c r="B462">
        <v>54.732770000000002</v>
      </c>
      <c r="C462">
        <v>56.64564</v>
      </c>
      <c r="D462">
        <v>1.55E-7</v>
      </c>
      <c r="E462">
        <v>53.963659999999997</v>
      </c>
      <c r="F462">
        <v>69.234250000000003</v>
      </c>
      <c r="G462">
        <v>14.669169999999999</v>
      </c>
      <c r="I462">
        <v>3.7934410000000001</v>
      </c>
      <c r="J462">
        <v>4.1723359999999996</v>
      </c>
      <c r="L462">
        <v>58.909799999999997</v>
      </c>
      <c r="M462">
        <v>54.949120000000001</v>
      </c>
      <c r="O462">
        <v>40.434379999999997</v>
      </c>
      <c r="R462">
        <v>55.179229999999997</v>
      </c>
      <c r="S462">
        <v>61.347529999999999</v>
      </c>
      <c r="U462">
        <v>53.235790000000001</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33.025260000000003</v>
      </c>
      <c r="AH462">
        <v>54.55744</v>
      </c>
      <c r="AJ462">
        <v>2.5992090000000001</v>
      </c>
      <c r="AK462">
        <v>56.555210000000002</v>
      </c>
      <c r="AL462">
        <v>51.2</v>
      </c>
      <c r="AM462">
        <v>34.423830000000002</v>
      </c>
      <c r="AN462">
        <v>27.238060000000001</v>
      </c>
      <c r="AP462">
        <v>31.617159999999998</v>
      </c>
      <c r="AT462">
        <v>1.027191E-2</v>
      </c>
      <c r="AU462">
        <v>52.734070000000003</v>
      </c>
      <c r="AV462">
        <v>1.0740390000000001E-2</v>
      </c>
      <c r="AW462">
        <v>47.7181</v>
      </c>
      <c r="AX462">
        <v>12.96937</v>
      </c>
    </row>
    <row r="463" spans="1:50" x14ac:dyDescent="0.35">
      <c r="A463" s="75">
        <v>31929</v>
      </c>
      <c r="B463">
        <v>55.209919999999997</v>
      </c>
      <c r="C463">
        <v>56.709040000000002</v>
      </c>
      <c r="D463">
        <v>1.86E-7</v>
      </c>
      <c r="E463">
        <v>54.121670000000002</v>
      </c>
      <c r="F463">
        <v>69.455280000000002</v>
      </c>
      <c r="G463">
        <v>14.77173</v>
      </c>
      <c r="I463">
        <v>3.8260730000000001</v>
      </c>
      <c r="J463">
        <v>4.189546</v>
      </c>
      <c r="L463">
        <v>58.97504</v>
      </c>
      <c r="M463">
        <v>54.914340000000003</v>
      </c>
      <c r="O463">
        <v>40.44417</v>
      </c>
      <c r="R463">
        <v>55.3857</v>
      </c>
      <c r="S463">
        <v>61.457799999999999</v>
      </c>
      <c r="U463">
        <v>53.35548</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32.994639999999997</v>
      </c>
      <c r="AH463">
        <v>54.489289999999997</v>
      </c>
      <c r="AJ463">
        <v>2.7872430000000001</v>
      </c>
      <c r="AK463">
        <v>56.555210000000002</v>
      </c>
      <c r="AL463">
        <v>51.5</v>
      </c>
      <c r="AM463">
        <v>34.634030000000003</v>
      </c>
      <c r="AN463">
        <v>27.28828</v>
      </c>
      <c r="AP463">
        <v>31.53257</v>
      </c>
      <c r="AT463">
        <v>1.1368049999999999E-2</v>
      </c>
      <c r="AU463">
        <v>52.63832</v>
      </c>
      <c r="AV463">
        <v>1.072912E-2</v>
      </c>
      <c r="AW463">
        <v>47.886859999999999</v>
      </c>
      <c r="AX463">
        <v>13.107340000000001</v>
      </c>
    </row>
    <row r="464" spans="1:50" x14ac:dyDescent="0.35">
      <c r="A464" s="75">
        <v>31959</v>
      </c>
      <c r="B464">
        <v>55.488250000000001</v>
      </c>
      <c r="C464">
        <v>56.906289999999998</v>
      </c>
      <c r="D464">
        <v>2.03E-7</v>
      </c>
      <c r="E464">
        <v>54.437710000000003</v>
      </c>
      <c r="F464">
        <v>69.473129999999998</v>
      </c>
      <c r="G464">
        <v>15.019880000000001</v>
      </c>
      <c r="I464">
        <v>3.883178</v>
      </c>
      <c r="J464">
        <v>4.2024540000000004</v>
      </c>
      <c r="L464">
        <v>58.97504</v>
      </c>
      <c r="M464">
        <v>54.914340000000003</v>
      </c>
      <c r="O464">
        <v>40.853920000000002</v>
      </c>
      <c r="R464">
        <v>55.334090000000003</v>
      </c>
      <c r="S464">
        <v>61.604819999999997</v>
      </c>
      <c r="U464">
        <v>53.417189999999998</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32.900779999999997</v>
      </c>
      <c r="AH464">
        <v>54.489289999999997</v>
      </c>
      <c r="AJ464">
        <v>3.012988</v>
      </c>
      <c r="AK464">
        <v>56.555210000000002</v>
      </c>
      <c r="AL464">
        <v>51.6</v>
      </c>
      <c r="AM464">
        <v>34.871310000000001</v>
      </c>
      <c r="AN464">
        <v>27.35698</v>
      </c>
      <c r="AP464">
        <v>31.630089999999999</v>
      </c>
      <c r="AT464">
        <v>1.232891E-2</v>
      </c>
      <c r="AU464">
        <v>53.270209999999999</v>
      </c>
      <c r="AV464">
        <v>1.093451E-2</v>
      </c>
      <c r="AW464">
        <v>48.013440000000003</v>
      </c>
      <c r="AX464">
        <v>13.19932</v>
      </c>
    </row>
    <row r="465" spans="1:50" x14ac:dyDescent="0.35">
      <c r="A465" s="75">
        <v>31990</v>
      </c>
      <c r="B465">
        <v>55.746699999999997</v>
      </c>
      <c r="C465">
        <v>57.082410000000003</v>
      </c>
      <c r="D465">
        <v>2.1199999999999999E-7</v>
      </c>
      <c r="E465">
        <v>54.516719999999999</v>
      </c>
      <c r="F465">
        <v>69.743279999999999</v>
      </c>
      <c r="G465">
        <v>15.234640000000001</v>
      </c>
      <c r="I465">
        <v>3.8994939999999998</v>
      </c>
      <c r="J465">
        <v>4.2293440000000002</v>
      </c>
      <c r="L465">
        <v>58.909799999999997</v>
      </c>
      <c r="M465">
        <v>55.088230000000003</v>
      </c>
      <c r="O465">
        <v>40.83596</v>
      </c>
      <c r="R465">
        <v>55.488939999999999</v>
      </c>
      <c r="S465">
        <v>61.751849999999997</v>
      </c>
      <c r="U465">
        <v>53.589210000000001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33.368110000000001</v>
      </c>
      <c r="AH465">
        <v>54.672759999999997</v>
      </c>
      <c r="AJ465">
        <v>3.2592379999999999</v>
      </c>
      <c r="AK465">
        <v>56.72625</v>
      </c>
      <c r="AL465">
        <v>51.7</v>
      </c>
      <c r="AM465">
        <v>35.171149999999997</v>
      </c>
      <c r="AN465">
        <v>27.43169</v>
      </c>
      <c r="AP465">
        <v>31.96846</v>
      </c>
      <c r="AT465">
        <v>1.3908759999999999E-2</v>
      </c>
      <c r="AU465">
        <v>53.544670000000004</v>
      </c>
      <c r="AV465">
        <v>1.112198E-2</v>
      </c>
      <c r="AW465">
        <v>48.266579999999998</v>
      </c>
      <c r="AX465">
        <v>13.429270000000001</v>
      </c>
    </row>
    <row r="466" spans="1:50" x14ac:dyDescent="0.35">
      <c r="A466" s="75">
        <v>32021</v>
      </c>
      <c r="B466">
        <v>55.428609999999999</v>
      </c>
      <c r="C466">
        <v>56.983780000000003</v>
      </c>
      <c r="D466">
        <v>2.29E-7</v>
      </c>
      <c r="E466">
        <v>54.516719999999999</v>
      </c>
      <c r="F466">
        <v>69.577479999999994</v>
      </c>
      <c r="G466">
        <v>15.52454</v>
      </c>
      <c r="I466">
        <v>3.948442</v>
      </c>
      <c r="J466">
        <v>4.2788219999999999</v>
      </c>
      <c r="L466">
        <v>58.844560000000001</v>
      </c>
      <c r="M466">
        <v>55.401229999999998</v>
      </c>
      <c r="O466">
        <v>41.212510000000002</v>
      </c>
      <c r="R466">
        <v>55.798650000000002</v>
      </c>
      <c r="S466">
        <v>61.788609999999998</v>
      </c>
      <c r="U466">
        <v>53.830190000000002</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33.586469999999998</v>
      </c>
      <c r="AH466">
        <v>54.74615</v>
      </c>
      <c r="AJ466">
        <v>3.4739559999999998</v>
      </c>
      <c r="AK466">
        <v>56.897280000000002</v>
      </c>
      <c r="AL466">
        <v>52.4</v>
      </c>
      <c r="AM466">
        <v>35.499650000000003</v>
      </c>
      <c r="AN466">
        <v>27.55508</v>
      </c>
      <c r="AP466">
        <v>32.057029999999997</v>
      </c>
      <c r="AT466">
        <v>1.5409910000000001E-2</v>
      </c>
      <c r="AU466">
        <v>54.045720000000003</v>
      </c>
      <c r="AV466">
        <v>1.1447229999999999E-2</v>
      </c>
      <c r="AW466">
        <v>48.519730000000003</v>
      </c>
      <c r="AX466">
        <v>13.61323</v>
      </c>
    </row>
    <row r="467" spans="1:50" x14ac:dyDescent="0.35">
      <c r="A467" s="75">
        <v>32051</v>
      </c>
      <c r="B467">
        <v>55.3292</v>
      </c>
      <c r="C467">
        <v>56.920380000000002</v>
      </c>
      <c r="D467">
        <v>2.5499999999999999E-7</v>
      </c>
      <c r="E467">
        <v>54.67474</v>
      </c>
      <c r="F467">
        <v>69.884320000000002</v>
      </c>
      <c r="G467">
        <v>15.898960000000001</v>
      </c>
      <c r="I467">
        <v>4.0218629999999997</v>
      </c>
      <c r="J467">
        <v>4.3110910000000002</v>
      </c>
      <c r="L467">
        <v>58.909799999999997</v>
      </c>
      <c r="M467">
        <v>55.644680000000001</v>
      </c>
      <c r="O467">
        <v>41.457380000000001</v>
      </c>
      <c r="R467">
        <v>55.901879999999998</v>
      </c>
      <c r="S467">
        <v>61.935639999999999</v>
      </c>
      <c r="U467">
        <v>53.973529999999997</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33.617759999999997</v>
      </c>
      <c r="AH467">
        <v>54.751390000000001</v>
      </c>
      <c r="AJ467">
        <v>3.7634599999999998</v>
      </c>
      <c r="AK467">
        <v>57.011310000000002</v>
      </c>
      <c r="AL467">
        <v>52.5</v>
      </c>
      <c r="AM467">
        <v>35.86327</v>
      </c>
      <c r="AN467">
        <v>27.750800000000002</v>
      </c>
      <c r="AP467">
        <v>32.415300000000002</v>
      </c>
      <c r="AT467">
        <v>1.68717E-2</v>
      </c>
      <c r="AU467">
        <v>54.294640000000001</v>
      </c>
      <c r="AV467">
        <v>1.199682E-2</v>
      </c>
      <c r="AW467">
        <v>48.646299999999997</v>
      </c>
      <c r="AX467">
        <v>13.75121</v>
      </c>
    </row>
    <row r="468" spans="1:50" x14ac:dyDescent="0.35">
      <c r="A468" s="75">
        <v>32082</v>
      </c>
      <c r="B468">
        <v>55.150269999999999</v>
      </c>
      <c r="C468">
        <v>56.751309999999997</v>
      </c>
      <c r="D468">
        <v>2.9299999999999999E-7</v>
      </c>
      <c r="E468">
        <v>54.911769999999997</v>
      </c>
      <c r="F468">
        <v>70.138530000000003</v>
      </c>
      <c r="G468">
        <v>16.205909999999999</v>
      </c>
      <c r="I468">
        <v>4.1034430000000004</v>
      </c>
      <c r="J468">
        <v>4.411124</v>
      </c>
      <c r="L468">
        <v>58.909799999999997</v>
      </c>
      <c r="M468">
        <v>55.818570000000001</v>
      </c>
      <c r="O468">
        <v>41.362160000000003</v>
      </c>
      <c r="R468">
        <v>55.798650000000002</v>
      </c>
      <c r="S468">
        <v>62.009149999999998</v>
      </c>
      <c r="U468">
        <v>54.009459999999997</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33.55518</v>
      </c>
      <c r="AH468">
        <v>54.866709999999998</v>
      </c>
      <c r="AJ468">
        <v>4.0619800000000001</v>
      </c>
      <c r="AK468">
        <v>56.95429</v>
      </c>
      <c r="AL468">
        <v>52.6</v>
      </c>
      <c r="AM468">
        <v>36.159990000000001</v>
      </c>
      <c r="AN468">
        <v>27.90483</v>
      </c>
      <c r="AP468">
        <v>32.53472</v>
      </c>
      <c r="AT468">
        <v>1.9750199999999999E-2</v>
      </c>
      <c r="AU468">
        <v>54.460590000000003</v>
      </c>
      <c r="AV468">
        <v>1.2746169999999999E-2</v>
      </c>
      <c r="AW468">
        <v>48.688490000000002</v>
      </c>
      <c r="AX468">
        <v>13.88918</v>
      </c>
    </row>
    <row r="469" spans="1:50" x14ac:dyDescent="0.35">
      <c r="A469" s="75">
        <v>32112</v>
      </c>
      <c r="B469">
        <v>55.209919999999997</v>
      </c>
      <c r="C469">
        <v>56.7654</v>
      </c>
      <c r="D469">
        <v>3.3500000000000002E-7</v>
      </c>
      <c r="E469">
        <v>54.990780000000001</v>
      </c>
      <c r="F469">
        <v>70.133610000000004</v>
      </c>
      <c r="G469">
        <v>16.259039999999999</v>
      </c>
      <c r="I469">
        <v>4.1768640000000001</v>
      </c>
      <c r="J469">
        <v>4.5057790000000004</v>
      </c>
      <c r="L469">
        <v>58.97504</v>
      </c>
      <c r="M469">
        <v>55.853340000000003</v>
      </c>
      <c r="O469">
        <v>41.510170000000002</v>
      </c>
      <c r="R469">
        <v>55.953499999999998</v>
      </c>
      <c r="S469">
        <v>62.045909999999999</v>
      </c>
      <c r="U469">
        <v>54.016680000000001</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33.835450000000002</v>
      </c>
      <c r="AH469">
        <v>54.971550000000001</v>
      </c>
      <c r="AJ469">
        <v>4.6619279999999996</v>
      </c>
      <c r="AK469">
        <v>56.783259999999999</v>
      </c>
      <c r="AL469">
        <v>52.8</v>
      </c>
      <c r="AM469">
        <v>36.73218</v>
      </c>
      <c r="AN469">
        <v>28.154630000000001</v>
      </c>
      <c r="AP469">
        <v>32.977580000000003</v>
      </c>
      <c r="AT469">
        <v>2.0993089999999999E-2</v>
      </c>
      <c r="AU469">
        <v>54.46378</v>
      </c>
      <c r="AV469">
        <v>1.4173679999999999E-2</v>
      </c>
      <c r="AW469">
        <v>48.688490000000002</v>
      </c>
      <c r="AX469">
        <v>13.981159999999999</v>
      </c>
    </row>
    <row r="470" spans="1:50" x14ac:dyDescent="0.35">
      <c r="A470" s="75">
        <v>32143</v>
      </c>
      <c r="B470">
        <v>55.428609999999999</v>
      </c>
      <c r="C470">
        <v>56.723129999999998</v>
      </c>
      <c r="D470">
        <v>3.9799999999999999E-7</v>
      </c>
      <c r="E470">
        <v>55.069789999999998</v>
      </c>
      <c r="F470">
        <v>70.312640000000002</v>
      </c>
      <c r="G470">
        <v>16.376940000000001</v>
      </c>
      <c r="I470">
        <v>4.307391</v>
      </c>
      <c r="J470">
        <v>4.5756940000000004</v>
      </c>
      <c r="L470">
        <v>59.235990000000001</v>
      </c>
      <c r="M470">
        <v>56.096789999999999</v>
      </c>
      <c r="O470">
        <v>41.773539999999997</v>
      </c>
      <c r="R470">
        <v>56.62453</v>
      </c>
      <c r="S470">
        <v>62.156179999999999</v>
      </c>
      <c r="U470">
        <v>54.118319999999997</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34.02252</v>
      </c>
      <c r="AH470">
        <v>55.044930000000001</v>
      </c>
      <c r="AJ470">
        <v>5.3827720000000001</v>
      </c>
      <c r="AK470">
        <v>56.441189999999999</v>
      </c>
      <c r="AL470">
        <v>53.5</v>
      </c>
      <c r="AM470">
        <v>37.085000000000001</v>
      </c>
      <c r="AN470">
        <v>28.328479999999999</v>
      </c>
      <c r="AP470">
        <v>33.450290000000003</v>
      </c>
      <c r="AT470">
        <v>2.157682E-2</v>
      </c>
      <c r="AU470">
        <v>54.760579999999997</v>
      </c>
      <c r="AV470">
        <v>1.502189E-2</v>
      </c>
      <c r="AW470">
        <v>48.815060000000003</v>
      </c>
      <c r="AX470">
        <v>14.07314</v>
      </c>
    </row>
    <row r="471" spans="1:50" x14ac:dyDescent="0.35">
      <c r="A471" s="75">
        <v>32174</v>
      </c>
      <c r="B471">
        <v>55.528019999999998</v>
      </c>
      <c r="C471">
        <v>56.87811</v>
      </c>
      <c r="D471">
        <v>4.5999999999999999E-7</v>
      </c>
      <c r="E471">
        <v>55.306820000000002</v>
      </c>
      <c r="F471">
        <v>70.656170000000003</v>
      </c>
      <c r="G471">
        <v>16.43805</v>
      </c>
      <c r="I471">
        <v>4.4787080000000001</v>
      </c>
      <c r="J471">
        <v>4.7499450000000003</v>
      </c>
      <c r="L471">
        <v>59.36647</v>
      </c>
      <c r="M471">
        <v>56.548900000000003</v>
      </c>
      <c r="O471">
        <v>41.887810000000002</v>
      </c>
      <c r="R471">
        <v>56.779380000000003</v>
      </c>
      <c r="S471">
        <v>62.266449999999999</v>
      </c>
      <c r="U471">
        <v>54.234540000000003</v>
      </c>
      <c r="V471">
        <v>47</v>
      </c>
      <c r="W471">
        <v>20.224260000000001</v>
      </c>
      <c r="X471">
        <v>5.4052340000000001</v>
      </c>
      <c r="Y471">
        <v>8.1477900000000005</v>
      </c>
      <c r="Z471">
        <v>12.60149</v>
      </c>
      <c r="AA471">
        <v>53.611789999999999</v>
      </c>
      <c r="AB471">
        <v>22.44143</v>
      </c>
      <c r="AC471">
        <v>20.2621</v>
      </c>
      <c r="AD471">
        <v>45.123170000000002</v>
      </c>
      <c r="AE471">
        <v>85.721559999999997</v>
      </c>
      <c r="AF471">
        <v>34.583060000000003</v>
      </c>
      <c r="AH471">
        <v>55.086869999999998</v>
      </c>
      <c r="AJ471">
        <v>5.8317360000000003</v>
      </c>
      <c r="AK471">
        <v>56.555210000000002</v>
      </c>
      <c r="AL471">
        <v>53.8</v>
      </c>
      <c r="AM471">
        <v>37.339889999999997</v>
      </c>
      <c r="AN471">
        <v>28.462540000000001</v>
      </c>
      <c r="AP471">
        <v>33.913060000000002</v>
      </c>
      <c r="AT471">
        <v>2.281644E-2</v>
      </c>
      <c r="AU471">
        <v>55.169080000000001</v>
      </c>
      <c r="AV471">
        <v>1.5583049999999999E-2</v>
      </c>
      <c r="AW471">
        <v>48.94164</v>
      </c>
      <c r="AX471">
        <v>14.16512</v>
      </c>
    </row>
    <row r="472" spans="1:50" x14ac:dyDescent="0.35">
      <c r="A472" s="75">
        <v>32203</v>
      </c>
      <c r="B472">
        <v>55.706940000000003</v>
      </c>
      <c r="C472">
        <v>56.899250000000002</v>
      </c>
      <c r="D472">
        <v>5.4099999999999999E-7</v>
      </c>
      <c r="E472">
        <v>55.622860000000003</v>
      </c>
      <c r="F472">
        <v>70.819760000000002</v>
      </c>
      <c r="G472">
        <v>16.747450000000001</v>
      </c>
      <c r="I472">
        <v>4.609235</v>
      </c>
      <c r="J472">
        <v>4.8381460000000001</v>
      </c>
      <c r="L472">
        <v>59.36647</v>
      </c>
      <c r="M472">
        <v>56.757570000000001</v>
      </c>
      <c r="O472">
        <v>42.19144</v>
      </c>
      <c r="R472">
        <v>57.089080000000003</v>
      </c>
      <c r="S472">
        <v>62.450240000000001</v>
      </c>
      <c r="U472">
        <v>54.434399999999997</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35.081690000000002</v>
      </c>
      <c r="AH472">
        <v>55.191699999999997</v>
      </c>
      <c r="AJ472">
        <v>6.1303679999999998</v>
      </c>
      <c r="AK472">
        <v>56.840269999999997</v>
      </c>
      <c r="AL472">
        <v>54.6</v>
      </c>
      <c r="AM472">
        <v>37.620719999999999</v>
      </c>
      <c r="AN472">
        <v>28.651309999999999</v>
      </c>
      <c r="AP472">
        <v>34.14096</v>
      </c>
      <c r="AT472">
        <v>2.451271E-2</v>
      </c>
      <c r="AU472">
        <v>55.417999999999999</v>
      </c>
      <c r="AV472">
        <v>1.644638E-2</v>
      </c>
      <c r="AW472">
        <v>49.152589999999996</v>
      </c>
      <c r="AX472">
        <v>14.39508</v>
      </c>
    </row>
    <row r="473" spans="1:50" x14ac:dyDescent="0.35">
      <c r="A473" s="75">
        <v>32234</v>
      </c>
      <c r="B473">
        <v>55.746699999999997</v>
      </c>
      <c r="C473">
        <v>57.1599</v>
      </c>
      <c r="D473">
        <v>6.4600000000000004E-7</v>
      </c>
      <c r="E473">
        <v>55.780880000000003</v>
      </c>
      <c r="F473">
        <v>70.954989999999995</v>
      </c>
      <c r="G473">
        <v>16.877320000000001</v>
      </c>
      <c r="I473">
        <v>4.78871</v>
      </c>
      <c r="J473">
        <v>4.9252710000000004</v>
      </c>
      <c r="L473">
        <v>59.496940000000002</v>
      </c>
      <c r="M473">
        <v>56.966239999999999</v>
      </c>
      <c r="O473">
        <v>42.044530000000002</v>
      </c>
      <c r="R473">
        <v>57.502029999999998</v>
      </c>
      <c r="S473">
        <v>62.744289999999999</v>
      </c>
      <c r="U473">
        <v>54.704949999999997</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35.019779999999997</v>
      </c>
      <c r="AH473">
        <v>55.165500000000002</v>
      </c>
      <c r="AJ473">
        <v>6.3190559999999998</v>
      </c>
      <c r="AK473">
        <v>56.95429</v>
      </c>
      <c r="AL473">
        <v>54.7</v>
      </c>
      <c r="AM473">
        <v>37.900480000000002</v>
      </c>
      <c r="AN473">
        <v>28.870930000000001</v>
      </c>
      <c r="AP473">
        <v>34.268340000000002</v>
      </c>
      <c r="AT473">
        <v>2.5854800000000001E-2</v>
      </c>
      <c r="AU473">
        <v>55.912660000000002</v>
      </c>
      <c r="AV473">
        <v>1.747158E-2</v>
      </c>
      <c r="AW473">
        <v>49.405740000000002</v>
      </c>
      <c r="AX473">
        <v>14.533049999999999</v>
      </c>
    </row>
    <row r="474" spans="1:50" x14ac:dyDescent="0.35">
      <c r="A474" s="75">
        <v>32264</v>
      </c>
      <c r="B474">
        <v>55.647300000000001</v>
      </c>
      <c r="C474">
        <v>57.209209999999999</v>
      </c>
      <c r="D474">
        <v>7.5799999999999998E-7</v>
      </c>
      <c r="E474">
        <v>56.096919999999997</v>
      </c>
      <c r="F474">
        <v>70.782669999999996</v>
      </c>
      <c r="G474">
        <v>16.95562</v>
      </c>
      <c r="I474">
        <v>4.8702889999999996</v>
      </c>
      <c r="J474">
        <v>4.9553890000000003</v>
      </c>
      <c r="L474">
        <v>59.627420000000001</v>
      </c>
      <c r="M474">
        <v>57.453130000000002</v>
      </c>
      <c r="O474">
        <v>42.042349999999999</v>
      </c>
      <c r="R474">
        <v>57.96658</v>
      </c>
      <c r="S474">
        <v>62.89132</v>
      </c>
      <c r="U474">
        <v>54.871510000000001</v>
      </c>
      <c r="V474">
        <v>48</v>
      </c>
      <c r="W474">
        <v>21.30462</v>
      </c>
      <c r="X474">
        <v>5.434361</v>
      </c>
      <c r="Y474">
        <v>8.2852530000000009</v>
      </c>
      <c r="Z474">
        <v>12.969329999999999</v>
      </c>
      <c r="AA474">
        <v>53.9069</v>
      </c>
      <c r="AB474">
        <v>23.37649</v>
      </c>
      <c r="AC474">
        <v>21.471779999999999</v>
      </c>
      <c r="AD474">
        <v>45.596069999999997</v>
      </c>
      <c r="AE474">
        <v>86.536010000000005</v>
      </c>
      <c r="AF474">
        <v>35.206180000000003</v>
      </c>
      <c r="AH474">
        <v>55.228400000000001</v>
      </c>
      <c r="AJ474">
        <v>6.4413169999999997</v>
      </c>
      <c r="AK474">
        <v>57.011310000000002</v>
      </c>
      <c r="AL474">
        <v>54.8</v>
      </c>
      <c r="AM474">
        <v>38.067329999999998</v>
      </c>
      <c r="AN474">
        <v>28.997109999999999</v>
      </c>
      <c r="AP474">
        <v>34.383780000000002</v>
      </c>
      <c r="AT474">
        <v>2.7538779999999999E-2</v>
      </c>
      <c r="AU474">
        <v>56.113720000000001</v>
      </c>
      <c r="AV474">
        <v>1.8075910000000001E-2</v>
      </c>
      <c r="AW474">
        <v>49.5745</v>
      </c>
      <c r="AX474">
        <v>14.67102</v>
      </c>
    </row>
    <row r="475" spans="1:50" x14ac:dyDescent="0.35">
      <c r="A475" s="75">
        <v>32295</v>
      </c>
      <c r="B475">
        <v>55.965400000000002</v>
      </c>
      <c r="C475">
        <v>57.307830000000003</v>
      </c>
      <c r="D475">
        <v>9.2500000000000004E-7</v>
      </c>
      <c r="E475">
        <v>56.254939999999998</v>
      </c>
      <c r="F475">
        <v>70.892840000000007</v>
      </c>
      <c r="G475">
        <v>17.05875</v>
      </c>
      <c r="I475">
        <v>4.9926579999999996</v>
      </c>
      <c r="J475">
        <v>5.0188499999999996</v>
      </c>
      <c r="L475">
        <v>59.692659999999997</v>
      </c>
      <c r="M475">
        <v>57.418349999999997</v>
      </c>
      <c r="O475">
        <v>42.205590000000001</v>
      </c>
      <c r="R475">
        <v>58.276290000000003</v>
      </c>
      <c r="S475">
        <v>63.075110000000002</v>
      </c>
      <c r="U475">
        <v>55.024569999999997</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35.42454</v>
      </c>
      <c r="AH475">
        <v>55.333240000000004</v>
      </c>
      <c r="AJ475">
        <v>6.5727229999999999</v>
      </c>
      <c r="AK475">
        <v>56.95429</v>
      </c>
      <c r="AL475">
        <v>55.1</v>
      </c>
      <c r="AM475">
        <v>38.218539999999997</v>
      </c>
      <c r="AN475">
        <v>29.095780000000001</v>
      </c>
      <c r="AP475">
        <v>34.56391</v>
      </c>
      <c r="AT475">
        <v>3.3657319999999998E-2</v>
      </c>
      <c r="AU475">
        <v>56.250950000000003</v>
      </c>
      <c r="AV475">
        <v>1.8237779999999999E-2</v>
      </c>
      <c r="AW475">
        <v>49.78546</v>
      </c>
      <c r="AX475">
        <v>14.71701</v>
      </c>
    </row>
    <row r="476" spans="1:50" x14ac:dyDescent="0.35">
      <c r="A476" s="75">
        <v>32325</v>
      </c>
      <c r="B476">
        <v>56.621479999999998</v>
      </c>
      <c r="C476">
        <v>57.48395</v>
      </c>
      <c r="D476">
        <v>1.128E-6</v>
      </c>
      <c r="E476">
        <v>56.570979999999999</v>
      </c>
      <c r="F476">
        <v>70.731250000000003</v>
      </c>
      <c r="G476">
        <v>17.081669999999999</v>
      </c>
      <c r="I476">
        <v>5.0579210000000003</v>
      </c>
      <c r="J476">
        <v>5.0715560000000002</v>
      </c>
      <c r="L476">
        <v>59.692659999999997</v>
      </c>
      <c r="M476">
        <v>57.174900000000001</v>
      </c>
      <c r="O476">
        <v>42.762810000000002</v>
      </c>
      <c r="R476">
        <v>58.276290000000003</v>
      </c>
      <c r="S476">
        <v>63.295650000000002</v>
      </c>
      <c r="U476">
        <v>55.164870000000001</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35.487110000000001</v>
      </c>
      <c r="AH476">
        <v>55.563879999999997</v>
      </c>
      <c r="AJ476">
        <v>6.6824320000000004</v>
      </c>
      <c r="AK476">
        <v>57.06832</v>
      </c>
      <c r="AL476">
        <v>55.1</v>
      </c>
      <c r="AM476">
        <v>38.378360000000001</v>
      </c>
      <c r="AN476">
        <v>29.188459999999999</v>
      </c>
      <c r="AP476">
        <v>34.847540000000002</v>
      </c>
      <c r="AT476">
        <v>3.6344790000000002E-2</v>
      </c>
      <c r="AU476">
        <v>56.522210000000001</v>
      </c>
      <c r="AV476">
        <v>1.8529159999999999E-2</v>
      </c>
      <c r="AW476">
        <v>49.996409999999997</v>
      </c>
      <c r="AX476">
        <v>14.900969999999999</v>
      </c>
    </row>
    <row r="477" spans="1:50" x14ac:dyDescent="0.35">
      <c r="A477" s="75">
        <v>32356</v>
      </c>
      <c r="B477">
        <v>56.780529999999999</v>
      </c>
      <c r="C477">
        <v>57.60371</v>
      </c>
      <c r="D477">
        <v>1.3710000000000001E-6</v>
      </c>
      <c r="E477">
        <v>56.649990000000003</v>
      </c>
      <c r="F477">
        <v>70.978039999999993</v>
      </c>
      <c r="G477">
        <v>17.219180000000001</v>
      </c>
      <c r="I477">
        <v>5.0497629999999996</v>
      </c>
      <c r="J477">
        <v>5.1210339999999999</v>
      </c>
      <c r="L477">
        <v>59.627420000000001</v>
      </c>
      <c r="M477">
        <v>57.557459999999999</v>
      </c>
      <c r="O477">
        <v>43.185609999999997</v>
      </c>
      <c r="R477">
        <v>58.379519999999999</v>
      </c>
      <c r="S477">
        <v>63.479430000000001</v>
      </c>
      <c r="U477">
        <v>55.348199999999999</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35.673520000000003</v>
      </c>
      <c r="AH477">
        <v>55.642510000000001</v>
      </c>
      <c r="AJ477">
        <v>6.7439080000000002</v>
      </c>
      <c r="AK477">
        <v>57.239350000000002</v>
      </c>
      <c r="AL477">
        <v>55.1</v>
      </c>
      <c r="AM477">
        <v>38.54374</v>
      </c>
      <c r="AN477">
        <v>29.32441</v>
      </c>
      <c r="AP477">
        <v>35.30433</v>
      </c>
      <c r="AT477">
        <v>4.0139880000000003E-2</v>
      </c>
      <c r="AU477">
        <v>56.63391</v>
      </c>
      <c r="AV477">
        <v>1.897161E-2</v>
      </c>
      <c r="AW477">
        <v>50.207369999999997</v>
      </c>
      <c r="AX477">
        <v>15.08494</v>
      </c>
    </row>
    <row r="478" spans="1:50" x14ac:dyDescent="0.35">
      <c r="A478" s="75">
        <v>32387</v>
      </c>
      <c r="B478">
        <v>56.462429999999998</v>
      </c>
      <c r="C478">
        <v>57.667110000000001</v>
      </c>
      <c r="D478">
        <v>1.747E-6</v>
      </c>
      <c r="E478">
        <v>56.728999999999999</v>
      </c>
      <c r="F478">
        <v>70.996380000000002</v>
      </c>
      <c r="G478">
        <v>17.381519999999998</v>
      </c>
      <c r="I478">
        <v>5.0905529999999999</v>
      </c>
      <c r="J478">
        <v>5.2092349999999996</v>
      </c>
      <c r="L478">
        <v>59.692659999999997</v>
      </c>
      <c r="M478">
        <v>57.870460000000001</v>
      </c>
      <c r="O478">
        <v>43.564889999999998</v>
      </c>
      <c r="R478">
        <v>58.947319999999998</v>
      </c>
      <c r="S478">
        <v>63.626460000000002</v>
      </c>
      <c r="U478">
        <v>55.651490000000003</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35.767380000000003</v>
      </c>
      <c r="AH478">
        <v>55.721130000000002</v>
      </c>
      <c r="AJ478">
        <v>6.782464</v>
      </c>
      <c r="AK478">
        <v>57.41039</v>
      </c>
      <c r="AL478">
        <v>55.8</v>
      </c>
      <c r="AM478">
        <v>38.805610000000001</v>
      </c>
      <c r="AN478">
        <v>29.546710000000001</v>
      </c>
      <c r="AP478">
        <v>35.665590000000002</v>
      </c>
      <c r="AT478">
        <v>4.6169059999999998E-2</v>
      </c>
      <c r="AU478">
        <v>57.06474</v>
      </c>
      <c r="AV478">
        <v>2.0093940000000001E-2</v>
      </c>
      <c r="AW478">
        <v>50.544899999999998</v>
      </c>
      <c r="AX478">
        <v>15.2689</v>
      </c>
    </row>
    <row r="479" spans="1:50" x14ac:dyDescent="0.35">
      <c r="A479" s="75">
        <v>32417</v>
      </c>
      <c r="B479">
        <v>56.303379999999997</v>
      </c>
      <c r="C479">
        <v>57.68824</v>
      </c>
      <c r="D479">
        <v>2.1950000000000002E-6</v>
      </c>
      <c r="E479">
        <v>57.04504</v>
      </c>
      <c r="F479">
        <v>71.109859999999998</v>
      </c>
      <c r="G479">
        <v>17.64508</v>
      </c>
      <c r="I479">
        <v>5.1639749999999998</v>
      </c>
      <c r="J479">
        <v>5.366276</v>
      </c>
      <c r="L479">
        <v>59.757890000000003</v>
      </c>
      <c r="M479">
        <v>57.974800000000002</v>
      </c>
      <c r="O479">
        <v>43.613860000000003</v>
      </c>
      <c r="R479">
        <v>58.998939999999997</v>
      </c>
      <c r="S479">
        <v>63.773490000000002</v>
      </c>
      <c r="U479">
        <v>55.860169999999997</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35.673520000000003</v>
      </c>
      <c r="AH479">
        <v>55.841700000000003</v>
      </c>
      <c r="AJ479">
        <v>6.8341979999999998</v>
      </c>
      <c r="AK479">
        <v>57.41039</v>
      </c>
      <c r="AL479">
        <v>55.8</v>
      </c>
      <c r="AM479">
        <v>39.019109999999998</v>
      </c>
      <c r="AN479">
        <v>29.75928</v>
      </c>
      <c r="AP479">
        <v>35.982059999999997</v>
      </c>
      <c r="AT479">
        <v>5.4857009999999998E-2</v>
      </c>
      <c r="AU479">
        <v>57.511539999999997</v>
      </c>
      <c r="AV479">
        <v>2.1216260000000001E-2</v>
      </c>
      <c r="AW479">
        <v>50.713659999999997</v>
      </c>
      <c r="AX479">
        <v>15.452859999999999</v>
      </c>
    </row>
    <row r="480" spans="1:50" x14ac:dyDescent="0.35">
      <c r="A480" s="75">
        <v>32448</v>
      </c>
      <c r="B480">
        <v>56.243740000000003</v>
      </c>
      <c r="C480">
        <v>57.645969999999998</v>
      </c>
      <c r="D480">
        <v>2.8080000000000001E-6</v>
      </c>
      <c r="E480">
        <v>57.124049999999997</v>
      </c>
      <c r="F480">
        <v>71.370990000000006</v>
      </c>
      <c r="G480">
        <v>17.979299999999999</v>
      </c>
      <c r="I480">
        <v>5.2373960000000004</v>
      </c>
      <c r="J480">
        <v>5.4361920000000001</v>
      </c>
      <c r="L480">
        <v>59.953609999999998</v>
      </c>
      <c r="M480">
        <v>58.392130000000002</v>
      </c>
      <c r="O480">
        <v>43.589370000000002</v>
      </c>
      <c r="R480">
        <v>59.102170000000001</v>
      </c>
      <c r="S480">
        <v>63.847009999999997</v>
      </c>
      <c r="U480">
        <v>55.9377</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35.954450000000001</v>
      </c>
      <c r="AH480">
        <v>56.009439999999998</v>
      </c>
      <c r="AJ480">
        <v>6.925656</v>
      </c>
      <c r="AK480">
        <v>57.524410000000003</v>
      </c>
      <c r="AL480">
        <v>55.8</v>
      </c>
      <c r="AM480">
        <v>39.161320000000003</v>
      </c>
      <c r="AN480">
        <v>29.971550000000001</v>
      </c>
      <c r="AP480">
        <v>36.488610000000001</v>
      </c>
      <c r="AT480">
        <v>6.3271140000000003E-2</v>
      </c>
      <c r="AU480">
        <v>57.60089</v>
      </c>
      <c r="AV480">
        <v>2.2349379999999999E-2</v>
      </c>
      <c r="AW480">
        <v>50.755850000000002</v>
      </c>
      <c r="AX480">
        <v>15.59083</v>
      </c>
    </row>
    <row r="481" spans="1:50" x14ac:dyDescent="0.35">
      <c r="A481" s="75">
        <v>32478</v>
      </c>
      <c r="B481">
        <v>56.243740000000003</v>
      </c>
      <c r="C481">
        <v>57.857309999999998</v>
      </c>
      <c r="D481">
        <v>3.6150000000000001E-6</v>
      </c>
      <c r="E481">
        <v>57.124049999999997</v>
      </c>
      <c r="F481">
        <v>71.500299999999996</v>
      </c>
      <c r="G481">
        <v>18.321159999999999</v>
      </c>
      <c r="I481">
        <v>5.3597650000000003</v>
      </c>
      <c r="J481">
        <v>5.6480889999999997</v>
      </c>
      <c r="L481">
        <v>60.08408</v>
      </c>
      <c r="M481">
        <v>58.392130000000002</v>
      </c>
      <c r="O481">
        <v>43.936</v>
      </c>
      <c r="R481">
        <v>59.56673</v>
      </c>
      <c r="S481">
        <v>63.957279999999997</v>
      </c>
      <c r="U481">
        <v>55.996189999999999</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36.266010000000001</v>
      </c>
      <c r="AH481">
        <v>56.02516</v>
      </c>
      <c r="AJ481">
        <v>7.0701580000000002</v>
      </c>
      <c r="AK481">
        <v>57.467399999999998</v>
      </c>
      <c r="AL481">
        <v>55.8</v>
      </c>
      <c r="AM481">
        <v>39.290950000000002</v>
      </c>
      <c r="AN481">
        <v>30.105350000000001</v>
      </c>
      <c r="AP481">
        <v>36.920520000000003</v>
      </c>
      <c r="AT481">
        <v>7.1005609999999997E-2</v>
      </c>
      <c r="AU481">
        <v>57.722160000000002</v>
      </c>
      <c r="AV481">
        <v>2.289975E-2</v>
      </c>
      <c r="AW481">
        <v>50.840240000000001</v>
      </c>
      <c r="AX481">
        <v>15.7288</v>
      </c>
    </row>
    <row r="482" spans="1:50" x14ac:dyDescent="0.35">
      <c r="A482" s="75">
        <v>32509</v>
      </c>
      <c r="B482">
        <v>56.621479999999998</v>
      </c>
      <c r="C482">
        <v>58.075699999999998</v>
      </c>
      <c r="D482">
        <v>4.9699999999999998E-6</v>
      </c>
      <c r="E482">
        <v>57.440080000000002</v>
      </c>
      <c r="F482">
        <v>71.892229999999998</v>
      </c>
      <c r="G482">
        <v>18.52552</v>
      </c>
      <c r="I482">
        <v>5.5066079999999999</v>
      </c>
      <c r="J482">
        <v>5.7072479999999999</v>
      </c>
      <c r="L482">
        <v>60.605989999999998</v>
      </c>
      <c r="M482">
        <v>58.670349999999999</v>
      </c>
      <c r="O482">
        <v>44.44641</v>
      </c>
      <c r="R482">
        <v>59.897080000000003</v>
      </c>
      <c r="S482">
        <v>64.214579999999998</v>
      </c>
      <c r="U482">
        <v>56.251199999999997</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36.327919999999999</v>
      </c>
      <c r="AH482">
        <v>56.413060000000002</v>
      </c>
      <c r="AJ482">
        <v>7.2432319999999999</v>
      </c>
      <c r="AK482">
        <v>56.897280000000002</v>
      </c>
      <c r="AL482">
        <v>56.2</v>
      </c>
      <c r="AM482">
        <v>39.555280000000003</v>
      </c>
      <c r="AN482">
        <v>30.37876</v>
      </c>
      <c r="AO482">
        <v>0.42199150000000002</v>
      </c>
      <c r="AP482">
        <v>37.57734</v>
      </c>
      <c r="AT482">
        <v>8.1933389999999995E-2</v>
      </c>
      <c r="AU482">
        <v>58.39235</v>
      </c>
      <c r="AV482">
        <v>2.4410569999999999E-2</v>
      </c>
      <c r="AW482">
        <v>51.093380000000003</v>
      </c>
      <c r="AX482">
        <v>15.95876</v>
      </c>
    </row>
    <row r="483" spans="1:50" x14ac:dyDescent="0.35">
      <c r="A483" s="75">
        <v>32540</v>
      </c>
      <c r="B483">
        <v>56.899810000000002</v>
      </c>
      <c r="C483">
        <v>58.336350000000003</v>
      </c>
      <c r="D483">
        <v>5.8039999999999998E-6</v>
      </c>
      <c r="E483">
        <v>57.835129999999999</v>
      </c>
      <c r="F483">
        <v>72.253609999999995</v>
      </c>
      <c r="G483">
        <v>18.54843</v>
      </c>
      <c r="I483">
        <v>5.6942409999999999</v>
      </c>
      <c r="J483">
        <v>5.7093990000000003</v>
      </c>
      <c r="L483">
        <v>60.801699999999997</v>
      </c>
      <c r="M483">
        <v>59.052909999999997</v>
      </c>
      <c r="O483">
        <v>44.477980000000002</v>
      </c>
      <c r="R483">
        <v>60.191299999999998</v>
      </c>
      <c r="S483">
        <v>64.398359999999997</v>
      </c>
      <c r="U483">
        <v>56.437370000000001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36.452419999999996</v>
      </c>
      <c r="AH483">
        <v>56.565069999999999</v>
      </c>
      <c r="AJ483">
        <v>7.3415270000000001</v>
      </c>
      <c r="AK483">
        <v>57.06832</v>
      </c>
      <c r="AL483">
        <v>56.4</v>
      </c>
      <c r="AM483">
        <v>39.734990000000003</v>
      </c>
      <c r="AN483">
        <v>30.57282</v>
      </c>
      <c r="AO483">
        <v>0.42199150000000002</v>
      </c>
      <c r="AP483">
        <v>38.080910000000003</v>
      </c>
      <c r="AT483">
        <v>9.7758139999999993E-2</v>
      </c>
      <c r="AU483">
        <v>58.721060000000001</v>
      </c>
      <c r="AV483">
        <v>2.5576060000000001E-2</v>
      </c>
      <c r="AW483">
        <v>51.304340000000003</v>
      </c>
      <c r="AX483">
        <v>16.096730000000001</v>
      </c>
    </row>
    <row r="484" spans="1:50" x14ac:dyDescent="0.35">
      <c r="A484" s="75">
        <v>32568</v>
      </c>
      <c r="B484">
        <v>56.939579999999999</v>
      </c>
      <c r="C484">
        <v>58.470190000000002</v>
      </c>
      <c r="D484">
        <v>6.1990000000000003E-6</v>
      </c>
      <c r="E484">
        <v>58.15117</v>
      </c>
      <c r="F484">
        <v>72.447770000000006</v>
      </c>
      <c r="G484">
        <v>18.901759999999999</v>
      </c>
      <c r="I484">
        <v>5.8329250000000004</v>
      </c>
      <c r="J484">
        <v>5.711551</v>
      </c>
      <c r="L484">
        <v>60.86694</v>
      </c>
      <c r="M484">
        <v>59.400689999999997</v>
      </c>
      <c r="O484">
        <v>44.76202</v>
      </c>
      <c r="R484">
        <v>60.87782</v>
      </c>
      <c r="S484">
        <v>64.582149999999999</v>
      </c>
      <c r="U484">
        <v>56.71396</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36.702060000000003</v>
      </c>
      <c r="AH484">
        <v>56.753779999999999</v>
      </c>
      <c r="AJ484">
        <v>7.4211130000000001</v>
      </c>
      <c r="AK484">
        <v>57.29636</v>
      </c>
      <c r="AL484">
        <v>56.9</v>
      </c>
      <c r="AM484">
        <v>39.964370000000002</v>
      </c>
      <c r="AN484">
        <v>30.751799999999999</v>
      </c>
      <c r="AO484">
        <v>0.42199150000000002</v>
      </c>
      <c r="AP484">
        <v>38.40634</v>
      </c>
      <c r="AT484">
        <v>0.1142093</v>
      </c>
      <c r="AU484">
        <v>58.960410000000003</v>
      </c>
      <c r="AV484">
        <v>2.6353060000000001E-2</v>
      </c>
      <c r="AW484">
        <v>51.599670000000003</v>
      </c>
      <c r="AX484">
        <v>16.372669999999999</v>
      </c>
    </row>
    <row r="485" spans="1:50" x14ac:dyDescent="0.35">
      <c r="A485" s="75">
        <v>32599</v>
      </c>
      <c r="B485">
        <v>57.118499999999997</v>
      </c>
      <c r="C485">
        <v>58.864690000000003</v>
      </c>
      <c r="D485">
        <v>6.7159999999999997E-6</v>
      </c>
      <c r="E485">
        <v>58.309190000000001</v>
      </c>
      <c r="F485">
        <v>72.829089999999994</v>
      </c>
      <c r="G485">
        <v>19.098469999999999</v>
      </c>
      <c r="I485">
        <v>5.979768</v>
      </c>
      <c r="J485">
        <v>5.7223069999999998</v>
      </c>
      <c r="L485">
        <v>61.258369999999999</v>
      </c>
      <c r="M485">
        <v>59.783250000000002</v>
      </c>
      <c r="O485">
        <v>44.882280000000002</v>
      </c>
      <c r="R485">
        <v>61.455939999999998</v>
      </c>
      <c r="S485">
        <v>64.986469999999997</v>
      </c>
      <c r="U485">
        <v>57.166890000000002</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36.857840000000003</v>
      </c>
      <c r="AH485">
        <v>56.942489999999999</v>
      </c>
      <c r="AJ485">
        <v>7.5320939999999998</v>
      </c>
      <c r="AK485">
        <v>57.581420000000001</v>
      </c>
      <c r="AL485">
        <v>57.2</v>
      </c>
      <c r="AM485">
        <v>40.343220000000002</v>
      </c>
      <c r="AN485">
        <v>31.049499999999998</v>
      </c>
      <c r="AO485">
        <v>0.49232340000000002</v>
      </c>
      <c r="AP485">
        <v>38.798439999999999</v>
      </c>
      <c r="AT485">
        <v>0.14909549999999999</v>
      </c>
      <c r="AU485">
        <v>59.506140000000002</v>
      </c>
      <c r="AV485">
        <v>2.7993380000000002E-2</v>
      </c>
      <c r="AW485">
        <v>51.937199999999997</v>
      </c>
      <c r="AX485">
        <v>16.602630000000001</v>
      </c>
    </row>
    <row r="486" spans="1:50" x14ac:dyDescent="0.35">
      <c r="A486" s="75">
        <v>32629</v>
      </c>
      <c r="B486">
        <v>57.217910000000003</v>
      </c>
      <c r="C486">
        <v>58.921050000000001</v>
      </c>
      <c r="D486">
        <v>7.9189999999999999E-6</v>
      </c>
      <c r="E486">
        <v>58.941270000000003</v>
      </c>
      <c r="F486">
        <v>72.879409999999993</v>
      </c>
      <c r="G486">
        <v>19.472799999999999</v>
      </c>
      <c r="I486">
        <v>6.0858220000000003</v>
      </c>
      <c r="J486">
        <v>5.8094320000000002</v>
      </c>
      <c r="L486">
        <v>61.323599999999999</v>
      </c>
      <c r="M486">
        <v>60.200580000000002</v>
      </c>
      <c r="O486">
        <v>44.945950000000003</v>
      </c>
      <c r="R486">
        <v>61.693370000000002</v>
      </c>
      <c r="S486">
        <v>65.243769999999998</v>
      </c>
      <c r="U486">
        <v>57.473730000000003</v>
      </c>
      <c r="V486">
        <v>50.9</v>
      </c>
      <c r="W486">
        <v>24.089020000000001</v>
      </c>
      <c r="X486">
        <v>6.370603</v>
      </c>
      <c r="Y486">
        <v>8.8913379999999993</v>
      </c>
      <c r="Z486">
        <v>14.0129</v>
      </c>
      <c r="AA486">
        <v>55.972679999999997</v>
      </c>
      <c r="AB486">
        <v>28.589449999999999</v>
      </c>
      <c r="AC486">
        <v>25.50403</v>
      </c>
      <c r="AD486">
        <v>48.551740000000002</v>
      </c>
      <c r="AE486">
        <v>88.979389999999995</v>
      </c>
      <c r="AF486">
        <v>37.325180000000003</v>
      </c>
      <c r="AH486">
        <v>57.146920000000001</v>
      </c>
      <c r="AJ486">
        <v>7.6357670000000004</v>
      </c>
      <c r="AK486">
        <v>57.581420000000001</v>
      </c>
      <c r="AL486">
        <v>57.4</v>
      </c>
      <c r="AM486">
        <v>40.580959999999997</v>
      </c>
      <c r="AN486">
        <v>31.203990000000001</v>
      </c>
      <c r="AO486">
        <v>0.56265529999999997</v>
      </c>
      <c r="AP486">
        <v>38.867109999999997</v>
      </c>
      <c r="AT486">
        <v>0.1813681</v>
      </c>
      <c r="AU486">
        <v>59.76144</v>
      </c>
      <c r="AV486">
        <v>2.8845920000000001E-2</v>
      </c>
      <c r="AW486">
        <v>52.23254</v>
      </c>
      <c r="AX486">
        <v>16.83258</v>
      </c>
    </row>
    <row r="487" spans="1:50" x14ac:dyDescent="0.35">
      <c r="A487" s="75">
        <v>32660</v>
      </c>
      <c r="B487">
        <v>57.376959999999997</v>
      </c>
      <c r="C487">
        <v>59.033760000000001</v>
      </c>
      <c r="D487">
        <v>1.0188E-5</v>
      </c>
      <c r="E487">
        <v>59.1783</v>
      </c>
      <c r="F487">
        <v>73.003910000000005</v>
      </c>
      <c r="G487">
        <v>19.816569999999999</v>
      </c>
      <c r="I487">
        <v>6.1674009999999999</v>
      </c>
      <c r="J487">
        <v>5.8685910000000003</v>
      </c>
      <c r="L487">
        <v>61.388840000000002</v>
      </c>
      <c r="M487">
        <v>60.026690000000002</v>
      </c>
      <c r="O487">
        <v>45.190809999999999</v>
      </c>
      <c r="R487">
        <v>62.240519999999997</v>
      </c>
      <c r="S487">
        <v>65.31729</v>
      </c>
      <c r="U487">
        <v>57.588920000000002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37.387090000000001</v>
      </c>
      <c r="AH487">
        <v>57.309420000000003</v>
      </c>
      <c r="AJ487">
        <v>7.7285009999999996</v>
      </c>
      <c r="AK487">
        <v>57.524410000000003</v>
      </c>
      <c r="AL487">
        <v>57.7</v>
      </c>
      <c r="AM487">
        <v>40.704740000000001</v>
      </c>
      <c r="AN487">
        <v>31.320340000000002</v>
      </c>
      <c r="AO487">
        <v>0.56265529999999997</v>
      </c>
      <c r="AP487">
        <v>39.127850000000002</v>
      </c>
      <c r="AT487">
        <v>0.23316219999999999</v>
      </c>
      <c r="AU487">
        <v>59.956119999999999</v>
      </c>
      <c r="AV487">
        <v>2.9450250000000001E-2</v>
      </c>
      <c r="AW487">
        <v>52.359110000000001</v>
      </c>
      <c r="AX487">
        <v>17.016539999999999</v>
      </c>
    </row>
    <row r="488" spans="1:50" x14ac:dyDescent="0.35">
      <c r="A488" s="75">
        <v>32690</v>
      </c>
      <c r="B488">
        <v>58.092680000000001</v>
      </c>
      <c r="C488">
        <v>59.223959999999998</v>
      </c>
      <c r="D488">
        <v>1.3013999999999999E-5</v>
      </c>
      <c r="E488">
        <v>59.573349999999998</v>
      </c>
      <c r="F488">
        <v>72.842320000000001</v>
      </c>
      <c r="G488">
        <v>20.177530000000001</v>
      </c>
      <c r="I488">
        <v>6.2652960000000002</v>
      </c>
      <c r="J488">
        <v>5.9309770000000004</v>
      </c>
      <c r="L488">
        <v>61.323599999999999</v>
      </c>
      <c r="M488">
        <v>60.026690000000002</v>
      </c>
      <c r="O488">
        <v>45.924340000000001</v>
      </c>
      <c r="R488">
        <v>62.178579999999997</v>
      </c>
      <c r="S488">
        <v>65.501080000000002</v>
      </c>
      <c r="U488">
        <v>57.666739999999997</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37.356470000000002</v>
      </c>
      <c r="AH488">
        <v>57.477159999999998</v>
      </c>
      <c r="AJ488">
        <v>7.805809</v>
      </c>
      <c r="AK488">
        <v>57.695439999999998</v>
      </c>
      <c r="AL488">
        <v>57.8</v>
      </c>
      <c r="AM488">
        <v>40.842300000000002</v>
      </c>
      <c r="AN488">
        <v>31.446290000000001</v>
      </c>
      <c r="AO488">
        <v>0.63298719999999997</v>
      </c>
      <c r="AP488">
        <v>39.493079999999999</v>
      </c>
      <c r="AT488">
        <v>0.30726599999999998</v>
      </c>
      <c r="AU488">
        <v>59.978459999999998</v>
      </c>
      <c r="AV488">
        <v>3.034595E-2</v>
      </c>
      <c r="AW488">
        <v>52.485689999999998</v>
      </c>
      <c r="AX488">
        <v>17.200510000000001</v>
      </c>
    </row>
    <row r="489" spans="1:50" x14ac:dyDescent="0.35">
      <c r="A489" s="75">
        <v>32721</v>
      </c>
      <c r="B489">
        <v>58.311369999999997</v>
      </c>
      <c r="C489">
        <v>59.421210000000002</v>
      </c>
      <c r="D489">
        <v>1.7401000000000002E-5</v>
      </c>
      <c r="E489">
        <v>59.652360000000002</v>
      </c>
      <c r="F489">
        <v>73.084199999999996</v>
      </c>
      <c r="G489">
        <v>20.37998</v>
      </c>
      <c r="I489">
        <v>6.346876</v>
      </c>
      <c r="J489">
        <v>5.9847580000000002</v>
      </c>
      <c r="L489">
        <v>61.323599999999999</v>
      </c>
      <c r="M489">
        <v>60.374470000000002</v>
      </c>
      <c r="O489">
        <v>46.029899999999998</v>
      </c>
      <c r="R489">
        <v>62.26117</v>
      </c>
      <c r="S489">
        <v>65.611339999999998</v>
      </c>
      <c r="U489">
        <v>57.732349999999997</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37.636740000000003</v>
      </c>
      <c r="AH489">
        <v>57.561030000000002</v>
      </c>
      <c r="AJ489">
        <v>7.8801740000000002</v>
      </c>
      <c r="AK489">
        <v>57.86647</v>
      </c>
      <c r="AL489">
        <v>57.6</v>
      </c>
      <c r="AM489">
        <v>40.95073</v>
      </c>
      <c r="AN489">
        <v>31.57366</v>
      </c>
      <c r="AO489">
        <v>0.84398289999999998</v>
      </c>
      <c r="AP489">
        <v>40.143940000000001</v>
      </c>
      <c r="AT489">
        <v>0.40344269999999999</v>
      </c>
      <c r="AU489">
        <v>60.214619999999996</v>
      </c>
      <c r="AV489">
        <v>3.1414320000000003E-2</v>
      </c>
      <c r="AW489">
        <v>52.570070000000001</v>
      </c>
      <c r="AX489">
        <v>17.43046</v>
      </c>
    </row>
    <row r="490" spans="1:50" x14ac:dyDescent="0.35">
      <c r="A490" s="75">
        <v>32752</v>
      </c>
      <c r="B490">
        <v>57.873989999999999</v>
      </c>
      <c r="C490">
        <v>59.717089999999999</v>
      </c>
      <c r="D490">
        <v>2.3937000000000001E-5</v>
      </c>
      <c r="E490">
        <v>59.731369999999998</v>
      </c>
      <c r="F490">
        <v>73.402060000000006</v>
      </c>
      <c r="G490">
        <v>20.813510000000001</v>
      </c>
      <c r="I490">
        <v>6.4366130000000004</v>
      </c>
      <c r="J490">
        <v>6.0385390000000001</v>
      </c>
      <c r="L490">
        <v>61.388840000000002</v>
      </c>
      <c r="M490">
        <v>60.58314</v>
      </c>
      <c r="O490">
        <v>46.516919999999999</v>
      </c>
      <c r="R490">
        <v>62.937359999999998</v>
      </c>
      <c r="S490">
        <v>65.758369999999999</v>
      </c>
      <c r="U490">
        <v>57.969459999999998</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37.979590000000002</v>
      </c>
      <c r="AH490">
        <v>57.723529999999997</v>
      </c>
      <c r="AJ490">
        <v>7.9555379999999998</v>
      </c>
      <c r="AK490">
        <v>58.151530000000001</v>
      </c>
      <c r="AL490">
        <v>58.1</v>
      </c>
      <c r="AM490">
        <v>41.19988</v>
      </c>
      <c r="AN490">
        <v>31.834859999999999</v>
      </c>
      <c r="AO490">
        <v>1.125311</v>
      </c>
      <c r="AP490">
        <v>40.230519999999999</v>
      </c>
      <c r="AT490">
        <v>0.60880449999999997</v>
      </c>
      <c r="AU490">
        <v>60.699710000000003</v>
      </c>
      <c r="AV490">
        <v>3.3184129999999999E-2</v>
      </c>
      <c r="AW490">
        <v>52.73883</v>
      </c>
      <c r="AX490">
        <v>17.568429999999999</v>
      </c>
    </row>
    <row r="491" spans="1:50" x14ac:dyDescent="0.35">
      <c r="A491" s="75">
        <v>32782</v>
      </c>
      <c r="B491">
        <v>57.873989999999999</v>
      </c>
      <c r="C491">
        <v>59.787529999999997</v>
      </c>
      <c r="D491">
        <v>3.3457000000000002E-5</v>
      </c>
      <c r="E491">
        <v>59.968400000000003</v>
      </c>
      <c r="F491">
        <v>73.692160000000001</v>
      </c>
      <c r="G491">
        <v>21.4132</v>
      </c>
      <c r="I491">
        <v>6.5426659999999996</v>
      </c>
      <c r="J491">
        <v>6.1106059999999998</v>
      </c>
      <c r="L491">
        <v>61.58455</v>
      </c>
      <c r="M491">
        <v>60.93092</v>
      </c>
      <c r="O491">
        <v>46.704650000000001</v>
      </c>
      <c r="R491">
        <v>63.164479999999998</v>
      </c>
      <c r="S491">
        <v>66.052430000000001</v>
      </c>
      <c r="U491">
        <v>58.27722</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38.072789999999998</v>
      </c>
      <c r="AH491">
        <v>58.043289999999999</v>
      </c>
      <c r="AJ491">
        <v>8.0731950000000001</v>
      </c>
      <c r="AK491">
        <v>58.208539999999999</v>
      </c>
      <c r="AL491">
        <v>58.2</v>
      </c>
      <c r="AM491">
        <v>41.500500000000002</v>
      </c>
      <c r="AN491">
        <v>32.12189</v>
      </c>
      <c r="AO491">
        <v>1.6879660000000001</v>
      </c>
      <c r="AP491">
        <v>40.430549999999997</v>
      </c>
      <c r="AT491">
        <v>0.9142612</v>
      </c>
      <c r="AU491">
        <v>61.226280000000003</v>
      </c>
      <c r="AV491">
        <v>3.5234540000000002E-2</v>
      </c>
      <c r="AW491">
        <v>52.991979999999998</v>
      </c>
      <c r="AX491">
        <v>17.706399999999999</v>
      </c>
    </row>
    <row r="492" spans="1:50" x14ac:dyDescent="0.35">
      <c r="A492" s="75">
        <v>32813</v>
      </c>
      <c r="B492">
        <v>57.7547</v>
      </c>
      <c r="C492">
        <v>59.710039999999999</v>
      </c>
      <c r="D492">
        <v>4.9456000000000002E-5</v>
      </c>
      <c r="E492">
        <v>60.126420000000003</v>
      </c>
      <c r="F492">
        <v>74.542900000000003</v>
      </c>
      <c r="G492">
        <v>21.78181</v>
      </c>
      <c r="I492">
        <v>6.6568769999999997</v>
      </c>
      <c r="J492">
        <v>6.1686899999999998</v>
      </c>
      <c r="L492">
        <v>61.715029999999999</v>
      </c>
      <c r="M492">
        <v>61.209139999999998</v>
      </c>
      <c r="O492">
        <v>46.780290000000001</v>
      </c>
      <c r="R492">
        <v>63.123179999999998</v>
      </c>
      <c r="S492">
        <v>66.162700000000001</v>
      </c>
      <c r="U492">
        <v>58.332070000000002</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38.135370000000002</v>
      </c>
      <c r="AH492">
        <v>58.148119999999999</v>
      </c>
      <c r="AJ492">
        <v>8.1865159999999992</v>
      </c>
      <c r="AK492">
        <v>58.208539999999999</v>
      </c>
      <c r="AL492">
        <v>58.2</v>
      </c>
      <c r="AM492">
        <v>41.619259999999997</v>
      </c>
      <c r="AN492">
        <v>32.311529999999998</v>
      </c>
      <c r="AO492">
        <v>2.039625</v>
      </c>
      <c r="AP492">
        <v>40.808720000000001</v>
      </c>
      <c r="AT492">
        <v>1.305415</v>
      </c>
      <c r="AU492">
        <v>61.322020000000002</v>
      </c>
      <c r="AV492">
        <v>3.6766939999999998E-2</v>
      </c>
      <c r="AW492">
        <v>53.118549999999999</v>
      </c>
      <c r="AX492">
        <v>17.936360000000001</v>
      </c>
    </row>
    <row r="493" spans="1:50" x14ac:dyDescent="0.35">
      <c r="A493" s="75">
        <v>32843</v>
      </c>
      <c r="B493">
        <v>57.873989999999999</v>
      </c>
      <c r="C493">
        <v>59.942509999999999</v>
      </c>
      <c r="D493">
        <v>7.4925999999999994E-5</v>
      </c>
      <c r="E493">
        <v>60.126420000000003</v>
      </c>
      <c r="F493">
        <v>75.090919999999997</v>
      </c>
      <c r="G493">
        <v>22.24399</v>
      </c>
      <c r="I493">
        <v>6.754772</v>
      </c>
      <c r="J493">
        <v>6.2106389999999996</v>
      </c>
      <c r="L493">
        <v>61.910739999999997</v>
      </c>
      <c r="M493">
        <v>61.209139999999998</v>
      </c>
      <c r="O493">
        <v>46.962580000000003</v>
      </c>
      <c r="R493">
        <v>63.47419</v>
      </c>
      <c r="S493">
        <v>66.23621</v>
      </c>
      <c r="U493">
        <v>58.437629999999999</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38.104080000000003</v>
      </c>
      <c r="AH493">
        <v>58.216270000000002</v>
      </c>
      <c r="AJ493">
        <v>8.4627979999999994</v>
      </c>
      <c r="AK493">
        <v>58.208539999999999</v>
      </c>
      <c r="AL493">
        <v>58.2</v>
      </c>
      <c r="AM493">
        <v>41.788809999999998</v>
      </c>
      <c r="AN493">
        <v>32.469239999999999</v>
      </c>
      <c r="AO493">
        <v>2.3912849999999999</v>
      </c>
      <c r="AP493">
        <v>41.237650000000002</v>
      </c>
      <c r="AT493">
        <v>2.064908</v>
      </c>
      <c r="AU493">
        <v>61.54222</v>
      </c>
      <c r="AV493">
        <v>3.7619479999999997E-2</v>
      </c>
      <c r="AW493">
        <v>53.202930000000002</v>
      </c>
      <c r="AX493">
        <v>18.166309999999999</v>
      </c>
    </row>
    <row r="494" spans="1:50" x14ac:dyDescent="0.35">
      <c r="A494" s="75">
        <v>32874</v>
      </c>
      <c r="B494">
        <v>58.251730000000002</v>
      </c>
      <c r="C494">
        <v>60.167940000000002</v>
      </c>
      <c r="D494">
        <v>1.2553799999999999E-4</v>
      </c>
      <c r="E494">
        <v>60.600479999999997</v>
      </c>
      <c r="F494">
        <v>75.532880000000006</v>
      </c>
      <c r="G494">
        <v>22.799520000000001</v>
      </c>
      <c r="I494">
        <v>6.9750370000000004</v>
      </c>
      <c r="J494">
        <v>6.3977969999999997</v>
      </c>
      <c r="L494">
        <v>62.236930000000001</v>
      </c>
      <c r="M494">
        <v>60.82658</v>
      </c>
      <c r="N494">
        <v>57.942970000000003</v>
      </c>
      <c r="O494">
        <v>47.419670000000004</v>
      </c>
      <c r="R494">
        <v>64.403310000000005</v>
      </c>
      <c r="S494">
        <v>66.42</v>
      </c>
      <c r="U494">
        <v>58.893009999999997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38.985500000000002</v>
      </c>
      <c r="AH494">
        <v>58.656590000000001</v>
      </c>
      <c r="AJ494">
        <v>8.8712289999999996</v>
      </c>
      <c r="AK494">
        <v>58.151530000000001</v>
      </c>
      <c r="AL494">
        <v>58.6</v>
      </c>
      <c r="AM494">
        <v>42.228499999999997</v>
      </c>
      <c r="AN494">
        <v>32.724939999999997</v>
      </c>
      <c r="AO494">
        <v>4.2902459999999998</v>
      </c>
      <c r="AP494">
        <v>42.22786</v>
      </c>
      <c r="AT494">
        <v>2.9212500000000001</v>
      </c>
      <c r="AU494">
        <v>63.297469999999997</v>
      </c>
      <c r="AV494">
        <v>3.9065549999999997E-2</v>
      </c>
      <c r="AW494">
        <v>53.751420000000003</v>
      </c>
      <c r="AX494">
        <v>18.396260000000002</v>
      </c>
    </row>
    <row r="495" spans="1:50" x14ac:dyDescent="0.35">
      <c r="A495" s="75">
        <v>32905</v>
      </c>
      <c r="B495">
        <v>58.689109999999999</v>
      </c>
      <c r="C495">
        <v>60.30883</v>
      </c>
      <c r="D495">
        <v>2.20609E-4</v>
      </c>
      <c r="E495">
        <v>60.995519999999999</v>
      </c>
      <c r="F495">
        <v>75.777869999999993</v>
      </c>
      <c r="G495">
        <v>22.86673</v>
      </c>
      <c r="I495">
        <v>7.2360910000000001</v>
      </c>
      <c r="J495">
        <v>6.4386710000000003</v>
      </c>
      <c r="L495">
        <v>62.497880000000002</v>
      </c>
      <c r="M495">
        <v>60.965699999999998</v>
      </c>
      <c r="N495">
        <v>58.15652</v>
      </c>
      <c r="O495">
        <v>47.720579999999998</v>
      </c>
      <c r="R495">
        <v>64.686120000000003</v>
      </c>
      <c r="S495">
        <v>66.56</v>
      </c>
      <c r="U495">
        <v>59.165199999999999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39.229010000000002</v>
      </c>
      <c r="AH495">
        <v>58.621049999999997</v>
      </c>
      <c r="AJ495">
        <v>9.0721109999999996</v>
      </c>
      <c r="AK495">
        <v>58.379579999999997</v>
      </c>
      <c r="AL495">
        <v>58.8</v>
      </c>
      <c r="AM495">
        <v>42.486750000000001</v>
      </c>
      <c r="AN495">
        <v>32.96931</v>
      </c>
      <c r="AO495">
        <v>5.2748929999999996</v>
      </c>
      <c r="AP495">
        <v>43.169310000000003</v>
      </c>
      <c r="AT495">
        <v>3.194617</v>
      </c>
      <c r="AU495">
        <v>63.508110000000002</v>
      </c>
      <c r="AV495">
        <v>4.0792200000000001E-2</v>
      </c>
      <c r="AW495">
        <v>54.004570000000001</v>
      </c>
      <c r="AX495">
        <v>18.53424</v>
      </c>
    </row>
    <row r="496" spans="1:50" x14ac:dyDescent="0.35">
      <c r="A496" s="75">
        <v>32933</v>
      </c>
      <c r="B496">
        <v>58.728879999999997</v>
      </c>
      <c r="C496">
        <v>60.456769999999999</v>
      </c>
      <c r="D496">
        <v>4.0236800000000001E-4</v>
      </c>
      <c r="E496">
        <v>61.232550000000003</v>
      </c>
      <c r="F496">
        <v>76.038799999999995</v>
      </c>
      <c r="G496">
        <v>23.41883</v>
      </c>
      <c r="I496">
        <v>7.4481970000000004</v>
      </c>
      <c r="J496">
        <v>6.5387029999999999</v>
      </c>
      <c r="L496">
        <v>62.497880000000002</v>
      </c>
      <c r="M496">
        <v>61.174370000000003</v>
      </c>
      <c r="N496">
        <v>58.29889</v>
      </c>
      <c r="O496">
        <v>47.89526</v>
      </c>
      <c r="R496">
        <v>64.942629999999994</v>
      </c>
      <c r="S496">
        <v>66.72</v>
      </c>
      <c r="U496">
        <v>59.405569999999997</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39.634869999999999</v>
      </c>
      <c r="AH496">
        <v>58.561819999999997</v>
      </c>
      <c r="AJ496">
        <v>9.2320460000000004</v>
      </c>
      <c r="AK496">
        <v>58.607619999999997</v>
      </c>
      <c r="AL496">
        <v>59.5</v>
      </c>
      <c r="AM496">
        <v>42.741199999999999</v>
      </c>
      <c r="AN496">
        <v>33.175750000000001</v>
      </c>
      <c r="AO496">
        <v>5.4858890000000002</v>
      </c>
      <c r="AP496">
        <v>43.422089999999997</v>
      </c>
      <c r="AT496">
        <v>3.2583790000000001</v>
      </c>
      <c r="AU496">
        <v>65.253780000000006</v>
      </c>
      <c r="AV496">
        <v>4.2907349999999997E-2</v>
      </c>
      <c r="AW496">
        <v>54.299900000000001</v>
      </c>
      <c r="AX496">
        <v>18.810179999999999</v>
      </c>
    </row>
    <row r="497" spans="1:50" x14ac:dyDescent="0.35">
      <c r="A497" s="75">
        <v>32964</v>
      </c>
      <c r="B497">
        <v>58.907809999999998</v>
      </c>
      <c r="C497">
        <v>60.73151</v>
      </c>
      <c r="D497">
        <v>4.64816E-4</v>
      </c>
      <c r="E497">
        <v>61.232550000000003</v>
      </c>
      <c r="F497">
        <v>76.195269999999994</v>
      </c>
      <c r="G497">
        <v>23.834820000000001</v>
      </c>
      <c r="I497">
        <v>7.652145</v>
      </c>
      <c r="J497">
        <v>6.6731559999999996</v>
      </c>
      <c r="L497">
        <v>62.628360000000001</v>
      </c>
      <c r="M497">
        <v>61.209139999999998</v>
      </c>
      <c r="N497">
        <v>58.512439999999998</v>
      </c>
      <c r="O497">
        <v>48.004089999999998</v>
      </c>
      <c r="R497">
        <v>65.304370000000006</v>
      </c>
      <c r="S497">
        <v>67.09</v>
      </c>
      <c r="U497">
        <v>59.684399999999997</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40.08184</v>
      </c>
      <c r="AH497">
        <v>58.715809999999998</v>
      </c>
      <c r="AJ497">
        <v>9.3725539999999992</v>
      </c>
      <c r="AK497">
        <v>58.83567</v>
      </c>
      <c r="AL497">
        <v>59.5</v>
      </c>
      <c r="AM497">
        <v>43.028660000000002</v>
      </c>
      <c r="AN497">
        <v>33.510840000000002</v>
      </c>
      <c r="AO497">
        <v>5.9078809999999997</v>
      </c>
      <c r="AP497">
        <v>43.922669999999997</v>
      </c>
      <c r="AT497">
        <v>3.4160469999999998</v>
      </c>
      <c r="AU497">
        <v>65.489940000000004</v>
      </c>
      <c r="AV497">
        <v>4.5756329999999998E-2</v>
      </c>
      <c r="AW497">
        <v>54.384279999999997</v>
      </c>
      <c r="AX497">
        <v>18.994140000000002</v>
      </c>
    </row>
    <row r="498" spans="1:50" x14ac:dyDescent="0.35">
      <c r="A498" s="75">
        <v>32994</v>
      </c>
      <c r="B498">
        <v>58.947569999999999</v>
      </c>
      <c r="C498">
        <v>60.75264</v>
      </c>
      <c r="D498">
        <v>5.0009499999999999E-4</v>
      </c>
      <c r="E498">
        <v>61.548589999999997</v>
      </c>
      <c r="F498">
        <v>76.565759999999997</v>
      </c>
      <c r="G498">
        <v>24.198070000000001</v>
      </c>
      <c r="I498">
        <v>7.8071469999999996</v>
      </c>
      <c r="J498">
        <v>6.7602820000000001</v>
      </c>
      <c r="L498">
        <v>62.758830000000003</v>
      </c>
      <c r="M498">
        <v>61.661250000000003</v>
      </c>
      <c r="N498">
        <v>58.654800000000002</v>
      </c>
      <c r="O498">
        <v>48.000279999999997</v>
      </c>
      <c r="R498">
        <v>65.527990000000003</v>
      </c>
      <c r="S498">
        <v>67.19</v>
      </c>
      <c r="U498">
        <v>59.884079999999997</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40.527760000000001</v>
      </c>
      <c r="AH498">
        <v>58.822409999999998</v>
      </c>
      <c r="AJ498">
        <v>9.5361119999999993</v>
      </c>
      <c r="AK498">
        <v>58.892679999999999</v>
      </c>
      <c r="AL498">
        <v>59.6</v>
      </c>
      <c r="AM498">
        <v>43.233089999999997</v>
      </c>
      <c r="AN498">
        <v>33.703380000000003</v>
      </c>
      <c r="AO498">
        <v>6.1892079999999998</v>
      </c>
      <c r="AP498">
        <v>44.388420000000004</v>
      </c>
      <c r="AT498">
        <v>3.4617239999999998</v>
      </c>
      <c r="AU498">
        <v>65.863330000000005</v>
      </c>
      <c r="AV498">
        <v>4.7159239999999998E-2</v>
      </c>
      <c r="AW498">
        <v>54.510860000000001</v>
      </c>
      <c r="AX498">
        <v>19.178100000000001</v>
      </c>
    </row>
    <row r="499" spans="1:50" x14ac:dyDescent="0.35">
      <c r="A499" s="75">
        <v>33025</v>
      </c>
      <c r="B499">
        <v>59.066859999999998</v>
      </c>
      <c r="C499">
        <v>60.787860000000002</v>
      </c>
      <c r="D499">
        <v>5.5885600000000004E-4</v>
      </c>
      <c r="E499">
        <v>61.785620000000002</v>
      </c>
      <c r="F499">
        <v>76.672520000000006</v>
      </c>
      <c r="G499">
        <v>24.728899999999999</v>
      </c>
      <c r="I499">
        <v>7.953989</v>
      </c>
      <c r="J499">
        <v>6.927003</v>
      </c>
      <c r="L499">
        <v>62.824069999999999</v>
      </c>
      <c r="M499">
        <v>61.52214</v>
      </c>
      <c r="N499">
        <v>58.725990000000003</v>
      </c>
      <c r="O499">
        <v>48.148290000000003</v>
      </c>
      <c r="R499">
        <v>65.777919999999995</v>
      </c>
      <c r="S499">
        <v>67.180000000000007</v>
      </c>
      <c r="U499">
        <v>60.067979999999999</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40.729100000000003</v>
      </c>
      <c r="AH499">
        <v>58.83426</v>
      </c>
      <c r="AJ499">
        <v>9.7461409999999997</v>
      </c>
      <c r="AK499">
        <v>58.83567</v>
      </c>
      <c r="AL499">
        <v>59.8</v>
      </c>
      <c r="AM499">
        <v>43.412649999999999</v>
      </c>
      <c r="AN499">
        <v>33.812609999999999</v>
      </c>
      <c r="AO499">
        <v>6.4002039999999996</v>
      </c>
      <c r="AP499">
        <v>44.518790000000003</v>
      </c>
      <c r="AT499">
        <v>3.390774</v>
      </c>
      <c r="AU499">
        <v>65.821849999999998</v>
      </c>
      <c r="AV499">
        <v>4.7871490000000003E-2</v>
      </c>
      <c r="AW499">
        <v>54.806190000000001</v>
      </c>
      <c r="AX499">
        <v>19.316079999999999</v>
      </c>
    </row>
    <row r="500" spans="1:50" x14ac:dyDescent="0.35">
      <c r="A500" s="75">
        <v>33055</v>
      </c>
      <c r="B500">
        <v>59.822339999999997</v>
      </c>
      <c r="C500">
        <v>61.006250000000001</v>
      </c>
      <c r="D500">
        <v>6.3106100000000004E-4</v>
      </c>
      <c r="E500">
        <v>62.022649999999999</v>
      </c>
      <c r="F500">
        <v>76.710210000000004</v>
      </c>
      <c r="G500">
        <v>25.141490000000001</v>
      </c>
      <c r="I500">
        <v>8.0600419999999993</v>
      </c>
      <c r="J500">
        <v>7.1077079999999997</v>
      </c>
      <c r="L500">
        <v>62.824069999999999</v>
      </c>
      <c r="M500">
        <v>61.313479999999998</v>
      </c>
      <c r="N500">
        <v>58.797170000000001</v>
      </c>
      <c r="O500">
        <v>48.795279999999998</v>
      </c>
      <c r="R500">
        <v>65.784499999999994</v>
      </c>
      <c r="S500">
        <v>67.2</v>
      </c>
      <c r="U500">
        <v>60.18768</v>
      </c>
      <c r="V500">
        <v>55.2</v>
      </c>
      <c r="W500">
        <v>29.64068</v>
      </c>
      <c r="X500">
        <v>8.322146</v>
      </c>
      <c r="Y500">
        <v>9.7036169999999995</v>
      </c>
      <c r="Z500">
        <v>15.67123</v>
      </c>
      <c r="AA500">
        <v>58.431930000000001</v>
      </c>
      <c r="AB500">
        <v>34.223179999999999</v>
      </c>
      <c r="AC500">
        <v>30.544360000000001</v>
      </c>
      <c r="AD500">
        <v>51.862079999999999</v>
      </c>
      <c r="AE500">
        <v>90.811909999999997</v>
      </c>
      <c r="AF500">
        <v>40.851390000000002</v>
      </c>
      <c r="AH500">
        <v>58.875720000000001</v>
      </c>
      <c r="AJ500">
        <v>9.9238809999999997</v>
      </c>
      <c r="AK500">
        <v>59.06371</v>
      </c>
      <c r="AL500">
        <v>59.9</v>
      </c>
      <c r="AM500">
        <v>43.546469999999999</v>
      </c>
      <c r="AN500">
        <v>33.874130000000001</v>
      </c>
      <c r="AO500">
        <v>6.6112000000000002</v>
      </c>
      <c r="AP500">
        <v>44.83426</v>
      </c>
      <c r="AT500">
        <v>3.4172060000000002</v>
      </c>
      <c r="AU500">
        <v>66.44735</v>
      </c>
      <c r="AV500">
        <v>4.7429029999999997E-2</v>
      </c>
      <c r="AW500">
        <v>55.017150000000001</v>
      </c>
      <c r="AX500">
        <v>19.454049999999999</v>
      </c>
    </row>
    <row r="501" spans="1:50" x14ac:dyDescent="0.35">
      <c r="A501" s="75">
        <v>33086</v>
      </c>
      <c r="B501">
        <v>60.140439999999998</v>
      </c>
      <c r="C501">
        <v>61.35848</v>
      </c>
      <c r="D501">
        <v>7.1234100000000002E-4</v>
      </c>
      <c r="E501">
        <v>62.101660000000003</v>
      </c>
      <c r="F501">
        <v>77.530270000000002</v>
      </c>
      <c r="G501">
        <v>25.647649999999999</v>
      </c>
      <c r="I501">
        <v>8.1905699999999992</v>
      </c>
      <c r="J501">
        <v>7.2572190000000001</v>
      </c>
      <c r="L501">
        <v>63.01979</v>
      </c>
      <c r="M501">
        <v>61.939480000000003</v>
      </c>
      <c r="N501">
        <v>59.153080000000003</v>
      </c>
      <c r="O501">
        <v>49.009140000000002</v>
      </c>
      <c r="R501">
        <v>66.093630000000005</v>
      </c>
      <c r="S501">
        <v>67.64</v>
      </c>
      <c r="U501">
        <v>60.612000000000002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41.014789999999998</v>
      </c>
      <c r="AH501">
        <v>59.136310000000002</v>
      </c>
      <c r="AJ501">
        <v>10.092969999999999</v>
      </c>
      <c r="AK501">
        <v>59.234749999999998</v>
      </c>
      <c r="AL501">
        <v>59.8</v>
      </c>
      <c r="AM501">
        <v>43.87473</v>
      </c>
      <c r="AN501">
        <v>34.112079999999999</v>
      </c>
      <c r="AO501">
        <v>6.7518630000000002</v>
      </c>
      <c r="AP501">
        <v>45.366689999999998</v>
      </c>
      <c r="AT501">
        <v>3.378253</v>
      </c>
      <c r="AU501">
        <v>66.903720000000007</v>
      </c>
      <c r="AV501">
        <v>4.8637689999999997E-2</v>
      </c>
      <c r="AW501">
        <v>55.523449999999997</v>
      </c>
      <c r="AX501">
        <v>19.775980000000001</v>
      </c>
    </row>
    <row r="502" spans="1:50" x14ac:dyDescent="0.35">
      <c r="A502" s="75">
        <v>33117</v>
      </c>
      <c r="B502">
        <v>60.041029999999999</v>
      </c>
      <c r="C502">
        <v>61.914999999999999</v>
      </c>
      <c r="D502">
        <v>8.1499000000000003E-4</v>
      </c>
      <c r="E502">
        <v>62.259680000000003</v>
      </c>
      <c r="F502">
        <v>77.898660000000007</v>
      </c>
      <c r="G502">
        <v>26.902429999999999</v>
      </c>
      <c r="I502">
        <v>8.3863599999999998</v>
      </c>
      <c r="J502">
        <v>7.3109999999999999</v>
      </c>
      <c r="L502">
        <v>63.215499999999999</v>
      </c>
      <c r="M502">
        <v>62.461150000000004</v>
      </c>
      <c r="N502">
        <v>59.580179999999999</v>
      </c>
      <c r="O502">
        <v>49.524990000000003</v>
      </c>
      <c r="R502">
        <v>66.540869999999998</v>
      </c>
      <c r="S502">
        <v>68.12</v>
      </c>
      <c r="U502">
        <v>61.049349999999997</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41.258299999999998</v>
      </c>
      <c r="AH502">
        <v>59.497579999999999</v>
      </c>
      <c r="AJ502">
        <v>10.236840000000001</v>
      </c>
      <c r="AK502">
        <v>59.74785</v>
      </c>
      <c r="AL502">
        <v>60.4</v>
      </c>
      <c r="AM502">
        <v>44.291829999999997</v>
      </c>
      <c r="AN502">
        <v>34.513460000000002</v>
      </c>
      <c r="AO502">
        <v>7.0331910000000004</v>
      </c>
      <c r="AP502">
        <v>45.84836</v>
      </c>
      <c r="AT502">
        <v>3.6400269999999999</v>
      </c>
      <c r="AU502">
        <v>67.666449999999998</v>
      </c>
      <c r="AV502">
        <v>5.2867989999999997E-2</v>
      </c>
      <c r="AW502">
        <v>55.987549999999999</v>
      </c>
      <c r="AX502">
        <v>20.097919999999998</v>
      </c>
    </row>
    <row r="503" spans="1:50" x14ac:dyDescent="0.35">
      <c r="A503" s="75">
        <v>33147</v>
      </c>
      <c r="B503">
        <v>60.100670000000001</v>
      </c>
      <c r="C503">
        <v>62.337679999999999</v>
      </c>
      <c r="D503">
        <v>9.3202200000000002E-4</v>
      </c>
      <c r="E503">
        <v>62.812750000000001</v>
      </c>
      <c r="F503">
        <v>78.373099999999994</v>
      </c>
      <c r="G503">
        <v>27.929220000000001</v>
      </c>
      <c r="I503">
        <v>8.5495190000000001</v>
      </c>
      <c r="J503">
        <v>7.4787970000000001</v>
      </c>
      <c r="L503">
        <v>63.672159999999998</v>
      </c>
      <c r="M503">
        <v>62.565480000000001</v>
      </c>
      <c r="N503">
        <v>59.936100000000003</v>
      </c>
      <c r="O503">
        <v>49.964669999999998</v>
      </c>
      <c r="R503">
        <v>66.751339999999999</v>
      </c>
      <c r="S503">
        <v>68.42</v>
      </c>
      <c r="U503">
        <v>61.491</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41.379530000000003</v>
      </c>
      <c r="AH503">
        <v>60.160899999999998</v>
      </c>
      <c r="AJ503">
        <v>10.38401</v>
      </c>
      <c r="AK503">
        <v>59.918880000000001</v>
      </c>
      <c r="AL503">
        <v>60.9</v>
      </c>
      <c r="AM503">
        <v>44.705249999999999</v>
      </c>
      <c r="AN503">
        <v>34.896909999999998</v>
      </c>
      <c r="AO503">
        <v>7.4551829999999999</v>
      </c>
      <c r="AP503">
        <v>46.34695</v>
      </c>
      <c r="AT503">
        <v>3.8899759999999999</v>
      </c>
      <c r="AU503">
        <v>68.110050000000001</v>
      </c>
      <c r="AV503">
        <v>5.6483169999999999E-2</v>
      </c>
      <c r="AW503">
        <v>56.325069999999997</v>
      </c>
      <c r="AX503">
        <v>20.235890000000001</v>
      </c>
    </row>
    <row r="504" spans="1:50" x14ac:dyDescent="0.35">
      <c r="A504" s="75">
        <v>33178</v>
      </c>
      <c r="B504">
        <v>59.881979999999999</v>
      </c>
      <c r="C504">
        <v>62.112250000000003</v>
      </c>
      <c r="D504">
        <v>1.088695E-3</v>
      </c>
      <c r="E504">
        <v>63.207790000000003</v>
      </c>
      <c r="F504">
        <v>79.057040000000001</v>
      </c>
      <c r="G504">
        <v>28.175920000000001</v>
      </c>
      <c r="I504">
        <v>8.7208360000000003</v>
      </c>
      <c r="J504">
        <v>7.6928450000000002</v>
      </c>
      <c r="L504">
        <v>63.541690000000003</v>
      </c>
      <c r="M504">
        <v>62.530700000000003</v>
      </c>
      <c r="N504">
        <v>59.936100000000003</v>
      </c>
      <c r="O504">
        <v>49.914610000000003</v>
      </c>
      <c r="R504">
        <v>66.731610000000003</v>
      </c>
      <c r="S504">
        <v>68.31</v>
      </c>
      <c r="U504">
        <v>61.588920000000002</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41.420639999999999</v>
      </c>
      <c r="AH504">
        <v>60.409649999999999</v>
      </c>
      <c r="AJ504">
        <v>10.65971</v>
      </c>
      <c r="AK504">
        <v>59.861870000000003</v>
      </c>
      <c r="AL504">
        <v>60.9</v>
      </c>
      <c r="AM504">
        <v>44.880249999999997</v>
      </c>
      <c r="AN504">
        <v>35.052590000000002</v>
      </c>
      <c r="AO504">
        <v>7.8068419999999996</v>
      </c>
      <c r="AP504">
        <v>46.648490000000002</v>
      </c>
      <c r="AT504">
        <v>4.0330360000000001</v>
      </c>
      <c r="AU504">
        <v>68.33663</v>
      </c>
      <c r="AV504">
        <v>5.931057E-2</v>
      </c>
      <c r="AW504">
        <v>56.451650000000001</v>
      </c>
      <c r="AX504">
        <v>20.649809999999999</v>
      </c>
    </row>
    <row r="505" spans="1:50" x14ac:dyDescent="0.35">
      <c r="A505" s="75">
        <v>33208</v>
      </c>
      <c r="B505">
        <v>59.881979999999999</v>
      </c>
      <c r="C505">
        <v>62.034759999999999</v>
      </c>
      <c r="D505">
        <v>1.2894510000000001E-3</v>
      </c>
      <c r="E505">
        <v>63.128779999999999</v>
      </c>
      <c r="F505">
        <v>79.05283</v>
      </c>
      <c r="G505">
        <v>28.323090000000001</v>
      </c>
      <c r="I505">
        <v>8.9411000000000005</v>
      </c>
      <c r="J505">
        <v>7.9025920000000003</v>
      </c>
      <c r="L505">
        <v>63.606929999999998</v>
      </c>
      <c r="M505">
        <v>62.356819999999999</v>
      </c>
      <c r="N505">
        <v>59.936100000000003</v>
      </c>
      <c r="O505">
        <v>50.037590000000002</v>
      </c>
      <c r="R505">
        <v>66.672409999999999</v>
      </c>
      <c r="S505">
        <v>68.260000000000005</v>
      </c>
      <c r="U505">
        <v>61.598770000000002</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41.662050000000001</v>
      </c>
      <c r="AG505">
        <v>0.15659999999999999</v>
      </c>
      <c r="AH505">
        <v>60.40372</v>
      </c>
      <c r="AJ505">
        <v>10.99568</v>
      </c>
      <c r="AK505">
        <v>59.74785</v>
      </c>
      <c r="AL505">
        <v>60.7</v>
      </c>
      <c r="AM505">
        <v>44.986629999999998</v>
      </c>
      <c r="AN505">
        <v>35.137410000000003</v>
      </c>
      <c r="AO505">
        <v>8.2991659999999996</v>
      </c>
      <c r="AP505">
        <v>47.008749999999999</v>
      </c>
      <c r="AT505">
        <v>4.1338970000000002</v>
      </c>
      <c r="AU505">
        <v>68.250470000000007</v>
      </c>
      <c r="AV505">
        <v>6.034656E-2</v>
      </c>
      <c r="AW505">
        <v>56.451650000000001</v>
      </c>
      <c r="AX505">
        <v>20.787780000000001</v>
      </c>
    </row>
    <row r="506" spans="1:50" x14ac:dyDescent="0.35">
      <c r="A506" s="75">
        <v>33239</v>
      </c>
      <c r="B506">
        <v>60.20008</v>
      </c>
      <c r="C506">
        <v>62.499699999999997</v>
      </c>
      <c r="D506">
        <v>1.557012E-3</v>
      </c>
      <c r="E506">
        <v>64.787989999999994</v>
      </c>
      <c r="F506">
        <v>79.694270000000003</v>
      </c>
      <c r="G506">
        <v>28.44304</v>
      </c>
      <c r="I506">
        <v>9.2103120000000001</v>
      </c>
      <c r="J506">
        <v>8.1015820000000005</v>
      </c>
      <c r="K506">
        <v>28.462499999999999</v>
      </c>
      <c r="L506">
        <v>63.998359999999998</v>
      </c>
      <c r="M506">
        <v>62.356819999999999</v>
      </c>
      <c r="N506">
        <v>60.292009999999998</v>
      </c>
      <c r="O506">
        <v>50.61983</v>
      </c>
      <c r="R506">
        <v>67.698449999999994</v>
      </c>
      <c r="S506">
        <v>68.64</v>
      </c>
      <c r="U506">
        <v>61.99539</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42.554929999999999</v>
      </c>
      <c r="AG506">
        <v>0.1701</v>
      </c>
      <c r="AH506">
        <v>60.439259999999997</v>
      </c>
      <c r="AI506">
        <v>0.67878070000000001</v>
      </c>
      <c r="AJ506">
        <v>11.27594</v>
      </c>
      <c r="AK506">
        <v>59.830170000000003</v>
      </c>
      <c r="AL506">
        <v>61</v>
      </c>
      <c r="AM506">
        <v>45.37003</v>
      </c>
      <c r="AN506">
        <v>35.427219999999998</v>
      </c>
      <c r="AO506">
        <v>9.3541439999999998</v>
      </c>
      <c r="AP506">
        <v>48.030810000000002</v>
      </c>
      <c r="AS506">
        <v>20.384779999999999</v>
      </c>
      <c r="AT506">
        <v>4.3854680000000004</v>
      </c>
      <c r="AU506">
        <v>69.874870000000001</v>
      </c>
      <c r="AV506">
        <v>6.3281870000000004E-2</v>
      </c>
      <c r="AW506">
        <v>56.789180000000002</v>
      </c>
      <c r="AX506">
        <v>21.01773</v>
      </c>
    </row>
    <row r="507" spans="1:50" x14ac:dyDescent="0.35">
      <c r="A507" s="75">
        <v>33270</v>
      </c>
      <c r="B507">
        <v>60.63747</v>
      </c>
      <c r="C507">
        <v>62.711039999999997</v>
      </c>
      <c r="D507">
        <v>1.879632E-3</v>
      </c>
      <c r="E507">
        <v>64.787989999999994</v>
      </c>
      <c r="F507">
        <v>80.486469999999997</v>
      </c>
      <c r="G507">
        <v>28.479620000000001</v>
      </c>
      <c r="I507">
        <v>9.5284709999999997</v>
      </c>
      <c r="J507">
        <v>8.3403690000000008</v>
      </c>
      <c r="K507">
        <v>30.235420000000001</v>
      </c>
      <c r="L507">
        <v>64.278229999999994</v>
      </c>
      <c r="M507">
        <v>62.530700000000003</v>
      </c>
      <c r="N507">
        <v>60.647930000000002</v>
      </c>
      <c r="O507">
        <v>50.54909</v>
      </c>
      <c r="R507">
        <v>68.014139999999998</v>
      </c>
      <c r="S507">
        <v>68.819999999999993</v>
      </c>
      <c r="U507">
        <v>62.104799999999997</v>
      </c>
      <c r="V507">
        <v>57.2</v>
      </c>
      <c r="W507">
        <v>32.733379999999997</v>
      </c>
      <c r="X507">
        <v>10.31114</v>
      </c>
      <c r="Y507">
        <v>10.053520000000001</v>
      </c>
      <c r="Z507">
        <v>16.74915</v>
      </c>
      <c r="AA507">
        <v>59.218890000000002</v>
      </c>
      <c r="AB507">
        <v>35.06474</v>
      </c>
      <c r="AC507">
        <v>33.467739999999999</v>
      </c>
      <c r="AD507">
        <v>54.108730000000001</v>
      </c>
      <c r="AE507">
        <v>92.949860000000001</v>
      </c>
      <c r="AF507">
        <v>43.123130000000003</v>
      </c>
      <c r="AG507">
        <v>0.18429999999999999</v>
      </c>
      <c r="AH507">
        <v>60.522170000000003</v>
      </c>
      <c r="AI507">
        <v>0.77176429999999996</v>
      </c>
      <c r="AJ507">
        <v>11.47279</v>
      </c>
      <c r="AK507">
        <v>59.889290000000003</v>
      </c>
      <c r="AL507">
        <v>61.2</v>
      </c>
      <c r="AM507">
        <v>45.555349999999997</v>
      </c>
      <c r="AN507">
        <v>35.688740000000003</v>
      </c>
      <c r="AO507">
        <v>9.9871309999999998</v>
      </c>
      <c r="AP507">
        <v>48.848860000000002</v>
      </c>
      <c r="AS507">
        <v>22.175519999999999</v>
      </c>
      <c r="AT507">
        <v>4.782419</v>
      </c>
      <c r="AU507">
        <v>71.815219999999997</v>
      </c>
      <c r="AV507">
        <v>6.6713599999999998E-2</v>
      </c>
      <c r="AW507">
        <v>56.873559999999998</v>
      </c>
      <c r="AX507">
        <v>21.293669999999999</v>
      </c>
    </row>
    <row r="508" spans="1:50" x14ac:dyDescent="0.35">
      <c r="A508" s="75">
        <v>33298</v>
      </c>
      <c r="B508">
        <v>60.796520000000001</v>
      </c>
      <c r="C508">
        <v>62.450389999999999</v>
      </c>
      <c r="D508">
        <v>2.1037389999999999E-3</v>
      </c>
      <c r="E508">
        <v>65.025019999999998</v>
      </c>
      <c r="F508">
        <v>80.499009999999998</v>
      </c>
      <c r="G508">
        <v>28.80969</v>
      </c>
      <c r="I508">
        <v>9.7650520000000007</v>
      </c>
      <c r="J508">
        <v>8.4468560000000004</v>
      </c>
      <c r="K508">
        <v>31.481249999999999</v>
      </c>
      <c r="L508">
        <v>64.278229999999994</v>
      </c>
      <c r="M508">
        <v>62.635039999999996</v>
      </c>
      <c r="N508">
        <v>60.719110000000001</v>
      </c>
      <c r="O508">
        <v>50.713419999999999</v>
      </c>
      <c r="R508">
        <v>68.152270000000001</v>
      </c>
      <c r="S508">
        <v>68.95</v>
      </c>
      <c r="U508">
        <v>62.26585</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43.65128</v>
      </c>
      <c r="AG508">
        <v>0.21579999999999999</v>
      </c>
      <c r="AH508">
        <v>60.640630000000002</v>
      </c>
      <c r="AI508">
        <v>0.81825619999999999</v>
      </c>
      <c r="AJ508">
        <v>11.6364</v>
      </c>
      <c r="AK508">
        <v>60.303139999999999</v>
      </c>
      <c r="AL508">
        <v>61.6</v>
      </c>
      <c r="AM508">
        <v>45.750149999999998</v>
      </c>
      <c r="AN508">
        <v>35.882939999999998</v>
      </c>
      <c r="AO508">
        <v>10.40912</v>
      </c>
      <c r="AP508">
        <v>49.120539999999998</v>
      </c>
      <c r="AS508">
        <v>23.46808</v>
      </c>
      <c r="AT508">
        <v>4.975562</v>
      </c>
      <c r="AU508">
        <v>72.073719999999994</v>
      </c>
      <c r="AV508">
        <v>6.9627330000000001E-2</v>
      </c>
      <c r="AW508">
        <v>56.957940000000001</v>
      </c>
      <c r="AX508">
        <v>21.477640000000001</v>
      </c>
    </row>
    <row r="509" spans="1:50" x14ac:dyDescent="0.35">
      <c r="A509" s="75">
        <v>33329</v>
      </c>
      <c r="B509">
        <v>60.856160000000003</v>
      </c>
      <c r="C509">
        <v>62.485610000000001</v>
      </c>
      <c r="D509">
        <v>2.2087000000000001E-3</v>
      </c>
      <c r="E509">
        <v>65.025019999999998</v>
      </c>
      <c r="F509">
        <v>80.692269999999994</v>
      </c>
      <c r="G509">
        <v>29.341380000000001</v>
      </c>
      <c r="I509">
        <v>10.04242</v>
      </c>
      <c r="J509">
        <v>8.6845680000000005</v>
      </c>
      <c r="K509">
        <v>32.247920000000001</v>
      </c>
      <c r="L509">
        <v>64.558109999999999</v>
      </c>
      <c r="M509">
        <v>62.774149999999999</v>
      </c>
      <c r="N509">
        <v>60.932659999999998</v>
      </c>
      <c r="O509">
        <v>50.823349999999998</v>
      </c>
      <c r="R509">
        <v>68.435079999999999</v>
      </c>
      <c r="S509">
        <v>69.16</v>
      </c>
      <c r="U509">
        <v>62.51258</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43.853679999999997</v>
      </c>
      <c r="AG509">
        <v>0.2742</v>
      </c>
      <c r="AH509">
        <v>60.40372</v>
      </c>
      <c r="AI509">
        <v>0.93913500000000005</v>
      </c>
      <c r="AJ509">
        <v>11.7583</v>
      </c>
      <c r="AK509">
        <v>60.362259999999999</v>
      </c>
      <c r="AL509">
        <v>61.8</v>
      </c>
      <c r="AM509">
        <v>46.011409999999998</v>
      </c>
      <c r="AN509">
        <v>36.244720000000001</v>
      </c>
      <c r="AO509">
        <v>10.69045</v>
      </c>
      <c r="AP509">
        <v>49.460900000000002</v>
      </c>
      <c r="AS509">
        <v>23.656580000000002</v>
      </c>
      <c r="AT509">
        <v>5.1721820000000003</v>
      </c>
      <c r="AU509">
        <v>72.469449999999995</v>
      </c>
      <c r="AV509">
        <v>7.4192170000000002E-2</v>
      </c>
      <c r="AW509">
        <v>57.042319999999997</v>
      </c>
      <c r="AX509">
        <v>21.799569999999999</v>
      </c>
    </row>
    <row r="510" spans="1:50" x14ac:dyDescent="0.35">
      <c r="A510" s="75">
        <v>33359</v>
      </c>
      <c r="B510">
        <v>60.915799999999997</v>
      </c>
      <c r="C510">
        <v>62.711039999999997</v>
      </c>
      <c r="D510">
        <v>2.372847E-3</v>
      </c>
      <c r="E510">
        <v>65.341059999999999</v>
      </c>
      <c r="F510">
        <v>81.373310000000004</v>
      </c>
      <c r="G510">
        <v>30.072130000000001</v>
      </c>
      <c r="I510">
        <v>10.262689999999999</v>
      </c>
      <c r="J510">
        <v>8.8351550000000003</v>
      </c>
      <c r="K510">
        <v>32.870829999999998</v>
      </c>
      <c r="L510">
        <v>64.744690000000006</v>
      </c>
      <c r="M510">
        <v>63.191479999999999</v>
      </c>
      <c r="N510">
        <v>61.146210000000004</v>
      </c>
      <c r="O510">
        <v>50.96754</v>
      </c>
      <c r="R510">
        <v>68.737629999999996</v>
      </c>
      <c r="S510">
        <v>69.38</v>
      </c>
      <c r="U510">
        <v>62.753590000000003</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43.974910000000001</v>
      </c>
      <c r="AG510">
        <v>0.30049999999999999</v>
      </c>
      <c r="AH510">
        <v>60.699849999999998</v>
      </c>
      <c r="AI510">
        <v>0.95773169999999996</v>
      </c>
      <c r="AJ510">
        <v>11.873250000000001</v>
      </c>
      <c r="AK510">
        <v>60.480499999999999</v>
      </c>
      <c r="AL510">
        <v>61.9</v>
      </c>
      <c r="AM510">
        <v>46.2258</v>
      </c>
      <c r="AN510">
        <v>36.456420000000001</v>
      </c>
      <c r="AO510">
        <v>10.971780000000001</v>
      </c>
      <c r="AP510">
        <v>49.821159999999999</v>
      </c>
      <c r="AS510">
        <v>24.114360000000001</v>
      </c>
      <c r="AT510">
        <v>5.7655209999999997</v>
      </c>
      <c r="AU510">
        <v>72.542850000000001</v>
      </c>
      <c r="AV510">
        <v>7.6663439999999999E-2</v>
      </c>
      <c r="AW510">
        <v>57.211089999999999</v>
      </c>
      <c r="AX510">
        <v>22.121510000000001</v>
      </c>
    </row>
    <row r="511" spans="1:50" x14ac:dyDescent="0.35">
      <c r="A511" s="75">
        <v>33390</v>
      </c>
      <c r="B511">
        <v>61.29354</v>
      </c>
      <c r="C511">
        <v>62.992820000000002</v>
      </c>
      <c r="D511">
        <v>2.6383449999999998E-3</v>
      </c>
      <c r="E511">
        <v>65.6571</v>
      </c>
      <c r="F511">
        <v>81.707499999999996</v>
      </c>
      <c r="G511">
        <v>30.62593</v>
      </c>
      <c r="I511">
        <v>10.425840000000001</v>
      </c>
      <c r="J511">
        <v>9.0212380000000003</v>
      </c>
      <c r="K511">
        <v>33.589579999999998</v>
      </c>
      <c r="L511">
        <v>65.117859999999993</v>
      </c>
      <c r="M511">
        <v>63.330599999999997</v>
      </c>
      <c r="N511">
        <v>61.359760000000001</v>
      </c>
      <c r="O511">
        <v>51.114469999999997</v>
      </c>
      <c r="R511">
        <v>68.72448</v>
      </c>
      <c r="S511">
        <v>69.55</v>
      </c>
      <c r="U511">
        <v>62.913530000000002</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44.258479999999999</v>
      </c>
      <c r="AG511">
        <v>0.32040000000000002</v>
      </c>
      <c r="AH511">
        <v>60.794609999999999</v>
      </c>
      <c r="AI511">
        <v>0.98562680000000003</v>
      </c>
      <c r="AJ511">
        <v>11.99783</v>
      </c>
      <c r="AK511">
        <v>60.598739999999999</v>
      </c>
      <c r="AL511">
        <v>62</v>
      </c>
      <c r="AM511">
        <v>46.401310000000002</v>
      </c>
      <c r="AN511">
        <v>36.68045</v>
      </c>
      <c r="AO511">
        <v>11.53443</v>
      </c>
      <c r="AP511">
        <v>50.151560000000003</v>
      </c>
      <c r="AS511">
        <v>24.572140000000001</v>
      </c>
      <c r="AT511">
        <v>6.4291150000000004</v>
      </c>
      <c r="AU511">
        <v>72.447109999999995</v>
      </c>
      <c r="AV511">
        <v>7.8929680000000002E-2</v>
      </c>
      <c r="AW511">
        <v>57.379849999999998</v>
      </c>
      <c r="AX511">
        <v>22.25948</v>
      </c>
    </row>
    <row r="512" spans="1:50" x14ac:dyDescent="0.35">
      <c r="A512" s="75">
        <v>33420</v>
      </c>
      <c r="B512">
        <v>61.989379999999997</v>
      </c>
      <c r="C512">
        <v>63.338009999999997</v>
      </c>
      <c r="D512">
        <v>2.9657360000000001E-3</v>
      </c>
      <c r="E512">
        <v>65.736109999999996</v>
      </c>
      <c r="F512">
        <v>81.735770000000002</v>
      </c>
      <c r="G512">
        <v>31.180579999999999</v>
      </c>
      <c r="I512">
        <v>10.613479999999999</v>
      </c>
      <c r="J512">
        <v>9.2170009999999998</v>
      </c>
      <c r="K512">
        <v>33.35</v>
      </c>
      <c r="L512">
        <v>65.864199999999997</v>
      </c>
      <c r="M512">
        <v>63.121929999999999</v>
      </c>
      <c r="N512">
        <v>61.858040000000003</v>
      </c>
      <c r="O512">
        <v>51.748950000000001</v>
      </c>
      <c r="R512">
        <v>68.612669999999994</v>
      </c>
      <c r="S512">
        <v>69.73</v>
      </c>
      <c r="U512">
        <v>63.046729999999997</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44.543109999999999</v>
      </c>
      <c r="AG512">
        <v>0.33810000000000001</v>
      </c>
      <c r="AH512">
        <v>61.102580000000003</v>
      </c>
      <c r="AI512">
        <v>1.0042230000000001</v>
      </c>
      <c r="AJ512">
        <v>12.103859999999999</v>
      </c>
      <c r="AK512">
        <v>61.189950000000003</v>
      </c>
      <c r="AL512">
        <v>62</v>
      </c>
      <c r="AM512">
        <v>46.552610000000001</v>
      </c>
      <c r="AN512">
        <v>36.882060000000003</v>
      </c>
      <c r="AO512">
        <v>11.53443</v>
      </c>
      <c r="AP512">
        <v>50.379460000000002</v>
      </c>
      <c r="AS512">
        <v>24.69332</v>
      </c>
      <c r="AT512">
        <v>6.7942999999999998</v>
      </c>
      <c r="AU512">
        <v>72.463070000000002</v>
      </c>
      <c r="AV512">
        <v>7.9965670000000003E-2</v>
      </c>
      <c r="AW512">
        <v>57.464230000000001</v>
      </c>
      <c r="AX512">
        <v>22.535419999999998</v>
      </c>
    </row>
    <row r="513" spans="1:50" x14ac:dyDescent="0.35">
      <c r="A513" s="75">
        <v>33451</v>
      </c>
      <c r="B513">
        <v>62.367130000000003</v>
      </c>
      <c r="C513">
        <v>63.528210000000001</v>
      </c>
      <c r="D513">
        <v>3.4292939999999998E-3</v>
      </c>
      <c r="E513">
        <v>65.815119999999993</v>
      </c>
      <c r="F513">
        <v>82.161000000000001</v>
      </c>
      <c r="G513">
        <v>31.55829</v>
      </c>
      <c r="I513">
        <v>10.744</v>
      </c>
      <c r="J513">
        <v>9.3450000000000006</v>
      </c>
      <c r="K513">
        <v>33.206249999999997</v>
      </c>
      <c r="L513">
        <v>65.864199999999997</v>
      </c>
      <c r="M513">
        <v>63.226260000000003</v>
      </c>
      <c r="N513">
        <v>61.929220000000001</v>
      </c>
      <c r="O513">
        <v>51.941040000000001</v>
      </c>
      <c r="R513">
        <v>68.586359999999999</v>
      </c>
      <c r="S513">
        <v>69.81</v>
      </c>
      <c r="U513">
        <v>63.223739999999999</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44.907850000000003</v>
      </c>
      <c r="AG513">
        <v>0.35239999999999999</v>
      </c>
      <c r="AH513">
        <v>61.286180000000002</v>
      </c>
      <c r="AI513">
        <v>1.013522</v>
      </c>
      <c r="AJ513">
        <v>12.1881</v>
      </c>
      <c r="AK513">
        <v>61.249070000000003</v>
      </c>
      <c r="AL513">
        <v>62</v>
      </c>
      <c r="AM513">
        <v>46.737110000000001</v>
      </c>
      <c r="AN513">
        <v>37.077640000000002</v>
      </c>
      <c r="AO513">
        <v>11.60477</v>
      </c>
      <c r="AP513">
        <v>50.710850000000001</v>
      </c>
      <c r="AS513">
        <v>24.814499999999999</v>
      </c>
      <c r="AT513">
        <v>7.2823719999999996</v>
      </c>
      <c r="AU513">
        <v>72.360950000000003</v>
      </c>
      <c r="AV513">
        <v>8.3149189999999998E-2</v>
      </c>
      <c r="AW513">
        <v>57.633000000000003</v>
      </c>
      <c r="AX513">
        <v>22.85736</v>
      </c>
    </row>
    <row r="514" spans="1:50" x14ac:dyDescent="0.35">
      <c r="A514" s="75">
        <v>33482</v>
      </c>
      <c r="B514">
        <v>61.929740000000002</v>
      </c>
      <c r="C514">
        <v>63.485950000000003</v>
      </c>
      <c r="D514">
        <v>3.9653190000000001E-3</v>
      </c>
      <c r="E514">
        <v>65.6571</v>
      </c>
      <c r="F514">
        <v>82.320179999999993</v>
      </c>
      <c r="G514">
        <v>31.970880000000001</v>
      </c>
      <c r="I514">
        <v>10.907159999999999</v>
      </c>
      <c r="J514">
        <v>9.4955870000000004</v>
      </c>
      <c r="K514">
        <v>33.158329999999999</v>
      </c>
      <c r="L514">
        <v>65.864199999999997</v>
      </c>
      <c r="M514">
        <v>63.574039999999997</v>
      </c>
      <c r="N514">
        <v>62.000399999999999</v>
      </c>
      <c r="O514">
        <v>52.365470000000002</v>
      </c>
      <c r="R514">
        <v>68.79683</v>
      </c>
      <c r="S514">
        <v>69.92</v>
      </c>
      <c r="U514">
        <v>63.417529999999999</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45.152419999999999</v>
      </c>
      <c r="AG514">
        <v>0.36480000000000001</v>
      </c>
      <c r="AH514">
        <v>61.428319999999999</v>
      </c>
      <c r="AI514">
        <v>1.097207</v>
      </c>
      <c r="AJ514">
        <v>12.30951</v>
      </c>
      <c r="AK514">
        <v>61.781149999999997</v>
      </c>
      <c r="AL514">
        <v>62.4</v>
      </c>
      <c r="AM514">
        <v>46.988590000000002</v>
      </c>
      <c r="AN514">
        <v>37.358060000000002</v>
      </c>
      <c r="AO514">
        <v>12.09709</v>
      </c>
      <c r="AP514">
        <v>50.80838</v>
      </c>
      <c r="AS514">
        <v>24.827960000000001</v>
      </c>
      <c r="AT514">
        <v>8.3953179999999996</v>
      </c>
      <c r="AU514">
        <v>73.149209999999997</v>
      </c>
      <c r="AV514">
        <v>8.8210440000000001E-2</v>
      </c>
      <c r="AW514">
        <v>57.886139999999997</v>
      </c>
      <c r="AX514">
        <v>23.179290000000002</v>
      </c>
    </row>
    <row r="515" spans="1:50" x14ac:dyDescent="0.35">
      <c r="A515" s="75">
        <v>33512</v>
      </c>
      <c r="B515">
        <v>61.71105</v>
      </c>
      <c r="C515">
        <v>63.718420000000002</v>
      </c>
      <c r="D515">
        <v>4.7674859999999996E-3</v>
      </c>
      <c r="E515">
        <v>65.578090000000003</v>
      </c>
      <c r="F515">
        <v>82.392949999999999</v>
      </c>
      <c r="G515">
        <v>32.895589999999999</v>
      </c>
      <c r="I515">
        <v>11.04585</v>
      </c>
      <c r="J515">
        <v>9.6053010000000008</v>
      </c>
      <c r="K515">
        <v>33.110419999999998</v>
      </c>
      <c r="L515">
        <v>66.890410000000003</v>
      </c>
      <c r="M515">
        <v>63.713149999999999</v>
      </c>
      <c r="N515">
        <v>62.213949999999997</v>
      </c>
      <c r="O515">
        <v>52.694690000000001</v>
      </c>
      <c r="R515">
        <v>68.980990000000006</v>
      </c>
      <c r="S515">
        <v>70.28</v>
      </c>
      <c r="U515">
        <v>63.735700000000001</v>
      </c>
      <c r="V515">
        <v>60.4</v>
      </c>
      <c r="W515">
        <v>37.29128</v>
      </c>
      <c r="X515">
        <v>11.74671</v>
      </c>
      <c r="Y515">
        <v>10.803319999999999</v>
      </c>
      <c r="Z515">
        <v>18.490400000000001</v>
      </c>
      <c r="AA515">
        <v>60.891190000000002</v>
      </c>
      <c r="AB515">
        <v>37.238750000000003</v>
      </c>
      <c r="AC515">
        <v>38.50806</v>
      </c>
      <c r="AD515">
        <v>55.97813</v>
      </c>
      <c r="AE515">
        <v>95.393230000000003</v>
      </c>
      <c r="AF515">
        <v>45.23359</v>
      </c>
      <c r="AG515">
        <v>0.38669999999999999</v>
      </c>
      <c r="AH515">
        <v>61.600070000000002</v>
      </c>
      <c r="AI515">
        <v>1.162296</v>
      </c>
      <c r="AJ515">
        <v>12.452680000000001</v>
      </c>
      <c r="AK515">
        <v>61.95852</v>
      </c>
      <c r="AL515">
        <v>62.4</v>
      </c>
      <c r="AM515">
        <v>47.315809999999999</v>
      </c>
      <c r="AN515">
        <v>37.784689999999998</v>
      </c>
      <c r="AO515">
        <v>12.519080000000001</v>
      </c>
      <c r="AP515">
        <v>51.092010000000002</v>
      </c>
      <c r="AS515">
        <v>24.733709999999999</v>
      </c>
      <c r="AT515">
        <v>10.27736</v>
      </c>
      <c r="AU515">
        <v>73.423670000000001</v>
      </c>
      <c r="AV515">
        <v>9.4027109999999997E-2</v>
      </c>
      <c r="AW515">
        <v>57.97052</v>
      </c>
      <c r="AX515">
        <v>23.593209999999999</v>
      </c>
    </row>
    <row r="516" spans="1:50" x14ac:dyDescent="0.35">
      <c r="A516" s="75">
        <v>33543</v>
      </c>
      <c r="B516">
        <v>61.830329999999996</v>
      </c>
      <c r="C516">
        <v>63.88044</v>
      </c>
      <c r="D516">
        <v>5.969383E-3</v>
      </c>
      <c r="E516">
        <v>65.815119999999993</v>
      </c>
      <c r="F516">
        <v>83.382729999999995</v>
      </c>
      <c r="G516">
        <v>33.199289999999998</v>
      </c>
      <c r="I516">
        <v>11.184530000000001</v>
      </c>
      <c r="J516">
        <v>9.7451310000000007</v>
      </c>
      <c r="K516">
        <v>33.637500000000003</v>
      </c>
      <c r="L516">
        <v>67.170289999999994</v>
      </c>
      <c r="M516">
        <v>63.991370000000003</v>
      </c>
      <c r="N516">
        <v>62.49868</v>
      </c>
      <c r="O516">
        <v>52.774679999999996</v>
      </c>
      <c r="R516">
        <v>69.066490000000002</v>
      </c>
      <c r="S516">
        <v>70.55</v>
      </c>
      <c r="U516">
        <v>63.931460000000001</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45.434939999999997</v>
      </c>
      <c r="AG516">
        <v>0.49409999999999998</v>
      </c>
      <c r="AH516">
        <v>61.961350000000003</v>
      </c>
      <c r="AI516">
        <v>1.273876</v>
      </c>
      <c r="AJ516">
        <v>12.76188</v>
      </c>
      <c r="AK516">
        <v>62.07676</v>
      </c>
      <c r="AL516">
        <v>62.4</v>
      </c>
      <c r="AM516">
        <v>47.580010000000001</v>
      </c>
      <c r="AN516">
        <v>38.075229999999998</v>
      </c>
      <c r="AO516">
        <v>12.94107</v>
      </c>
      <c r="AP516">
        <v>51.341799999999999</v>
      </c>
      <c r="AS516">
        <v>25.164570000000001</v>
      </c>
      <c r="AT516">
        <v>12.15939</v>
      </c>
      <c r="AU516">
        <v>73.755570000000006</v>
      </c>
      <c r="AV516">
        <v>9.8958859999999996E-2</v>
      </c>
      <c r="AW516">
        <v>58.139290000000003</v>
      </c>
      <c r="AX516">
        <v>23.823160000000001</v>
      </c>
    </row>
    <row r="517" spans="1:50" x14ac:dyDescent="0.35">
      <c r="A517" s="75">
        <v>33573</v>
      </c>
      <c r="B517">
        <v>61.71105</v>
      </c>
      <c r="C517">
        <v>63.76773</v>
      </c>
      <c r="D517">
        <v>7.3846839999999999E-3</v>
      </c>
      <c r="E517">
        <v>65.499080000000006</v>
      </c>
      <c r="F517">
        <v>83.184749999999994</v>
      </c>
      <c r="G517">
        <v>33.607619999999997</v>
      </c>
      <c r="I517">
        <v>11.33953</v>
      </c>
      <c r="J517">
        <v>9.9032479999999996</v>
      </c>
      <c r="K517">
        <v>34.068750000000001</v>
      </c>
      <c r="L517">
        <v>67.263580000000005</v>
      </c>
      <c r="M517">
        <v>63.817489999999999</v>
      </c>
      <c r="N517">
        <v>62.569870000000002</v>
      </c>
      <c r="O517">
        <v>52.803519999999999</v>
      </c>
      <c r="R517">
        <v>69.428229999999999</v>
      </c>
      <c r="S517">
        <v>70.319999999999993</v>
      </c>
      <c r="U517">
        <v>63.92754</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45.516109999999998</v>
      </c>
      <c r="AG517">
        <v>0.75609999999999999</v>
      </c>
      <c r="AH517">
        <v>61.979109999999999</v>
      </c>
      <c r="AI517">
        <v>1.9061650000000001</v>
      </c>
      <c r="AJ517">
        <v>13.06227</v>
      </c>
      <c r="AK517">
        <v>61.95852</v>
      </c>
      <c r="AL517">
        <v>62.4</v>
      </c>
      <c r="AM517">
        <v>47.699959999999997</v>
      </c>
      <c r="AN517">
        <v>38.242800000000003</v>
      </c>
      <c r="AO517">
        <v>13.363060000000001</v>
      </c>
      <c r="AP517">
        <v>51.651310000000002</v>
      </c>
      <c r="AS517">
        <v>25.635809999999999</v>
      </c>
      <c r="AT517">
        <v>14.10125</v>
      </c>
      <c r="AU517">
        <v>73.653440000000003</v>
      </c>
      <c r="AV517">
        <v>0.10327550000000001</v>
      </c>
      <c r="AW517">
        <v>58.181480000000001</v>
      </c>
      <c r="AX517">
        <v>24.191089999999999</v>
      </c>
    </row>
    <row r="518" spans="1:50" x14ac:dyDescent="0.35">
      <c r="A518" s="75">
        <v>33604</v>
      </c>
      <c r="B518">
        <v>62.52617</v>
      </c>
      <c r="C518">
        <v>63.922710000000002</v>
      </c>
      <c r="D518">
        <v>9.3002919999999999E-3</v>
      </c>
      <c r="E518">
        <v>65.815119999999993</v>
      </c>
      <c r="F518">
        <v>83.575999999999993</v>
      </c>
      <c r="G518">
        <v>33.977679999999999</v>
      </c>
      <c r="I518">
        <v>11.739269999999999</v>
      </c>
      <c r="J518">
        <v>10.29477</v>
      </c>
      <c r="K518">
        <v>34.547919999999998</v>
      </c>
      <c r="L518">
        <v>67.636750000000006</v>
      </c>
      <c r="M518">
        <v>63.678379999999997</v>
      </c>
      <c r="N518">
        <v>62.78342</v>
      </c>
      <c r="O518">
        <v>53.640419999999999</v>
      </c>
      <c r="R518">
        <v>69.763660000000002</v>
      </c>
      <c r="S518">
        <v>70.44</v>
      </c>
      <c r="U518">
        <v>64.030299999999997</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45.841850000000001</v>
      </c>
      <c r="AG518">
        <v>1.1642999999999999</v>
      </c>
      <c r="AH518">
        <v>62.204169999999998</v>
      </c>
      <c r="AI518">
        <v>3.1335489999999999</v>
      </c>
      <c r="AJ518">
        <v>13.29968</v>
      </c>
      <c r="AK518">
        <v>61.84028</v>
      </c>
      <c r="AL518">
        <v>62.4</v>
      </c>
      <c r="AM518">
        <v>47.932789999999997</v>
      </c>
      <c r="AN518">
        <v>38.582639999999998</v>
      </c>
      <c r="AO518">
        <v>14.347709999999999</v>
      </c>
      <c r="AP518">
        <v>52.549959999999999</v>
      </c>
      <c r="AQ518">
        <v>1.043353E-2</v>
      </c>
      <c r="AS518">
        <v>25.810849999999999</v>
      </c>
      <c r="AT518">
        <v>16.192049999999998</v>
      </c>
      <c r="AU518">
        <v>73.528980000000004</v>
      </c>
      <c r="AV518">
        <v>0.1129556</v>
      </c>
      <c r="AW518">
        <v>58.265860000000004</v>
      </c>
      <c r="AX518">
        <v>24.421040000000001</v>
      </c>
    </row>
    <row r="519" spans="1:50" x14ac:dyDescent="0.35">
      <c r="A519" s="75">
        <v>33635</v>
      </c>
      <c r="B519">
        <v>63.122610000000002</v>
      </c>
      <c r="C519">
        <v>64.127009999999999</v>
      </c>
      <c r="D519">
        <v>1.156212E-2</v>
      </c>
      <c r="E519">
        <v>65.815119999999993</v>
      </c>
      <c r="F519">
        <v>84.172520000000006</v>
      </c>
      <c r="G519">
        <v>33.764150000000001</v>
      </c>
      <c r="I519">
        <v>12.130850000000001</v>
      </c>
      <c r="J519">
        <v>10.52711</v>
      </c>
      <c r="K519">
        <v>34.835410000000003</v>
      </c>
      <c r="L519">
        <v>68.009919999999994</v>
      </c>
      <c r="M519">
        <v>63.991370000000003</v>
      </c>
      <c r="N519">
        <v>63.139330000000001</v>
      </c>
      <c r="O519">
        <v>53.997929999999997</v>
      </c>
      <c r="R519">
        <v>69.954409999999996</v>
      </c>
      <c r="S519">
        <v>70.739999999999995</v>
      </c>
      <c r="U519">
        <v>64.241919999999993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46.125419999999998</v>
      </c>
      <c r="AG519">
        <v>1.6577999999999999</v>
      </c>
      <c r="AH519">
        <v>62.204169999999998</v>
      </c>
      <c r="AI519">
        <v>4.6491829999999998</v>
      </c>
      <c r="AJ519">
        <v>13.45726</v>
      </c>
      <c r="AK519">
        <v>62.13588</v>
      </c>
      <c r="AL519">
        <v>62.6</v>
      </c>
      <c r="AM519">
        <v>48.169690000000003</v>
      </c>
      <c r="AN519">
        <v>38.880699999999997</v>
      </c>
      <c r="AO519">
        <v>14.62904</v>
      </c>
      <c r="AP519">
        <v>53.162010000000002</v>
      </c>
      <c r="AQ519">
        <v>1.4398269999999999E-2</v>
      </c>
      <c r="AS519">
        <v>25.878170000000001</v>
      </c>
      <c r="AT519">
        <v>18.504020000000001</v>
      </c>
      <c r="AU519">
        <v>73.560900000000004</v>
      </c>
      <c r="AV519">
        <v>0.1186427</v>
      </c>
      <c r="AW519">
        <v>58.476819999999996</v>
      </c>
      <c r="AX519">
        <v>24.65099</v>
      </c>
    </row>
    <row r="520" spans="1:50" x14ac:dyDescent="0.35">
      <c r="A520" s="75">
        <v>33664</v>
      </c>
      <c r="B520">
        <v>63.301540000000003</v>
      </c>
      <c r="C520">
        <v>64.141099999999994</v>
      </c>
      <c r="D520">
        <v>1.4036440000000001E-2</v>
      </c>
      <c r="E520">
        <v>66.052149999999997</v>
      </c>
      <c r="F520">
        <v>84.418419999999998</v>
      </c>
      <c r="G520">
        <v>34.000639999999997</v>
      </c>
      <c r="I520">
        <v>12.40822</v>
      </c>
      <c r="J520">
        <v>10.65296</v>
      </c>
      <c r="K520">
        <v>35.027079999999998</v>
      </c>
      <c r="L520">
        <v>68.289789999999996</v>
      </c>
      <c r="M520">
        <v>64.234830000000002</v>
      </c>
      <c r="N520">
        <v>63.352879999999999</v>
      </c>
      <c r="O520">
        <v>54.193280000000001</v>
      </c>
      <c r="R520">
        <v>70.184600000000003</v>
      </c>
      <c r="S520">
        <v>70.97</v>
      </c>
      <c r="U520">
        <v>64.547619999999995</v>
      </c>
      <c r="V520">
        <v>61.1</v>
      </c>
      <c r="W520">
        <v>39.471699999999998</v>
      </c>
      <c r="X520">
        <v>13.252829999999999</v>
      </c>
      <c r="Y520">
        <v>11.09074</v>
      </c>
      <c r="Z520">
        <v>18.9879</v>
      </c>
      <c r="AA520">
        <v>61.383040000000001</v>
      </c>
      <c r="AB520">
        <v>37.542639999999999</v>
      </c>
      <c r="AC520">
        <v>39.61694</v>
      </c>
      <c r="AD520">
        <v>57.432110000000002</v>
      </c>
      <c r="AE520">
        <v>95.291420000000002</v>
      </c>
      <c r="AF520">
        <v>46.612450000000003</v>
      </c>
      <c r="AG520">
        <v>1.9598</v>
      </c>
      <c r="AH520">
        <v>62.458840000000002</v>
      </c>
      <c r="AI520">
        <v>6.2206070000000002</v>
      </c>
      <c r="AJ520">
        <v>13.59421</v>
      </c>
      <c r="AK520">
        <v>62.608840000000001</v>
      </c>
      <c r="AL520">
        <v>63.1</v>
      </c>
      <c r="AM520">
        <v>48.463520000000003</v>
      </c>
      <c r="AN520">
        <v>39.157330000000002</v>
      </c>
      <c r="AO520">
        <v>14.91037</v>
      </c>
      <c r="AP520">
        <v>53.670549999999999</v>
      </c>
      <c r="AQ520">
        <v>1.8703359999999999E-2</v>
      </c>
      <c r="AS520">
        <v>25.905100000000001</v>
      </c>
      <c r="AT520">
        <v>20.545449999999999</v>
      </c>
      <c r="AU520">
        <v>73.905559999999994</v>
      </c>
      <c r="AV520">
        <v>0.1244162</v>
      </c>
      <c r="AW520">
        <v>58.77216</v>
      </c>
      <c r="AX520">
        <v>24.834959999999999</v>
      </c>
    </row>
    <row r="521" spans="1:50" x14ac:dyDescent="0.35">
      <c r="A521" s="75">
        <v>33695</v>
      </c>
      <c r="B521">
        <v>63.301540000000003</v>
      </c>
      <c r="C521">
        <v>64.211539999999999</v>
      </c>
      <c r="D521">
        <v>1.6833910000000001E-2</v>
      </c>
      <c r="E521">
        <v>66.131159999999994</v>
      </c>
      <c r="F521">
        <v>84.553039999999996</v>
      </c>
      <c r="G521">
        <v>34.44811</v>
      </c>
      <c r="I521">
        <v>12.76717</v>
      </c>
      <c r="J521">
        <v>10.85948</v>
      </c>
      <c r="K521">
        <v>35.21875</v>
      </c>
      <c r="L521">
        <v>68.569659999999999</v>
      </c>
      <c r="M521">
        <v>64.339160000000007</v>
      </c>
      <c r="N521">
        <v>63.566429999999997</v>
      </c>
      <c r="O521">
        <v>54.135060000000003</v>
      </c>
      <c r="R521">
        <v>70.493729999999999</v>
      </c>
      <c r="S521">
        <v>71.12</v>
      </c>
      <c r="U521">
        <v>64.803619999999995</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46.896030000000003</v>
      </c>
      <c r="AG521">
        <v>2.1616</v>
      </c>
      <c r="AH521">
        <v>62.553600000000003</v>
      </c>
      <c r="AI521">
        <v>6.9086860000000003</v>
      </c>
      <c r="AJ521">
        <v>13.715400000000001</v>
      </c>
      <c r="AK521">
        <v>62.845329999999997</v>
      </c>
      <c r="AL521">
        <v>63.3</v>
      </c>
      <c r="AM521">
        <v>48.696460000000002</v>
      </c>
      <c r="AN521">
        <v>39.410679999999999</v>
      </c>
      <c r="AO521">
        <v>15.47302</v>
      </c>
      <c r="AP521">
        <v>54.485610000000001</v>
      </c>
      <c r="AQ521">
        <v>2.2761989999999999E-2</v>
      </c>
      <c r="AS521">
        <v>25.932030000000001</v>
      </c>
      <c r="AT521">
        <v>21.9146</v>
      </c>
      <c r="AU521">
        <v>74.074709999999996</v>
      </c>
      <c r="AV521">
        <v>0.12908900000000001</v>
      </c>
      <c r="AW521">
        <v>58.856540000000003</v>
      </c>
      <c r="AX521">
        <v>25.156890000000001</v>
      </c>
    </row>
    <row r="522" spans="1:50" x14ac:dyDescent="0.35">
      <c r="A522" s="75">
        <v>33725</v>
      </c>
      <c r="B522">
        <v>63.500349999999997</v>
      </c>
      <c r="C522">
        <v>64.451059999999998</v>
      </c>
      <c r="D522">
        <v>2.1018820000000001E-2</v>
      </c>
      <c r="E522">
        <v>66.210170000000005</v>
      </c>
      <c r="F522">
        <v>84.775880000000001</v>
      </c>
      <c r="G522">
        <v>34.816459999999999</v>
      </c>
      <c r="I522">
        <v>13.06086</v>
      </c>
      <c r="J522">
        <v>10.96058</v>
      </c>
      <c r="K522">
        <v>35.362499999999997</v>
      </c>
      <c r="L522">
        <v>68.756249999999994</v>
      </c>
      <c r="M522">
        <v>64.791269999999997</v>
      </c>
      <c r="N522">
        <v>63.779980000000002</v>
      </c>
      <c r="O522">
        <v>54.276539999999997</v>
      </c>
      <c r="R522">
        <v>70.539760000000001</v>
      </c>
      <c r="S522">
        <v>71.349999999999994</v>
      </c>
      <c r="U522">
        <v>64.938310000000001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47.18065</v>
      </c>
      <c r="AG522">
        <v>2.3087</v>
      </c>
      <c r="AH522">
        <v>62.86157</v>
      </c>
      <c r="AI522">
        <v>7.8199249999999996</v>
      </c>
      <c r="AJ522">
        <v>13.80583</v>
      </c>
      <c r="AK522">
        <v>62.845329999999997</v>
      </c>
      <c r="AL522">
        <v>63.4</v>
      </c>
      <c r="AM522">
        <v>48.819800000000001</v>
      </c>
      <c r="AN522">
        <v>39.563609999999997</v>
      </c>
      <c r="AO522">
        <v>16.106010000000001</v>
      </c>
      <c r="AP522">
        <v>54.959319999999998</v>
      </c>
      <c r="AQ522">
        <v>2.5470659999999999E-2</v>
      </c>
      <c r="AS522">
        <v>25.99935</v>
      </c>
      <c r="AT522">
        <v>23.488710000000001</v>
      </c>
      <c r="AU522">
        <v>74.12576</v>
      </c>
      <c r="AV522">
        <v>0.13022210000000001</v>
      </c>
      <c r="AW522">
        <v>58.940919999999998</v>
      </c>
      <c r="AX522">
        <v>25.34085</v>
      </c>
    </row>
    <row r="523" spans="1:50" x14ac:dyDescent="0.35">
      <c r="A523" s="75">
        <v>33756</v>
      </c>
      <c r="B523">
        <v>63.71904</v>
      </c>
      <c r="C523">
        <v>64.655349999999999</v>
      </c>
      <c r="D523">
        <v>2.5266790000000001E-2</v>
      </c>
      <c r="E523">
        <v>66.368189999999998</v>
      </c>
      <c r="F523">
        <v>85.112690000000001</v>
      </c>
      <c r="G523">
        <v>35.055509999999998</v>
      </c>
      <c r="I523">
        <v>13.35454</v>
      </c>
      <c r="J523">
        <v>11.095039999999999</v>
      </c>
      <c r="K523">
        <v>35.697920000000003</v>
      </c>
      <c r="L523">
        <v>68.942830000000001</v>
      </c>
      <c r="M523">
        <v>64.791269999999997</v>
      </c>
      <c r="N523">
        <v>63.85116</v>
      </c>
      <c r="O523">
        <v>54.266199999999998</v>
      </c>
      <c r="R523">
        <v>70.809430000000006</v>
      </c>
      <c r="S523">
        <v>71.31</v>
      </c>
      <c r="U523">
        <v>65.088149999999999</v>
      </c>
      <c r="V523">
        <v>62.2</v>
      </c>
      <c r="W523">
        <v>40.744709999999998</v>
      </c>
      <c r="X523">
        <v>13.7104</v>
      </c>
      <c r="Y523">
        <v>11.27819</v>
      </c>
      <c r="Z523">
        <v>19.56831</v>
      </c>
      <c r="AA523">
        <v>61.874890000000001</v>
      </c>
      <c r="AB523">
        <v>37.659520000000001</v>
      </c>
      <c r="AC523">
        <v>40.322580000000002</v>
      </c>
      <c r="AD523">
        <v>58.055239999999998</v>
      </c>
      <c r="AE523">
        <v>96.309489999999997</v>
      </c>
      <c r="AF523">
        <v>47.262880000000003</v>
      </c>
      <c r="AG523">
        <v>2.5924</v>
      </c>
      <c r="AH523">
        <v>62.985939999999999</v>
      </c>
      <c r="AI523">
        <v>9.0194150000000004</v>
      </c>
      <c r="AJ523">
        <v>13.89927</v>
      </c>
      <c r="AK523">
        <v>62.667969999999997</v>
      </c>
      <c r="AL523">
        <v>63.5</v>
      </c>
      <c r="AM523">
        <v>48.940350000000002</v>
      </c>
      <c r="AN523">
        <v>39.635280000000002</v>
      </c>
      <c r="AO523">
        <v>16.387329999999999</v>
      </c>
      <c r="AP523">
        <v>55.175269999999998</v>
      </c>
      <c r="AQ523">
        <v>3.0335560000000001E-2</v>
      </c>
      <c r="AS523">
        <v>25.79738</v>
      </c>
      <c r="AT523">
        <v>24.34956</v>
      </c>
      <c r="AU523">
        <v>73.934290000000004</v>
      </c>
      <c r="AV523">
        <v>0.1308588</v>
      </c>
      <c r="AW523">
        <v>59.151870000000002</v>
      </c>
      <c r="AX523">
        <v>25.616800000000001</v>
      </c>
    </row>
    <row r="524" spans="1:50" x14ac:dyDescent="0.35">
      <c r="A524" s="75">
        <v>33786</v>
      </c>
      <c r="B524">
        <v>64.494410000000002</v>
      </c>
      <c r="C524">
        <v>64.951229999999995</v>
      </c>
      <c r="D524">
        <v>3.0782540000000001E-2</v>
      </c>
      <c r="E524">
        <v>66.526210000000006</v>
      </c>
      <c r="F524">
        <v>84.856570000000005</v>
      </c>
      <c r="G524">
        <v>35.446829999999999</v>
      </c>
      <c r="I524">
        <v>13.623760000000001</v>
      </c>
      <c r="J524">
        <v>11.16065</v>
      </c>
      <c r="K524">
        <v>35.9375</v>
      </c>
      <c r="L524">
        <v>69.129419999999996</v>
      </c>
      <c r="M524">
        <v>64.513050000000007</v>
      </c>
      <c r="N524">
        <v>63.922339999999998</v>
      </c>
      <c r="O524">
        <v>54.442500000000003</v>
      </c>
      <c r="R524">
        <v>70.63185</v>
      </c>
      <c r="S524">
        <v>71.27</v>
      </c>
      <c r="U524">
        <v>65.0946</v>
      </c>
      <c r="V524">
        <v>62</v>
      </c>
      <c r="W524">
        <v>39.97589</v>
      </c>
      <c r="X524">
        <v>13.743679999999999</v>
      </c>
      <c r="Y524">
        <v>11.296939999999999</v>
      </c>
      <c r="Z524">
        <v>20.065809999999999</v>
      </c>
      <c r="AA524">
        <v>62.17</v>
      </c>
      <c r="AB524">
        <v>37.729649999999999</v>
      </c>
      <c r="AC524">
        <v>40.524189999999997</v>
      </c>
      <c r="AD524">
        <v>58.159100000000002</v>
      </c>
      <c r="AE524">
        <v>95.49503</v>
      </c>
      <c r="AF524">
        <v>47.464230000000001</v>
      </c>
      <c r="AG524">
        <v>3.2968999999999999</v>
      </c>
      <c r="AH524">
        <v>63.134010000000004</v>
      </c>
      <c r="AI524">
        <v>10.795400000000001</v>
      </c>
      <c r="AJ524">
        <v>13.987030000000001</v>
      </c>
      <c r="AK524">
        <v>62.904449999999997</v>
      </c>
      <c r="AL524">
        <v>63.6</v>
      </c>
      <c r="AM524">
        <v>48.986040000000003</v>
      </c>
      <c r="AN524">
        <v>39.695099999999996</v>
      </c>
      <c r="AO524">
        <v>16.598330000000001</v>
      </c>
      <c r="AP524">
        <v>55.41113</v>
      </c>
      <c r="AQ524">
        <v>3.3551129999999998E-2</v>
      </c>
      <c r="AS524">
        <v>25.99935</v>
      </c>
      <c r="AT524">
        <v>24.529920000000001</v>
      </c>
      <c r="AU524">
        <v>73.838549999999998</v>
      </c>
      <c r="AV524">
        <v>0.1325855</v>
      </c>
      <c r="AW524">
        <v>59.278449999999999</v>
      </c>
      <c r="AX524">
        <v>25.84675</v>
      </c>
    </row>
    <row r="525" spans="1:50" x14ac:dyDescent="0.35">
      <c r="A525" s="75">
        <v>33817</v>
      </c>
      <c r="B525">
        <v>64.752859999999998</v>
      </c>
      <c r="C525">
        <v>64.845560000000006</v>
      </c>
      <c r="D525">
        <v>3.7597800000000001E-2</v>
      </c>
      <c r="E525">
        <v>66.526210000000006</v>
      </c>
      <c r="F525">
        <v>85.078500000000005</v>
      </c>
      <c r="G525">
        <v>35.95299</v>
      </c>
      <c r="I525">
        <v>13.72165</v>
      </c>
      <c r="J525">
        <v>11.221959999999999</v>
      </c>
      <c r="K525">
        <v>35.985419999999998</v>
      </c>
      <c r="L525">
        <v>69.129419999999996</v>
      </c>
      <c r="M525">
        <v>64.582599999999999</v>
      </c>
      <c r="N525">
        <v>64.064710000000005</v>
      </c>
      <c r="O525">
        <v>54.938769999999998</v>
      </c>
      <c r="R525">
        <v>70.513459999999995</v>
      </c>
      <c r="S525">
        <v>71.23</v>
      </c>
      <c r="U525">
        <v>65.232730000000004</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47.545400000000001</v>
      </c>
      <c r="AG525">
        <v>3.7664</v>
      </c>
      <c r="AH525">
        <v>63.19323</v>
      </c>
      <c r="AI525">
        <v>12.5435</v>
      </c>
      <c r="AJ525">
        <v>14.07296</v>
      </c>
      <c r="AK525">
        <v>63.022689999999997</v>
      </c>
      <c r="AL525">
        <v>63.4</v>
      </c>
      <c r="AM525">
        <v>49.153559999999999</v>
      </c>
      <c r="AN525">
        <v>39.863100000000003</v>
      </c>
      <c r="AO525">
        <v>17.020320000000002</v>
      </c>
      <c r="AP525">
        <v>55.658940000000001</v>
      </c>
      <c r="AQ525">
        <v>3.643652E-2</v>
      </c>
      <c r="AS525">
        <v>26.174379999999999</v>
      </c>
      <c r="AT525">
        <v>24.60371</v>
      </c>
      <c r="AU525">
        <v>73.889600000000002</v>
      </c>
      <c r="AV525">
        <v>0.13764670000000001</v>
      </c>
      <c r="AW525">
        <v>59.447209999999998</v>
      </c>
      <c r="AX525">
        <v>26.122689999999999</v>
      </c>
    </row>
    <row r="526" spans="1:50" x14ac:dyDescent="0.35">
      <c r="A526" s="75">
        <v>33848</v>
      </c>
      <c r="B526">
        <v>64.315479999999994</v>
      </c>
      <c r="C526">
        <v>64.958269999999999</v>
      </c>
      <c r="D526">
        <v>4.6858120000000003E-2</v>
      </c>
      <c r="E526">
        <v>66.526210000000006</v>
      </c>
      <c r="F526">
        <v>85.178740000000005</v>
      </c>
      <c r="G526">
        <v>36.789230000000003</v>
      </c>
      <c r="I526">
        <v>13.83586</v>
      </c>
      <c r="J526">
        <v>11.26606</v>
      </c>
      <c r="K526">
        <v>36.464579999999998</v>
      </c>
      <c r="L526">
        <v>69.129419999999996</v>
      </c>
      <c r="M526">
        <v>64.826049999999995</v>
      </c>
      <c r="N526">
        <v>64.135890000000003</v>
      </c>
      <c r="O526">
        <v>55.392049999999998</v>
      </c>
      <c r="R526">
        <v>70.934389999999993</v>
      </c>
      <c r="S526">
        <v>71.430000000000007</v>
      </c>
      <c r="U526">
        <v>65.408829999999995</v>
      </c>
      <c r="V526">
        <v>62.3</v>
      </c>
      <c r="W526">
        <v>42.216889999999999</v>
      </c>
      <c r="X526">
        <v>14.1846</v>
      </c>
      <c r="Y526">
        <v>11.340669999999999</v>
      </c>
      <c r="Z526">
        <v>20.14873</v>
      </c>
      <c r="AA526">
        <v>62.17</v>
      </c>
      <c r="AB526">
        <v>37.70628</v>
      </c>
      <c r="AC526">
        <v>41.532260000000001</v>
      </c>
      <c r="AD526">
        <v>58.41874</v>
      </c>
      <c r="AE526">
        <v>96.309489999999997</v>
      </c>
      <c r="AF526">
        <v>47.707740000000001</v>
      </c>
      <c r="AG526">
        <v>4.8738999999999999</v>
      </c>
      <c r="AH526">
        <v>63.270220000000002</v>
      </c>
      <c r="AI526">
        <v>14.05913</v>
      </c>
      <c r="AJ526">
        <v>14.19538</v>
      </c>
      <c r="AK526">
        <v>63.554780000000001</v>
      </c>
      <c r="AL526">
        <v>63.7</v>
      </c>
      <c r="AM526">
        <v>49.417479999999998</v>
      </c>
      <c r="AN526">
        <v>40.188639999999999</v>
      </c>
      <c r="AO526">
        <v>17.934640000000002</v>
      </c>
      <c r="AP526">
        <v>55.66789</v>
      </c>
      <c r="AQ526">
        <v>4.0626719999999998E-2</v>
      </c>
      <c r="AS526">
        <v>26.605229999999999</v>
      </c>
      <c r="AT526">
        <v>25.45636</v>
      </c>
      <c r="AU526">
        <v>74.965100000000007</v>
      </c>
      <c r="AV526">
        <v>0.14789869999999999</v>
      </c>
      <c r="AW526">
        <v>59.61598</v>
      </c>
      <c r="AX526">
        <v>26.306660000000001</v>
      </c>
    </row>
    <row r="527" spans="1:50" x14ac:dyDescent="0.35">
      <c r="A527" s="75">
        <v>33878</v>
      </c>
      <c r="B527">
        <v>64.216070000000002</v>
      </c>
      <c r="C527">
        <v>65.099159999999998</v>
      </c>
      <c r="D527">
        <v>5.8685090000000002E-2</v>
      </c>
      <c r="E527">
        <v>66.605220000000003</v>
      </c>
      <c r="F527">
        <v>85.302440000000004</v>
      </c>
      <c r="G527">
        <v>37.314959999999999</v>
      </c>
      <c r="I527">
        <v>13.95823</v>
      </c>
      <c r="J527">
        <v>11.34135</v>
      </c>
      <c r="K527">
        <v>37.135420000000003</v>
      </c>
      <c r="L527">
        <v>69.129419999999996</v>
      </c>
      <c r="M527">
        <v>64.756489999999999</v>
      </c>
      <c r="N527">
        <v>64.278260000000003</v>
      </c>
      <c r="O527">
        <v>55.425249999999998</v>
      </c>
      <c r="R527">
        <v>71.164599999999993</v>
      </c>
      <c r="S527">
        <v>71.63</v>
      </c>
      <c r="U527">
        <v>65.574389999999994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47.666629999999998</v>
      </c>
      <c r="AG527">
        <v>5.7935999999999996</v>
      </c>
      <c r="AH527">
        <v>63.56635</v>
      </c>
      <c r="AI527">
        <v>17.583210000000001</v>
      </c>
      <c r="AJ527">
        <v>14.29759</v>
      </c>
      <c r="AK527">
        <v>63.554780000000001</v>
      </c>
      <c r="AL527">
        <v>63.8</v>
      </c>
      <c r="AM527">
        <v>49.652670000000001</v>
      </c>
      <c r="AN527">
        <v>40.490900000000003</v>
      </c>
      <c r="AO527">
        <v>18.49729</v>
      </c>
      <c r="AP527">
        <v>55.859960000000001</v>
      </c>
      <c r="AQ527">
        <v>4.9930240000000001E-2</v>
      </c>
      <c r="AS527">
        <v>27.15727</v>
      </c>
      <c r="AT527">
        <v>26.3172</v>
      </c>
      <c r="AU527">
        <v>75.105509999999995</v>
      </c>
      <c r="AV527">
        <v>0.15907879999999999</v>
      </c>
      <c r="AW527">
        <v>59.826929999999997</v>
      </c>
      <c r="AX527">
        <v>26.352650000000001</v>
      </c>
    </row>
    <row r="528" spans="1:50" x14ac:dyDescent="0.35">
      <c r="A528" s="75">
        <v>33909</v>
      </c>
      <c r="B528">
        <v>64.275710000000004</v>
      </c>
      <c r="C528">
        <v>65.303449999999998</v>
      </c>
      <c r="D528">
        <v>7.18834E-2</v>
      </c>
      <c r="E528">
        <v>66.921260000000004</v>
      </c>
      <c r="F528">
        <v>86.123009999999994</v>
      </c>
      <c r="G528">
        <v>37.847490000000001</v>
      </c>
      <c r="I528">
        <v>14.05613</v>
      </c>
      <c r="J528">
        <v>11.473660000000001</v>
      </c>
      <c r="K528">
        <v>38.045830000000002</v>
      </c>
      <c r="L528">
        <v>69.409289999999999</v>
      </c>
      <c r="M528">
        <v>64.895600000000002</v>
      </c>
      <c r="N528">
        <v>64.491810000000001</v>
      </c>
      <c r="O528">
        <v>55.460619999999999</v>
      </c>
      <c r="R528">
        <v>71.236949999999993</v>
      </c>
      <c r="S528">
        <v>71.7</v>
      </c>
      <c r="U528">
        <v>65.692620000000005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47.423110000000001</v>
      </c>
      <c r="AG528">
        <v>7.4710999999999999</v>
      </c>
      <c r="AH528">
        <v>63.767719999999997</v>
      </c>
      <c r="AI528">
        <v>19.684640000000002</v>
      </c>
      <c r="AJ528">
        <v>14.41639</v>
      </c>
      <c r="AK528">
        <v>63.613900000000001</v>
      </c>
      <c r="AL528">
        <v>63.8</v>
      </c>
      <c r="AM528">
        <v>49.818669999999997</v>
      </c>
      <c r="AN528">
        <v>40.746940000000002</v>
      </c>
      <c r="AO528">
        <v>18.919280000000001</v>
      </c>
      <c r="AP528">
        <v>56.045070000000003</v>
      </c>
      <c r="AQ528">
        <v>6.2962039999999997E-2</v>
      </c>
      <c r="AS528">
        <v>27.61505</v>
      </c>
      <c r="AT528">
        <v>27.21903</v>
      </c>
      <c r="AU528">
        <v>74.735309999999998</v>
      </c>
      <c r="AV528">
        <v>0.16683799999999999</v>
      </c>
      <c r="AW528">
        <v>59.911320000000003</v>
      </c>
      <c r="AX528">
        <v>26.49062</v>
      </c>
    </row>
    <row r="529" spans="1:50" x14ac:dyDescent="0.35">
      <c r="A529" s="75">
        <v>33939</v>
      </c>
      <c r="B529">
        <v>64.315479999999994</v>
      </c>
      <c r="C529">
        <v>65.296409999999995</v>
      </c>
      <c r="D529">
        <v>9.0026739999999994E-2</v>
      </c>
      <c r="E529">
        <v>66.921260000000004</v>
      </c>
      <c r="F529">
        <v>86.030389999999997</v>
      </c>
      <c r="G529">
        <v>37.873869999999997</v>
      </c>
      <c r="I529">
        <v>14.19481</v>
      </c>
      <c r="J529">
        <v>11.58337</v>
      </c>
      <c r="K529">
        <v>38.333329999999997</v>
      </c>
      <c r="L529">
        <v>69.502589999999998</v>
      </c>
      <c r="M529">
        <v>64.756489999999999</v>
      </c>
      <c r="N529">
        <v>64.634180000000001</v>
      </c>
      <c r="O529">
        <v>55.627130000000001</v>
      </c>
      <c r="R529">
        <v>71.039630000000002</v>
      </c>
      <c r="S529">
        <v>71.66</v>
      </c>
      <c r="U529">
        <v>65.698560000000001</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47.545400000000001</v>
      </c>
      <c r="AG529">
        <v>9.5433000000000003</v>
      </c>
      <c r="AH529">
        <v>63.77364</v>
      </c>
      <c r="AI529">
        <v>20.18675</v>
      </c>
      <c r="AJ529">
        <v>14.62166</v>
      </c>
      <c r="AK529">
        <v>63.377409999999998</v>
      </c>
      <c r="AL529">
        <v>63.8</v>
      </c>
      <c r="AM529">
        <v>49.908070000000002</v>
      </c>
      <c r="AN529">
        <v>40.885689999999997</v>
      </c>
      <c r="AO529">
        <v>19.341280000000001</v>
      </c>
      <c r="AP529">
        <v>56.263019999999997</v>
      </c>
      <c r="AQ529">
        <v>7.8828469999999998E-2</v>
      </c>
      <c r="AS529">
        <v>27.884329999999999</v>
      </c>
      <c r="AT529">
        <v>27.432200000000002</v>
      </c>
      <c r="AU529">
        <v>75.022540000000006</v>
      </c>
      <c r="AV529">
        <v>0.17140279999999999</v>
      </c>
      <c r="AW529">
        <v>59.869120000000002</v>
      </c>
      <c r="AX529">
        <v>26.49062</v>
      </c>
    </row>
    <row r="530" spans="1:50" x14ac:dyDescent="0.35">
      <c r="A530" s="75">
        <v>33970</v>
      </c>
      <c r="B530">
        <v>65.09084</v>
      </c>
      <c r="C530">
        <v>65.740219999999994</v>
      </c>
      <c r="D530">
        <v>0.1173498</v>
      </c>
      <c r="E530">
        <v>67.158280000000005</v>
      </c>
      <c r="F530">
        <v>86.471649999999997</v>
      </c>
      <c r="G530">
        <v>37.936819999999997</v>
      </c>
      <c r="H530">
        <v>41.346890000000002</v>
      </c>
      <c r="I530">
        <v>14.65166</v>
      </c>
      <c r="J530">
        <v>11.631769999999999</v>
      </c>
      <c r="K530">
        <v>41.831249999999997</v>
      </c>
      <c r="L530">
        <v>70.715389999999999</v>
      </c>
      <c r="M530">
        <v>64.652150000000006</v>
      </c>
      <c r="N530">
        <v>64.918909999999997</v>
      </c>
      <c r="O530">
        <v>56.148429999999998</v>
      </c>
      <c r="R530">
        <v>71.769689999999997</v>
      </c>
      <c r="S530">
        <v>71.94</v>
      </c>
      <c r="U530">
        <v>66.017849999999996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47.910139999999998</v>
      </c>
      <c r="AG530">
        <v>10.4511</v>
      </c>
      <c r="AH530">
        <v>64.395499999999998</v>
      </c>
      <c r="AI530">
        <v>21.032900000000001</v>
      </c>
      <c r="AJ530">
        <v>14.805070000000001</v>
      </c>
      <c r="AK530">
        <v>63.377409999999998</v>
      </c>
      <c r="AL530">
        <v>64</v>
      </c>
      <c r="AM530">
        <v>50.239159999999998</v>
      </c>
      <c r="AN530">
        <v>41.29522</v>
      </c>
      <c r="AO530">
        <v>20.114930000000001</v>
      </c>
      <c r="AP530">
        <v>57.071109999999997</v>
      </c>
      <c r="AQ530">
        <v>9.9166210000000005E-2</v>
      </c>
      <c r="AS530">
        <v>30.390999999999998</v>
      </c>
      <c r="AT530">
        <v>28.473410000000001</v>
      </c>
      <c r="AU530">
        <v>77.058620000000005</v>
      </c>
      <c r="AV530">
        <v>0.18046770000000001</v>
      </c>
      <c r="AW530">
        <v>60.164459999999998</v>
      </c>
      <c r="AX530">
        <v>26.766559999999998</v>
      </c>
    </row>
    <row r="531" spans="1:50" x14ac:dyDescent="0.35">
      <c r="A531" s="75">
        <v>34001</v>
      </c>
      <c r="B531">
        <v>65.468580000000003</v>
      </c>
      <c r="C531">
        <v>65.909289999999999</v>
      </c>
      <c r="D531">
        <v>0.14666380000000001</v>
      </c>
      <c r="E531">
        <v>67.395309999999995</v>
      </c>
      <c r="F531">
        <v>87.026679999999999</v>
      </c>
      <c r="G531">
        <v>38.089939999999999</v>
      </c>
      <c r="H531">
        <v>41.581099999999999</v>
      </c>
      <c r="I531">
        <v>15.12482</v>
      </c>
      <c r="J531">
        <v>11.697380000000001</v>
      </c>
      <c r="K531">
        <v>42.454169999999998</v>
      </c>
      <c r="L531">
        <v>71.275139999999993</v>
      </c>
      <c r="M531">
        <v>64.826049999999995</v>
      </c>
      <c r="N531">
        <v>65.274829999999994</v>
      </c>
      <c r="O531">
        <v>56.166379999999997</v>
      </c>
      <c r="R531">
        <v>71.999889999999994</v>
      </c>
      <c r="S531">
        <v>72.19</v>
      </c>
      <c r="U531">
        <v>66.265590000000003</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48.234830000000002</v>
      </c>
      <c r="AG531">
        <v>11.512600000000001</v>
      </c>
      <c r="AH531">
        <v>64.58502</v>
      </c>
      <c r="AI531">
        <v>21.646599999999999</v>
      </c>
      <c r="AJ531">
        <v>14.926030000000001</v>
      </c>
      <c r="AK531">
        <v>63.732140000000001</v>
      </c>
      <c r="AL531">
        <v>64.2</v>
      </c>
      <c r="AM531">
        <v>50.472439999999999</v>
      </c>
      <c r="AN531">
        <v>41.567189999999997</v>
      </c>
      <c r="AO531">
        <v>20.818249999999999</v>
      </c>
      <c r="AP531">
        <v>57.497050000000002</v>
      </c>
      <c r="AQ531">
        <v>0.1236603</v>
      </c>
      <c r="AS531">
        <v>30.882860000000001</v>
      </c>
      <c r="AT531">
        <v>28.98171</v>
      </c>
      <c r="AU531">
        <v>77.275639999999996</v>
      </c>
      <c r="AV531">
        <v>0.18764410000000001</v>
      </c>
      <c r="AW531">
        <v>60.375419999999998</v>
      </c>
      <c r="AX531">
        <v>26.858540000000001</v>
      </c>
    </row>
    <row r="532" spans="1:50" x14ac:dyDescent="0.35">
      <c r="A532" s="75">
        <v>34029</v>
      </c>
      <c r="B532">
        <v>65.727040000000002</v>
      </c>
      <c r="C532">
        <v>66.022000000000006</v>
      </c>
      <c r="D532">
        <v>0.18664439999999999</v>
      </c>
      <c r="E532">
        <v>67.316299999999998</v>
      </c>
      <c r="F532">
        <v>87.490089999999995</v>
      </c>
      <c r="G532">
        <v>38.306019999999997</v>
      </c>
      <c r="H532">
        <v>42.350709999999999</v>
      </c>
      <c r="I532">
        <v>15.41034</v>
      </c>
      <c r="J532">
        <v>11.73826</v>
      </c>
      <c r="K532">
        <v>42.693750000000001</v>
      </c>
      <c r="L532">
        <v>71.46172</v>
      </c>
      <c r="M532">
        <v>64.965159999999997</v>
      </c>
      <c r="N532">
        <v>65.559560000000005</v>
      </c>
      <c r="O532">
        <v>56.363909999999997</v>
      </c>
      <c r="R532">
        <v>72.098550000000003</v>
      </c>
      <c r="S532">
        <v>72.56</v>
      </c>
      <c r="U532">
        <v>66.478960000000001</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48.843089999999997</v>
      </c>
      <c r="AG532">
        <v>13.980700000000001</v>
      </c>
      <c r="AH532">
        <v>64.768619999999999</v>
      </c>
      <c r="AI532">
        <v>22.148710000000001</v>
      </c>
      <c r="AJ532">
        <v>15.01301</v>
      </c>
      <c r="AK532">
        <v>64.145989999999998</v>
      </c>
      <c r="AL532">
        <v>64.8</v>
      </c>
      <c r="AM532">
        <v>50.715200000000003</v>
      </c>
      <c r="AN532">
        <v>41.857750000000003</v>
      </c>
      <c r="AO532">
        <v>21.24024</v>
      </c>
      <c r="AP532">
        <v>57.727930000000001</v>
      </c>
      <c r="AQ532">
        <v>0.14851600000000001</v>
      </c>
      <c r="AS532">
        <v>31.19586</v>
      </c>
      <c r="AT532">
        <v>29.44903</v>
      </c>
      <c r="AU532">
        <v>77.604349999999997</v>
      </c>
      <c r="AV532">
        <v>0.1965904</v>
      </c>
      <c r="AW532">
        <v>60.586370000000002</v>
      </c>
      <c r="AX532">
        <v>27.226469999999999</v>
      </c>
    </row>
    <row r="533" spans="1:50" x14ac:dyDescent="0.35">
      <c r="A533" s="75">
        <v>34060</v>
      </c>
      <c r="B533">
        <v>65.727040000000002</v>
      </c>
      <c r="C533">
        <v>66.078360000000004</v>
      </c>
      <c r="D533">
        <v>0.23843809999999999</v>
      </c>
      <c r="E533">
        <v>67.316299999999998</v>
      </c>
      <c r="F533">
        <v>87.755930000000006</v>
      </c>
      <c r="G533">
        <v>38.84281</v>
      </c>
      <c r="H533">
        <v>43.574390000000001</v>
      </c>
      <c r="I533">
        <v>15.71219</v>
      </c>
      <c r="J533">
        <v>11.855499999999999</v>
      </c>
      <c r="K533">
        <v>42.933329999999998</v>
      </c>
      <c r="L533">
        <v>71.648309999999995</v>
      </c>
      <c r="M533">
        <v>65.034710000000004</v>
      </c>
      <c r="N533">
        <v>65.701920000000001</v>
      </c>
      <c r="O533">
        <v>56.610950000000003</v>
      </c>
      <c r="R533">
        <v>72.361630000000005</v>
      </c>
      <c r="S533">
        <v>72.650000000000006</v>
      </c>
      <c r="U533">
        <v>66.716279999999998</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49.127719999999997</v>
      </c>
      <c r="AG533">
        <v>17.474699999999999</v>
      </c>
      <c r="AH533">
        <v>64.910759999999996</v>
      </c>
      <c r="AI533">
        <v>22.223089999999999</v>
      </c>
      <c r="AJ533">
        <v>15.099589999999999</v>
      </c>
      <c r="AK533">
        <v>64.382469999999998</v>
      </c>
      <c r="AL533">
        <v>64.900000000000006</v>
      </c>
      <c r="AM533">
        <v>50.952080000000002</v>
      </c>
      <c r="AN533">
        <v>42.106169999999999</v>
      </c>
      <c r="AO533">
        <v>21.732559999999999</v>
      </c>
      <c r="AP533">
        <v>58.054360000000003</v>
      </c>
      <c r="AQ533">
        <v>0.17628849999999999</v>
      </c>
      <c r="AS533">
        <v>31.568480000000001</v>
      </c>
      <c r="AT533">
        <v>29.67859</v>
      </c>
      <c r="AU533">
        <v>77.929869999999994</v>
      </c>
      <c r="AV533">
        <v>0.2052128</v>
      </c>
      <c r="AW533">
        <v>60.755130000000001</v>
      </c>
      <c r="AX533">
        <v>27.962319999999998</v>
      </c>
    </row>
    <row r="534" spans="1:50" x14ac:dyDescent="0.35">
      <c r="A534" s="75">
        <v>34090</v>
      </c>
      <c r="B534">
        <v>65.846320000000006</v>
      </c>
      <c r="C534">
        <v>66.184030000000007</v>
      </c>
      <c r="D534">
        <v>0.3044616</v>
      </c>
      <c r="E534">
        <v>67.474320000000006</v>
      </c>
      <c r="F534">
        <v>87.807460000000006</v>
      </c>
      <c r="G534">
        <v>39.409370000000003</v>
      </c>
      <c r="H534">
        <v>44.226739999999999</v>
      </c>
      <c r="I534">
        <v>15.96508</v>
      </c>
      <c r="J534">
        <v>11.97059</v>
      </c>
      <c r="K534">
        <v>43.077080000000002</v>
      </c>
      <c r="L534">
        <v>71.741600000000005</v>
      </c>
      <c r="M534">
        <v>65.417270000000002</v>
      </c>
      <c r="N534">
        <v>65.844279999999998</v>
      </c>
      <c r="O534">
        <v>56.767130000000002</v>
      </c>
      <c r="R534">
        <v>72.4011</v>
      </c>
      <c r="S534">
        <v>72.75</v>
      </c>
      <c r="U534">
        <v>66.815759999999997</v>
      </c>
      <c r="V534">
        <v>63.6</v>
      </c>
      <c r="W534">
        <v>46.663379999999997</v>
      </c>
      <c r="X534">
        <v>16.55564</v>
      </c>
      <c r="Y534">
        <v>12.27792</v>
      </c>
      <c r="Z534">
        <v>20.397480000000002</v>
      </c>
      <c r="AA534">
        <v>62.465110000000003</v>
      </c>
      <c r="AB534">
        <v>38.861179999999997</v>
      </c>
      <c r="AC534">
        <v>44.75806</v>
      </c>
      <c r="AD534">
        <v>60.443919999999999</v>
      </c>
      <c r="AE534">
        <v>97.123949999999994</v>
      </c>
      <c r="AF534">
        <v>49.290059999999997</v>
      </c>
      <c r="AG534">
        <v>19.7026</v>
      </c>
      <c r="AH534">
        <v>65.046970000000002</v>
      </c>
      <c r="AI534">
        <v>22.167300000000001</v>
      </c>
      <c r="AJ534">
        <v>15.1859</v>
      </c>
      <c r="AK534">
        <v>64.323350000000005</v>
      </c>
      <c r="AL534">
        <v>64.900000000000006</v>
      </c>
      <c r="AM534">
        <v>51.09346</v>
      </c>
      <c r="AN534">
        <v>42.304720000000003</v>
      </c>
      <c r="AO534">
        <v>22.15455</v>
      </c>
      <c r="AP534">
        <v>58.326039999999999</v>
      </c>
      <c r="AQ534">
        <v>0.20819670000000001</v>
      </c>
      <c r="AS534">
        <v>31.73244</v>
      </c>
      <c r="AT534">
        <v>30.285270000000001</v>
      </c>
      <c r="AU534">
        <v>77.747960000000006</v>
      </c>
      <c r="AV534">
        <v>0.2149037</v>
      </c>
      <c r="AW534">
        <v>60.83952</v>
      </c>
      <c r="AX534">
        <v>28.054300000000001</v>
      </c>
    </row>
    <row r="535" spans="1:50" x14ac:dyDescent="0.35">
      <c r="A535" s="75">
        <v>34121</v>
      </c>
      <c r="B535">
        <v>66.005369999999999</v>
      </c>
      <c r="C535">
        <v>66.191079999999999</v>
      </c>
      <c r="D535">
        <v>0.39601330000000001</v>
      </c>
      <c r="E535">
        <v>67.474320000000006</v>
      </c>
      <c r="F535">
        <v>87.784999999999997</v>
      </c>
      <c r="G535">
        <v>39.604179999999999</v>
      </c>
      <c r="H535">
        <v>44.165550000000003</v>
      </c>
      <c r="I535">
        <v>16.209820000000001</v>
      </c>
      <c r="J535">
        <v>12.12656</v>
      </c>
      <c r="K535">
        <v>43.508339999999997</v>
      </c>
      <c r="L535">
        <v>71.928179999999998</v>
      </c>
      <c r="M535">
        <v>65.382490000000004</v>
      </c>
      <c r="N535">
        <v>65.986660000000001</v>
      </c>
      <c r="O535">
        <v>56.908059999999999</v>
      </c>
      <c r="R535">
        <v>72.302440000000004</v>
      </c>
      <c r="S535">
        <v>72.709999999999994</v>
      </c>
      <c r="U535">
        <v>66.909729999999996</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49.533569999999997</v>
      </c>
      <c r="AG535">
        <v>20.9312</v>
      </c>
      <c r="AH535">
        <v>65.088430000000002</v>
      </c>
      <c r="AI535">
        <v>22.678709999999999</v>
      </c>
      <c r="AJ535">
        <v>15.27108</v>
      </c>
      <c r="AK535">
        <v>64.086870000000005</v>
      </c>
      <c r="AL535">
        <v>65</v>
      </c>
      <c r="AM535">
        <v>51.197069999999997</v>
      </c>
      <c r="AN535">
        <v>42.427630000000001</v>
      </c>
      <c r="AO535">
        <v>22.435880000000001</v>
      </c>
      <c r="AP535">
        <v>58.459400000000002</v>
      </c>
      <c r="AQ535">
        <v>0.24962780000000001</v>
      </c>
      <c r="AS535">
        <v>31.866579999999999</v>
      </c>
      <c r="AT535">
        <v>30.46564</v>
      </c>
      <c r="AU535">
        <v>77.492649999999998</v>
      </c>
      <c r="AV535">
        <v>0.2188426</v>
      </c>
      <c r="AW535">
        <v>60.923900000000003</v>
      </c>
      <c r="AX535">
        <v>28.192270000000001</v>
      </c>
    </row>
    <row r="536" spans="1:50" x14ac:dyDescent="0.35">
      <c r="A536" s="75">
        <v>34151</v>
      </c>
      <c r="B536">
        <v>66.760859999999994</v>
      </c>
      <c r="C536">
        <v>66.627840000000006</v>
      </c>
      <c r="D536">
        <v>0.51766849999999998</v>
      </c>
      <c r="E536">
        <v>67.632339999999999</v>
      </c>
      <c r="F536">
        <v>87.73057</v>
      </c>
      <c r="G536">
        <v>39.9938</v>
      </c>
      <c r="H536">
        <v>43.859540000000003</v>
      </c>
      <c r="I536">
        <v>16.41377</v>
      </c>
      <c r="J536">
        <v>12.259930000000001</v>
      </c>
      <c r="K536">
        <v>43.604170000000003</v>
      </c>
      <c r="L536">
        <v>72.301349999999999</v>
      </c>
      <c r="M536">
        <v>65.27816</v>
      </c>
      <c r="N536">
        <v>66.200199999999995</v>
      </c>
      <c r="O536">
        <v>57.111579999999996</v>
      </c>
      <c r="R536">
        <v>72.118279999999999</v>
      </c>
      <c r="S536">
        <v>72.77</v>
      </c>
      <c r="U536">
        <v>66.983419999999995</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49.493510000000001</v>
      </c>
      <c r="AG536">
        <v>21.538900000000002</v>
      </c>
      <c r="AH536">
        <v>65.319410000000005</v>
      </c>
      <c r="AI536">
        <v>22.86468</v>
      </c>
      <c r="AJ536">
        <v>15.34446</v>
      </c>
      <c r="AK536">
        <v>64.500709999999998</v>
      </c>
      <c r="AL536">
        <v>64.900000000000006</v>
      </c>
      <c r="AM536">
        <v>51.329929999999997</v>
      </c>
      <c r="AN536">
        <v>42.643189999999997</v>
      </c>
      <c r="AO536">
        <v>22.717210000000001</v>
      </c>
      <c r="AP536">
        <v>58.80274</v>
      </c>
      <c r="AQ536">
        <v>0.3055445</v>
      </c>
      <c r="AS536">
        <v>32.224299999999999</v>
      </c>
      <c r="AT536">
        <v>30.6952</v>
      </c>
      <c r="AU536">
        <v>77.342659999999995</v>
      </c>
      <c r="AV536">
        <v>0.22952629999999999</v>
      </c>
      <c r="AW536">
        <v>60.923900000000003</v>
      </c>
      <c r="AX536">
        <v>28.422229999999999</v>
      </c>
    </row>
    <row r="537" spans="1:50" x14ac:dyDescent="0.35">
      <c r="A537" s="75">
        <v>34182</v>
      </c>
      <c r="B537">
        <v>66.979550000000003</v>
      </c>
      <c r="C537">
        <v>66.909620000000004</v>
      </c>
      <c r="D537">
        <v>0.68829209999999996</v>
      </c>
      <c r="E537">
        <v>67.711349999999996</v>
      </c>
      <c r="F537">
        <v>88.163110000000003</v>
      </c>
      <c r="G537">
        <v>40.847900000000003</v>
      </c>
      <c r="H537">
        <v>44.799500000000002</v>
      </c>
      <c r="I537">
        <v>16.617719999999998</v>
      </c>
      <c r="J537">
        <v>12.305110000000001</v>
      </c>
      <c r="K537">
        <v>43.7</v>
      </c>
      <c r="L537">
        <v>72.301349999999999</v>
      </c>
      <c r="M537">
        <v>65.382490000000004</v>
      </c>
      <c r="N537">
        <v>66.271389999999997</v>
      </c>
      <c r="O537">
        <v>57.453299999999999</v>
      </c>
      <c r="R537">
        <v>72.026200000000003</v>
      </c>
      <c r="S537">
        <v>72.77</v>
      </c>
      <c r="U537">
        <v>67.132760000000005</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49.655859999999997</v>
      </c>
      <c r="AG537">
        <v>21.734999999999999</v>
      </c>
      <c r="AH537">
        <v>65.514849999999996</v>
      </c>
      <c r="AI537">
        <v>22.483450000000001</v>
      </c>
      <c r="AJ537">
        <v>15.426589999999999</v>
      </c>
      <c r="AK537">
        <v>64.914559999999994</v>
      </c>
      <c r="AL537">
        <v>64.8</v>
      </c>
      <c r="AM537">
        <v>51.494520000000001</v>
      </c>
      <c r="AN537">
        <v>42.801270000000002</v>
      </c>
      <c r="AO537">
        <v>23.209530000000001</v>
      </c>
      <c r="AP537">
        <v>59.030639999999998</v>
      </c>
      <c r="AQ537">
        <v>0.38498599999999999</v>
      </c>
      <c r="AS537">
        <v>32.99935</v>
      </c>
      <c r="AT537">
        <v>30.908359999999998</v>
      </c>
      <c r="AU537">
        <v>77.425640000000001</v>
      </c>
      <c r="AV537">
        <v>0.2356559</v>
      </c>
      <c r="AW537">
        <v>61.092660000000002</v>
      </c>
      <c r="AX537">
        <v>28.560199999999998</v>
      </c>
    </row>
    <row r="538" spans="1:50" x14ac:dyDescent="0.35">
      <c r="A538" s="75">
        <v>34213</v>
      </c>
      <c r="B538">
        <v>66.502399999999994</v>
      </c>
      <c r="C538">
        <v>66.789860000000004</v>
      </c>
      <c r="D538">
        <v>0.93394359999999998</v>
      </c>
      <c r="E538">
        <v>67.711349999999996</v>
      </c>
      <c r="F538">
        <v>88.108980000000003</v>
      </c>
      <c r="G538">
        <v>41.323439999999998</v>
      </c>
      <c r="H538">
        <v>45.975490000000001</v>
      </c>
      <c r="I538">
        <v>16.805350000000001</v>
      </c>
      <c r="J538">
        <v>12.26746</v>
      </c>
      <c r="K538">
        <v>44.131250000000001</v>
      </c>
      <c r="L538">
        <v>72.20805</v>
      </c>
      <c r="M538">
        <v>65.591160000000002</v>
      </c>
      <c r="N538">
        <v>66.342569999999995</v>
      </c>
      <c r="O538">
        <v>57.77816</v>
      </c>
      <c r="R538">
        <v>72.17747</v>
      </c>
      <c r="S538">
        <v>73</v>
      </c>
      <c r="U538">
        <v>67.249880000000005</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49.898319999999998</v>
      </c>
      <c r="AG538">
        <v>22.649000000000001</v>
      </c>
      <c r="AH538">
        <v>65.591849999999994</v>
      </c>
      <c r="AI538">
        <v>22.939070000000001</v>
      </c>
      <c r="AJ538">
        <v>15.540839999999999</v>
      </c>
      <c r="AK538">
        <v>65.328400000000002</v>
      </c>
      <c r="AL538">
        <v>65.099999999999994</v>
      </c>
      <c r="AM538">
        <v>51.691310000000001</v>
      </c>
      <c r="AN538">
        <v>43.070050000000002</v>
      </c>
      <c r="AO538">
        <v>23.772189999999998</v>
      </c>
      <c r="AP538">
        <v>59.198819999999998</v>
      </c>
      <c r="AQ538">
        <v>0.47353279999999998</v>
      </c>
      <c r="AS538">
        <v>33.804209999999998</v>
      </c>
      <c r="AT538">
        <v>31.556039999999999</v>
      </c>
      <c r="AU538">
        <v>78.11497</v>
      </c>
      <c r="AV538">
        <v>0.24883240000000001</v>
      </c>
      <c r="AW538">
        <v>61.219239999999999</v>
      </c>
      <c r="AX538">
        <v>28.652180000000001</v>
      </c>
    </row>
    <row r="539" spans="1:50" x14ac:dyDescent="0.35">
      <c r="A539" s="75">
        <v>34243</v>
      </c>
      <c r="B539">
        <v>66.442760000000007</v>
      </c>
      <c r="C539">
        <v>66.867360000000005</v>
      </c>
      <c r="D539">
        <v>1.250737</v>
      </c>
      <c r="E539">
        <v>67.869370000000004</v>
      </c>
      <c r="F539">
        <v>88.174639999999997</v>
      </c>
      <c r="G539">
        <v>42.386809999999997</v>
      </c>
      <c r="H539">
        <v>46.30959</v>
      </c>
      <c r="I539">
        <v>16.984829999999999</v>
      </c>
      <c r="J539">
        <v>12.38471</v>
      </c>
      <c r="K539">
        <v>44.514580000000002</v>
      </c>
      <c r="L539">
        <v>72.20805</v>
      </c>
      <c r="M539">
        <v>65.765050000000002</v>
      </c>
      <c r="N539">
        <v>66.484930000000006</v>
      </c>
      <c r="O539">
        <v>57.993650000000002</v>
      </c>
      <c r="R539">
        <v>72.276129999999995</v>
      </c>
      <c r="S539">
        <v>73.13</v>
      </c>
      <c r="U539">
        <v>67.416480000000007</v>
      </c>
      <c r="V539">
        <v>64</v>
      </c>
      <c r="W539">
        <v>48.542250000000003</v>
      </c>
      <c r="X539">
        <v>17.74531</v>
      </c>
      <c r="Y539">
        <v>12.54035</v>
      </c>
      <c r="Z539">
        <v>21.724139999999998</v>
      </c>
      <c r="AA539">
        <v>63.252070000000003</v>
      </c>
      <c r="AB539">
        <v>39.903590000000001</v>
      </c>
      <c r="AC539">
        <v>46.37097</v>
      </c>
      <c r="AD539">
        <v>61.534399999999998</v>
      </c>
      <c r="AE539">
        <v>97.632990000000007</v>
      </c>
      <c r="AF539">
        <v>50.100720000000003</v>
      </c>
      <c r="AG539">
        <v>24.305900000000001</v>
      </c>
      <c r="AH539">
        <v>65.787289999999999</v>
      </c>
      <c r="AI539">
        <v>23.813110000000002</v>
      </c>
      <c r="AJ539">
        <v>15.6044</v>
      </c>
      <c r="AK539">
        <v>65.328400000000002</v>
      </c>
      <c r="AL539">
        <v>65.099999999999994</v>
      </c>
      <c r="AM539">
        <v>51.92651</v>
      </c>
      <c r="AN539">
        <v>43.366529999999997</v>
      </c>
      <c r="AO539">
        <v>24.194179999999999</v>
      </c>
      <c r="AP539">
        <v>59.51529</v>
      </c>
      <c r="AQ539">
        <v>0.56587169999999998</v>
      </c>
      <c r="AS539">
        <v>34.29607</v>
      </c>
      <c r="AT539">
        <v>32.367690000000003</v>
      </c>
      <c r="AU539">
        <v>78.347939999999994</v>
      </c>
      <c r="AV539">
        <v>0.2659803</v>
      </c>
      <c r="AW539">
        <v>61.472389999999997</v>
      </c>
      <c r="AX539">
        <v>28.88213</v>
      </c>
    </row>
    <row r="540" spans="1:50" x14ac:dyDescent="0.35">
      <c r="A540" s="75">
        <v>34274</v>
      </c>
      <c r="B540">
        <v>66.502399999999994</v>
      </c>
      <c r="C540">
        <v>66.958939999999998</v>
      </c>
      <c r="D540">
        <v>1.6954990000000001</v>
      </c>
      <c r="E540">
        <v>68.185410000000005</v>
      </c>
      <c r="F540">
        <v>88.055850000000007</v>
      </c>
      <c r="G540">
        <v>42.423389999999998</v>
      </c>
      <c r="H540">
        <v>46.710990000000002</v>
      </c>
      <c r="I540">
        <v>17.205089999999998</v>
      </c>
      <c r="J540">
        <v>12.519159999999999</v>
      </c>
      <c r="K540">
        <v>44.85</v>
      </c>
      <c r="L540">
        <v>72.301349999999999</v>
      </c>
      <c r="M540">
        <v>65.869380000000007</v>
      </c>
      <c r="N540">
        <v>66.627300000000005</v>
      </c>
      <c r="O540">
        <v>58.091050000000003</v>
      </c>
      <c r="R540">
        <v>72.170900000000003</v>
      </c>
      <c r="S540">
        <v>73.2</v>
      </c>
      <c r="U540">
        <v>67.418670000000006</v>
      </c>
      <c r="V540">
        <v>63.8</v>
      </c>
      <c r="W540">
        <v>48.920389999999998</v>
      </c>
      <c r="X540">
        <v>17.84515</v>
      </c>
      <c r="Y540">
        <v>12.59033</v>
      </c>
      <c r="Z540">
        <v>21.97289</v>
      </c>
      <c r="AA540">
        <v>63.252070000000003</v>
      </c>
      <c r="AB540">
        <v>39.903590000000001</v>
      </c>
      <c r="AC540">
        <v>46.774189999999997</v>
      </c>
      <c r="AD540">
        <v>61.74212</v>
      </c>
      <c r="AE540">
        <v>97.123949999999994</v>
      </c>
      <c r="AF540">
        <v>50.019550000000002</v>
      </c>
      <c r="AG540">
        <v>25.9697</v>
      </c>
      <c r="AH540">
        <v>66.012339999999995</v>
      </c>
      <c r="AI540">
        <v>25.905249999999999</v>
      </c>
      <c r="AJ540">
        <v>15.67323</v>
      </c>
      <c r="AK540">
        <v>65.328400000000002</v>
      </c>
      <c r="AL540">
        <v>65.099999999999994</v>
      </c>
      <c r="AM540">
        <v>52.045409999999997</v>
      </c>
      <c r="AN540">
        <v>43.618639999999999</v>
      </c>
      <c r="AO540">
        <v>25.178830000000001</v>
      </c>
      <c r="AP540">
        <v>59.8855</v>
      </c>
      <c r="AQ540">
        <v>0.65867469999999995</v>
      </c>
      <c r="AS540">
        <v>34.668689999999998</v>
      </c>
      <c r="AT540">
        <v>33.113759999999999</v>
      </c>
      <c r="AU540">
        <v>78.379850000000005</v>
      </c>
      <c r="AV540">
        <v>0.28298780000000001</v>
      </c>
      <c r="AW540">
        <v>61.514580000000002</v>
      </c>
      <c r="AX540">
        <v>28.92812</v>
      </c>
    </row>
    <row r="541" spans="1:50" x14ac:dyDescent="0.35">
      <c r="A541" s="75">
        <v>34304</v>
      </c>
      <c r="B541">
        <v>66.60181</v>
      </c>
      <c r="C541">
        <v>67.057559999999995</v>
      </c>
      <c r="D541">
        <v>2.320122</v>
      </c>
      <c r="E541">
        <v>68.027389999999997</v>
      </c>
      <c r="F541">
        <v>88.16592</v>
      </c>
      <c r="G541">
        <v>42.50761</v>
      </c>
      <c r="H541">
        <v>48.12294</v>
      </c>
      <c r="I541">
        <v>17.400880000000001</v>
      </c>
      <c r="J541">
        <v>12.631019999999999</v>
      </c>
      <c r="K541">
        <v>45.329169999999998</v>
      </c>
      <c r="L541">
        <v>72.487930000000006</v>
      </c>
      <c r="M541">
        <v>65.730270000000004</v>
      </c>
      <c r="N541">
        <v>66.698490000000007</v>
      </c>
      <c r="O541">
        <v>58.36694</v>
      </c>
      <c r="R541">
        <v>72.124859999999998</v>
      </c>
      <c r="S541">
        <v>73.17</v>
      </c>
      <c r="U541">
        <v>67.454239999999999</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50.30312</v>
      </c>
      <c r="AG541">
        <v>27.5671</v>
      </c>
      <c r="AH541">
        <v>66.077489999999997</v>
      </c>
      <c r="AI541">
        <v>27.22561</v>
      </c>
      <c r="AJ541">
        <v>15.79274</v>
      </c>
      <c r="AK541">
        <v>65.032799999999995</v>
      </c>
      <c r="AL541">
        <v>65</v>
      </c>
      <c r="AM541">
        <v>52.160040000000002</v>
      </c>
      <c r="AN541">
        <v>43.815930000000002</v>
      </c>
      <c r="AO541">
        <v>26.585460000000001</v>
      </c>
      <c r="AP541">
        <v>60.038760000000003</v>
      </c>
      <c r="AQ541">
        <v>0.74100900000000003</v>
      </c>
      <c r="AS541">
        <v>34.892270000000003</v>
      </c>
      <c r="AT541">
        <v>33.687660000000001</v>
      </c>
      <c r="AU541">
        <v>78.079859999999996</v>
      </c>
      <c r="AV541">
        <v>0.29322900000000002</v>
      </c>
      <c r="AW541">
        <v>61.514580000000002</v>
      </c>
      <c r="AX541">
        <v>29.020109999999999</v>
      </c>
    </row>
    <row r="542" spans="1:50" x14ac:dyDescent="0.35">
      <c r="A542" s="75">
        <v>34335</v>
      </c>
      <c r="B542">
        <v>67.098839999999996</v>
      </c>
      <c r="C542">
        <v>67.332300000000004</v>
      </c>
      <c r="D542">
        <v>3.2785639999999998</v>
      </c>
      <c r="E542">
        <v>68.027389999999997</v>
      </c>
      <c r="F542">
        <v>88.269069999999999</v>
      </c>
      <c r="G542">
        <v>42.95082</v>
      </c>
      <c r="H542">
        <v>50.071080000000002</v>
      </c>
      <c r="I542">
        <v>17.94746</v>
      </c>
      <c r="J542">
        <v>12.740740000000001</v>
      </c>
      <c r="K542">
        <v>46.431249999999999</v>
      </c>
      <c r="L542">
        <v>72.861099999999993</v>
      </c>
      <c r="M542">
        <v>65.79983</v>
      </c>
      <c r="N542">
        <v>66.983220000000003</v>
      </c>
      <c r="O542">
        <v>58.956800000000001</v>
      </c>
      <c r="R542">
        <v>71.934119999999993</v>
      </c>
      <c r="S542">
        <v>73.260000000000005</v>
      </c>
      <c r="U542">
        <v>67.625889999999998</v>
      </c>
      <c r="V542">
        <v>64</v>
      </c>
      <c r="W542">
        <v>49.162739999999999</v>
      </c>
      <c r="X542">
        <v>18.668769999999999</v>
      </c>
      <c r="Y542">
        <v>12.82152</v>
      </c>
      <c r="Z542">
        <v>21.80706</v>
      </c>
      <c r="AA542">
        <v>63.64555</v>
      </c>
      <c r="AB542">
        <v>39.57002</v>
      </c>
      <c r="AC542">
        <v>47.479840000000003</v>
      </c>
      <c r="AD542">
        <v>62.157539999999997</v>
      </c>
      <c r="AE542">
        <v>97.225750000000005</v>
      </c>
      <c r="AF542">
        <v>50.953539999999997</v>
      </c>
      <c r="AG542">
        <v>28.8962</v>
      </c>
      <c r="AH542">
        <v>66.095259999999996</v>
      </c>
      <c r="AI542">
        <v>28.257729999999999</v>
      </c>
      <c r="AJ542">
        <v>15.91517</v>
      </c>
      <c r="AK542">
        <v>65.269279999999995</v>
      </c>
      <c r="AL542">
        <v>64.900000000000006</v>
      </c>
      <c r="AM542">
        <v>52.378509999999999</v>
      </c>
      <c r="AN542">
        <v>44.078539999999997</v>
      </c>
      <c r="AO542">
        <v>27.07779</v>
      </c>
      <c r="AP542">
        <v>60.772219999999997</v>
      </c>
      <c r="AQ542">
        <v>0.87364960000000003</v>
      </c>
      <c r="AS542">
        <v>35.354320000000001</v>
      </c>
      <c r="AT542">
        <v>34.335329999999999</v>
      </c>
      <c r="AU542">
        <v>78.322410000000005</v>
      </c>
      <c r="AV542">
        <v>0.30615740000000002</v>
      </c>
      <c r="AW542">
        <v>61.683340000000001</v>
      </c>
      <c r="AX542">
        <v>29.43402</v>
      </c>
    </row>
    <row r="543" spans="1:50" x14ac:dyDescent="0.35">
      <c r="A543" s="75">
        <v>34366</v>
      </c>
      <c r="B543">
        <v>67.51634</v>
      </c>
      <c r="C543">
        <v>67.55068</v>
      </c>
      <c r="D543">
        <v>4.5989449999999996</v>
      </c>
      <c r="E543">
        <v>67.474320000000006</v>
      </c>
      <c r="F543">
        <v>88.627430000000004</v>
      </c>
      <c r="G543">
        <v>43.084380000000003</v>
      </c>
      <c r="H543">
        <v>51.227910000000001</v>
      </c>
      <c r="I543">
        <v>18.608260000000001</v>
      </c>
      <c r="J543">
        <v>12.894550000000001</v>
      </c>
      <c r="K543">
        <v>46.622920000000001</v>
      </c>
      <c r="L543">
        <v>73.420850000000002</v>
      </c>
      <c r="M543">
        <v>66.008499999999998</v>
      </c>
      <c r="N543">
        <v>67.267939999999996</v>
      </c>
      <c r="O543">
        <v>58.978020000000001</v>
      </c>
      <c r="R543">
        <v>72.203779999999995</v>
      </c>
      <c r="S543">
        <v>73.47</v>
      </c>
      <c r="U543">
        <v>67.827569999999994</v>
      </c>
      <c r="V543">
        <v>64.2</v>
      </c>
      <c r="W543">
        <v>49.347279999999998</v>
      </c>
      <c r="X543">
        <v>18.926670000000001</v>
      </c>
      <c r="Y543">
        <v>13.04646</v>
      </c>
      <c r="Z543">
        <v>21.97289</v>
      </c>
      <c r="AA543">
        <v>63.64555</v>
      </c>
      <c r="AB543">
        <v>39.611710000000002</v>
      </c>
      <c r="AC543">
        <v>47.681449999999998</v>
      </c>
      <c r="AD543">
        <v>62.417180000000002</v>
      </c>
      <c r="AE543">
        <v>97.225750000000005</v>
      </c>
      <c r="AF543">
        <v>51.520690000000002</v>
      </c>
      <c r="AG543">
        <v>29.746400000000001</v>
      </c>
      <c r="AH543">
        <v>66.267009999999999</v>
      </c>
      <c r="AI543">
        <v>29.22476</v>
      </c>
      <c r="AJ543">
        <v>15.997030000000001</v>
      </c>
      <c r="AK543">
        <v>65.623999999999995</v>
      </c>
      <c r="AL543">
        <v>65.099999999999994</v>
      </c>
      <c r="AM543">
        <v>52.619950000000003</v>
      </c>
      <c r="AN543">
        <v>44.426439999999999</v>
      </c>
      <c r="AO543">
        <v>27.359110000000001</v>
      </c>
      <c r="AP543">
        <v>61.1066</v>
      </c>
      <c r="AQ543">
        <v>0.96817850000000005</v>
      </c>
      <c r="AS543">
        <v>35.622599999999998</v>
      </c>
      <c r="AT543">
        <v>34.753459999999997</v>
      </c>
      <c r="AU543">
        <v>78.564949999999996</v>
      </c>
      <c r="AV543">
        <v>0.32609320000000003</v>
      </c>
      <c r="AW543">
        <v>61.894289999999998</v>
      </c>
      <c r="AX543">
        <v>29.526</v>
      </c>
    </row>
    <row r="544" spans="1:50" x14ac:dyDescent="0.35">
      <c r="A544" s="75">
        <v>34394</v>
      </c>
      <c r="B544">
        <v>67.735029999999995</v>
      </c>
      <c r="C544">
        <v>67.55068</v>
      </c>
      <c r="D544">
        <v>6.565016</v>
      </c>
      <c r="E544">
        <v>67.474320000000006</v>
      </c>
      <c r="F544">
        <v>88.628829999999994</v>
      </c>
      <c r="G544">
        <v>43.569279999999999</v>
      </c>
      <c r="H544">
        <v>51.837269999999997</v>
      </c>
      <c r="I544">
        <v>19.02431</v>
      </c>
      <c r="J544">
        <v>13.06127</v>
      </c>
      <c r="K544">
        <v>46.71875</v>
      </c>
      <c r="L544">
        <v>73.514139999999998</v>
      </c>
      <c r="M544">
        <v>66.078050000000005</v>
      </c>
      <c r="N544">
        <v>67.481499999999997</v>
      </c>
      <c r="O544">
        <v>59.172829999999998</v>
      </c>
      <c r="R544">
        <v>72.355059999999995</v>
      </c>
      <c r="S544">
        <v>73.64</v>
      </c>
      <c r="U544">
        <v>68.040480000000002</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51.966610000000003</v>
      </c>
      <c r="AG544">
        <v>30.7212</v>
      </c>
      <c r="AH544">
        <v>66.243319999999997</v>
      </c>
      <c r="AI544">
        <v>29.736170000000001</v>
      </c>
      <c r="AJ544">
        <v>16.079280000000001</v>
      </c>
      <c r="AK544">
        <v>66.037850000000006</v>
      </c>
      <c r="AL544">
        <v>65.400000000000006</v>
      </c>
      <c r="AM544">
        <v>52.869320000000002</v>
      </c>
      <c r="AN544">
        <v>44.703989999999997</v>
      </c>
      <c r="AO544">
        <v>27.921769999999999</v>
      </c>
      <c r="AP544">
        <v>61.245930000000001</v>
      </c>
      <c r="AQ544">
        <v>1.0399210000000001</v>
      </c>
      <c r="AS544">
        <v>35.786560000000001</v>
      </c>
      <c r="AT544">
        <v>35.269970000000001</v>
      </c>
      <c r="AU544">
        <v>78.855360000000005</v>
      </c>
      <c r="AV544">
        <v>0.34507969999999999</v>
      </c>
      <c r="AW544">
        <v>62.105249999999998</v>
      </c>
      <c r="AX544">
        <v>29.709959999999999</v>
      </c>
    </row>
    <row r="545" spans="1:50" x14ac:dyDescent="0.35">
      <c r="A545" s="75">
        <v>34425</v>
      </c>
      <c r="B545">
        <v>67.695269999999994</v>
      </c>
      <c r="C545">
        <v>67.670439999999999</v>
      </c>
      <c r="D545">
        <v>9.3670259999999992</v>
      </c>
      <c r="E545">
        <v>67.474320000000006</v>
      </c>
      <c r="F545">
        <v>88.675039999999996</v>
      </c>
      <c r="G545">
        <v>43.783650000000002</v>
      </c>
      <c r="H545">
        <v>53.030029999999996</v>
      </c>
      <c r="I545">
        <v>19.472999999999999</v>
      </c>
      <c r="J545">
        <v>13.1882</v>
      </c>
      <c r="K545">
        <v>46.910420000000002</v>
      </c>
      <c r="L545">
        <v>73.607439999999997</v>
      </c>
      <c r="M545">
        <v>66.356279999999998</v>
      </c>
      <c r="N545">
        <v>67.552679999999995</v>
      </c>
      <c r="O545">
        <v>59.405720000000002</v>
      </c>
      <c r="R545">
        <v>72.506330000000005</v>
      </c>
      <c r="S545">
        <v>73.84</v>
      </c>
      <c r="U545">
        <v>68.173689999999993</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52.047780000000003</v>
      </c>
      <c r="AG545">
        <v>31.224499999999999</v>
      </c>
      <c r="AH545">
        <v>66.302549999999997</v>
      </c>
      <c r="AI545">
        <v>30.535830000000001</v>
      </c>
      <c r="AJ545">
        <v>16.15803</v>
      </c>
      <c r="AK545">
        <v>66.156090000000006</v>
      </c>
      <c r="AL545">
        <v>65.5</v>
      </c>
      <c r="AM545">
        <v>53.300289999999997</v>
      </c>
      <c r="AN545">
        <v>45.514429999999997</v>
      </c>
      <c r="AO545">
        <v>28.695419999999999</v>
      </c>
      <c r="AP545">
        <v>61.59225</v>
      </c>
      <c r="AQ545">
        <v>1.1282099999999999</v>
      </c>
      <c r="AS545">
        <v>35.935609999999997</v>
      </c>
      <c r="AT545">
        <v>36.122610000000002</v>
      </c>
      <c r="AU545">
        <v>79.174499999999995</v>
      </c>
      <c r="AV545">
        <v>0.42577229999999999</v>
      </c>
      <c r="AW545">
        <v>62.189630000000001</v>
      </c>
      <c r="AX545">
        <v>29.893930000000001</v>
      </c>
    </row>
    <row r="546" spans="1:50" x14ac:dyDescent="0.35">
      <c r="A546" s="75">
        <v>34455</v>
      </c>
      <c r="B546">
        <v>67.79468</v>
      </c>
      <c r="C546">
        <v>67.87473</v>
      </c>
      <c r="D546">
        <v>13.49127</v>
      </c>
      <c r="E546">
        <v>67.316299999999998</v>
      </c>
      <c r="F546">
        <v>88.124619999999993</v>
      </c>
      <c r="G546">
        <v>44.408070000000002</v>
      </c>
      <c r="H546">
        <v>53.647030000000001</v>
      </c>
      <c r="I546">
        <v>19.774840000000001</v>
      </c>
      <c r="J546">
        <v>13.36782</v>
      </c>
      <c r="K546">
        <v>47.102089999999997</v>
      </c>
      <c r="L546">
        <v>73.794020000000003</v>
      </c>
      <c r="M546">
        <v>66.669269999999997</v>
      </c>
      <c r="N546">
        <v>67.766229999999993</v>
      </c>
      <c r="O546">
        <v>59.527070000000002</v>
      </c>
      <c r="R546">
        <v>72.512910000000005</v>
      </c>
      <c r="S546">
        <v>74</v>
      </c>
      <c r="U546">
        <v>68.274069999999995</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52.088889999999999</v>
      </c>
      <c r="AG546">
        <v>33.200499999999998</v>
      </c>
      <c r="AH546">
        <v>66.432850000000002</v>
      </c>
      <c r="AI546">
        <v>30.600919999999999</v>
      </c>
      <c r="AJ546">
        <v>16.2361</v>
      </c>
      <c r="AK546">
        <v>66.215209999999999</v>
      </c>
      <c r="AL546">
        <v>65.5</v>
      </c>
      <c r="AM546">
        <v>53.516260000000003</v>
      </c>
      <c r="AN546">
        <v>45.924329999999998</v>
      </c>
      <c r="AO546">
        <v>29.187740000000002</v>
      </c>
      <c r="AP546">
        <v>61.730580000000003</v>
      </c>
      <c r="AQ546">
        <v>1.206169</v>
      </c>
      <c r="AS546">
        <v>36.144280000000002</v>
      </c>
      <c r="AT546">
        <v>36.51614</v>
      </c>
      <c r="AU546">
        <v>79.353219999999993</v>
      </c>
      <c r="AV546">
        <v>0.46089740000000001</v>
      </c>
      <c r="AW546">
        <v>62.231819999999999</v>
      </c>
      <c r="AX546">
        <v>30.07789</v>
      </c>
    </row>
    <row r="547" spans="1:50" x14ac:dyDescent="0.35">
      <c r="A547" s="75">
        <v>34486</v>
      </c>
      <c r="B547">
        <v>67.894080000000002</v>
      </c>
      <c r="C547">
        <v>68.015630000000002</v>
      </c>
      <c r="D547">
        <v>19.890170000000001</v>
      </c>
      <c r="E547">
        <v>67.474320000000006</v>
      </c>
      <c r="F547">
        <v>88.263350000000003</v>
      </c>
      <c r="G547">
        <v>44.644559999999998</v>
      </c>
      <c r="H547">
        <v>54.14696</v>
      </c>
      <c r="I547">
        <v>19.954319999999999</v>
      </c>
      <c r="J547">
        <v>13.586180000000001</v>
      </c>
      <c r="K547">
        <v>47.677079999999997</v>
      </c>
      <c r="L547">
        <v>73.887309999999999</v>
      </c>
      <c r="M547">
        <v>66.738829999999993</v>
      </c>
      <c r="N547">
        <v>67.837410000000006</v>
      </c>
      <c r="O547">
        <v>59.591279999999998</v>
      </c>
      <c r="R547">
        <v>73.229810000000001</v>
      </c>
      <c r="S547">
        <v>73.97</v>
      </c>
      <c r="U547">
        <v>68.370570000000001</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52.45364</v>
      </c>
      <c r="AG547">
        <v>33.906799999999997</v>
      </c>
      <c r="AH547">
        <v>66.468379999999996</v>
      </c>
      <c r="AI547">
        <v>31.22391</v>
      </c>
      <c r="AJ547">
        <v>16.317340000000002</v>
      </c>
      <c r="AK547">
        <v>66.037850000000006</v>
      </c>
      <c r="AL547">
        <v>65.7</v>
      </c>
      <c r="AM547">
        <v>53.63747</v>
      </c>
      <c r="AN547">
        <v>46.039929999999998</v>
      </c>
      <c r="AO547">
        <v>29.89106</v>
      </c>
      <c r="AP547">
        <v>61.817169999999997</v>
      </c>
      <c r="AQ547">
        <v>1.2785390000000001</v>
      </c>
      <c r="AS547">
        <v>36.323129999999999</v>
      </c>
      <c r="AT547">
        <v>37.049039999999998</v>
      </c>
      <c r="AU547">
        <v>79.369169999999997</v>
      </c>
      <c r="AV547">
        <v>0.469916</v>
      </c>
      <c r="AW547">
        <v>62.442779999999999</v>
      </c>
      <c r="AX547">
        <v>30.261849999999999</v>
      </c>
    </row>
    <row r="548" spans="1:50" x14ac:dyDescent="0.35">
      <c r="A548" s="75">
        <v>34516</v>
      </c>
      <c r="B548">
        <v>68.669449999999998</v>
      </c>
      <c r="C548">
        <v>68.438299999999998</v>
      </c>
      <c r="D548">
        <v>21.250689999999999</v>
      </c>
      <c r="E548">
        <v>67.711349999999996</v>
      </c>
      <c r="F548">
        <v>88.24812</v>
      </c>
      <c r="G548">
        <v>44.911679999999997</v>
      </c>
      <c r="H548">
        <v>54.385829999999999</v>
      </c>
      <c r="I548">
        <v>20.133790000000001</v>
      </c>
      <c r="J548">
        <v>13.71095</v>
      </c>
      <c r="K548">
        <v>47.820839999999997</v>
      </c>
      <c r="L548">
        <v>74.073899999999995</v>
      </c>
      <c r="M548">
        <v>66.599720000000005</v>
      </c>
      <c r="N548">
        <v>67.979770000000002</v>
      </c>
      <c r="O548">
        <v>59.824719999999999</v>
      </c>
      <c r="R548">
        <v>73.262699999999995</v>
      </c>
      <c r="S548">
        <v>73.959999999999994</v>
      </c>
      <c r="U548">
        <v>68.422939999999997</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52.90061</v>
      </c>
      <c r="AG548">
        <v>34.632300000000001</v>
      </c>
      <c r="AH548">
        <v>66.746740000000003</v>
      </c>
      <c r="AI548">
        <v>31.56795</v>
      </c>
      <c r="AJ548">
        <v>16.389710000000001</v>
      </c>
      <c r="AK548">
        <v>66.274330000000006</v>
      </c>
      <c r="AL548">
        <v>65.8</v>
      </c>
      <c r="AM548">
        <v>53.769350000000003</v>
      </c>
      <c r="AN548">
        <v>46.20044</v>
      </c>
      <c r="AO548">
        <v>30.31305</v>
      </c>
      <c r="AP548">
        <v>61.921660000000003</v>
      </c>
      <c r="AQ548">
        <v>1.3466849999999999</v>
      </c>
      <c r="AS548">
        <v>36.591419999999999</v>
      </c>
      <c r="AT548">
        <v>37.565550000000002</v>
      </c>
      <c r="AU548">
        <v>79.385130000000004</v>
      </c>
      <c r="AV548">
        <v>0.48463050000000002</v>
      </c>
      <c r="AW548">
        <v>62.611539999999998</v>
      </c>
      <c r="AX548">
        <v>30.72176</v>
      </c>
    </row>
    <row r="549" spans="1:50" x14ac:dyDescent="0.35">
      <c r="A549" s="75">
        <v>34547</v>
      </c>
      <c r="B549">
        <v>69.086950000000002</v>
      </c>
      <c r="C549">
        <v>68.543970000000002</v>
      </c>
      <c r="D549">
        <v>21.646039999999999</v>
      </c>
      <c r="E549">
        <v>67.790360000000007</v>
      </c>
      <c r="F549">
        <v>88.594639999999998</v>
      </c>
      <c r="G549">
        <v>45.41019</v>
      </c>
      <c r="H549">
        <v>56.357770000000002</v>
      </c>
      <c r="I549">
        <v>20.32958</v>
      </c>
      <c r="J549">
        <v>13.96264</v>
      </c>
      <c r="K549">
        <v>48.15625</v>
      </c>
      <c r="L549">
        <v>74.260480000000001</v>
      </c>
      <c r="M549">
        <v>66.843159999999997</v>
      </c>
      <c r="N549">
        <v>68.122150000000005</v>
      </c>
      <c r="O549">
        <v>60.211069999999999</v>
      </c>
      <c r="R549">
        <v>73.374510000000001</v>
      </c>
      <c r="S549">
        <v>73.95</v>
      </c>
      <c r="U549">
        <v>68.670630000000003</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53.306469999999997</v>
      </c>
      <c r="AG549">
        <v>35.387700000000002</v>
      </c>
      <c r="AH549">
        <v>66.817809999999994</v>
      </c>
      <c r="AI549">
        <v>32.181640000000002</v>
      </c>
      <c r="AJ549">
        <v>16.466100000000001</v>
      </c>
      <c r="AK549">
        <v>66.569940000000003</v>
      </c>
      <c r="AL549">
        <v>65.8</v>
      </c>
      <c r="AM549">
        <v>54.015030000000003</v>
      </c>
      <c r="AN549">
        <v>46.439450000000001</v>
      </c>
      <c r="AO549">
        <v>30.80538</v>
      </c>
      <c r="AP549">
        <v>62.036110000000001</v>
      </c>
      <c r="AQ549">
        <v>1.4089020000000001</v>
      </c>
      <c r="AS549">
        <v>37.083280000000002</v>
      </c>
      <c r="AT549">
        <v>37.860689999999998</v>
      </c>
      <c r="AU549">
        <v>79.407470000000004</v>
      </c>
      <c r="AV549">
        <v>0.4983957</v>
      </c>
      <c r="AW549">
        <v>62.864690000000003</v>
      </c>
      <c r="AX549">
        <v>31.18167</v>
      </c>
    </row>
    <row r="550" spans="1:50" x14ac:dyDescent="0.35">
      <c r="A550" s="75">
        <v>34578</v>
      </c>
      <c r="B550">
        <v>68.550160000000005</v>
      </c>
      <c r="C550">
        <v>68.431259999999995</v>
      </c>
      <c r="D550">
        <v>21.977119999999999</v>
      </c>
      <c r="E550">
        <v>67.869370000000004</v>
      </c>
      <c r="F550">
        <v>88.630430000000004</v>
      </c>
      <c r="G550">
        <v>45.633920000000003</v>
      </c>
      <c r="H550">
        <v>58.526809999999998</v>
      </c>
      <c r="I550">
        <v>20.558</v>
      </c>
      <c r="J550">
        <v>14.261670000000001</v>
      </c>
      <c r="K550">
        <v>48.779170000000001</v>
      </c>
      <c r="L550">
        <v>74.073899999999995</v>
      </c>
      <c r="M550">
        <v>66.912719999999993</v>
      </c>
      <c r="N550">
        <v>68.193330000000003</v>
      </c>
      <c r="O550">
        <v>60.394449999999999</v>
      </c>
      <c r="R550">
        <v>73.552090000000007</v>
      </c>
      <c r="S550">
        <v>74.180000000000007</v>
      </c>
      <c r="U550">
        <v>68.814530000000005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53.143070000000002</v>
      </c>
      <c r="AG550">
        <v>36.198700000000002</v>
      </c>
      <c r="AH550">
        <v>67.031019999999998</v>
      </c>
      <c r="AI550">
        <v>32.497790000000002</v>
      </c>
      <c r="AJ550">
        <v>16.583200000000001</v>
      </c>
      <c r="AK550">
        <v>67.102019999999996</v>
      </c>
      <c r="AL550">
        <v>66.2</v>
      </c>
      <c r="AM550">
        <v>54.257040000000003</v>
      </c>
      <c r="AN550">
        <v>46.77608</v>
      </c>
      <c r="AO550">
        <v>32.212020000000003</v>
      </c>
      <c r="AP550">
        <v>62.092829999999999</v>
      </c>
      <c r="AQ550">
        <v>1.5210509999999999</v>
      </c>
      <c r="AS550">
        <v>37.962670000000003</v>
      </c>
      <c r="AT550">
        <v>38.516570000000002</v>
      </c>
      <c r="AU550">
        <v>80.125529999999998</v>
      </c>
      <c r="AV550">
        <v>0.52924879999999996</v>
      </c>
      <c r="AW550">
        <v>63.033450000000002</v>
      </c>
      <c r="AX550">
        <v>31.549589999999998</v>
      </c>
    </row>
    <row r="551" spans="1:50" x14ac:dyDescent="0.35">
      <c r="A551" s="75">
        <v>34608</v>
      </c>
      <c r="B551">
        <v>68.391109999999998</v>
      </c>
      <c r="C551">
        <v>68.290369999999996</v>
      </c>
      <c r="D551">
        <v>22.552969999999998</v>
      </c>
      <c r="E551">
        <v>67.711349999999996</v>
      </c>
      <c r="F551">
        <v>88.557460000000006</v>
      </c>
      <c r="G551">
        <v>45.903590000000001</v>
      </c>
      <c r="H551">
        <v>59.137340000000002</v>
      </c>
      <c r="I551">
        <v>20.78642</v>
      </c>
      <c r="J551">
        <v>14.46711</v>
      </c>
      <c r="K551">
        <v>49.258339999999997</v>
      </c>
      <c r="L551">
        <v>73.980609999999999</v>
      </c>
      <c r="M551">
        <v>67.051829999999995</v>
      </c>
      <c r="N551">
        <v>68.33569</v>
      </c>
      <c r="O551">
        <v>60.525590000000001</v>
      </c>
      <c r="R551">
        <v>73.617869999999996</v>
      </c>
      <c r="S551">
        <v>74.34</v>
      </c>
      <c r="U551">
        <v>68.88991</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52.981780000000001</v>
      </c>
      <c r="AG551">
        <v>37.206299999999999</v>
      </c>
      <c r="AH551">
        <v>67.143550000000005</v>
      </c>
      <c r="AI551">
        <v>32.91621</v>
      </c>
      <c r="AJ551">
        <v>16.670259999999999</v>
      </c>
      <c r="AK551">
        <v>67.161140000000003</v>
      </c>
      <c r="AL551">
        <v>66.2</v>
      </c>
      <c r="AM551">
        <v>54.475769999999997</v>
      </c>
      <c r="AN551">
        <v>47.140250000000002</v>
      </c>
      <c r="AO551">
        <v>33.126330000000003</v>
      </c>
      <c r="AP551">
        <v>62.33267</v>
      </c>
      <c r="AQ551">
        <v>1.7492080000000001</v>
      </c>
      <c r="AS551">
        <v>38.454529999999998</v>
      </c>
      <c r="AT551">
        <v>39.139659999999999</v>
      </c>
      <c r="AU551">
        <v>80.211690000000004</v>
      </c>
      <c r="AV551">
        <v>0.56769650000000005</v>
      </c>
      <c r="AW551">
        <v>63.075650000000003</v>
      </c>
      <c r="AX551">
        <v>31.687560000000001</v>
      </c>
    </row>
    <row r="552" spans="1:50" x14ac:dyDescent="0.35">
      <c r="A552" s="75">
        <v>34639</v>
      </c>
      <c r="B552">
        <v>68.331469999999996</v>
      </c>
      <c r="C552">
        <v>68.290369999999996</v>
      </c>
      <c r="D552">
        <v>23.186599999999999</v>
      </c>
      <c r="E552">
        <v>68.106399999999994</v>
      </c>
      <c r="F552">
        <v>88.551140000000004</v>
      </c>
      <c r="G552">
        <v>46.180070000000001</v>
      </c>
      <c r="H552">
        <v>59.556519999999999</v>
      </c>
      <c r="I552">
        <v>21.014849999999999</v>
      </c>
      <c r="J552">
        <v>14.68439</v>
      </c>
      <c r="K552">
        <v>49.641669999999998</v>
      </c>
      <c r="L552">
        <v>74.073899999999995</v>
      </c>
      <c r="M552">
        <v>67.225719999999995</v>
      </c>
      <c r="N552">
        <v>68.33569</v>
      </c>
      <c r="O552">
        <v>60.630609999999997</v>
      </c>
      <c r="R552">
        <v>73.400819999999996</v>
      </c>
      <c r="S552">
        <v>74.349999999999994</v>
      </c>
      <c r="U552">
        <v>68.958470000000005</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53.062950000000001</v>
      </c>
      <c r="AG552">
        <v>38.534599999999998</v>
      </c>
      <c r="AH552">
        <v>67.333070000000006</v>
      </c>
      <c r="AI552">
        <v>33.567100000000003</v>
      </c>
      <c r="AJ552">
        <v>16.75938</v>
      </c>
      <c r="AK552">
        <v>66.983779999999996</v>
      </c>
      <c r="AL552">
        <v>66.2</v>
      </c>
      <c r="AM552">
        <v>54.6723</v>
      </c>
      <c r="AN552">
        <v>47.498690000000003</v>
      </c>
      <c r="AO552">
        <v>33.688989999999997</v>
      </c>
      <c r="AP552">
        <v>62.454090000000001</v>
      </c>
      <c r="AQ552">
        <v>2.0047679999999999</v>
      </c>
      <c r="AS552">
        <v>38.707909999999998</v>
      </c>
      <c r="AT552">
        <v>39.87753</v>
      </c>
      <c r="AU552">
        <v>80.154250000000005</v>
      </c>
      <c r="AV552">
        <v>0.60377080000000005</v>
      </c>
      <c r="AW552">
        <v>63.160029999999999</v>
      </c>
      <c r="AX552">
        <v>31.779540000000001</v>
      </c>
    </row>
    <row r="553" spans="1:50" x14ac:dyDescent="0.35">
      <c r="A553" s="75">
        <v>34669</v>
      </c>
      <c r="B553">
        <v>68.331469999999996</v>
      </c>
      <c r="C553">
        <v>68.304450000000003</v>
      </c>
      <c r="D553">
        <v>23.583110000000001</v>
      </c>
      <c r="E553">
        <v>68.185410000000005</v>
      </c>
      <c r="F553">
        <v>88.53631</v>
      </c>
      <c r="G553">
        <v>46.310220000000001</v>
      </c>
      <c r="H553">
        <v>60.394289999999998</v>
      </c>
      <c r="I553">
        <v>21.333010000000002</v>
      </c>
      <c r="J553">
        <v>15.13937</v>
      </c>
      <c r="K553">
        <v>49.977089999999997</v>
      </c>
      <c r="L553">
        <v>74.260480000000001</v>
      </c>
      <c r="M553">
        <v>67.225719999999995</v>
      </c>
      <c r="N553">
        <v>68.478059999999999</v>
      </c>
      <c r="O553">
        <v>60.898339999999997</v>
      </c>
      <c r="R553">
        <v>73.302160000000001</v>
      </c>
      <c r="S553">
        <v>74.33</v>
      </c>
      <c r="U553">
        <v>68.993709999999993</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53.104059999999997</v>
      </c>
      <c r="AG553">
        <v>39.9983</v>
      </c>
      <c r="AH553">
        <v>67.404139999999998</v>
      </c>
      <c r="AI553">
        <v>34.376060000000003</v>
      </c>
      <c r="AJ553">
        <v>16.906369999999999</v>
      </c>
      <c r="AK553">
        <v>66.747299999999996</v>
      </c>
      <c r="AL553">
        <v>66.2</v>
      </c>
      <c r="AM553">
        <v>54.887099999999997</v>
      </c>
      <c r="AN553">
        <v>47.945410000000003</v>
      </c>
      <c r="AO553">
        <v>34.32197</v>
      </c>
      <c r="AP553">
        <v>62.644170000000003</v>
      </c>
      <c r="AQ553">
        <v>2.334352</v>
      </c>
      <c r="AS553">
        <v>38.946390000000001</v>
      </c>
      <c r="AT553">
        <v>40.254660000000001</v>
      </c>
      <c r="AU553">
        <v>80.007450000000006</v>
      </c>
      <c r="AV553">
        <v>0.64601580000000003</v>
      </c>
      <c r="AW553">
        <v>63.160029999999999</v>
      </c>
      <c r="AX553">
        <v>31.87152</v>
      </c>
    </row>
    <row r="554" spans="1:50" x14ac:dyDescent="0.35">
      <c r="A554" s="75">
        <v>34700</v>
      </c>
      <c r="B554">
        <v>68.828490000000002</v>
      </c>
      <c r="C554">
        <v>68.593279999999993</v>
      </c>
      <c r="D554">
        <v>23.984020000000001</v>
      </c>
      <c r="E554">
        <v>68.422439999999995</v>
      </c>
      <c r="F554">
        <v>89.164919999999995</v>
      </c>
      <c r="G554">
        <v>46.60371</v>
      </c>
      <c r="H554">
        <v>62.138210000000001</v>
      </c>
      <c r="I554">
        <v>21.724589999999999</v>
      </c>
      <c r="J554">
        <v>15.771839999999999</v>
      </c>
      <c r="K554">
        <v>50.6</v>
      </c>
      <c r="L554">
        <v>74.540360000000007</v>
      </c>
      <c r="M554">
        <v>67.260499999999993</v>
      </c>
      <c r="N554">
        <v>68.691599999999994</v>
      </c>
      <c r="O554">
        <v>61.52955</v>
      </c>
      <c r="R554">
        <v>73.275859999999994</v>
      </c>
      <c r="S554">
        <v>74.52</v>
      </c>
      <c r="U554">
        <v>69.201970000000003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53.60163</v>
      </c>
      <c r="AG554">
        <v>42.2928</v>
      </c>
      <c r="AH554">
        <v>67.641040000000004</v>
      </c>
      <c r="AI554">
        <v>35.57555</v>
      </c>
      <c r="AJ554">
        <v>17.542719999999999</v>
      </c>
      <c r="AK554">
        <v>66.865539999999996</v>
      </c>
      <c r="AL554">
        <v>66.599999999999994</v>
      </c>
      <c r="AM554">
        <v>55.242449999999998</v>
      </c>
      <c r="AN554">
        <v>48.290019999999998</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32.285440000000001</v>
      </c>
    </row>
    <row r="555" spans="1:50" x14ac:dyDescent="0.35">
      <c r="A555" s="75">
        <v>34731</v>
      </c>
      <c r="B555">
        <v>69.146590000000003</v>
      </c>
      <c r="C555">
        <v>68.78349</v>
      </c>
      <c r="D555">
        <v>24.228570000000001</v>
      </c>
      <c r="E555">
        <v>68.738479999999996</v>
      </c>
      <c r="F555">
        <v>89.959819999999993</v>
      </c>
      <c r="G555">
        <v>46.839359999999999</v>
      </c>
      <c r="H555">
        <v>62.702959999999997</v>
      </c>
      <c r="I555">
        <v>22.491430000000001</v>
      </c>
      <c r="J555">
        <v>16.00525</v>
      </c>
      <c r="K555">
        <v>51.1</v>
      </c>
      <c r="L555">
        <v>74.913529999999994</v>
      </c>
      <c r="M555">
        <v>67.538730000000001</v>
      </c>
      <c r="N555">
        <v>68.976339999999993</v>
      </c>
      <c r="O555">
        <v>61.831020000000002</v>
      </c>
      <c r="R555">
        <v>73.474360000000004</v>
      </c>
      <c r="S555">
        <v>74.75</v>
      </c>
      <c r="U555">
        <v>69.425389999999993</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53.820900000000002</v>
      </c>
      <c r="AG555">
        <v>43.961100000000002</v>
      </c>
      <c r="AH555">
        <v>67.744150000000005</v>
      </c>
      <c r="AI555">
        <v>36.700650000000003</v>
      </c>
      <c r="AJ555">
        <v>18.28622</v>
      </c>
      <c r="AK555">
        <v>67.220259999999996</v>
      </c>
      <c r="AL555">
        <v>66.8</v>
      </c>
      <c r="AM555">
        <v>55.604190000000003</v>
      </c>
      <c r="AN555">
        <v>48.669870000000003</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32.423409999999997</v>
      </c>
    </row>
    <row r="556" spans="1:50" x14ac:dyDescent="0.35">
      <c r="A556" s="75">
        <v>34759</v>
      </c>
      <c r="B556">
        <v>69.365290000000002</v>
      </c>
      <c r="C556">
        <v>68.727130000000002</v>
      </c>
      <c r="D556">
        <v>24.604189999999999</v>
      </c>
      <c r="E556">
        <v>68.896500000000003</v>
      </c>
      <c r="F556">
        <v>90.015050000000002</v>
      </c>
      <c r="G556">
        <v>47.125190000000003</v>
      </c>
      <c r="H556">
        <v>62.878610000000002</v>
      </c>
      <c r="I556">
        <v>23.078810000000001</v>
      </c>
      <c r="J556">
        <v>16.138629999999999</v>
      </c>
      <c r="K556">
        <v>51.1</v>
      </c>
      <c r="L556">
        <v>74.913529999999994</v>
      </c>
      <c r="M556">
        <v>67.747389999999996</v>
      </c>
      <c r="N556">
        <v>69.261070000000004</v>
      </c>
      <c r="O556">
        <v>62.191240000000001</v>
      </c>
      <c r="R556">
        <v>73.444950000000006</v>
      </c>
      <c r="S556">
        <v>74.98</v>
      </c>
      <c r="U556">
        <v>69.616990000000001</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54.368020000000001</v>
      </c>
      <c r="AG556">
        <v>44.590400000000002</v>
      </c>
      <c r="AH556">
        <v>67.764769999999999</v>
      </c>
      <c r="AI556">
        <v>37.658380000000001</v>
      </c>
      <c r="AJ556">
        <v>19.36421</v>
      </c>
      <c r="AK556">
        <v>67.57499</v>
      </c>
      <c r="AL556">
        <v>67.2</v>
      </c>
      <c r="AM556">
        <v>55.990430000000003</v>
      </c>
      <c r="AN556">
        <v>49.0169</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32.791339999999998</v>
      </c>
    </row>
    <row r="557" spans="1:50" x14ac:dyDescent="0.35">
      <c r="A557" s="75">
        <v>34790</v>
      </c>
      <c r="B557">
        <v>69.424930000000003</v>
      </c>
      <c r="C557">
        <v>68.832800000000006</v>
      </c>
      <c r="D557">
        <v>25.202089999999998</v>
      </c>
      <c r="E557">
        <v>69.133529999999993</v>
      </c>
      <c r="F557">
        <v>90.090739999999997</v>
      </c>
      <c r="G557">
        <v>47.411879999999996</v>
      </c>
      <c r="H557">
        <v>64.007249999999999</v>
      </c>
      <c r="I557">
        <v>23.592759999999998</v>
      </c>
      <c r="J557">
        <v>16.230049999999999</v>
      </c>
      <c r="K557">
        <v>51.6</v>
      </c>
      <c r="L557">
        <v>75.006820000000005</v>
      </c>
      <c r="M557">
        <v>67.956059999999994</v>
      </c>
      <c r="N557">
        <v>69.40343</v>
      </c>
      <c r="O557">
        <v>62.521000000000001</v>
      </c>
      <c r="R557">
        <v>73.444950000000006</v>
      </c>
      <c r="S557">
        <v>75.069999999999993</v>
      </c>
      <c r="U557">
        <v>69.836470000000006</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54.696919999999999</v>
      </c>
      <c r="AG557">
        <v>45.229500000000002</v>
      </c>
      <c r="AH557">
        <v>67.771640000000005</v>
      </c>
      <c r="AI557">
        <v>38.383650000000003</v>
      </c>
      <c r="AJ557">
        <v>20.907219999999999</v>
      </c>
      <c r="AK557">
        <v>67.69323</v>
      </c>
      <c r="AL557">
        <v>67.2</v>
      </c>
      <c r="AM557">
        <v>56.474879999999999</v>
      </c>
      <c r="AN557">
        <v>49.374139999999997</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33.205249999999999</v>
      </c>
    </row>
    <row r="558" spans="1:50" x14ac:dyDescent="0.35">
      <c r="A558" s="75">
        <v>34820</v>
      </c>
      <c r="B558">
        <v>69.424930000000003</v>
      </c>
      <c r="C558">
        <v>68.811670000000007</v>
      </c>
      <c r="D558">
        <v>25.874919999999999</v>
      </c>
      <c r="E558">
        <v>69.291550000000001</v>
      </c>
      <c r="F558">
        <v>89.921030000000002</v>
      </c>
      <c r="G558">
        <v>47.701970000000003</v>
      </c>
      <c r="H558">
        <v>64.537379999999999</v>
      </c>
      <c r="I558">
        <v>23.98434</v>
      </c>
      <c r="J558">
        <v>16.372039999999998</v>
      </c>
      <c r="K558">
        <v>51.8</v>
      </c>
      <c r="L558">
        <v>75.006820000000005</v>
      </c>
      <c r="M558">
        <v>68.234279999999998</v>
      </c>
      <c r="N558">
        <v>69.474620000000002</v>
      </c>
      <c r="O558">
        <v>62.546030000000002</v>
      </c>
      <c r="R558">
        <v>73.555229999999995</v>
      </c>
      <c r="S558">
        <v>75.180000000000007</v>
      </c>
      <c r="U558">
        <v>69.992940000000004</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54.806550000000001</v>
      </c>
      <c r="AG558">
        <v>46.2393</v>
      </c>
      <c r="AH558">
        <v>67.86788</v>
      </c>
      <c r="AI558">
        <v>38.91366</v>
      </c>
      <c r="AJ558">
        <v>21.78106</v>
      </c>
      <c r="AK558">
        <v>67.57499</v>
      </c>
      <c r="AL558">
        <v>67.3</v>
      </c>
      <c r="AM558">
        <v>56.765659999999997</v>
      </c>
      <c r="AN558">
        <v>49.615020000000001</v>
      </c>
      <c r="AO558">
        <v>38.682549999999999</v>
      </c>
      <c r="AP558">
        <v>64.426550000000006</v>
      </c>
      <c r="AQ558">
        <v>3.892614</v>
      </c>
      <c r="AR558">
        <v>66.841440000000006</v>
      </c>
      <c r="AS558">
        <v>40.12415</v>
      </c>
      <c r="AT558">
        <v>42.058329999999998</v>
      </c>
      <c r="AU558">
        <v>81.536109999999994</v>
      </c>
      <c r="AV558">
        <v>0.82876090000000002</v>
      </c>
      <c r="AW558">
        <v>64.21481</v>
      </c>
      <c r="AX558">
        <v>33.343229999999998</v>
      </c>
    </row>
    <row r="559" spans="1:50" x14ac:dyDescent="0.35">
      <c r="A559" s="75">
        <v>34851</v>
      </c>
      <c r="B559">
        <v>69.68338</v>
      </c>
      <c r="C559">
        <v>68.882109999999997</v>
      </c>
      <c r="D559">
        <v>26.459589999999999</v>
      </c>
      <c r="E559">
        <v>69.291550000000001</v>
      </c>
      <c r="F559">
        <v>90.099459999999993</v>
      </c>
      <c r="G559">
        <v>48.0533</v>
      </c>
      <c r="H559">
        <v>64.001710000000003</v>
      </c>
      <c r="I559">
        <v>24.278020000000001</v>
      </c>
      <c r="J559">
        <v>16.616199999999999</v>
      </c>
      <c r="K559">
        <v>52.4</v>
      </c>
      <c r="L559">
        <v>75.100110000000001</v>
      </c>
      <c r="M559">
        <v>68.129949999999994</v>
      </c>
      <c r="N559">
        <v>69.68817</v>
      </c>
      <c r="O559">
        <v>62.605339999999998</v>
      </c>
      <c r="R559">
        <v>73.805189999999996</v>
      </c>
      <c r="S559">
        <v>75.180000000000007</v>
      </c>
      <c r="U559">
        <v>70.100989999999996</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54.643160000000002</v>
      </c>
      <c r="AG559">
        <v>46.694699999999997</v>
      </c>
      <c r="AH559">
        <v>67.915999999999997</v>
      </c>
      <c r="AI559">
        <v>39.490160000000003</v>
      </c>
      <c r="AJ559">
        <v>22.472329999999999</v>
      </c>
      <c r="AK559">
        <v>67.45675</v>
      </c>
      <c r="AL559">
        <v>67.5</v>
      </c>
      <c r="AM559">
        <v>56.978009999999998</v>
      </c>
      <c r="AN559">
        <v>49.802999999999997</v>
      </c>
      <c r="AO559">
        <v>39.034210000000002</v>
      </c>
      <c r="AP559">
        <v>64.28922</v>
      </c>
      <c r="AQ559">
        <v>4.1518620000000004</v>
      </c>
      <c r="AR559">
        <v>66.725489999999994</v>
      </c>
      <c r="AS559">
        <v>40.12415</v>
      </c>
      <c r="AT559">
        <v>42.27149</v>
      </c>
      <c r="AU559">
        <v>81.446749999999994</v>
      </c>
      <c r="AV559">
        <v>0.85012069999999995</v>
      </c>
      <c r="AW559">
        <v>64.341380000000001</v>
      </c>
      <c r="AX559">
        <v>33.297240000000002</v>
      </c>
    </row>
    <row r="560" spans="1:50" x14ac:dyDescent="0.35">
      <c r="A560" s="75">
        <v>34881</v>
      </c>
      <c r="B560">
        <v>70.180409999999995</v>
      </c>
      <c r="C560">
        <v>69.255480000000006</v>
      </c>
      <c r="D560">
        <v>27.083939999999998</v>
      </c>
      <c r="E560">
        <v>69.449560000000005</v>
      </c>
      <c r="F560">
        <v>90.038709999999995</v>
      </c>
      <c r="G560">
        <v>48.454830000000001</v>
      </c>
      <c r="H560">
        <v>63.468269999999997</v>
      </c>
      <c r="I560">
        <v>24.46565</v>
      </c>
      <c r="J560">
        <v>16.896940000000001</v>
      </c>
      <c r="K560">
        <v>52.4</v>
      </c>
      <c r="L560">
        <v>75.286699999999996</v>
      </c>
      <c r="M560">
        <v>67.816950000000006</v>
      </c>
      <c r="N560">
        <v>69.68817</v>
      </c>
      <c r="O560">
        <v>62.615139999999997</v>
      </c>
      <c r="R560">
        <v>73.78313</v>
      </c>
      <c r="S560">
        <v>75.040000000000006</v>
      </c>
      <c r="U560">
        <v>70.059830000000005</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54.806550000000001</v>
      </c>
      <c r="AG560">
        <v>47.9465</v>
      </c>
      <c r="AH560">
        <v>67.9435</v>
      </c>
      <c r="AI560">
        <v>39.592440000000003</v>
      </c>
      <c r="AJ560">
        <v>22.93045</v>
      </c>
      <c r="AK560">
        <v>67.45675</v>
      </c>
      <c r="AL560">
        <v>67.400000000000006</v>
      </c>
      <c r="AM560">
        <v>57.073230000000002</v>
      </c>
      <c r="AN560">
        <v>49.894309999999997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33.481200000000001</v>
      </c>
    </row>
    <row r="561" spans="1:50" x14ac:dyDescent="0.35">
      <c r="A561" s="75">
        <v>34912</v>
      </c>
      <c r="B561">
        <v>70.558149999999998</v>
      </c>
      <c r="C561">
        <v>69.424549999999996</v>
      </c>
      <c r="D561">
        <v>27.352139999999999</v>
      </c>
      <c r="E561">
        <v>69.291550000000001</v>
      </c>
      <c r="F561">
        <v>90.323999999999998</v>
      </c>
      <c r="G561">
        <v>49.251080000000002</v>
      </c>
      <c r="H561">
        <v>64.529650000000004</v>
      </c>
      <c r="I561">
        <v>24.620660000000001</v>
      </c>
      <c r="J561">
        <v>17.084099999999999</v>
      </c>
      <c r="K561">
        <v>52.4</v>
      </c>
      <c r="L561">
        <v>75.286699999999996</v>
      </c>
      <c r="M561">
        <v>67.921279999999996</v>
      </c>
      <c r="N561">
        <v>69.759349999999998</v>
      </c>
      <c r="O561">
        <v>62.791989999999998</v>
      </c>
      <c r="R561">
        <v>73.599329999999995</v>
      </c>
      <c r="S561">
        <v>75.400000000000006</v>
      </c>
      <c r="U561">
        <v>70.216949999999997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55.135460000000002</v>
      </c>
      <c r="AG561">
        <v>48.161799999999999</v>
      </c>
      <c r="AH561">
        <v>67.922870000000003</v>
      </c>
      <c r="AI561">
        <v>39.48086</v>
      </c>
      <c r="AJ561">
        <v>23.3108</v>
      </c>
      <c r="AK561">
        <v>67.57499</v>
      </c>
      <c r="AL561">
        <v>67.3</v>
      </c>
      <c r="AM561">
        <v>57.310699999999997</v>
      </c>
      <c r="AN561">
        <v>50.149569999999997</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33.573180000000001</v>
      </c>
    </row>
    <row r="562" spans="1:50" x14ac:dyDescent="0.35">
      <c r="A562" s="75">
        <v>34943</v>
      </c>
      <c r="B562">
        <v>69.902079999999998</v>
      </c>
      <c r="C562">
        <v>69.248429999999999</v>
      </c>
      <c r="D562">
        <v>27.622900000000001</v>
      </c>
      <c r="E562">
        <v>69.370549999999994</v>
      </c>
      <c r="F562">
        <v>90.40128</v>
      </c>
      <c r="G562">
        <v>49.54372</v>
      </c>
      <c r="H562">
        <v>66.252340000000004</v>
      </c>
      <c r="I562">
        <v>24.83276</v>
      </c>
      <c r="J562">
        <v>17.401409999999998</v>
      </c>
      <c r="K562">
        <v>52.8</v>
      </c>
      <c r="L562">
        <v>75.286699999999996</v>
      </c>
      <c r="M562">
        <v>68.303839999999994</v>
      </c>
      <c r="N562">
        <v>69.972899999999996</v>
      </c>
      <c r="O562">
        <v>63.03904</v>
      </c>
      <c r="R562">
        <v>73.614040000000003</v>
      </c>
      <c r="S562">
        <v>75.67</v>
      </c>
      <c r="U562">
        <v>70.401210000000006</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55.628810000000001</v>
      </c>
      <c r="AG562">
        <v>49.110999999999997</v>
      </c>
      <c r="AH562">
        <v>68.046610000000001</v>
      </c>
      <c r="AI562">
        <v>40.196829999999999</v>
      </c>
      <c r="AJ562">
        <v>23.79299</v>
      </c>
      <c r="AK562">
        <v>68.107069999999993</v>
      </c>
      <c r="AL562">
        <v>67.7</v>
      </c>
      <c r="AM562">
        <v>57.674430000000001</v>
      </c>
      <c r="AN562">
        <v>50.601500000000001</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33.619169999999997</v>
      </c>
    </row>
    <row r="563" spans="1:50" x14ac:dyDescent="0.35">
      <c r="A563" s="75">
        <v>34973</v>
      </c>
      <c r="B563">
        <v>69.68338</v>
      </c>
      <c r="C563">
        <v>69.121629999999996</v>
      </c>
      <c r="D563">
        <v>28.012450000000001</v>
      </c>
      <c r="E563">
        <v>69.291550000000001</v>
      </c>
      <c r="F563">
        <v>90.303250000000006</v>
      </c>
      <c r="G563">
        <v>49.927390000000003</v>
      </c>
      <c r="H563">
        <v>66.292959999999994</v>
      </c>
      <c r="I563">
        <v>25.05303</v>
      </c>
      <c r="J563">
        <v>17.920929999999998</v>
      </c>
      <c r="K563">
        <v>53.2</v>
      </c>
      <c r="L563">
        <v>75.100110000000001</v>
      </c>
      <c r="M563">
        <v>68.338620000000006</v>
      </c>
      <c r="N563">
        <v>69.972899999999996</v>
      </c>
      <c r="O563">
        <v>63.156570000000002</v>
      </c>
      <c r="R563">
        <v>73.555229999999995</v>
      </c>
      <c r="S563">
        <v>75.75</v>
      </c>
      <c r="U563">
        <v>70.481620000000007</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55.355780000000003</v>
      </c>
      <c r="AG563">
        <v>50.695300000000003</v>
      </c>
      <c r="AH563">
        <v>68.13597</v>
      </c>
      <c r="AI563">
        <v>40.81982</v>
      </c>
      <c r="AJ563">
        <v>24.282550000000001</v>
      </c>
      <c r="AK563">
        <v>68.04795</v>
      </c>
      <c r="AL563">
        <v>67.7</v>
      </c>
      <c r="AM563">
        <v>57.928379999999997</v>
      </c>
      <c r="AN563">
        <v>50.89414</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33.711150000000004</v>
      </c>
    </row>
    <row r="564" spans="1:50" x14ac:dyDescent="0.35">
      <c r="A564" s="75">
        <v>35004</v>
      </c>
      <c r="B564">
        <v>69.643619999999999</v>
      </c>
      <c r="C564">
        <v>69.290700000000001</v>
      </c>
      <c r="D564">
        <v>28.42427</v>
      </c>
      <c r="E564">
        <v>69.528570000000002</v>
      </c>
      <c r="F564">
        <v>90.235979999999998</v>
      </c>
      <c r="G564">
        <v>49.963120000000004</v>
      </c>
      <c r="H564">
        <v>66.226849999999999</v>
      </c>
      <c r="I564">
        <v>25.248819999999998</v>
      </c>
      <c r="J564">
        <v>18.344729999999998</v>
      </c>
      <c r="K564">
        <v>53.6</v>
      </c>
      <c r="L564">
        <v>75.100110000000001</v>
      </c>
      <c r="M564">
        <v>68.477729999999994</v>
      </c>
      <c r="N564">
        <v>70.044079999999994</v>
      </c>
      <c r="O564">
        <v>63.324170000000002</v>
      </c>
      <c r="R564">
        <v>73.349369999999993</v>
      </c>
      <c r="S564">
        <v>75.81</v>
      </c>
      <c r="U564">
        <v>70.468639999999994</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55.245089999999998</v>
      </c>
      <c r="AG564">
        <v>52.870100000000001</v>
      </c>
      <c r="AH564">
        <v>68.22533</v>
      </c>
      <c r="AI564">
        <v>41.628779999999999</v>
      </c>
      <c r="AJ564">
        <v>24.881309999999999</v>
      </c>
      <c r="AK564">
        <v>68.04795</v>
      </c>
      <c r="AL564">
        <v>67.599999999999994</v>
      </c>
      <c r="AM564">
        <v>58.109650000000002</v>
      </c>
      <c r="AN564">
        <v>51.179450000000003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33.803130000000003</v>
      </c>
    </row>
    <row r="565" spans="1:50" x14ac:dyDescent="0.35">
      <c r="A565" s="75">
        <v>35034</v>
      </c>
      <c r="B565">
        <v>69.583979999999997</v>
      </c>
      <c r="C565">
        <v>69.304789999999997</v>
      </c>
      <c r="D565">
        <v>28.867650000000001</v>
      </c>
      <c r="E565">
        <v>69.370549999999994</v>
      </c>
      <c r="F565">
        <v>90.261049999999997</v>
      </c>
      <c r="G565">
        <v>50.106879999999997</v>
      </c>
      <c r="H565">
        <v>66.494110000000006</v>
      </c>
      <c r="I565">
        <v>25.485399999999998</v>
      </c>
      <c r="J565">
        <v>18.55555</v>
      </c>
      <c r="K565">
        <v>53.8</v>
      </c>
      <c r="L565">
        <v>75.379990000000006</v>
      </c>
      <c r="M565">
        <v>68.442949999999996</v>
      </c>
      <c r="N565">
        <v>70.186449999999994</v>
      </c>
      <c r="O565">
        <v>63.528770000000002</v>
      </c>
      <c r="R565">
        <v>73.275859999999994</v>
      </c>
      <c r="S565">
        <v>75.88</v>
      </c>
      <c r="U565">
        <v>70.510090000000005</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55.628810000000001</v>
      </c>
      <c r="AG565">
        <v>54.2789</v>
      </c>
      <c r="AH565">
        <v>68.252830000000003</v>
      </c>
      <c r="AI565">
        <v>42.326160000000002</v>
      </c>
      <c r="AJ565">
        <v>25.691949999999999</v>
      </c>
      <c r="AK565">
        <v>67.870590000000007</v>
      </c>
      <c r="AL565">
        <v>67.599999999999994</v>
      </c>
      <c r="AM565">
        <v>58.349460000000001</v>
      </c>
      <c r="AN565">
        <v>51.485729999999997</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34.079079999999998</v>
      </c>
    </row>
    <row r="566" spans="1:50" x14ac:dyDescent="0.35">
      <c r="A566" s="75">
        <v>35065</v>
      </c>
      <c r="B566">
        <v>69.96172</v>
      </c>
      <c r="C566">
        <v>69.938800000000001</v>
      </c>
      <c r="D566">
        <v>29.25441</v>
      </c>
      <c r="E566">
        <v>69.528570000000002</v>
      </c>
      <c r="F566">
        <v>90.518770000000004</v>
      </c>
      <c r="G566">
        <v>50.243850000000002</v>
      </c>
      <c r="H566">
        <v>67.730649999999997</v>
      </c>
      <c r="I566">
        <v>26.12172</v>
      </c>
      <c r="J566">
        <v>18.79111</v>
      </c>
      <c r="K566">
        <v>55.1</v>
      </c>
      <c r="L566">
        <v>75.566569999999999</v>
      </c>
      <c r="M566">
        <v>68.373400000000004</v>
      </c>
      <c r="N566">
        <v>70.400000000000006</v>
      </c>
      <c r="O566">
        <v>63.917299999999997</v>
      </c>
      <c r="R566">
        <v>73.540520000000001</v>
      </c>
      <c r="S566">
        <v>75.97</v>
      </c>
      <c r="T566">
        <v>47.18365</v>
      </c>
      <c r="U566">
        <v>70.752200000000002</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56.175930000000001</v>
      </c>
      <c r="AG566">
        <v>55.993899999999996</v>
      </c>
      <c r="AH566">
        <v>68.328450000000004</v>
      </c>
      <c r="AI566">
        <v>43.813899999999997</v>
      </c>
      <c r="AJ566">
        <v>26.615559999999999</v>
      </c>
      <c r="AK566">
        <v>68.03</v>
      </c>
      <c r="AL566">
        <v>67.3</v>
      </c>
      <c r="AM566">
        <v>58.771639999999998</v>
      </c>
      <c r="AN566">
        <v>51.907209999999999</v>
      </c>
      <c r="AO566">
        <v>43.324460000000002</v>
      </c>
      <c r="AP566">
        <v>65.167969999999997</v>
      </c>
      <c r="AQ566">
        <v>5.621912</v>
      </c>
      <c r="AR566">
        <v>67.015349999999998</v>
      </c>
      <c r="AS566">
        <v>42.003019999999999</v>
      </c>
      <c r="AT566">
        <v>44.468690000000002</v>
      </c>
      <c r="AU566">
        <v>81.577600000000004</v>
      </c>
      <c r="AV566">
        <v>1.231749</v>
      </c>
      <c r="AW566">
        <v>65.143010000000004</v>
      </c>
      <c r="AX566">
        <v>34.492989999999999</v>
      </c>
    </row>
    <row r="567" spans="1:50" x14ac:dyDescent="0.35">
      <c r="A567" s="75">
        <v>35096</v>
      </c>
      <c r="B567">
        <v>70.279820000000001</v>
      </c>
      <c r="C567">
        <v>70.077550000000002</v>
      </c>
      <c r="D567">
        <v>29.555800000000001</v>
      </c>
      <c r="E567">
        <v>69.607579999999999</v>
      </c>
      <c r="F567">
        <v>90.663709999999995</v>
      </c>
      <c r="G567">
        <v>50.504159999999999</v>
      </c>
      <c r="H567">
        <v>68.534329999999997</v>
      </c>
      <c r="I567">
        <v>27.17409</v>
      </c>
      <c r="J567">
        <v>18.983640000000001</v>
      </c>
      <c r="K567">
        <v>55.4</v>
      </c>
      <c r="L567">
        <v>76.03304</v>
      </c>
      <c r="M567">
        <v>68.755949999999999</v>
      </c>
      <c r="N567">
        <v>70.709999999999994</v>
      </c>
      <c r="O567">
        <v>64.091419999999999</v>
      </c>
      <c r="R567">
        <v>73.834590000000006</v>
      </c>
      <c r="S567">
        <v>76.260000000000005</v>
      </c>
      <c r="T567">
        <v>47.461799999999997</v>
      </c>
      <c r="U567">
        <v>70.957319999999996</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56.397300000000001</v>
      </c>
      <c r="AG567">
        <v>57.328099999999999</v>
      </c>
      <c r="AH567">
        <v>68.404060000000001</v>
      </c>
      <c r="AI567">
        <v>44.576369999999997</v>
      </c>
      <c r="AJ567">
        <v>27.23676</v>
      </c>
      <c r="AK567">
        <v>68.290000000000006</v>
      </c>
      <c r="AL567">
        <v>67.400000000000006</v>
      </c>
      <c r="AM567">
        <v>59.075920000000004</v>
      </c>
      <c r="AN567">
        <v>52.270829999999997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34.538980000000002</v>
      </c>
    </row>
    <row r="568" spans="1:50" x14ac:dyDescent="0.35">
      <c r="A568" s="75">
        <v>35125</v>
      </c>
      <c r="B568">
        <v>70.617800000000003</v>
      </c>
      <c r="C568">
        <v>70.127110000000002</v>
      </c>
      <c r="D568">
        <v>29.659269999999999</v>
      </c>
      <c r="E568">
        <v>69.92362</v>
      </c>
      <c r="F568">
        <v>90.823800000000006</v>
      </c>
      <c r="G568">
        <v>50.870809999999999</v>
      </c>
      <c r="H568">
        <v>69.040710000000004</v>
      </c>
      <c r="I568">
        <v>27.745149999999999</v>
      </c>
      <c r="J568">
        <v>19.08906</v>
      </c>
      <c r="K568">
        <v>55.7</v>
      </c>
      <c r="L568">
        <v>76.03304</v>
      </c>
      <c r="M568">
        <v>69.138509999999997</v>
      </c>
      <c r="N568">
        <v>71.010000000000005</v>
      </c>
      <c r="O568">
        <v>64.318889999999996</v>
      </c>
      <c r="R568">
        <v>73.871350000000007</v>
      </c>
      <c r="S568">
        <v>76.75</v>
      </c>
      <c r="T568">
        <v>47.789949999999997</v>
      </c>
      <c r="U568">
        <v>71.239819999999995</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56.779969999999999</v>
      </c>
      <c r="AG568">
        <v>58.662300000000002</v>
      </c>
      <c r="AH568">
        <v>68.472800000000007</v>
      </c>
      <c r="AI568">
        <v>45.26444</v>
      </c>
      <c r="AJ568">
        <v>27.83634</v>
      </c>
      <c r="AK568">
        <v>68.92</v>
      </c>
      <c r="AL568">
        <v>67.7</v>
      </c>
      <c r="AM568">
        <v>59.454180000000001</v>
      </c>
      <c r="AN568">
        <v>52.651409999999998</v>
      </c>
      <c r="AO568">
        <v>44.590429999999998</v>
      </c>
      <c r="AP568">
        <v>65.783000000000001</v>
      </c>
      <c r="AQ568">
        <v>5.940569</v>
      </c>
      <c r="AR568">
        <v>67.537090000000006</v>
      </c>
      <c r="AS568">
        <v>42.253529999999998</v>
      </c>
      <c r="AT568">
        <v>45.698459999999997</v>
      </c>
      <c r="AU568">
        <v>82.04992</v>
      </c>
      <c r="AV568">
        <v>1.359434</v>
      </c>
      <c r="AW568">
        <v>65.691490000000002</v>
      </c>
      <c r="AX568">
        <v>34.814929999999997</v>
      </c>
    </row>
    <row r="569" spans="1:50" x14ac:dyDescent="0.35">
      <c r="A569" s="75">
        <v>35156</v>
      </c>
      <c r="B569">
        <v>70.558149999999998</v>
      </c>
      <c r="C569">
        <v>70.246030000000005</v>
      </c>
      <c r="D569">
        <v>30.03304</v>
      </c>
      <c r="E569">
        <v>70.081639999999993</v>
      </c>
      <c r="F569">
        <v>90.911810000000003</v>
      </c>
      <c r="G569">
        <v>51.386330000000001</v>
      </c>
      <c r="H569">
        <v>70.215950000000007</v>
      </c>
      <c r="I569">
        <v>28.291730000000001</v>
      </c>
      <c r="J569">
        <v>19.234259999999999</v>
      </c>
      <c r="K569">
        <v>56</v>
      </c>
      <c r="L569">
        <v>76.03304</v>
      </c>
      <c r="M569">
        <v>69.312399999999997</v>
      </c>
      <c r="N569">
        <v>71.14</v>
      </c>
      <c r="O569">
        <v>64.684010000000001</v>
      </c>
      <c r="R569">
        <v>73.988979999999998</v>
      </c>
      <c r="S569">
        <v>76.84</v>
      </c>
      <c r="T569">
        <v>48.184150000000002</v>
      </c>
      <c r="U569">
        <v>71.501530000000002</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57.163690000000003</v>
      </c>
      <c r="AG569">
        <v>59.414299999999997</v>
      </c>
      <c r="AH569">
        <v>68.624030000000005</v>
      </c>
      <c r="AI569">
        <v>45.487609999999997</v>
      </c>
      <c r="AJ569">
        <v>28.627659999999999</v>
      </c>
      <c r="AK569">
        <v>69.13</v>
      </c>
      <c r="AL569">
        <v>67.900000000000006</v>
      </c>
      <c r="AM569">
        <v>59.857799999999997</v>
      </c>
      <c r="AN569">
        <v>53.046320000000001</v>
      </c>
      <c r="AO569">
        <v>45.57508</v>
      </c>
      <c r="AP569">
        <v>66.311440000000005</v>
      </c>
      <c r="AQ569">
        <v>6.068886</v>
      </c>
      <c r="AR569">
        <v>67.711010000000002</v>
      </c>
      <c r="AS569">
        <v>42.378790000000002</v>
      </c>
      <c r="AT569">
        <v>46.370739999999998</v>
      </c>
      <c r="AU569">
        <v>82.276499999999999</v>
      </c>
      <c r="AV569">
        <v>1.450569</v>
      </c>
      <c r="AW569">
        <v>65.944630000000004</v>
      </c>
      <c r="AX569">
        <v>35.044879999999999</v>
      </c>
    </row>
    <row r="570" spans="1:50" x14ac:dyDescent="0.35">
      <c r="A570" s="75">
        <v>35186</v>
      </c>
      <c r="B570">
        <v>70.458749999999995</v>
      </c>
      <c r="C570">
        <v>70.127110000000002</v>
      </c>
      <c r="D570">
        <v>30.39939</v>
      </c>
      <c r="E570">
        <v>70.318669999999997</v>
      </c>
      <c r="F570">
        <v>90.579809999999995</v>
      </c>
      <c r="G570">
        <v>51.802320000000002</v>
      </c>
      <c r="H570">
        <v>70.281210000000002</v>
      </c>
      <c r="I570">
        <v>28.73226</v>
      </c>
      <c r="J570">
        <v>19.555879999999998</v>
      </c>
      <c r="K570">
        <v>56.2</v>
      </c>
      <c r="L570">
        <v>76.126329999999996</v>
      </c>
      <c r="M570">
        <v>69.555850000000007</v>
      </c>
      <c r="N570">
        <v>71.319999999999993</v>
      </c>
      <c r="O570">
        <v>64.907110000000003</v>
      </c>
      <c r="R570">
        <v>74.143370000000004</v>
      </c>
      <c r="S570">
        <v>77</v>
      </c>
      <c r="T570">
        <v>48.443629999999999</v>
      </c>
      <c r="U570">
        <v>71.661689999999993</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57.49259</v>
      </c>
      <c r="AG570">
        <v>59.568600000000004</v>
      </c>
      <c r="AH570">
        <v>68.685900000000004</v>
      </c>
      <c r="AI570">
        <v>45.692169999999997</v>
      </c>
      <c r="AJ570">
        <v>29.149470000000001</v>
      </c>
      <c r="AK570">
        <v>68.959999999999994</v>
      </c>
      <c r="AL570">
        <v>68</v>
      </c>
      <c r="AM570">
        <v>60.115349999999999</v>
      </c>
      <c r="AN570">
        <v>53.338050000000003</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35.274830000000001</v>
      </c>
    </row>
    <row r="571" spans="1:50" x14ac:dyDescent="0.35">
      <c r="A571" s="75">
        <v>35217</v>
      </c>
      <c r="B571">
        <v>70.836489999999998</v>
      </c>
      <c r="C571">
        <v>70.137020000000007</v>
      </c>
      <c r="D571">
        <v>30.761099999999999</v>
      </c>
      <c r="E571">
        <v>70.318669999999997</v>
      </c>
      <c r="F571">
        <v>90.756540000000001</v>
      </c>
      <c r="G571">
        <v>52.020099999999999</v>
      </c>
      <c r="H571">
        <v>69.505859999999998</v>
      </c>
      <c r="I571">
        <v>29.05857</v>
      </c>
      <c r="J571">
        <v>19.82263</v>
      </c>
      <c r="K571">
        <v>56.7</v>
      </c>
      <c r="L571">
        <v>76.219620000000006</v>
      </c>
      <c r="M571">
        <v>69.486289999999997</v>
      </c>
      <c r="N571">
        <v>71.33</v>
      </c>
      <c r="O571">
        <v>64.852699999999999</v>
      </c>
      <c r="R571">
        <v>74.084559999999996</v>
      </c>
      <c r="S571">
        <v>76.91</v>
      </c>
      <c r="T571">
        <v>48.558810000000001</v>
      </c>
      <c r="U571">
        <v>71.674509999999998</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57.49259</v>
      </c>
      <c r="AG571">
        <v>59.812800000000003</v>
      </c>
      <c r="AH571">
        <v>68.692769999999996</v>
      </c>
      <c r="AI571">
        <v>46.445340000000002</v>
      </c>
      <c r="AJ571">
        <v>29.624130000000001</v>
      </c>
      <c r="AK571">
        <v>68.67</v>
      </c>
      <c r="AL571">
        <v>68.099999999999994</v>
      </c>
      <c r="AM571">
        <v>60.223149999999997</v>
      </c>
      <c r="AN571">
        <v>53.483750000000001</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35.596769999999999</v>
      </c>
    </row>
    <row r="572" spans="1:50" x14ac:dyDescent="0.35">
      <c r="A572" s="75">
        <v>35247</v>
      </c>
      <c r="B572">
        <v>71.492570000000001</v>
      </c>
      <c r="C572">
        <v>70.5929</v>
      </c>
      <c r="D572">
        <v>31.102620000000002</v>
      </c>
      <c r="E572">
        <v>70.318669999999997</v>
      </c>
      <c r="F572">
        <v>90.629630000000006</v>
      </c>
      <c r="G572">
        <v>52.171520000000001</v>
      </c>
      <c r="H572">
        <v>68.736130000000003</v>
      </c>
      <c r="I572">
        <v>29.499099999999999</v>
      </c>
      <c r="J572">
        <v>20.053889999999999</v>
      </c>
      <c r="K572">
        <v>57.3</v>
      </c>
      <c r="L572">
        <v>76.312910000000002</v>
      </c>
      <c r="M572">
        <v>69.381950000000003</v>
      </c>
      <c r="N572">
        <v>71.31</v>
      </c>
      <c r="O572">
        <v>64.939220000000006</v>
      </c>
      <c r="R572">
        <v>74.165430000000001</v>
      </c>
      <c r="S572">
        <v>76.77</v>
      </c>
      <c r="T572">
        <v>48.678750000000001</v>
      </c>
      <c r="U572">
        <v>71.700500000000005</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57.766680000000001</v>
      </c>
      <c r="AG572">
        <v>59.868200000000002</v>
      </c>
      <c r="AH572">
        <v>68.74776</v>
      </c>
      <c r="AI572">
        <v>46.603409999999997</v>
      </c>
      <c r="AJ572">
        <v>30.045249999999999</v>
      </c>
      <c r="AK572">
        <v>68.84</v>
      </c>
      <c r="AL572">
        <v>68.3</v>
      </c>
      <c r="AM572">
        <v>60.336950000000002</v>
      </c>
      <c r="AN572">
        <v>53.529139999999998</v>
      </c>
      <c r="AO572">
        <v>46.63006</v>
      </c>
      <c r="AP572">
        <v>66.628910000000005</v>
      </c>
      <c r="AQ572">
        <v>6.2830440000000003</v>
      </c>
      <c r="AR572">
        <v>67.653040000000004</v>
      </c>
      <c r="AS572">
        <v>42.754559999999998</v>
      </c>
      <c r="AT572">
        <v>46.862650000000002</v>
      </c>
      <c r="AU572">
        <v>81.705250000000007</v>
      </c>
      <c r="AV572">
        <v>1.5877460000000001</v>
      </c>
      <c r="AW572">
        <v>66.23997</v>
      </c>
      <c r="AX572">
        <v>35.872709999999998</v>
      </c>
    </row>
    <row r="573" spans="1:50" x14ac:dyDescent="0.35">
      <c r="A573" s="75">
        <v>35278</v>
      </c>
      <c r="B573">
        <v>71.870310000000003</v>
      </c>
      <c r="C573">
        <v>70.771289999999993</v>
      </c>
      <c r="D573">
        <v>31.239509999999999</v>
      </c>
      <c r="E573">
        <v>70.318669999999997</v>
      </c>
      <c r="F573">
        <v>90.864000000000004</v>
      </c>
      <c r="G573">
        <v>52.394410000000001</v>
      </c>
      <c r="H573">
        <v>69.756550000000004</v>
      </c>
      <c r="I573">
        <v>29.825420000000001</v>
      </c>
      <c r="J573">
        <v>20.24643</v>
      </c>
      <c r="K573">
        <v>57.4</v>
      </c>
      <c r="L573">
        <v>76.312910000000002</v>
      </c>
      <c r="M573">
        <v>69.521060000000006</v>
      </c>
      <c r="N573">
        <v>71.27</v>
      </c>
      <c r="O573">
        <v>65.123140000000006</v>
      </c>
      <c r="R573">
        <v>73.959580000000003</v>
      </c>
      <c r="S573">
        <v>76.62</v>
      </c>
      <c r="T573">
        <v>48.877719999999997</v>
      </c>
      <c r="U573">
        <v>71.783929999999998</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58.039709999999999</v>
      </c>
      <c r="AG573">
        <v>59.875500000000002</v>
      </c>
      <c r="AH573">
        <v>68.809629999999999</v>
      </c>
      <c r="AI573">
        <v>46.380249999999997</v>
      </c>
      <c r="AJ573">
        <v>30.444590000000002</v>
      </c>
      <c r="AK573">
        <v>68.75</v>
      </c>
      <c r="AL573">
        <v>68.3</v>
      </c>
      <c r="AM573">
        <v>60.532530000000001</v>
      </c>
      <c r="AN573">
        <v>53.778919999999999</v>
      </c>
      <c r="AO573">
        <v>46.841050000000003</v>
      </c>
      <c r="AP573">
        <v>66.82396</v>
      </c>
      <c r="AQ573">
        <v>6.2698499999999999</v>
      </c>
      <c r="AR573">
        <v>67.82696</v>
      </c>
      <c r="AS573">
        <v>43.00508</v>
      </c>
      <c r="AT573">
        <v>46.5839</v>
      </c>
      <c r="AU573">
        <v>81.331860000000006</v>
      </c>
      <c r="AV573">
        <v>1.6698630000000001</v>
      </c>
      <c r="AW573">
        <v>66.366550000000004</v>
      </c>
      <c r="AX573">
        <v>36.056669999999997</v>
      </c>
    </row>
    <row r="574" spans="1:50" x14ac:dyDescent="0.35">
      <c r="A574" s="75">
        <v>35309</v>
      </c>
      <c r="B574">
        <v>71.313640000000007</v>
      </c>
      <c r="C574">
        <v>70.622630000000001</v>
      </c>
      <c r="D574">
        <v>31.286370000000002</v>
      </c>
      <c r="E574">
        <v>70.397679999999994</v>
      </c>
      <c r="F574">
        <v>90.916920000000005</v>
      </c>
      <c r="G574">
        <v>52.650469999999999</v>
      </c>
      <c r="H574">
        <v>71.155010000000004</v>
      </c>
      <c r="I574">
        <v>30.184370000000001</v>
      </c>
      <c r="J574">
        <v>20.431429999999999</v>
      </c>
      <c r="K574">
        <v>57.5</v>
      </c>
      <c r="L574">
        <v>76.312910000000002</v>
      </c>
      <c r="M574">
        <v>69.868840000000006</v>
      </c>
      <c r="N574">
        <v>71.44</v>
      </c>
      <c r="O574">
        <v>65.282039999999995</v>
      </c>
      <c r="R574">
        <v>74.055149999999998</v>
      </c>
      <c r="S574">
        <v>76.849999999999994</v>
      </c>
      <c r="T574">
        <v>49.158799999999999</v>
      </c>
      <c r="U574">
        <v>71.985320000000002</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58.150399999999998</v>
      </c>
      <c r="AG574">
        <v>60.082299999999996</v>
      </c>
      <c r="AH574">
        <v>68.830250000000007</v>
      </c>
      <c r="AI574">
        <v>46.687100000000001</v>
      </c>
      <c r="AJ574">
        <v>30.931360000000002</v>
      </c>
      <c r="AK574">
        <v>69.37</v>
      </c>
      <c r="AL574">
        <v>68.599999999999994</v>
      </c>
      <c r="AM574">
        <v>60.850009999999997</v>
      </c>
      <c r="AN574">
        <v>54.153280000000002</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36.424599999999998</v>
      </c>
    </row>
    <row r="575" spans="1:50" x14ac:dyDescent="0.35">
      <c r="A575" s="75">
        <v>35339</v>
      </c>
      <c r="B575">
        <v>71.154589999999999</v>
      </c>
      <c r="C575">
        <v>70.830749999999995</v>
      </c>
      <c r="D575">
        <v>31.38034</v>
      </c>
      <c r="E575">
        <v>70.555700000000002</v>
      </c>
      <c r="F575">
        <v>91.061869999999999</v>
      </c>
      <c r="G575">
        <v>53.027320000000003</v>
      </c>
      <c r="H575">
        <v>70.933459999999997</v>
      </c>
      <c r="I575">
        <v>30.527000000000001</v>
      </c>
      <c r="J575">
        <v>20.69604</v>
      </c>
      <c r="K575">
        <v>57.8</v>
      </c>
      <c r="L575">
        <v>76.312910000000002</v>
      </c>
      <c r="M575">
        <v>69.973179999999999</v>
      </c>
      <c r="N575">
        <v>71.52</v>
      </c>
      <c r="O575">
        <v>65.371279999999999</v>
      </c>
      <c r="R575">
        <v>74.158079999999998</v>
      </c>
      <c r="S575">
        <v>77.05</v>
      </c>
      <c r="T575">
        <v>49.380600000000001</v>
      </c>
      <c r="U575">
        <v>72.152439999999999</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58.150399999999998</v>
      </c>
      <c r="AG575">
        <v>60.144599999999997</v>
      </c>
      <c r="AH575">
        <v>68.960859999999997</v>
      </c>
      <c r="AI575">
        <v>47.235700000000001</v>
      </c>
      <c r="AJ575">
        <v>31.317440000000001</v>
      </c>
      <c r="AK575">
        <v>69.53</v>
      </c>
      <c r="AL575">
        <v>68.900000000000006</v>
      </c>
      <c r="AM575">
        <v>61.144689999999997</v>
      </c>
      <c r="AN575">
        <v>54.517420000000001</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36.746540000000003</v>
      </c>
    </row>
    <row r="576" spans="1:50" x14ac:dyDescent="0.35">
      <c r="A576" s="75">
        <v>35370</v>
      </c>
      <c r="B576">
        <v>71.214230000000001</v>
      </c>
      <c r="C576">
        <v>70.939769999999996</v>
      </c>
      <c r="D576">
        <v>31.480799999999999</v>
      </c>
      <c r="E576">
        <v>70.871740000000003</v>
      </c>
      <c r="F576">
        <v>90.894369999999995</v>
      </c>
      <c r="G576">
        <v>53.236600000000003</v>
      </c>
      <c r="H576">
        <v>70.796499999999995</v>
      </c>
      <c r="I576">
        <v>30.771740000000001</v>
      </c>
      <c r="J576">
        <v>20.90793</v>
      </c>
      <c r="K576">
        <v>58.1</v>
      </c>
      <c r="L576">
        <v>76.219620000000006</v>
      </c>
      <c r="M576">
        <v>70.112290000000002</v>
      </c>
      <c r="N576">
        <v>71.53</v>
      </c>
      <c r="O576">
        <v>65.375079999999997</v>
      </c>
      <c r="R576">
        <v>73.937520000000006</v>
      </c>
      <c r="S576">
        <v>76.98</v>
      </c>
      <c r="T576">
        <v>49.565800000000003</v>
      </c>
      <c r="U576">
        <v>72.215320000000006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58.150399999999998</v>
      </c>
      <c r="AG576">
        <v>60.821800000000003</v>
      </c>
      <c r="AH576">
        <v>69.167079999999999</v>
      </c>
      <c r="AI576">
        <v>47.60763</v>
      </c>
      <c r="AJ576">
        <v>31.791930000000001</v>
      </c>
      <c r="AK576">
        <v>69.45</v>
      </c>
      <c r="AL576">
        <v>68.8</v>
      </c>
      <c r="AM576">
        <v>61.342669999999998</v>
      </c>
      <c r="AN576">
        <v>54.790599999999998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36.884509999999999</v>
      </c>
    </row>
    <row r="577" spans="1:50" x14ac:dyDescent="0.35">
      <c r="A577" s="75">
        <v>35400</v>
      </c>
      <c r="B577">
        <v>71.214230000000001</v>
      </c>
      <c r="C577">
        <v>71.068600000000004</v>
      </c>
      <c r="D577">
        <v>31.628820000000001</v>
      </c>
      <c r="E577">
        <v>70.871740000000003</v>
      </c>
      <c r="F577">
        <v>90.966340000000002</v>
      </c>
      <c r="G577">
        <v>53.429699999999997</v>
      </c>
      <c r="H577">
        <v>71.148700000000005</v>
      </c>
      <c r="I577">
        <v>31.000160000000001</v>
      </c>
      <c r="J577">
        <v>21.132739999999998</v>
      </c>
      <c r="K577">
        <v>58.5</v>
      </c>
      <c r="L577">
        <v>76.499489999999994</v>
      </c>
      <c r="M577">
        <v>70.042730000000006</v>
      </c>
      <c r="N577">
        <v>71.73</v>
      </c>
      <c r="O577">
        <v>65.568799999999996</v>
      </c>
      <c r="R577">
        <v>73.988979999999998</v>
      </c>
      <c r="S577">
        <v>77.14</v>
      </c>
      <c r="T577">
        <v>49.793660000000003</v>
      </c>
      <c r="U577">
        <v>72.283910000000006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58.368609999999997</v>
      </c>
      <c r="AG577">
        <v>61.372700000000002</v>
      </c>
      <c r="AH577">
        <v>69.160210000000006</v>
      </c>
      <c r="AI577">
        <v>47.877290000000002</v>
      </c>
      <c r="AJ577">
        <v>32.809849999999997</v>
      </c>
      <c r="AK577">
        <v>69.37</v>
      </c>
      <c r="AL577">
        <v>68.8</v>
      </c>
      <c r="AM577">
        <v>61.576830000000001</v>
      </c>
      <c r="AN577">
        <v>55.089080000000003</v>
      </c>
      <c r="AO577">
        <v>49.72466</v>
      </c>
      <c r="AP577">
        <v>66.935419999999993</v>
      </c>
      <c r="AQ577">
        <v>6.5778059999999998</v>
      </c>
      <c r="AR577">
        <v>67.653040000000004</v>
      </c>
      <c r="AS577">
        <v>44.00714</v>
      </c>
      <c r="AT577">
        <v>47.813679999999998</v>
      </c>
      <c r="AU577">
        <v>81.542490000000001</v>
      </c>
      <c r="AV577">
        <v>2.0443720000000001</v>
      </c>
      <c r="AW577">
        <v>66.915030000000002</v>
      </c>
      <c r="AX577">
        <v>37.252429999999997</v>
      </c>
    </row>
    <row r="578" spans="1:50" x14ac:dyDescent="0.35">
      <c r="A578" s="75">
        <v>35431</v>
      </c>
      <c r="B578">
        <v>71.413039999999995</v>
      </c>
      <c r="C578">
        <v>71.564130000000006</v>
      </c>
      <c r="D578">
        <v>32.002130000000001</v>
      </c>
      <c r="E578">
        <v>71.029759999999996</v>
      </c>
      <c r="F578">
        <v>91.270169999999993</v>
      </c>
      <c r="G578">
        <v>53.699379999999998</v>
      </c>
      <c r="H578">
        <v>71.726759999999999</v>
      </c>
      <c r="I578">
        <v>31.514109999999999</v>
      </c>
      <c r="J578">
        <v>21.568359999999998</v>
      </c>
      <c r="K578">
        <v>59.2</v>
      </c>
      <c r="L578">
        <v>77.152529999999999</v>
      </c>
      <c r="M578">
        <v>70.216620000000006</v>
      </c>
      <c r="N578">
        <v>71.95</v>
      </c>
      <c r="O578">
        <v>65.759249999999994</v>
      </c>
      <c r="R578">
        <v>74.033100000000005</v>
      </c>
      <c r="S578">
        <v>77.31</v>
      </c>
      <c r="T578">
        <v>50.124319999999997</v>
      </c>
      <c r="U578">
        <v>72.471609999999998</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58.808199999999999</v>
      </c>
      <c r="AG578">
        <v>63.106900000000003</v>
      </c>
      <c r="AH578">
        <v>69.249570000000006</v>
      </c>
      <c r="AI578">
        <v>48.788519999999998</v>
      </c>
      <c r="AJ578">
        <v>33.653559999999999</v>
      </c>
      <c r="AK578">
        <v>69.45</v>
      </c>
      <c r="AL578">
        <v>69.3</v>
      </c>
      <c r="AM578">
        <v>61.907510000000002</v>
      </c>
      <c r="AN578">
        <v>55.496490000000001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37.712339999999998</v>
      </c>
    </row>
    <row r="579" spans="1:50" x14ac:dyDescent="0.35">
      <c r="A579" s="75">
        <v>35462</v>
      </c>
      <c r="B579">
        <v>71.691379999999995</v>
      </c>
      <c r="C579">
        <v>71.474940000000004</v>
      </c>
      <c r="D579">
        <v>32.162219999999998</v>
      </c>
      <c r="E579">
        <v>71.187780000000004</v>
      </c>
      <c r="F579">
        <v>91.430149999999998</v>
      </c>
      <c r="G579">
        <v>54.147689999999997</v>
      </c>
      <c r="H579">
        <v>72.372259999999997</v>
      </c>
      <c r="I579">
        <v>32.49306</v>
      </c>
      <c r="J579">
        <v>21.703890000000001</v>
      </c>
      <c r="K579">
        <v>59.4</v>
      </c>
      <c r="L579">
        <v>77.245829999999998</v>
      </c>
      <c r="M579">
        <v>70.251400000000004</v>
      </c>
      <c r="N579">
        <v>72.11</v>
      </c>
      <c r="O579">
        <v>65.714640000000003</v>
      </c>
      <c r="R579">
        <v>74.069850000000002</v>
      </c>
      <c r="S579">
        <v>77.47</v>
      </c>
      <c r="T579">
        <v>50.630369999999999</v>
      </c>
      <c r="U579">
        <v>72.603610000000003</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59.136049999999997</v>
      </c>
      <c r="AG579">
        <v>63.455100000000002</v>
      </c>
      <c r="AH579">
        <v>69.455799999999996</v>
      </c>
      <c r="AI579">
        <v>48.974490000000003</v>
      </c>
      <c r="AJ579">
        <v>34.219090000000001</v>
      </c>
      <c r="AK579">
        <v>69.59</v>
      </c>
      <c r="AL579">
        <v>69.599999999999994</v>
      </c>
      <c r="AM579">
        <v>62.159149999999997</v>
      </c>
      <c r="AN579">
        <v>55.764580000000002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37.94229</v>
      </c>
    </row>
    <row r="580" spans="1:50" x14ac:dyDescent="0.35">
      <c r="A580" s="75">
        <v>35490</v>
      </c>
      <c r="B580">
        <v>71.770899999999997</v>
      </c>
      <c r="C580">
        <v>71.147890000000004</v>
      </c>
      <c r="D580">
        <v>32.326250000000002</v>
      </c>
      <c r="E580">
        <v>71.26679</v>
      </c>
      <c r="F580">
        <v>91.298640000000006</v>
      </c>
      <c r="G580">
        <v>54.317830000000001</v>
      </c>
      <c r="H580">
        <v>71.802340000000001</v>
      </c>
      <c r="I580">
        <v>32.998860000000001</v>
      </c>
      <c r="J580">
        <v>21.940529999999999</v>
      </c>
      <c r="K580">
        <v>59.5</v>
      </c>
      <c r="L580">
        <v>77.245829999999998</v>
      </c>
      <c r="M580">
        <v>70.286180000000002</v>
      </c>
      <c r="N580">
        <v>72.2</v>
      </c>
      <c r="O580">
        <v>65.747280000000003</v>
      </c>
      <c r="R580">
        <v>74.260999999999996</v>
      </c>
      <c r="S580">
        <v>77.53</v>
      </c>
      <c r="T580">
        <v>50.93056</v>
      </c>
      <c r="U580">
        <v>72.735050000000001</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59.355319999999999</v>
      </c>
      <c r="AG580">
        <v>63.543999999999997</v>
      </c>
      <c r="AH580">
        <v>69.325190000000006</v>
      </c>
      <c r="AI580">
        <v>49.179049999999997</v>
      </c>
      <c r="AJ580">
        <v>34.644959999999998</v>
      </c>
      <c r="AK580">
        <v>70.12</v>
      </c>
      <c r="AL580">
        <v>69.7</v>
      </c>
      <c r="AM580">
        <v>62.398699999999998</v>
      </c>
      <c r="AN580">
        <v>56.050109999999997</v>
      </c>
      <c r="AO580">
        <v>52.115949999999998</v>
      </c>
      <c r="AP580">
        <v>67.544479999999993</v>
      </c>
      <c r="AQ580">
        <v>6.933141</v>
      </c>
      <c r="AR580">
        <v>67.711010000000002</v>
      </c>
      <c r="AS580">
        <v>44.883940000000003</v>
      </c>
      <c r="AT580">
        <v>49.018859999999997</v>
      </c>
      <c r="AU580">
        <v>81.826520000000002</v>
      </c>
      <c r="AV580">
        <v>2.410336</v>
      </c>
      <c r="AW580">
        <v>67.505709999999993</v>
      </c>
      <c r="AX580">
        <v>38.172249999999998</v>
      </c>
    </row>
    <row r="581" spans="1:50" x14ac:dyDescent="0.35">
      <c r="A581" s="75">
        <v>35521</v>
      </c>
      <c r="B581">
        <v>71.770899999999997</v>
      </c>
      <c r="C581">
        <v>71.128069999999994</v>
      </c>
      <c r="D581">
        <v>32.610700000000001</v>
      </c>
      <c r="E581">
        <v>71.26679</v>
      </c>
      <c r="F581">
        <v>91.38655</v>
      </c>
      <c r="G581">
        <v>54.497329999999998</v>
      </c>
      <c r="H581">
        <v>72.462860000000006</v>
      </c>
      <c r="I581">
        <v>33.537280000000003</v>
      </c>
      <c r="J581">
        <v>22.234169999999999</v>
      </c>
      <c r="K581">
        <v>59.9</v>
      </c>
      <c r="L581">
        <v>77.152529999999999</v>
      </c>
      <c r="M581">
        <v>70.49485</v>
      </c>
      <c r="N581">
        <v>72.180000000000007</v>
      </c>
      <c r="O581">
        <v>65.77122</v>
      </c>
      <c r="R581">
        <v>74.650649999999999</v>
      </c>
      <c r="S581">
        <v>77.56</v>
      </c>
      <c r="T581">
        <v>51.249639999999999</v>
      </c>
      <c r="U581">
        <v>73.001310000000004</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59.62941</v>
      </c>
      <c r="AG581">
        <v>63.741700000000002</v>
      </c>
      <c r="AH581">
        <v>69.338939999999994</v>
      </c>
      <c r="AI581">
        <v>49.5045</v>
      </c>
      <c r="AJ581">
        <v>35.01925</v>
      </c>
      <c r="AK581">
        <v>70.2</v>
      </c>
      <c r="AL581">
        <v>69.7</v>
      </c>
      <c r="AM581">
        <v>62.737380000000002</v>
      </c>
      <c r="AN581">
        <v>56.366790000000002</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38.49418</v>
      </c>
    </row>
    <row r="582" spans="1:50" x14ac:dyDescent="0.35">
      <c r="A582" s="75">
        <v>35551</v>
      </c>
      <c r="B582">
        <v>71.830539999999999</v>
      </c>
      <c r="C582">
        <v>71.237080000000006</v>
      </c>
      <c r="D582">
        <v>32.744340000000001</v>
      </c>
      <c r="E582">
        <v>71.345799999999997</v>
      </c>
      <c r="F582">
        <v>91.102170000000001</v>
      </c>
      <c r="G582">
        <v>54.62323</v>
      </c>
      <c r="H582">
        <v>72.249080000000006</v>
      </c>
      <c r="I582">
        <v>34.075710000000001</v>
      </c>
      <c r="J582">
        <v>22.348189999999999</v>
      </c>
      <c r="K582">
        <v>60</v>
      </c>
      <c r="L582">
        <v>77.339119999999994</v>
      </c>
      <c r="M582">
        <v>70.981740000000002</v>
      </c>
      <c r="N582">
        <v>72.38</v>
      </c>
      <c r="O582">
        <v>65.867000000000004</v>
      </c>
      <c r="R582">
        <v>74.827100000000002</v>
      </c>
      <c r="S582">
        <v>77.67</v>
      </c>
      <c r="T582">
        <v>51.388559999999998</v>
      </c>
      <c r="U582">
        <v>73.064970000000002</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59.684220000000003</v>
      </c>
      <c r="AG582">
        <v>64.260800000000003</v>
      </c>
      <c r="AH582">
        <v>69.421419999999998</v>
      </c>
      <c r="AI582">
        <v>49.829940000000001</v>
      </c>
      <c r="AJ582">
        <v>35.338850000000001</v>
      </c>
      <c r="AK582">
        <v>70.36</v>
      </c>
      <c r="AL582">
        <v>69.8</v>
      </c>
      <c r="AM582">
        <v>62.910170000000001</v>
      </c>
      <c r="AN582">
        <v>56.682220000000001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38.632150000000003</v>
      </c>
    </row>
    <row r="583" spans="1:50" x14ac:dyDescent="0.35">
      <c r="A583" s="75">
        <v>35582</v>
      </c>
      <c r="B583">
        <v>71.830539999999999</v>
      </c>
      <c r="C583">
        <v>71.356009999999998</v>
      </c>
      <c r="D583">
        <v>32.921129999999998</v>
      </c>
      <c r="E583">
        <v>71.503820000000005</v>
      </c>
      <c r="F583">
        <v>91.193690000000004</v>
      </c>
      <c r="G583">
        <v>54.753390000000003</v>
      </c>
      <c r="H583">
        <v>71.452020000000005</v>
      </c>
      <c r="I583">
        <v>34.491759999999999</v>
      </c>
      <c r="J583">
        <v>22.52244</v>
      </c>
      <c r="K583">
        <v>60.6</v>
      </c>
      <c r="L583">
        <v>77.432410000000004</v>
      </c>
      <c r="M583">
        <v>71.155619999999999</v>
      </c>
      <c r="N583">
        <v>72.41</v>
      </c>
      <c r="O583">
        <v>65.864819999999995</v>
      </c>
      <c r="R583">
        <v>74.922669999999997</v>
      </c>
      <c r="S583">
        <v>77.650000000000006</v>
      </c>
      <c r="T583">
        <v>51.5246</v>
      </c>
      <c r="U583">
        <v>73.132850000000005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59.793860000000002</v>
      </c>
      <c r="AG583">
        <v>64.377099999999999</v>
      </c>
      <c r="AH583">
        <v>69.476420000000005</v>
      </c>
      <c r="AI583">
        <v>49.941519999999997</v>
      </c>
      <c r="AJ583">
        <v>35.6524</v>
      </c>
      <c r="AK583">
        <v>70.02</v>
      </c>
      <c r="AL583">
        <v>70</v>
      </c>
      <c r="AM583">
        <v>63.058439999999997</v>
      </c>
      <c r="AN583">
        <v>56.86392</v>
      </c>
      <c r="AO583">
        <v>53.663249999999998</v>
      </c>
      <c r="AP583">
        <v>67.884829999999994</v>
      </c>
      <c r="AQ583">
        <v>7.1432169999999999</v>
      </c>
      <c r="AR583">
        <v>67.82696</v>
      </c>
      <c r="AS583">
        <v>45.301459999999999</v>
      </c>
      <c r="AT583">
        <v>50.388010000000001</v>
      </c>
      <c r="AU583">
        <v>82.349909999999994</v>
      </c>
      <c r="AV583">
        <v>2.767757</v>
      </c>
      <c r="AW583">
        <v>67.632279999999994</v>
      </c>
      <c r="AX583">
        <v>38.724130000000002</v>
      </c>
    </row>
    <row r="584" spans="1:50" x14ac:dyDescent="0.35">
      <c r="A584" s="75">
        <v>35612</v>
      </c>
      <c r="B584">
        <v>71.830539999999999</v>
      </c>
      <c r="C584">
        <v>71.930819999999997</v>
      </c>
      <c r="D584">
        <v>32.993519999999997</v>
      </c>
      <c r="E584">
        <v>71.503820000000005</v>
      </c>
      <c r="F584">
        <v>91.094549999999998</v>
      </c>
      <c r="G584">
        <v>55.083460000000002</v>
      </c>
      <c r="H584">
        <v>70.591999999999999</v>
      </c>
      <c r="I584">
        <v>34.777290000000001</v>
      </c>
      <c r="J584">
        <v>22.717130000000001</v>
      </c>
      <c r="K584">
        <v>62.7</v>
      </c>
      <c r="L584">
        <v>78.085459999999998</v>
      </c>
      <c r="M584">
        <v>70.981740000000002</v>
      </c>
      <c r="N584">
        <v>72.459999999999994</v>
      </c>
      <c r="O584">
        <v>65.98563</v>
      </c>
      <c r="R584">
        <v>75.025599999999997</v>
      </c>
      <c r="S584">
        <v>77.55</v>
      </c>
      <c r="T584">
        <v>51.637300000000003</v>
      </c>
      <c r="U584">
        <v>73.189869999999999</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59.903489999999998</v>
      </c>
      <c r="AG584">
        <v>65.066199999999995</v>
      </c>
      <c r="AH584">
        <v>69.641400000000004</v>
      </c>
      <c r="AI584">
        <v>50.17398</v>
      </c>
      <c r="AJ584">
        <v>35.963000000000001</v>
      </c>
      <c r="AK584">
        <v>70.25</v>
      </c>
      <c r="AL584">
        <v>69.900000000000006</v>
      </c>
      <c r="AM584">
        <v>63.240769999999998</v>
      </c>
      <c r="AN584">
        <v>57.209310000000002</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39.13805</v>
      </c>
    </row>
    <row r="585" spans="1:50" x14ac:dyDescent="0.35">
      <c r="A585" s="75">
        <v>35643</v>
      </c>
      <c r="B585">
        <v>71.830539999999999</v>
      </c>
      <c r="C585">
        <v>72.069569999999999</v>
      </c>
      <c r="D585">
        <v>32.987020000000001</v>
      </c>
      <c r="E585">
        <v>71.582830000000001</v>
      </c>
      <c r="F585">
        <v>91.295230000000004</v>
      </c>
      <c r="G585">
        <v>55.307189999999999</v>
      </c>
      <c r="H585">
        <v>71.081919999999997</v>
      </c>
      <c r="I585">
        <v>35.177030000000002</v>
      </c>
      <c r="J585">
        <v>22.968820000000001</v>
      </c>
      <c r="K585">
        <v>63.1</v>
      </c>
      <c r="L585">
        <v>78.178749999999994</v>
      </c>
      <c r="M585">
        <v>71.259960000000007</v>
      </c>
      <c r="N585">
        <v>72.58</v>
      </c>
      <c r="O585">
        <v>66.276740000000004</v>
      </c>
      <c r="R585">
        <v>75.150570000000002</v>
      </c>
      <c r="S585">
        <v>77.75</v>
      </c>
      <c r="T585">
        <v>51.880629999999996</v>
      </c>
      <c r="U585">
        <v>73.321759999999998</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60.340969999999999</v>
      </c>
      <c r="AG585">
        <v>65.111099999999993</v>
      </c>
      <c r="AH585">
        <v>69.758260000000007</v>
      </c>
      <c r="AI585">
        <v>50.378540000000001</v>
      </c>
      <c r="AJ585">
        <v>36.282760000000003</v>
      </c>
      <c r="AK585">
        <v>70.44</v>
      </c>
      <c r="AL585">
        <v>69.8</v>
      </c>
      <c r="AM585">
        <v>63.502569999999999</v>
      </c>
      <c r="AN585">
        <v>57.58952</v>
      </c>
      <c r="AO585">
        <v>53.592919999999999</v>
      </c>
      <c r="AP585">
        <v>68.229169999999996</v>
      </c>
      <c r="AQ585">
        <v>7.1995550000000001</v>
      </c>
      <c r="AR585">
        <v>67.82696</v>
      </c>
      <c r="AS585">
        <v>45.760739999999998</v>
      </c>
      <c r="AT585">
        <v>50.78154</v>
      </c>
      <c r="AU585">
        <v>82.241399999999999</v>
      </c>
      <c r="AV585">
        <v>3.1232799999999998</v>
      </c>
      <c r="AW585">
        <v>67.843230000000005</v>
      </c>
      <c r="AX585">
        <v>39.184040000000003</v>
      </c>
    </row>
    <row r="586" spans="1:50" x14ac:dyDescent="0.35">
      <c r="A586" s="75">
        <v>35674</v>
      </c>
      <c r="B586">
        <v>71.830539999999999</v>
      </c>
      <c r="C586">
        <v>71.762339999999995</v>
      </c>
      <c r="D586">
        <v>33.006740000000001</v>
      </c>
      <c r="E586">
        <v>71.582830000000001</v>
      </c>
      <c r="F586">
        <v>91.293430000000001</v>
      </c>
      <c r="G586">
        <v>55.821010000000001</v>
      </c>
      <c r="H586">
        <v>72.435810000000004</v>
      </c>
      <c r="I586">
        <v>35.617559999999997</v>
      </c>
      <c r="J586">
        <v>22.877400000000002</v>
      </c>
      <c r="K586">
        <v>63.5</v>
      </c>
      <c r="L586">
        <v>77.992159999999998</v>
      </c>
      <c r="M586">
        <v>71.468630000000005</v>
      </c>
      <c r="N586">
        <v>72.650000000000006</v>
      </c>
      <c r="O586">
        <v>66.604870000000005</v>
      </c>
      <c r="R586">
        <v>75.224100000000007</v>
      </c>
      <c r="S586">
        <v>77.89</v>
      </c>
      <c r="T586">
        <v>52.216439999999999</v>
      </c>
      <c r="U586">
        <v>73.497330000000005</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60.617170000000002</v>
      </c>
      <c r="AG586">
        <v>65.2834</v>
      </c>
      <c r="AH586">
        <v>69.964479999999995</v>
      </c>
      <c r="AI586">
        <v>50.471530000000001</v>
      </c>
      <c r="AJ586">
        <v>36.734659999999998</v>
      </c>
      <c r="AK586">
        <v>71.069999999999993</v>
      </c>
      <c r="AL586">
        <v>70.2</v>
      </c>
      <c r="AM586">
        <v>63.851930000000003</v>
      </c>
      <c r="AN586">
        <v>58.038809999999998</v>
      </c>
      <c r="AO586">
        <v>54.366570000000003</v>
      </c>
      <c r="AP586">
        <v>68.18638</v>
      </c>
      <c r="AQ586">
        <v>7.177956</v>
      </c>
      <c r="AR586">
        <v>67.82696</v>
      </c>
      <c r="AS586">
        <v>45.886000000000003</v>
      </c>
      <c r="AT586">
        <v>51.060279999999999</v>
      </c>
      <c r="AU586">
        <v>83.007320000000007</v>
      </c>
      <c r="AV586">
        <v>3.3515929999999998</v>
      </c>
      <c r="AW586">
        <v>68.012</v>
      </c>
      <c r="AX586">
        <v>39.368000000000002</v>
      </c>
    </row>
    <row r="587" spans="1:50" x14ac:dyDescent="0.35">
      <c r="A587" s="75">
        <v>35704</v>
      </c>
      <c r="B587">
        <v>72.049239999999998</v>
      </c>
      <c r="C587">
        <v>71.752430000000004</v>
      </c>
      <c r="D587">
        <v>33.082610000000003</v>
      </c>
      <c r="E587">
        <v>71.582830000000001</v>
      </c>
      <c r="F587">
        <v>91.300240000000002</v>
      </c>
      <c r="G587">
        <v>56.50497</v>
      </c>
      <c r="H587">
        <v>71.997470000000007</v>
      </c>
      <c r="I587">
        <v>35.960189999999997</v>
      </c>
      <c r="J587">
        <v>22.917190000000002</v>
      </c>
      <c r="K587">
        <v>63.9</v>
      </c>
      <c r="L587">
        <v>77.898870000000002</v>
      </c>
      <c r="M587">
        <v>71.503410000000002</v>
      </c>
      <c r="N587">
        <v>72.69</v>
      </c>
      <c r="O587">
        <v>66.580380000000005</v>
      </c>
      <c r="R587">
        <v>75.400540000000007</v>
      </c>
      <c r="S587">
        <v>77.849999999999994</v>
      </c>
      <c r="T587">
        <v>52.490720000000003</v>
      </c>
      <c r="U587">
        <v>73.631129999999999</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60.617170000000002</v>
      </c>
      <c r="AG587">
        <v>65.546899999999994</v>
      </c>
      <c r="AH587">
        <v>70.143199999999993</v>
      </c>
      <c r="AI587">
        <v>50.852760000000004</v>
      </c>
      <c r="AJ587">
        <v>37.028239999999997</v>
      </c>
      <c r="AK587">
        <v>71.14</v>
      </c>
      <c r="AL587">
        <v>70.3</v>
      </c>
      <c r="AM587">
        <v>64.167630000000003</v>
      </c>
      <c r="AN587">
        <v>58.501010000000001</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39.551960000000001</v>
      </c>
    </row>
    <row r="588" spans="1:50" x14ac:dyDescent="0.35">
      <c r="A588" s="75">
        <v>35735</v>
      </c>
      <c r="B588">
        <v>72.049239999999998</v>
      </c>
      <c r="C588">
        <v>71.940730000000002</v>
      </c>
      <c r="D588">
        <v>33.138759999999998</v>
      </c>
      <c r="E588">
        <v>71.503820000000005</v>
      </c>
      <c r="F588">
        <v>91.27328</v>
      </c>
      <c r="G588">
        <v>56.581539999999997</v>
      </c>
      <c r="H588">
        <v>71.57526</v>
      </c>
      <c r="I588">
        <v>36.253880000000002</v>
      </c>
      <c r="J588">
        <v>23.30227</v>
      </c>
      <c r="K588">
        <v>64.099999999999994</v>
      </c>
      <c r="L588">
        <v>77.898870000000002</v>
      </c>
      <c r="M588">
        <v>71.607740000000007</v>
      </c>
      <c r="N588">
        <v>72.790000000000006</v>
      </c>
      <c r="O588">
        <v>66.712609999999998</v>
      </c>
      <c r="R588">
        <v>75.363780000000006</v>
      </c>
      <c r="S588">
        <v>77.98</v>
      </c>
      <c r="T588">
        <v>52.630949999999999</v>
      </c>
      <c r="U588">
        <v>73.558430000000001</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60.670929999999998</v>
      </c>
      <c r="AG588">
        <v>66.263800000000003</v>
      </c>
      <c r="AH588">
        <v>70.211939999999998</v>
      </c>
      <c r="AI588">
        <v>51.113120000000002</v>
      </c>
      <c r="AJ588">
        <v>37.442480000000003</v>
      </c>
      <c r="AK588">
        <v>71.17</v>
      </c>
      <c r="AL588">
        <v>70.400000000000006</v>
      </c>
      <c r="AM588">
        <v>64.330799999999996</v>
      </c>
      <c r="AN588">
        <v>58.942450000000001</v>
      </c>
      <c r="AO588">
        <v>55.56221</v>
      </c>
      <c r="AP588">
        <v>68.420240000000007</v>
      </c>
      <c r="AQ588">
        <v>7.234019</v>
      </c>
      <c r="AR588">
        <v>67.537090000000006</v>
      </c>
      <c r="AS588">
        <v>46.554040000000001</v>
      </c>
      <c r="AT588">
        <v>51.732559999999999</v>
      </c>
      <c r="AU588">
        <v>82.927539999999993</v>
      </c>
      <c r="AV588">
        <v>3.8713479999999998</v>
      </c>
      <c r="AW588">
        <v>68.138570000000001</v>
      </c>
      <c r="AX588">
        <v>39.413989999999998</v>
      </c>
    </row>
    <row r="589" spans="1:50" x14ac:dyDescent="0.35">
      <c r="A589" s="75">
        <v>35765</v>
      </c>
      <c r="B589">
        <v>72.188410000000005</v>
      </c>
      <c r="C589">
        <v>71.881270000000001</v>
      </c>
      <c r="D589">
        <v>33.281219999999998</v>
      </c>
      <c r="E589">
        <v>71.424809999999994</v>
      </c>
      <c r="F589">
        <v>91.317790000000002</v>
      </c>
      <c r="G589">
        <v>56.659799999999997</v>
      </c>
      <c r="H589">
        <v>71.43329</v>
      </c>
      <c r="I589">
        <v>36.482300000000002</v>
      </c>
      <c r="J589">
        <v>23.50018</v>
      </c>
      <c r="K589">
        <v>64.400000000000006</v>
      </c>
      <c r="L589">
        <v>78.085459999999998</v>
      </c>
      <c r="M589">
        <v>71.503410000000002</v>
      </c>
      <c r="N589">
        <v>72.88</v>
      </c>
      <c r="O589">
        <v>66.890010000000004</v>
      </c>
      <c r="R589">
        <v>75.385829999999999</v>
      </c>
      <c r="S589">
        <v>78.02</v>
      </c>
      <c r="T589">
        <v>52.873640000000002</v>
      </c>
      <c r="U589">
        <v>73.517160000000004</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62.20581</v>
      </c>
      <c r="AG589">
        <v>66.505099999999999</v>
      </c>
      <c r="AH589">
        <v>70.177570000000003</v>
      </c>
      <c r="AI589">
        <v>51.233989999999999</v>
      </c>
      <c r="AJ589">
        <v>37.96707</v>
      </c>
      <c r="AK589">
        <v>70.95</v>
      </c>
      <c r="AL589">
        <v>70.400000000000006</v>
      </c>
      <c r="AM589">
        <v>64.5321</v>
      </c>
      <c r="AN589">
        <v>59.319940000000003</v>
      </c>
      <c r="AO589">
        <v>56.124870000000001</v>
      </c>
      <c r="AP589">
        <v>68.581469999999996</v>
      </c>
      <c r="AQ589">
        <v>7.3034650000000001</v>
      </c>
      <c r="AR589">
        <v>67.36318</v>
      </c>
      <c r="AS589">
        <v>46.804549999999999</v>
      </c>
      <c r="AT589">
        <v>52.00311</v>
      </c>
      <c r="AU589">
        <v>82.886049999999997</v>
      </c>
      <c r="AV589">
        <v>4.0702309999999997</v>
      </c>
      <c r="AW589">
        <v>68.054190000000006</v>
      </c>
      <c r="AX589">
        <v>39.551960000000001</v>
      </c>
    </row>
    <row r="590" spans="1:50" x14ac:dyDescent="0.35">
      <c r="A590" s="75">
        <v>35796</v>
      </c>
      <c r="B590">
        <v>72.267930000000007</v>
      </c>
      <c r="C590">
        <v>71.85154</v>
      </c>
      <c r="D590">
        <v>33.517400000000002</v>
      </c>
      <c r="E590">
        <v>71.819850000000002</v>
      </c>
      <c r="F590">
        <v>91.284199999999998</v>
      </c>
      <c r="G590">
        <v>57.054519999999997</v>
      </c>
      <c r="H590">
        <v>71.941940000000002</v>
      </c>
      <c r="I590">
        <v>37.134929999999997</v>
      </c>
      <c r="J590">
        <v>23.874500000000001</v>
      </c>
      <c r="K590">
        <v>66.900000000000006</v>
      </c>
      <c r="L590">
        <v>78.085459999999998</v>
      </c>
      <c r="M590">
        <v>71.433850000000007</v>
      </c>
      <c r="N590">
        <v>72.819999999999993</v>
      </c>
      <c r="O590">
        <v>67.047809999999998</v>
      </c>
      <c r="P590">
        <v>54.141820000000003</v>
      </c>
      <c r="R590">
        <v>75.466710000000006</v>
      </c>
      <c r="S590">
        <v>77.78</v>
      </c>
      <c r="T590">
        <v>53.302280000000003</v>
      </c>
      <c r="U590">
        <v>73.568960000000004</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63.685870000000001</v>
      </c>
      <c r="AG590">
        <v>67.1785</v>
      </c>
      <c r="AH590">
        <v>70.232569999999996</v>
      </c>
      <c r="AI590">
        <v>51.884880000000003</v>
      </c>
      <c r="AJ590">
        <v>38.793100000000003</v>
      </c>
      <c r="AK590">
        <v>70.709999999999994</v>
      </c>
      <c r="AL590">
        <v>70.7</v>
      </c>
      <c r="AM590">
        <v>64.822500000000005</v>
      </c>
      <c r="AN590">
        <v>59.626849999999997</v>
      </c>
      <c r="AO590">
        <v>57.883159999999997</v>
      </c>
      <c r="AP590">
        <v>68.674019999999999</v>
      </c>
      <c r="AQ590">
        <v>7.413748</v>
      </c>
      <c r="AR590">
        <v>67.768979999999999</v>
      </c>
      <c r="AS590">
        <v>47.681359999999998</v>
      </c>
      <c r="AT590">
        <v>52.724580000000003</v>
      </c>
      <c r="AU590">
        <v>82.0946</v>
      </c>
      <c r="AV590">
        <v>4.3640480000000004</v>
      </c>
      <c r="AW590">
        <v>68.180760000000006</v>
      </c>
      <c r="AX590">
        <v>39.873899999999999</v>
      </c>
    </row>
    <row r="591" spans="1:50" x14ac:dyDescent="0.35">
      <c r="A591" s="75">
        <v>35827</v>
      </c>
      <c r="B591">
        <v>72.4071</v>
      </c>
      <c r="C591">
        <v>72.000200000000007</v>
      </c>
      <c r="D591">
        <v>33.671689999999998</v>
      </c>
      <c r="E591">
        <v>71.898859999999999</v>
      </c>
      <c r="F591">
        <v>91.396270000000001</v>
      </c>
      <c r="G591">
        <v>56.980510000000002</v>
      </c>
      <c r="H591">
        <v>72.299890000000005</v>
      </c>
      <c r="I591">
        <v>38.350459999999998</v>
      </c>
      <c r="J591">
        <v>24.11544</v>
      </c>
      <c r="K591">
        <v>67.3</v>
      </c>
      <c r="L591">
        <v>78.272040000000004</v>
      </c>
      <c r="M591">
        <v>71.746849999999995</v>
      </c>
      <c r="N591">
        <v>73</v>
      </c>
      <c r="O591">
        <v>66.891090000000005</v>
      </c>
      <c r="P591">
        <v>54.654519999999998</v>
      </c>
      <c r="R591">
        <v>75.451999999999998</v>
      </c>
      <c r="S591">
        <v>78.069999999999993</v>
      </c>
      <c r="T591">
        <v>53.674390000000002</v>
      </c>
      <c r="U591">
        <v>73.697630000000004</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64.782210000000006</v>
      </c>
      <c r="AG591">
        <v>67.509900000000002</v>
      </c>
      <c r="AH591">
        <v>70.205070000000006</v>
      </c>
      <c r="AI591">
        <v>51.97786</v>
      </c>
      <c r="AJ591">
        <v>39.472259999999999</v>
      </c>
      <c r="AK591">
        <v>71.11</v>
      </c>
      <c r="AL591">
        <v>71</v>
      </c>
      <c r="AM591">
        <v>65.094200000000001</v>
      </c>
      <c r="AN591">
        <v>59.948779999999999</v>
      </c>
      <c r="AO591">
        <v>58.867809999999999</v>
      </c>
      <c r="AP591">
        <v>68.643169999999998</v>
      </c>
      <c r="AQ591">
        <v>7.47973</v>
      </c>
      <c r="AR591">
        <v>67.768979999999999</v>
      </c>
      <c r="AS591">
        <v>48.01538</v>
      </c>
      <c r="AT591">
        <v>53.21649</v>
      </c>
      <c r="AU591">
        <v>81.986090000000004</v>
      </c>
      <c r="AV591">
        <v>4.5567609999999998</v>
      </c>
      <c r="AW591">
        <v>68.307329999999993</v>
      </c>
      <c r="AX591">
        <v>39.965879999999999</v>
      </c>
    </row>
    <row r="592" spans="1:50" x14ac:dyDescent="0.35">
      <c r="A592" s="75">
        <v>35855</v>
      </c>
      <c r="B592">
        <v>72.466740000000001</v>
      </c>
      <c r="C592">
        <v>71.881270000000001</v>
      </c>
      <c r="D592">
        <v>33.786070000000002</v>
      </c>
      <c r="E592">
        <v>71.977869999999996</v>
      </c>
      <c r="F592">
        <v>91.328810000000004</v>
      </c>
      <c r="G592">
        <v>57.205950000000001</v>
      </c>
      <c r="H592">
        <v>72.304950000000005</v>
      </c>
      <c r="I592">
        <v>39.35389</v>
      </c>
      <c r="J592">
        <v>24.36928</v>
      </c>
      <c r="K592">
        <v>67.5</v>
      </c>
      <c r="L592">
        <v>78.178749999999994</v>
      </c>
      <c r="M592">
        <v>71.885959999999997</v>
      </c>
      <c r="N592">
        <v>73.099999999999994</v>
      </c>
      <c r="O592">
        <v>66.922110000000004</v>
      </c>
      <c r="P592">
        <v>55.064689999999999</v>
      </c>
      <c r="R592">
        <v>75.613749999999996</v>
      </c>
      <c r="S592">
        <v>78.2</v>
      </c>
      <c r="T592">
        <v>53.905650000000001</v>
      </c>
      <c r="U592">
        <v>73.840220000000002</v>
      </c>
      <c r="V592">
        <v>70.8</v>
      </c>
      <c r="W592">
        <v>67.035030000000006</v>
      </c>
      <c r="X592">
        <v>42.337510000000002</v>
      </c>
      <c r="Y592">
        <v>22.4939</v>
      </c>
      <c r="Z592">
        <v>31.508299999999998</v>
      </c>
      <c r="AA592">
        <v>69.175179999999997</v>
      </c>
      <c r="AB592">
        <v>42.69726</v>
      </c>
      <c r="AC592">
        <v>69.052419999999998</v>
      </c>
      <c r="AD592">
        <v>71.79692</v>
      </c>
      <c r="AE592">
        <v>99.974549999999994</v>
      </c>
      <c r="AF592">
        <v>64.672579999999996</v>
      </c>
      <c r="AG592">
        <v>67.792199999999994</v>
      </c>
      <c r="AH592">
        <v>70.239440000000002</v>
      </c>
      <c r="AI592">
        <v>52.126640000000002</v>
      </c>
      <c r="AJ592">
        <v>39.934640000000002</v>
      </c>
      <c r="AK592">
        <v>71.7</v>
      </c>
      <c r="AL592">
        <v>71.400000000000006</v>
      </c>
      <c r="AM592">
        <v>65.335880000000003</v>
      </c>
      <c r="AN592">
        <v>60.236530000000002</v>
      </c>
      <c r="AO592">
        <v>59.219470000000001</v>
      </c>
      <c r="AP592">
        <v>68.828270000000003</v>
      </c>
      <c r="AQ592">
        <v>7.5275999999999996</v>
      </c>
      <c r="AR592">
        <v>67.36318</v>
      </c>
      <c r="AS592">
        <v>48.140639999999998</v>
      </c>
      <c r="AT592">
        <v>53.626420000000003</v>
      </c>
      <c r="AU592">
        <v>82.110560000000007</v>
      </c>
      <c r="AV592">
        <v>4.752796</v>
      </c>
      <c r="AW592">
        <v>68.433909999999997</v>
      </c>
      <c r="AX592">
        <v>40.24183</v>
      </c>
    </row>
    <row r="593" spans="1:50" x14ac:dyDescent="0.35">
      <c r="A593" s="75">
        <v>35886</v>
      </c>
      <c r="B593">
        <v>72.625789999999995</v>
      </c>
      <c r="C593">
        <v>72.198409999999996</v>
      </c>
      <c r="D593">
        <v>33.867049999999999</v>
      </c>
      <c r="E593">
        <v>71.898859999999999</v>
      </c>
      <c r="F593">
        <v>91.365899999999996</v>
      </c>
      <c r="G593">
        <v>57.431379999999997</v>
      </c>
      <c r="H593">
        <v>72.245469999999997</v>
      </c>
      <c r="I593">
        <v>40.496000000000002</v>
      </c>
      <c r="J593">
        <v>24.565049999999999</v>
      </c>
      <c r="K593">
        <v>67.7</v>
      </c>
      <c r="L593">
        <v>78.272040000000004</v>
      </c>
      <c r="M593">
        <v>72.059849999999997</v>
      </c>
      <c r="N593">
        <v>73.28</v>
      </c>
      <c r="O593">
        <v>67.088070000000002</v>
      </c>
      <c r="P593">
        <v>55.321040000000004</v>
      </c>
      <c r="R593">
        <v>75.959280000000007</v>
      </c>
      <c r="S593">
        <v>78.36</v>
      </c>
      <c r="T593">
        <v>54.194099999999999</v>
      </c>
      <c r="U593">
        <v>73.981930000000006</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64.891850000000005</v>
      </c>
      <c r="AG593">
        <v>68.160499999999999</v>
      </c>
      <c r="AH593">
        <v>70.088210000000004</v>
      </c>
      <c r="AI593">
        <v>52.489269999999998</v>
      </c>
      <c r="AJ593">
        <v>40.30827</v>
      </c>
      <c r="AK593">
        <v>71.88</v>
      </c>
      <c r="AL593">
        <v>71.400000000000006</v>
      </c>
      <c r="AM593">
        <v>65.603620000000006</v>
      </c>
      <c r="AN593">
        <v>60.588679999999997</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40.425789999999999</v>
      </c>
    </row>
    <row r="594" spans="1:50" x14ac:dyDescent="0.35">
      <c r="A594" s="75">
        <v>35916</v>
      </c>
      <c r="B594">
        <v>72.546260000000004</v>
      </c>
      <c r="C594">
        <v>72.555189999999996</v>
      </c>
      <c r="D594">
        <v>34.03642</v>
      </c>
      <c r="E594">
        <v>72.135890000000003</v>
      </c>
      <c r="F594">
        <v>91.177250000000001</v>
      </c>
      <c r="G594">
        <v>57.536020000000001</v>
      </c>
      <c r="H594">
        <v>71.526600000000002</v>
      </c>
      <c r="I594">
        <v>41.124160000000003</v>
      </c>
      <c r="J594">
        <v>24.75113</v>
      </c>
      <c r="K594">
        <v>67.7</v>
      </c>
      <c r="L594">
        <v>78.36533</v>
      </c>
      <c r="M594">
        <v>72.407629999999997</v>
      </c>
      <c r="N594">
        <v>73.430000000000007</v>
      </c>
      <c r="O594">
        <v>67.17568</v>
      </c>
      <c r="P594">
        <v>55.526119999999999</v>
      </c>
      <c r="R594">
        <v>75.922520000000006</v>
      </c>
      <c r="S594">
        <v>78.38</v>
      </c>
      <c r="T594">
        <v>54.455550000000002</v>
      </c>
      <c r="U594">
        <v>74.134860000000003</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64.562939999999998</v>
      </c>
      <c r="AG594">
        <v>68.553299999999993</v>
      </c>
      <c r="AH594">
        <v>70.321929999999995</v>
      </c>
      <c r="AI594">
        <v>52.51717</v>
      </c>
      <c r="AJ594">
        <v>40.629350000000002</v>
      </c>
      <c r="AK594">
        <v>71.81</v>
      </c>
      <c r="AL594">
        <v>71.3</v>
      </c>
      <c r="AM594">
        <v>65.805199999999999</v>
      </c>
      <c r="AN594">
        <v>60.838180000000001</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40.609749999999998</v>
      </c>
    </row>
    <row r="595" spans="1:50" x14ac:dyDescent="0.35">
      <c r="A595" s="75">
        <v>35947</v>
      </c>
      <c r="B595">
        <v>72.466740000000001</v>
      </c>
      <c r="C595">
        <v>72.485820000000004</v>
      </c>
      <c r="D595">
        <v>34.043140000000001</v>
      </c>
      <c r="E595">
        <v>72.2149</v>
      </c>
      <c r="F595">
        <v>91.285709999999995</v>
      </c>
      <c r="G595">
        <v>57.732529999999997</v>
      </c>
      <c r="H595">
        <v>70.523139999999998</v>
      </c>
      <c r="I595">
        <v>41.629959999999997</v>
      </c>
      <c r="J595">
        <v>24.950119999999998</v>
      </c>
      <c r="K595">
        <v>68</v>
      </c>
      <c r="L595">
        <v>78.458629999999999</v>
      </c>
      <c r="M595">
        <v>72.372860000000003</v>
      </c>
      <c r="N595">
        <v>73.47</v>
      </c>
      <c r="O595">
        <v>67.219220000000007</v>
      </c>
      <c r="P595">
        <v>55.628660000000004</v>
      </c>
      <c r="R595">
        <v>76.076909999999998</v>
      </c>
      <c r="S595">
        <v>78.44</v>
      </c>
      <c r="T595">
        <v>54.61336</v>
      </c>
      <c r="U595">
        <v>74.153419999999997</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64.28886</v>
      </c>
      <c r="AG595">
        <v>68.234099999999998</v>
      </c>
      <c r="AH595">
        <v>70.287559999999999</v>
      </c>
      <c r="AI595">
        <v>52.889099999999999</v>
      </c>
      <c r="AJ595">
        <v>41.109569999999998</v>
      </c>
      <c r="AK595">
        <v>71.510000000000005</v>
      </c>
      <c r="AL595">
        <v>71.5</v>
      </c>
      <c r="AM595">
        <v>65.900030000000001</v>
      </c>
      <c r="AN595">
        <v>60.968170000000001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40.747720000000001</v>
      </c>
    </row>
    <row r="596" spans="1:50" x14ac:dyDescent="0.35">
      <c r="A596" s="75">
        <v>35977</v>
      </c>
      <c r="B596">
        <v>72.466740000000001</v>
      </c>
      <c r="C596">
        <v>72.664209999999997</v>
      </c>
      <c r="D596">
        <v>34.002310000000001</v>
      </c>
      <c r="E596">
        <v>72.2149</v>
      </c>
      <c r="F596">
        <v>91.16301</v>
      </c>
      <c r="G596">
        <v>57.979230000000001</v>
      </c>
      <c r="H596">
        <v>69.603710000000007</v>
      </c>
      <c r="I596">
        <v>41.825740000000003</v>
      </c>
      <c r="J596">
        <v>25.373909999999999</v>
      </c>
      <c r="K596">
        <v>69.3</v>
      </c>
      <c r="L596">
        <v>78.738500000000002</v>
      </c>
      <c r="M596">
        <v>72.268519999999995</v>
      </c>
      <c r="N596">
        <v>73.47</v>
      </c>
      <c r="O596">
        <v>67.467349999999996</v>
      </c>
      <c r="P596">
        <v>55.93629</v>
      </c>
      <c r="R596">
        <v>75.885769999999994</v>
      </c>
      <c r="S596">
        <v>78.180000000000007</v>
      </c>
      <c r="T596">
        <v>54.869860000000003</v>
      </c>
      <c r="U596">
        <v>74.134649999999993</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64.28886</v>
      </c>
      <c r="AG596">
        <v>68.393699999999995</v>
      </c>
      <c r="AH596">
        <v>70.431920000000005</v>
      </c>
      <c r="AI596">
        <v>52.470680000000002</v>
      </c>
      <c r="AJ596">
        <v>41.505969999999998</v>
      </c>
      <c r="AK596">
        <v>71.650000000000006</v>
      </c>
      <c r="AL596">
        <v>71.5</v>
      </c>
      <c r="AM596">
        <v>65.98151</v>
      </c>
      <c r="AN596">
        <v>61.106110000000001</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41.713529999999999</v>
      </c>
    </row>
    <row r="597" spans="1:50" x14ac:dyDescent="0.35">
      <c r="A597" s="75">
        <v>36008</v>
      </c>
      <c r="B597">
        <v>72.466740000000001</v>
      </c>
      <c r="C597">
        <v>72.386709999999994</v>
      </c>
      <c r="D597">
        <v>33.828989999999997</v>
      </c>
      <c r="E597">
        <v>72.2149</v>
      </c>
      <c r="F597">
        <v>91.422640000000001</v>
      </c>
      <c r="G597">
        <v>58.175739999999998</v>
      </c>
      <c r="H597">
        <v>70.086780000000005</v>
      </c>
      <c r="I597">
        <v>41.842059999999996</v>
      </c>
      <c r="J597">
        <v>25.886980000000001</v>
      </c>
      <c r="K597">
        <v>69.099999999999994</v>
      </c>
      <c r="L597">
        <v>78.551919999999996</v>
      </c>
      <c r="M597">
        <v>72.372860000000003</v>
      </c>
      <c r="N597">
        <v>73.489999999999995</v>
      </c>
      <c r="O597">
        <v>67.648009999999999</v>
      </c>
      <c r="P597">
        <v>55.833750000000002</v>
      </c>
      <c r="R597">
        <v>75.996039999999994</v>
      </c>
      <c r="S597">
        <v>78.23</v>
      </c>
      <c r="T597">
        <v>55.153440000000003</v>
      </c>
      <c r="U597">
        <v>74.175489999999996</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64.507069999999999</v>
      </c>
      <c r="AG597">
        <v>67.970200000000006</v>
      </c>
      <c r="AH597">
        <v>70.486919999999998</v>
      </c>
      <c r="AI597">
        <v>52.219619999999999</v>
      </c>
      <c r="AJ597">
        <v>41.904980000000002</v>
      </c>
      <c r="AK597">
        <v>71.66</v>
      </c>
      <c r="AL597">
        <v>71.3</v>
      </c>
      <c r="AM597">
        <v>66.111109999999996</v>
      </c>
      <c r="AN597">
        <v>61.274410000000003</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42.173430000000003</v>
      </c>
    </row>
    <row r="598" spans="1:50" x14ac:dyDescent="0.35">
      <c r="A598" s="75">
        <v>36039</v>
      </c>
      <c r="B598">
        <v>72.466740000000001</v>
      </c>
      <c r="C598">
        <v>72.356979999999993</v>
      </c>
      <c r="D598">
        <v>33.754519999999999</v>
      </c>
      <c r="E598">
        <v>72.056880000000007</v>
      </c>
      <c r="F598">
        <v>91.349760000000003</v>
      </c>
      <c r="G598">
        <v>58.479439999999997</v>
      </c>
      <c r="H598">
        <v>71.349270000000004</v>
      </c>
      <c r="I598">
        <v>41.96443</v>
      </c>
      <c r="J598">
        <v>25.785879999999999</v>
      </c>
      <c r="K598">
        <v>69.2</v>
      </c>
      <c r="L598">
        <v>78.36533</v>
      </c>
      <c r="M598">
        <v>72.651079999999993</v>
      </c>
      <c r="N598">
        <v>73.47</v>
      </c>
      <c r="O598">
        <v>67.698070000000001</v>
      </c>
      <c r="P598">
        <v>55.833750000000002</v>
      </c>
      <c r="R598">
        <v>76.223950000000002</v>
      </c>
      <c r="S598">
        <v>78.2</v>
      </c>
      <c r="T598">
        <v>56.090179999999997</v>
      </c>
      <c r="U598">
        <v>74.300790000000006</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64.782210000000006</v>
      </c>
      <c r="AG598">
        <v>67.669499999999999</v>
      </c>
      <c r="AH598">
        <v>70.425039999999996</v>
      </c>
      <c r="AI598">
        <v>52.238219999999998</v>
      </c>
      <c r="AJ598">
        <v>42.584629999999997</v>
      </c>
      <c r="AK598">
        <v>72.25</v>
      </c>
      <c r="AL598">
        <v>71.900000000000006</v>
      </c>
      <c r="AM598">
        <v>66.412869999999998</v>
      </c>
      <c r="AN598">
        <v>61.664859999999997</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42.909280000000003</v>
      </c>
    </row>
    <row r="599" spans="1:50" x14ac:dyDescent="0.35">
      <c r="A599" s="75">
        <v>36069</v>
      </c>
      <c r="B599">
        <v>72.546260000000004</v>
      </c>
      <c r="C599">
        <v>72.366889999999998</v>
      </c>
      <c r="D599">
        <v>33.761249999999997</v>
      </c>
      <c r="E599">
        <v>72.372919999999993</v>
      </c>
      <c r="F599">
        <v>91.331519999999998</v>
      </c>
      <c r="G599">
        <v>58.945619999999998</v>
      </c>
      <c r="H599">
        <v>71.205500000000001</v>
      </c>
      <c r="I599">
        <v>42.111269999999998</v>
      </c>
      <c r="J599">
        <v>25.86655</v>
      </c>
      <c r="K599">
        <v>69.099999999999994</v>
      </c>
      <c r="L599">
        <v>78.272040000000004</v>
      </c>
      <c r="M599">
        <v>72.685860000000005</v>
      </c>
      <c r="N599">
        <v>73.45</v>
      </c>
      <c r="O599">
        <v>67.704059999999998</v>
      </c>
      <c r="P599">
        <v>55.93629</v>
      </c>
      <c r="R599">
        <v>76.238650000000007</v>
      </c>
      <c r="S599">
        <v>78.16</v>
      </c>
      <c r="T599">
        <v>56.51108</v>
      </c>
      <c r="U599">
        <v>74.47627</v>
      </c>
      <c r="V599">
        <v>71.7</v>
      </c>
      <c r="W599">
        <v>68.554569999999998</v>
      </c>
      <c r="X599">
        <v>43.785089999999997</v>
      </c>
      <c r="Y599">
        <v>30.9666</v>
      </c>
      <c r="Z599">
        <v>35.902880000000003</v>
      </c>
      <c r="AA599">
        <v>70.371290000000002</v>
      </c>
      <c r="AB599">
        <v>42.905740000000002</v>
      </c>
      <c r="AC599">
        <v>73.99194</v>
      </c>
      <c r="AD599">
        <v>72.262699999999995</v>
      </c>
      <c r="AE599">
        <v>100.8908</v>
      </c>
      <c r="AF599">
        <v>65.000429999999994</v>
      </c>
      <c r="AG599">
        <v>67.951800000000006</v>
      </c>
      <c r="AH599">
        <v>70.480040000000002</v>
      </c>
      <c r="AI599">
        <v>52.321899999999999</v>
      </c>
      <c r="AJ599">
        <v>43.194859999999998</v>
      </c>
      <c r="AK599">
        <v>72.41</v>
      </c>
      <c r="AL599">
        <v>71.900000000000006</v>
      </c>
      <c r="AM599">
        <v>66.727540000000005</v>
      </c>
      <c r="AN599">
        <v>61.992870000000003</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43.093249999999998</v>
      </c>
    </row>
    <row r="600" spans="1:50" x14ac:dyDescent="0.35">
      <c r="A600" s="75">
        <v>36100</v>
      </c>
      <c r="B600">
        <v>72.625789999999995</v>
      </c>
      <c r="C600">
        <v>72.356979999999993</v>
      </c>
      <c r="D600">
        <v>33.720649999999999</v>
      </c>
      <c r="E600">
        <v>72.372919999999993</v>
      </c>
      <c r="F600">
        <v>91.183359999999993</v>
      </c>
      <c r="G600">
        <v>59.00262</v>
      </c>
      <c r="H600">
        <v>70.716359999999995</v>
      </c>
      <c r="I600">
        <v>42.184699999999999</v>
      </c>
      <c r="J600">
        <v>26.207519999999999</v>
      </c>
      <c r="K600">
        <v>68.900000000000006</v>
      </c>
      <c r="L600">
        <v>78.272040000000004</v>
      </c>
      <c r="M600">
        <v>72.824969999999993</v>
      </c>
      <c r="N600">
        <v>73.45</v>
      </c>
      <c r="O600">
        <v>67.643109999999993</v>
      </c>
      <c r="P600">
        <v>55.885019999999997</v>
      </c>
      <c r="R600">
        <v>76.047499999999999</v>
      </c>
      <c r="S600">
        <v>78.11</v>
      </c>
      <c r="T600">
        <v>56.752760000000002</v>
      </c>
      <c r="U600">
        <v>74.475340000000003</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64.782210000000006</v>
      </c>
      <c r="AG600">
        <v>68.0745</v>
      </c>
      <c r="AH600">
        <v>70.521289999999993</v>
      </c>
      <c r="AI600">
        <v>52.545059999999999</v>
      </c>
      <c r="AJ600">
        <v>43.959820000000001</v>
      </c>
      <c r="AK600">
        <v>72.41</v>
      </c>
      <c r="AL600">
        <v>72</v>
      </c>
      <c r="AM600">
        <v>66.872079999999997</v>
      </c>
      <c r="AN600">
        <v>62.238259999999997</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43.093249999999998</v>
      </c>
    </row>
    <row r="601" spans="1:50" x14ac:dyDescent="0.35">
      <c r="A601" s="75">
        <v>36130</v>
      </c>
      <c r="B601">
        <v>72.685429999999997</v>
      </c>
      <c r="C601">
        <v>72.297520000000006</v>
      </c>
      <c r="D601">
        <v>33.832009999999997</v>
      </c>
      <c r="E601">
        <v>72.135890000000003</v>
      </c>
      <c r="F601">
        <v>91.163920000000005</v>
      </c>
      <c r="G601">
        <v>59.302909999999997</v>
      </c>
      <c r="H601">
        <v>70.718959999999996</v>
      </c>
      <c r="I601">
        <v>42.56812</v>
      </c>
      <c r="J601">
        <v>26.40436</v>
      </c>
      <c r="K601">
        <v>68.8</v>
      </c>
      <c r="L601">
        <v>78.36533</v>
      </c>
      <c r="M601">
        <v>72.72063</v>
      </c>
      <c r="N601">
        <v>73.489999999999995</v>
      </c>
      <c r="O601">
        <v>67.830299999999994</v>
      </c>
      <c r="P601">
        <v>55.987560000000002</v>
      </c>
      <c r="R601">
        <v>76.003389999999996</v>
      </c>
      <c r="S601">
        <v>78.19</v>
      </c>
      <c r="T601">
        <v>57.04195</v>
      </c>
      <c r="U601">
        <v>74.435860000000005</v>
      </c>
      <c r="V601">
        <v>72</v>
      </c>
      <c r="W601">
        <v>68.835909999999998</v>
      </c>
      <c r="X601">
        <v>44.018030000000003</v>
      </c>
      <c r="Y601">
        <v>31.42897</v>
      </c>
      <c r="Z601">
        <v>35.571210000000001</v>
      </c>
      <c r="AA601">
        <v>70.072270000000003</v>
      </c>
      <c r="AB601">
        <v>42.905740000000002</v>
      </c>
      <c r="AC601">
        <v>75</v>
      </c>
      <c r="AD601">
        <v>72.395780000000002</v>
      </c>
      <c r="AE601">
        <v>100.3818</v>
      </c>
      <c r="AF601">
        <v>64.672579999999996</v>
      </c>
      <c r="AG601">
        <v>68.111400000000003</v>
      </c>
      <c r="AH601">
        <v>70.459419999999994</v>
      </c>
      <c r="AI601">
        <v>52.647350000000003</v>
      </c>
      <c r="AJ601">
        <v>45.032420000000002</v>
      </c>
      <c r="AK601">
        <v>72.209999999999994</v>
      </c>
      <c r="AL601">
        <v>72.099999999999994</v>
      </c>
      <c r="AM601">
        <v>67.00488</v>
      </c>
      <c r="AN601">
        <v>62.492100000000001</v>
      </c>
      <c r="AO601">
        <v>60.8371</v>
      </c>
      <c r="AP601">
        <v>70.758939999999996</v>
      </c>
      <c r="AQ601">
        <v>13.47024</v>
      </c>
      <c r="AR601">
        <v>66.725489999999994</v>
      </c>
      <c r="AS601">
        <v>49.434959999999997</v>
      </c>
      <c r="AT601">
        <v>55.389099999999999</v>
      </c>
      <c r="AU601">
        <v>81.880780000000001</v>
      </c>
      <c r="AV601">
        <v>6.908239</v>
      </c>
      <c r="AW601">
        <v>69.151160000000004</v>
      </c>
      <c r="AX601">
        <v>43.093249999999998</v>
      </c>
    </row>
    <row r="602" spans="1:50" x14ac:dyDescent="0.35">
      <c r="A602" s="75">
        <v>36161</v>
      </c>
      <c r="B602">
        <v>72.625789999999995</v>
      </c>
      <c r="C602">
        <v>72.545280000000005</v>
      </c>
      <c r="D602">
        <v>34.068899999999999</v>
      </c>
      <c r="E602">
        <v>72.293909999999997</v>
      </c>
      <c r="F602">
        <v>91.350759999999994</v>
      </c>
      <c r="G602">
        <v>59.105550000000001</v>
      </c>
      <c r="H602">
        <v>71.078639999999993</v>
      </c>
      <c r="I602">
        <v>43.51444</v>
      </c>
      <c r="J602">
        <v>26.878710000000002</v>
      </c>
      <c r="K602">
        <v>69.3</v>
      </c>
      <c r="L602">
        <v>78.272040000000004</v>
      </c>
      <c r="M602">
        <v>72.651079999999993</v>
      </c>
      <c r="N602">
        <v>73.44</v>
      </c>
      <c r="O602">
        <v>68.079520000000002</v>
      </c>
      <c r="P602">
        <v>56.602809999999998</v>
      </c>
      <c r="R602">
        <v>75.841650000000001</v>
      </c>
      <c r="S602">
        <v>77.97</v>
      </c>
      <c r="T602">
        <v>57.242440000000002</v>
      </c>
      <c r="U602">
        <v>74.453540000000004</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64.617760000000004</v>
      </c>
      <c r="AG602">
        <v>68.760099999999994</v>
      </c>
      <c r="AH602">
        <v>69.283940000000001</v>
      </c>
      <c r="AI602">
        <v>53.270339999999997</v>
      </c>
      <c r="AJ602">
        <v>46.169609999999999</v>
      </c>
      <c r="AK602">
        <v>72.25</v>
      </c>
      <c r="AL602">
        <v>72.400000000000006</v>
      </c>
      <c r="AM602">
        <v>67.191739999999996</v>
      </c>
      <c r="AN602">
        <v>62.673589999999997</v>
      </c>
      <c r="AO602">
        <v>61.751420000000003</v>
      </c>
      <c r="AP602">
        <v>70.526060000000001</v>
      </c>
      <c r="AQ602">
        <v>14.59905</v>
      </c>
      <c r="AR602">
        <v>66.645409999999998</v>
      </c>
      <c r="AS602">
        <v>50.896299999999997</v>
      </c>
      <c r="AT602">
        <v>55.94659</v>
      </c>
      <c r="AU602">
        <v>81.912689999999998</v>
      </c>
      <c r="AV602">
        <v>7.2400279999999997</v>
      </c>
      <c r="AW602">
        <v>69.319919999999996</v>
      </c>
      <c r="AX602">
        <v>43.415179999999999</v>
      </c>
    </row>
    <row r="603" spans="1:50" x14ac:dyDescent="0.35">
      <c r="A603" s="75">
        <v>36192</v>
      </c>
      <c r="B603">
        <v>72.764960000000002</v>
      </c>
      <c r="C603">
        <v>72.703850000000003</v>
      </c>
      <c r="D603">
        <v>34.426659999999998</v>
      </c>
      <c r="E603">
        <v>72.372919999999993</v>
      </c>
      <c r="F603">
        <v>91.659509999999997</v>
      </c>
      <c r="G603">
        <v>59.148090000000003</v>
      </c>
      <c r="H603">
        <v>71.359989999999996</v>
      </c>
      <c r="I603">
        <v>44.248649999999998</v>
      </c>
      <c r="J603">
        <v>27.074470000000002</v>
      </c>
      <c r="K603">
        <v>69.3</v>
      </c>
      <c r="L603">
        <v>78.36533</v>
      </c>
      <c r="M603">
        <v>73.207530000000006</v>
      </c>
      <c r="N603">
        <v>73.61</v>
      </c>
      <c r="O603">
        <v>68.119789999999995</v>
      </c>
      <c r="P603">
        <v>56.756619999999998</v>
      </c>
      <c r="R603">
        <v>76.025440000000003</v>
      </c>
      <c r="S603">
        <v>78.209999999999994</v>
      </c>
      <c r="T603">
        <v>57.415489999999998</v>
      </c>
      <c r="U603">
        <v>74.505229999999997</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64.891850000000005</v>
      </c>
      <c r="AG603">
        <v>68.787999999999997</v>
      </c>
      <c r="AH603">
        <v>70.562529999999995</v>
      </c>
      <c r="AI603">
        <v>53.344720000000002</v>
      </c>
      <c r="AJ603">
        <v>46.790080000000003</v>
      </c>
      <c r="AK603">
        <v>72.61</v>
      </c>
      <c r="AL603">
        <v>72.5</v>
      </c>
      <c r="AM603">
        <v>67.348960000000005</v>
      </c>
      <c r="AN603">
        <v>62.908920000000002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43.415179999999999</v>
      </c>
    </row>
    <row r="604" spans="1:50" x14ac:dyDescent="0.35">
      <c r="A604" s="75">
        <v>36220</v>
      </c>
      <c r="B604">
        <v>72.764960000000002</v>
      </c>
      <c r="C604">
        <v>72.763310000000004</v>
      </c>
      <c r="D604">
        <v>34.805300000000003</v>
      </c>
      <c r="E604">
        <v>72.688959999999994</v>
      </c>
      <c r="F604">
        <v>91.755330000000001</v>
      </c>
      <c r="G604">
        <v>59.524090000000001</v>
      </c>
      <c r="H604">
        <v>71.003460000000004</v>
      </c>
      <c r="I604">
        <v>44.664709999999999</v>
      </c>
      <c r="J604">
        <v>26.97336</v>
      </c>
      <c r="K604">
        <v>69.3</v>
      </c>
      <c r="L604">
        <v>78.36533</v>
      </c>
      <c r="M604">
        <v>73.555310000000006</v>
      </c>
      <c r="N604">
        <v>73.849999999999994</v>
      </c>
      <c r="O604">
        <v>68.420169999999999</v>
      </c>
      <c r="P604">
        <v>57.064239999999998</v>
      </c>
      <c r="R604">
        <v>76.209239999999994</v>
      </c>
      <c r="S604">
        <v>78.47</v>
      </c>
      <c r="T604">
        <v>57.670250000000003</v>
      </c>
      <c r="U604">
        <v>74.701089999999994</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65.000429999999994</v>
      </c>
      <c r="AG604">
        <v>68.632000000000005</v>
      </c>
      <c r="AH604">
        <v>70.645020000000002</v>
      </c>
      <c r="AI604">
        <v>53.344720000000002</v>
      </c>
      <c r="AJ604">
        <v>47.224789999999999</v>
      </c>
      <c r="AK604">
        <v>73.239999999999995</v>
      </c>
      <c r="AL604">
        <v>73</v>
      </c>
      <c r="AM604">
        <v>67.627359999999996</v>
      </c>
      <c r="AN604">
        <v>63.270130000000002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43.415179999999999</v>
      </c>
    </row>
    <row r="605" spans="1:50" x14ac:dyDescent="0.35">
      <c r="A605" s="75">
        <v>36251</v>
      </c>
      <c r="B605">
        <v>72.764960000000002</v>
      </c>
      <c r="C605">
        <v>73.040809999999993</v>
      </c>
      <c r="D605">
        <v>35.000190000000003</v>
      </c>
      <c r="E605">
        <v>73.084010000000006</v>
      </c>
      <c r="F605">
        <v>91.9084</v>
      </c>
      <c r="G605">
        <v>59.74783</v>
      </c>
      <c r="H605">
        <v>70.65607</v>
      </c>
      <c r="I605">
        <v>45.015500000000003</v>
      </c>
      <c r="J605">
        <v>27.006710000000002</v>
      </c>
      <c r="K605">
        <v>69.400000000000006</v>
      </c>
      <c r="L605">
        <v>78.738500000000002</v>
      </c>
      <c r="M605">
        <v>73.76397</v>
      </c>
      <c r="N605">
        <v>74.11</v>
      </c>
      <c r="O605">
        <v>68.673190000000005</v>
      </c>
      <c r="P605">
        <v>57.166780000000003</v>
      </c>
      <c r="R605">
        <v>76.767979999999994</v>
      </c>
      <c r="S605">
        <v>78.69</v>
      </c>
      <c r="T605">
        <v>58.032919999999997</v>
      </c>
      <c r="U605">
        <v>75.136150000000001</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65.164879999999997</v>
      </c>
      <c r="AG605">
        <v>68.646000000000001</v>
      </c>
      <c r="AH605">
        <v>70.981849999999994</v>
      </c>
      <c r="AI605">
        <v>53.270339999999997</v>
      </c>
      <c r="AJ605">
        <v>47.658180000000002</v>
      </c>
      <c r="AK605">
        <v>73.400000000000006</v>
      </c>
      <c r="AL605">
        <v>73.2</v>
      </c>
      <c r="AM605">
        <v>68.076260000000005</v>
      </c>
      <c r="AN605">
        <v>63.689799999999998</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43.507159999999999</v>
      </c>
    </row>
    <row r="606" spans="1:50" x14ac:dyDescent="0.35">
      <c r="A606" s="75">
        <v>36281</v>
      </c>
      <c r="B606">
        <v>72.904129999999995</v>
      </c>
      <c r="C606">
        <v>73.169650000000004</v>
      </c>
      <c r="D606">
        <v>35.105289999999997</v>
      </c>
      <c r="E606">
        <v>73.24203</v>
      </c>
      <c r="F606">
        <v>91.702209999999994</v>
      </c>
      <c r="G606">
        <v>59.818440000000002</v>
      </c>
      <c r="H606">
        <v>69.953010000000006</v>
      </c>
      <c r="I606">
        <v>45.235759999999999</v>
      </c>
      <c r="J606">
        <v>27.226130000000001</v>
      </c>
      <c r="K606">
        <v>69.400000000000006</v>
      </c>
      <c r="L606">
        <v>78.738500000000002</v>
      </c>
      <c r="M606">
        <v>73.903080000000003</v>
      </c>
      <c r="N606">
        <v>74.16</v>
      </c>
      <c r="O606">
        <v>68.671019999999999</v>
      </c>
      <c r="P606">
        <v>57.371859999999998</v>
      </c>
      <c r="R606">
        <v>76.959130000000002</v>
      </c>
      <c r="S606">
        <v>78.7</v>
      </c>
      <c r="T606">
        <v>58.160899999999998</v>
      </c>
      <c r="U606">
        <v>75.167529999999999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65.055239999999998</v>
      </c>
      <c r="AG606">
        <v>68.639200000000002</v>
      </c>
      <c r="AH606">
        <v>71.181200000000004</v>
      </c>
      <c r="AI606">
        <v>53.502800000000001</v>
      </c>
      <c r="AJ606">
        <v>47.944879999999998</v>
      </c>
      <c r="AK606">
        <v>73.42</v>
      </c>
      <c r="AL606">
        <v>73.099999999999994</v>
      </c>
      <c r="AM606">
        <v>68.178479999999993</v>
      </c>
      <c r="AN606">
        <v>63.87959</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43.461170000000003</v>
      </c>
    </row>
    <row r="607" spans="1:50" x14ac:dyDescent="0.35">
      <c r="A607" s="75">
        <v>36312</v>
      </c>
      <c r="B607">
        <v>72.764960000000002</v>
      </c>
      <c r="C607">
        <v>73.030900000000003</v>
      </c>
      <c r="D607">
        <v>35.171880000000002</v>
      </c>
      <c r="E607">
        <v>73.400049999999993</v>
      </c>
      <c r="F607">
        <v>91.80977</v>
      </c>
      <c r="G607">
        <v>59.901809999999998</v>
      </c>
      <c r="H607">
        <v>69.042159999999996</v>
      </c>
      <c r="I607">
        <v>45.358139999999999</v>
      </c>
      <c r="J607">
        <v>27.604749999999999</v>
      </c>
      <c r="K607">
        <v>69.400000000000006</v>
      </c>
      <c r="L607">
        <v>78.831789999999998</v>
      </c>
      <c r="M607">
        <v>74.111750000000001</v>
      </c>
      <c r="N607">
        <v>74.16</v>
      </c>
      <c r="O607">
        <v>68.68571</v>
      </c>
      <c r="P607">
        <v>57.371859999999998</v>
      </c>
      <c r="R607">
        <v>76.915019999999998</v>
      </c>
      <c r="S607">
        <v>78.69</v>
      </c>
      <c r="T607">
        <v>58.203580000000002</v>
      </c>
      <c r="U607">
        <v>75.144810000000007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64.672579999999996</v>
      </c>
      <c r="AG607">
        <v>68.600999999999999</v>
      </c>
      <c r="AH607">
        <v>71.146829999999994</v>
      </c>
      <c r="AI607">
        <v>53.893329999999999</v>
      </c>
      <c r="AJ607">
        <v>48.259900000000002</v>
      </c>
      <c r="AK607">
        <v>73.14</v>
      </c>
      <c r="AL607">
        <v>73.2</v>
      </c>
      <c r="AM607">
        <v>68.234489999999994</v>
      </c>
      <c r="AN607">
        <v>64.021870000000007</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43.691119999999998</v>
      </c>
    </row>
    <row r="608" spans="1:50" x14ac:dyDescent="0.35">
      <c r="A608" s="75">
        <v>36342</v>
      </c>
      <c r="B608">
        <v>72.764960000000002</v>
      </c>
      <c r="C608">
        <v>73.139920000000004</v>
      </c>
      <c r="D608">
        <v>35.555160000000001</v>
      </c>
      <c r="E608">
        <v>73.558070000000001</v>
      </c>
      <c r="F608">
        <v>91.833020000000005</v>
      </c>
      <c r="G608">
        <v>59.943489999999997</v>
      </c>
      <c r="H608">
        <v>68.629260000000002</v>
      </c>
      <c r="I608">
        <v>45.49682</v>
      </c>
      <c r="J608">
        <v>27.673590000000001</v>
      </c>
      <c r="K608">
        <v>70</v>
      </c>
      <c r="L608">
        <v>79.20496</v>
      </c>
      <c r="M608">
        <v>73.972639999999998</v>
      </c>
      <c r="N608">
        <v>74.260000000000005</v>
      </c>
      <c r="O608">
        <v>68.983360000000005</v>
      </c>
      <c r="P608">
        <v>57.371859999999998</v>
      </c>
      <c r="R608">
        <v>76.782679999999999</v>
      </c>
      <c r="S608">
        <v>78.48</v>
      </c>
      <c r="T608">
        <v>58.371380000000002</v>
      </c>
      <c r="U608">
        <v>75.244460000000004</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64.452259999999995</v>
      </c>
      <c r="AG608">
        <v>68.242699999999999</v>
      </c>
      <c r="AH608">
        <v>70.260059999999996</v>
      </c>
      <c r="AI608">
        <v>53.391219999999997</v>
      </c>
      <c r="AJ608">
        <v>48.578850000000003</v>
      </c>
      <c r="AK608">
        <v>73.06</v>
      </c>
      <c r="AL608">
        <v>73</v>
      </c>
      <c r="AM608">
        <v>68.398830000000004</v>
      </c>
      <c r="AN608">
        <v>64.216610000000003</v>
      </c>
      <c r="AO608">
        <v>63.58005</v>
      </c>
      <c r="AP608">
        <v>71.47945</v>
      </c>
      <c r="AQ608">
        <v>17.244289999999999</v>
      </c>
      <c r="AR608">
        <v>66.578900000000004</v>
      </c>
      <c r="AS608">
        <v>55.071550000000002</v>
      </c>
      <c r="AT608">
        <v>57.82405</v>
      </c>
      <c r="AU608">
        <v>82.314800000000005</v>
      </c>
      <c r="AV608">
        <v>8.9943810000000006</v>
      </c>
      <c r="AW608">
        <v>70.332499999999996</v>
      </c>
      <c r="AX608">
        <v>43.737110000000001</v>
      </c>
    </row>
    <row r="609" spans="1:50" x14ac:dyDescent="0.35">
      <c r="A609" s="75">
        <v>36373</v>
      </c>
      <c r="B609">
        <v>72.824600000000004</v>
      </c>
      <c r="C609">
        <v>73.050719999999998</v>
      </c>
      <c r="D609">
        <v>35.75423</v>
      </c>
      <c r="E609">
        <v>73.716089999999994</v>
      </c>
      <c r="F609">
        <v>92.287509999999997</v>
      </c>
      <c r="G609">
        <v>60.061729999999997</v>
      </c>
      <c r="H609">
        <v>69.175640000000001</v>
      </c>
      <c r="I609">
        <v>45.725239999999999</v>
      </c>
      <c r="J609">
        <v>27.838159999999998</v>
      </c>
      <c r="K609">
        <v>70.099999999999994</v>
      </c>
      <c r="L609">
        <v>79.111670000000004</v>
      </c>
      <c r="M609">
        <v>74.355189999999993</v>
      </c>
      <c r="N609">
        <v>74.349999999999994</v>
      </c>
      <c r="O609">
        <v>69.277209999999997</v>
      </c>
      <c r="P609">
        <v>57.269329999999997</v>
      </c>
      <c r="R609">
        <v>76.834149999999994</v>
      </c>
      <c r="S609">
        <v>78.61</v>
      </c>
      <c r="T609">
        <v>58.593989999999998</v>
      </c>
      <c r="U609">
        <v>75.393510000000006</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65.111109999999996</v>
      </c>
      <c r="AG609">
        <v>68.109300000000005</v>
      </c>
      <c r="AH609">
        <v>71.40804</v>
      </c>
      <c r="AI609">
        <v>53.30753</v>
      </c>
      <c r="AJ609">
        <v>48.85228</v>
      </c>
      <c r="AK609">
        <v>73.459999999999994</v>
      </c>
      <c r="AL609">
        <v>72.7</v>
      </c>
      <c r="AM609">
        <v>68.638350000000003</v>
      </c>
      <c r="AN609">
        <v>64.494420000000005</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43.553150000000002</v>
      </c>
    </row>
    <row r="610" spans="1:50" x14ac:dyDescent="0.35">
      <c r="A610" s="75">
        <v>36404</v>
      </c>
      <c r="B610">
        <v>72.824600000000004</v>
      </c>
      <c r="C610">
        <v>73.209289999999996</v>
      </c>
      <c r="D610">
        <v>35.865139999999997</v>
      </c>
      <c r="E610">
        <v>73.953119999999998</v>
      </c>
      <c r="F610">
        <v>92.461830000000006</v>
      </c>
      <c r="G610">
        <v>60.197850000000003</v>
      </c>
      <c r="H610">
        <v>70.778469999999999</v>
      </c>
      <c r="I610">
        <v>45.880240000000001</v>
      </c>
      <c r="J610">
        <v>28.02102</v>
      </c>
      <c r="K610">
        <v>70</v>
      </c>
      <c r="L610">
        <v>78.925089999999997</v>
      </c>
      <c r="M610">
        <v>74.702969999999993</v>
      </c>
      <c r="N610">
        <v>74.430000000000007</v>
      </c>
      <c r="O610">
        <v>69.410520000000005</v>
      </c>
      <c r="P610">
        <v>57.371859999999998</v>
      </c>
      <c r="R610">
        <v>77.091459999999998</v>
      </c>
      <c r="S610">
        <v>78.739999999999995</v>
      </c>
      <c r="T610">
        <v>58.974170000000001</v>
      </c>
      <c r="U610">
        <v>75.635639999999995</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65.275570000000002</v>
      </c>
      <c r="AG610">
        <v>68.557400000000001</v>
      </c>
      <c r="AH610">
        <v>71.586770000000001</v>
      </c>
      <c r="AI610">
        <v>53.465600000000002</v>
      </c>
      <c r="AJ610">
        <v>49.32432</v>
      </c>
      <c r="AK610">
        <v>73.8</v>
      </c>
      <c r="AL610">
        <v>73.400000000000006</v>
      </c>
      <c r="AM610">
        <v>68.996120000000005</v>
      </c>
      <c r="AN610">
        <v>64.904899999999998</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43.737110000000001</v>
      </c>
    </row>
    <row r="611" spans="1:50" x14ac:dyDescent="0.35">
      <c r="A611" s="75">
        <v>36434</v>
      </c>
      <c r="B611">
        <v>73.122820000000004</v>
      </c>
      <c r="C611">
        <v>73.308400000000006</v>
      </c>
      <c r="D611">
        <v>36.292029999999997</v>
      </c>
      <c r="E611">
        <v>74.032129999999995</v>
      </c>
      <c r="F611">
        <v>92.460930000000005</v>
      </c>
      <c r="G611">
        <v>60.411369999999998</v>
      </c>
      <c r="H611">
        <v>70.778270000000006</v>
      </c>
      <c r="I611">
        <v>46.035240000000002</v>
      </c>
      <c r="J611">
        <v>28.432980000000001</v>
      </c>
      <c r="K611">
        <v>70.099999999999994</v>
      </c>
      <c r="L611">
        <v>78.831789999999998</v>
      </c>
      <c r="M611">
        <v>74.842089999999999</v>
      </c>
      <c r="N611">
        <v>74.47</v>
      </c>
      <c r="O611">
        <v>69.384399999999999</v>
      </c>
      <c r="P611">
        <v>57.525680000000001</v>
      </c>
      <c r="R611">
        <v>77.253200000000007</v>
      </c>
      <c r="S611">
        <v>78.790000000000006</v>
      </c>
      <c r="T611">
        <v>59.268329999999999</v>
      </c>
      <c r="U611">
        <v>75.742720000000006</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65.768919999999994</v>
      </c>
      <c r="AG611">
        <v>68.1053</v>
      </c>
      <c r="AH611">
        <v>71.792990000000003</v>
      </c>
      <c r="AI611">
        <v>53.818939999999998</v>
      </c>
      <c r="AJ611">
        <v>49.636719999999997</v>
      </c>
      <c r="AK611">
        <v>73.86</v>
      </c>
      <c r="AL611">
        <v>73.7</v>
      </c>
      <c r="AM611">
        <v>69.260869999999997</v>
      </c>
      <c r="AN611">
        <v>65.28931</v>
      </c>
      <c r="AO611">
        <v>65.549340000000001</v>
      </c>
      <c r="AP611">
        <v>71.54813</v>
      </c>
      <c r="AQ611">
        <v>17.94502</v>
      </c>
      <c r="AR611">
        <v>66.512379999999993</v>
      </c>
      <c r="AS611">
        <v>55.990099999999998</v>
      </c>
      <c r="AT611">
        <v>59.053829999999998</v>
      </c>
      <c r="AU611">
        <v>82.994560000000007</v>
      </c>
      <c r="AV611">
        <v>10.562189999999999</v>
      </c>
      <c r="AW611">
        <v>70.965369999999993</v>
      </c>
      <c r="AX611">
        <v>43.829099999999997</v>
      </c>
    </row>
    <row r="612" spans="1:50" x14ac:dyDescent="0.35">
      <c r="A612" s="75">
        <v>36465</v>
      </c>
      <c r="B612">
        <v>73.182460000000006</v>
      </c>
      <c r="C612">
        <v>73.46696</v>
      </c>
      <c r="D612">
        <v>36.636809999999997</v>
      </c>
      <c r="E612">
        <v>73.953119999999998</v>
      </c>
      <c r="F612">
        <v>92.372720000000001</v>
      </c>
      <c r="G612">
        <v>60.512599999999999</v>
      </c>
      <c r="H612">
        <v>70.079920000000001</v>
      </c>
      <c r="I612">
        <v>46.255510000000001</v>
      </c>
      <c r="J612">
        <v>28.69866</v>
      </c>
      <c r="K612">
        <v>70.3</v>
      </c>
      <c r="L612">
        <v>79.018379999999993</v>
      </c>
      <c r="M612">
        <v>74.981200000000001</v>
      </c>
      <c r="N612">
        <v>74.569999999999993</v>
      </c>
      <c r="O612">
        <v>69.495959999999997</v>
      </c>
      <c r="P612">
        <v>57.679490000000001</v>
      </c>
      <c r="R612">
        <v>77.245850000000004</v>
      </c>
      <c r="S612">
        <v>78.819999999999993</v>
      </c>
      <c r="T612">
        <v>59.396030000000003</v>
      </c>
      <c r="U612">
        <v>75.740809999999996</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65.658230000000003</v>
      </c>
      <c r="AG612">
        <v>68.128200000000007</v>
      </c>
      <c r="AH612">
        <v>71.854860000000002</v>
      </c>
      <c r="AI612">
        <v>54.246670000000002</v>
      </c>
      <c r="AJ612">
        <v>50.078139999999998</v>
      </c>
      <c r="AK612">
        <v>73.95</v>
      </c>
      <c r="AL612">
        <v>74</v>
      </c>
      <c r="AM612">
        <v>69.398290000000003</v>
      </c>
      <c r="AN612">
        <v>65.620189999999994</v>
      </c>
      <c r="AO612">
        <v>66.111999999999995</v>
      </c>
      <c r="AP612">
        <v>71.965109999999996</v>
      </c>
      <c r="AQ612">
        <v>18.16574</v>
      </c>
      <c r="AR612">
        <v>66.379360000000005</v>
      </c>
      <c r="AS612">
        <v>56.198869999999999</v>
      </c>
      <c r="AT612">
        <v>59.33258</v>
      </c>
      <c r="AU612">
        <v>82.767970000000005</v>
      </c>
      <c r="AV612">
        <v>11.006</v>
      </c>
      <c r="AW612">
        <v>71.007570000000001</v>
      </c>
      <c r="AX612">
        <v>43.921080000000003</v>
      </c>
    </row>
    <row r="613" spans="1:50" x14ac:dyDescent="0.35">
      <c r="A613" s="75">
        <v>36495</v>
      </c>
      <c r="B613">
        <v>73.679490000000001</v>
      </c>
      <c r="C613">
        <v>73.694900000000004</v>
      </c>
      <c r="D613">
        <v>36.856520000000003</v>
      </c>
      <c r="E613">
        <v>74.032129999999995</v>
      </c>
      <c r="F613">
        <v>92.684569999999994</v>
      </c>
      <c r="G613">
        <v>60.672530000000002</v>
      </c>
      <c r="H613">
        <v>70.011769999999999</v>
      </c>
      <c r="I613">
        <v>46.500239999999998</v>
      </c>
      <c r="J613">
        <v>29.07405</v>
      </c>
      <c r="K613">
        <v>70.400000000000006</v>
      </c>
      <c r="L613">
        <v>79.298259999999999</v>
      </c>
      <c r="M613">
        <v>75.050759999999997</v>
      </c>
      <c r="N613">
        <v>74.83</v>
      </c>
      <c r="O613">
        <v>69.809389999999993</v>
      </c>
      <c r="P613">
        <v>58.140929999999997</v>
      </c>
      <c r="Q613">
        <v>71.599999999999994</v>
      </c>
      <c r="R613">
        <v>77.547280000000001</v>
      </c>
      <c r="S613">
        <v>79.17</v>
      </c>
      <c r="T613">
        <v>59.543680000000002</v>
      </c>
      <c r="U613">
        <v>75.783029999999997</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65.548599999999993</v>
      </c>
      <c r="AG613">
        <v>68.324299999999994</v>
      </c>
      <c r="AH613">
        <v>72.129819999999995</v>
      </c>
      <c r="AI613">
        <v>54.330350000000003</v>
      </c>
      <c r="AJ613">
        <v>50.579810000000002</v>
      </c>
      <c r="AK613">
        <v>73.7</v>
      </c>
      <c r="AL613">
        <v>74.099999999999994</v>
      </c>
      <c r="AM613">
        <v>69.626540000000006</v>
      </c>
      <c r="AN613">
        <v>66.139309999999995</v>
      </c>
      <c r="AO613">
        <v>66.67465</v>
      </c>
      <c r="AP613">
        <v>72.144239999999996</v>
      </c>
      <c r="AQ613">
        <v>18.394629999999999</v>
      </c>
      <c r="AR613">
        <v>66.578900000000004</v>
      </c>
      <c r="AS613">
        <v>56.449379999999998</v>
      </c>
      <c r="AT613">
        <v>59.824489999999997</v>
      </c>
      <c r="AU613">
        <v>82.956270000000004</v>
      </c>
      <c r="AV613">
        <v>11.66056</v>
      </c>
      <c r="AW613">
        <v>71.007570000000001</v>
      </c>
      <c r="AX613">
        <v>44.059049999999999</v>
      </c>
    </row>
    <row r="614" spans="1:50" x14ac:dyDescent="0.35">
      <c r="A614" s="75">
        <v>36526</v>
      </c>
      <c r="B614">
        <v>73.460800000000006</v>
      </c>
      <c r="C614">
        <v>73.833650000000006</v>
      </c>
      <c r="D614">
        <v>37.085050000000003</v>
      </c>
      <c r="E614">
        <v>73.874110000000002</v>
      </c>
      <c r="F614">
        <v>92.799040000000005</v>
      </c>
      <c r="G614">
        <v>60.778869999999998</v>
      </c>
      <c r="H614">
        <v>70.936490000000006</v>
      </c>
      <c r="I614">
        <v>47.103929999999998</v>
      </c>
      <c r="J614">
        <v>29.591419999999999</v>
      </c>
      <c r="K614">
        <v>71.599999999999994</v>
      </c>
      <c r="L614">
        <v>79.484840000000005</v>
      </c>
      <c r="M614">
        <v>74.946420000000003</v>
      </c>
      <c r="N614">
        <v>74.86</v>
      </c>
      <c r="O614">
        <v>70.039019999999994</v>
      </c>
      <c r="P614">
        <v>58.448549999999997</v>
      </c>
      <c r="Q614">
        <v>71.8</v>
      </c>
      <c r="R614">
        <v>77.561980000000005</v>
      </c>
      <c r="S614">
        <v>79.17</v>
      </c>
      <c r="T614">
        <v>59.799840000000003</v>
      </c>
      <c r="U614">
        <v>75.87585</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65.839550000000003</v>
      </c>
      <c r="AG614">
        <v>69.346199999999996</v>
      </c>
      <c r="AH614">
        <v>71.511150000000001</v>
      </c>
      <c r="AI614">
        <v>54.916150000000002</v>
      </c>
      <c r="AJ614">
        <v>51.258969999999998</v>
      </c>
      <c r="AK614">
        <v>73.55</v>
      </c>
      <c r="AL614">
        <v>74.5</v>
      </c>
      <c r="AM614">
        <v>69.849230000000006</v>
      </c>
      <c r="AN614">
        <v>66.356710000000007</v>
      </c>
      <c r="AO614">
        <v>67.870289999999997</v>
      </c>
      <c r="AP614">
        <v>72.002920000000003</v>
      </c>
      <c r="AQ614">
        <v>18.823229999999999</v>
      </c>
      <c r="AR614">
        <v>66.645409999999998</v>
      </c>
      <c r="AS614">
        <v>57.827219999999997</v>
      </c>
      <c r="AT614">
        <v>60.3</v>
      </c>
      <c r="AU614">
        <v>82.279690000000002</v>
      </c>
      <c r="AV614">
        <v>12.22683</v>
      </c>
      <c r="AW614">
        <v>71.218519999999998</v>
      </c>
      <c r="AX614">
        <v>44.564950000000003</v>
      </c>
    </row>
    <row r="615" spans="1:50" x14ac:dyDescent="0.35">
      <c r="A615" s="75">
        <v>36557</v>
      </c>
      <c r="B615">
        <v>73.957819999999998</v>
      </c>
      <c r="C615">
        <v>74.111149999999995</v>
      </c>
      <c r="D615">
        <v>37.133310000000002</v>
      </c>
      <c r="E615">
        <v>74.348169999999996</v>
      </c>
      <c r="F615">
        <v>93.147779999999997</v>
      </c>
      <c r="G615">
        <v>61.117449999999998</v>
      </c>
      <c r="H615">
        <v>71.859499999999997</v>
      </c>
      <c r="I615">
        <v>48.188940000000002</v>
      </c>
      <c r="J615">
        <v>30.020600000000002</v>
      </c>
      <c r="K615">
        <v>71.8</v>
      </c>
      <c r="L615">
        <v>79.578130000000002</v>
      </c>
      <c r="M615">
        <v>75.403880000000001</v>
      </c>
      <c r="N615">
        <v>75.099999999999994</v>
      </c>
      <c r="O615">
        <v>70.138050000000007</v>
      </c>
      <c r="P615">
        <v>58.49982</v>
      </c>
      <c r="Q615">
        <v>72.099999999999994</v>
      </c>
      <c r="R615">
        <v>78.139629999999997</v>
      </c>
      <c r="S615">
        <v>79.27</v>
      </c>
      <c r="T615">
        <v>60.080849999999998</v>
      </c>
      <c r="U615">
        <v>76.150120000000001</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66.040890000000005</v>
      </c>
      <c r="AG615">
        <v>69.348600000000005</v>
      </c>
      <c r="AH615">
        <v>72.446029999999993</v>
      </c>
      <c r="AI615">
        <v>55.195099999999996</v>
      </c>
      <c r="AJ615">
        <v>51.713650000000001</v>
      </c>
      <c r="AK615">
        <v>74</v>
      </c>
      <c r="AL615">
        <v>74.8</v>
      </c>
      <c r="AM615">
        <v>70.180570000000003</v>
      </c>
      <c r="AN615">
        <v>66.678470000000004</v>
      </c>
      <c r="AO615">
        <v>68.432950000000005</v>
      </c>
      <c r="AP615">
        <v>71.838719999999995</v>
      </c>
      <c r="AQ615">
        <v>19.018989999999999</v>
      </c>
      <c r="AR615">
        <v>66.179820000000007</v>
      </c>
      <c r="AS615">
        <v>59.789589999999997</v>
      </c>
      <c r="AT615">
        <v>60.89</v>
      </c>
      <c r="AU615">
        <v>82.669039999999995</v>
      </c>
      <c r="AV615">
        <v>12.67966</v>
      </c>
      <c r="AW615">
        <v>71.640429999999995</v>
      </c>
      <c r="AX615">
        <v>44.42698</v>
      </c>
    </row>
    <row r="616" spans="1:50" x14ac:dyDescent="0.35">
      <c r="A616" s="75">
        <v>36586</v>
      </c>
      <c r="B616">
        <v>74.176519999999996</v>
      </c>
      <c r="C616">
        <v>74.39855</v>
      </c>
      <c r="D616">
        <v>37.214979999999997</v>
      </c>
      <c r="E616">
        <v>74.901240000000001</v>
      </c>
      <c r="F616">
        <v>93.116</v>
      </c>
      <c r="G616">
        <v>61.562359999999998</v>
      </c>
      <c r="H616">
        <v>70.861459999999994</v>
      </c>
      <c r="I616">
        <v>49.012889999999999</v>
      </c>
      <c r="J616">
        <v>30.223890000000001</v>
      </c>
      <c r="K616">
        <v>71.8</v>
      </c>
      <c r="L616">
        <v>79.578130000000002</v>
      </c>
      <c r="M616">
        <v>75.937579999999997</v>
      </c>
      <c r="N616">
        <v>75.37</v>
      </c>
      <c r="O616">
        <v>70.416110000000003</v>
      </c>
      <c r="P616">
        <v>58.858719999999998</v>
      </c>
      <c r="Q616">
        <v>72.42</v>
      </c>
      <c r="R616">
        <v>78.606480000000005</v>
      </c>
      <c r="S616">
        <v>79.64</v>
      </c>
      <c r="T616">
        <v>60.374499999999998</v>
      </c>
      <c r="U616">
        <v>76.574650000000005</v>
      </c>
      <c r="V616">
        <v>73</v>
      </c>
      <c r="W616">
        <v>71.493250000000003</v>
      </c>
      <c r="X616">
        <v>50.703180000000003</v>
      </c>
      <c r="Y616">
        <v>32.32873</v>
      </c>
      <c r="Z616">
        <v>35.985790000000001</v>
      </c>
      <c r="AA616">
        <v>73.36157</v>
      </c>
      <c r="AB616">
        <v>45.866199999999999</v>
      </c>
      <c r="AC616">
        <v>75</v>
      </c>
      <c r="AD616">
        <v>74.525069999999999</v>
      </c>
      <c r="AE616">
        <v>99.058279999999996</v>
      </c>
      <c r="AF616">
        <v>66.372960000000006</v>
      </c>
      <c r="AG616">
        <v>69.200599999999994</v>
      </c>
      <c r="AH616">
        <v>72.631630000000001</v>
      </c>
      <c r="AI616">
        <v>55.074219999999997</v>
      </c>
      <c r="AJ616">
        <v>52.000349999999997</v>
      </c>
      <c r="AK616">
        <v>74.66</v>
      </c>
      <c r="AL616">
        <v>74.900000000000006</v>
      </c>
      <c r="AM616">
        <v>70.608249999999998</v>
      </c>
      <c r="AN616">
        <v>67.012969999999996</v>
      </c>
      <c r="AO616">
        <v>69.065939999999998</v>
      </c>
      <c r="AP616">
        <v>71.947199999999995</v>
      </c>
      <c r="AQ616">
        <v>19.140709999999999</v>
      </c>
      <c r="AR616">
        <v>65.91377</v>
      </c>
      <c r="AS616">
        <v>59.998339999999999</v>
      </c>
      <c r="AT616">
        <v>61.43</v>
      </c>
      <c r="AU616">
        <v>83.064769999999996</v>
      </c>
      <c r="AV616">
        <v>13.049899999999999</v>
      </c>
      <c r="AW616">
        <v>72.231099999999998</v>
      </c>
      <c r="AX616">
        <v>44.886879999999998</v>
      </c>
    </row>
    <row r="617" spans="1:50" x14ac:dyDescent="0.35">
      <c r="A617" s="75">
        <v>36617</v>
      </c>
      <c r="B617">
        <v>74.116870000000006</v>
      </c>
      <c r="C617">
        <v>74.537300000000002</v>
      </c>
      <c r="D617">
        <v>37.371360000000003</v>
      </c>
      <c r="E617">
        <v>74.664209999999997</v>
      </c>
      <c r="F617">
        <v>93.197400000000002</v>
      </c>
      <c r="G617">
        <v>61.858409999999999</v>
      </c>
      <c r="H617">
        <v>70.444100000000006</v>
      </c>
      <c r="I617">
        <v>49.502369999999999</v>
      </c>
      <c r="J617">
        <v>30.118480000000002</v>
      </c>
      <c r="K617">
        <v>71.7</v>
      </c>
      <c r="L617">
        <v>79.578130000000002</v>
      </c>
      <c r="M617">
        <v>76.013819999999996</v>
      </c>
      <c r="N617">
        <v>75.45</v>
      </c>
      <c r="O617">
        <v>70.708870000000005</v>
      </c>
      <c r="P617">
        <v>58.961260000000003</v>
      </c>
      <c r="Q617">
        <v>72.59</v>
      </c>
      <c r="R617">
        <v>78.796390000000002</v>
      </c>
      <c r="S617">
        <v>79.64</v>
      </c>
      <c r="T617">
        <v>60.524120000000003</v>
      </c>
      <c r="U617">
        <v>76.636250000000004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66.106250000000003</v>
      </c>
      <c r="AG617">
        <v>69.183700000000002</v>
      </c>
      <c r="AH617">
        <v>72.906589999999994</v>
      </c>
      <c r="AI617">
        <v>55.269489999999998</v>
      </c>
      <c r="AJ617">
        <v>52.296210000000002</v>
      </c>
      <c r="AK617">
        <v>74.78</v>
      </c>
      <c r="AL617">
        <v>75.099999999999994</v>
      </c>
      <c r="AM617">
        <v>70.744029999999995</v>
      </c>
      <c r="AN617">
        <v>67.220510000000004</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45.484760000000001</v>
      </c>
    </row>
    <row r="618" spans="1:50" x14ac:dyDescent="0.35">
      <c r="A618" s="75">
        <v>36647</v>
      </c>
      <c r="B618">
        <v>74.176519999999996</v>
      </c>
      <c r="C618">
        <v>74.755330000000001</v>
      </c>
      <c r="D618">
        <v>37.375070000000001</v>
      </c>
      <c r="E618">
        <v>74.980249999999998</v>
      </c>
      <c r="F618">
        <v>93.151589999999999</v>
      </c>
      <c r="G618">
        <v>61.989409999999999</v>
      </c>
      <c r="H618">
        <v>70.022959999999998</v>
      </c>
      <c r="I618">
        <v>49.75526</v>
      </c>
      <c r="J618">
        <v>30.094819999999999</v>
      </c>
      <c r="K618">
        <v>71.8</v>
      </c>
      <c r="L618">
        <v>79.484840000000005</v>
      </c>
      <c r="M618">
        <v>76.318790000000007</v>
      </c>
      <c r="N618">
        <v>75.540000000000006</v>
      </c>
      <c r="O618">
        <v>70.826409999999996</v>
      </c>
      <c r="P618">
        <v>59.012529999999998</v>
      </c>
      <c r="Q618">
        <v>72.760000000000005</v>
      </c>
      <c r="R618">
        <v>79.033779999999993</v>
      </c>
      <c r="S618">
        <v>79.8</v>
      </c>
      <c r="T618">
        <v>60.656469999999999</v>
      </c>
      <c r="U618">
        <v>76.740520000000004</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65.773139999999998</v>
      </c>
      <c r="AG618">
        <v>68.949399999999997</v>
      </c>
      <c r="AH618">
        <v>72.995959999999997</v>
      </c>
      <c r="AI618">
        <v>55.148609999999998</v>
      </c>
      <c r="AJ618">
        <v>52.491709999999998</v>
      </c>
      <c r="AK618">
        <v>75.02</v>
      </c>
      <c r="AL618">
        <v>75.2</v>
      </c>
      <c r="AM618">
        <v>70.887010000000004</v>
      </c>
      <c r="AN618">
        <v>67.43826</v>
      </c>
      <c r="AO618">
        <v>69.839590000000001</v>
      </c>
      <c r="AP618">
        <v>73.196160000000006</v>
      </c>
      <c r="AQ618">
        <v>19.649010000000001</v>
      </c>
      <c r="AR618">
        <v>65.714240000000004</v>
      </c>
      <c r="AS618">
        <v>60.16536</v>
      </c>
      <c r="AT618">
        <v>62.04</v>
      </c>
      <c r="AU618">
        <v>83.387100000000004</v>
      </c>
      <c r="AV618">
        <v>13.6494</v>
      </c>
      <c r="AW618">
        <v>72.357680000000002</v>
      </c>
      <c r="AX618">
        <v>45.66872</v>
      </c>
    </row>
    <row r="619" spans="1:50" x14ac:dyDescent="0.35">
      <c r="A619" s="75">
        <v>36678</v>
      </c>
      <c r="B619">
        <v>74.753069999999994</v>
      </c>
      <c r="C619">
        <v>75.032830000000004</v>
      </c>
      <c r="D619">
        <v>37.46114</v>
      </c>
      <c r="E619">
        <v>75.454310000000007</v>
      </c>
      <c r="F619">
        <v>93.498320000000007</v>
      </c>
      <c r="G619">
        <v>62.131480000000003</v>
      </c>
      <c r="H619">
        <v>69.387370000000004</v>
      </c>
      <c r="I619">
        <v>49.747100000000003</v>
      </c>
      <c r="J619">
        <v>30.502479999999998</v>
      </c>
      <c r="K619">
        <v>72.3</v>
      </c>
      <c r="L619">
        <v>79.858009999999993</v>
      </c>
      <c r="M619">
        <v>76.547520000000006</v>
      </c>
      <c r="N619">
        <v>75.8</v>
      </c>
      <c r="O619">
        <v>71.040800000000004</v>
      </c>
      <c r="P619">
        <v>59.217610000000001</v>
      </c>
      <c r="Q619">
        <v>73.06</v>
      </c>
      <c r="R619">
        <v>79.223690000000005</v>
      </c>
      <c r="S619">
        <v>80</v>
      </c>
      <c r="T619">
        <v>60.879840000000002</v>
      </c>
      <c r="U619">
        <v>77.022400000000005</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66.106250000000003</v>
      </c>
      <c r="AG619">
        <v>69.464200000000005</v>
      </c>
      <c r="AH619">
        <v>73.470269999999999</v>
      </c>
      <c r="AI619">
        <v>55.195099999999996</v>
      </c>
      <c r="AJ619">
        <v>52.802630000000001</v>
      </c>
      <c r="AK619">
        <v>74.94</v>
      </c>
      <c r="AL619">
        <v>75.599999999999994</v>
      </c>
      <c r="AM619">
        <v>71.149699999999996</v>
      </c>
      <c r="AN619">
        <v>67.661730000000006</v>
      </c>
      <c r="AO619">
        <v>70.331909999999993</v>
      </c>
      <c r="AP619">
        <v>73.562389999999994</v>
      </c>
      <c r="AQ619">
        <v>20.15006</v>
      </c>
      <c r="AR619">
        <v>65.780749999999998</v>
      </c>
      <c r="AS619">
        <v>60.123600000000003</v>
      </c>
      <c r="AT619">
        <v>62.44</v>
      </c>
      <c r="AU619">
        <v>83.371139999999997</v>
      </c>
      <c r="AV619">
        <v>13.741960000000001</v>
      </c>
      <c r="AW619">
        <v>72.737399999999994</v>
      </c>
      <c r="AX619">
        <v>45.944670000000002</v>
      </c>
    </row>
    <row r="620" spans="1:50" x14ac:dyDescent="0.35">
      <c r="A620" s="75">
        <v>36708</v>
      </c>
      <c r="B620">
        <v>74.812709999999996</v>
      </c>
      <c r="C620">
        <v>75.181489999999997</v>
      </c>
      <c r="D620">
        <v>38.06438</v>
      </c>
      <c r="E620">
        <v>75.691339999999997</v>
      </c>
      <c r="F620">
        <v>93.567589999999996</v>
      </c>
      <c r="G620">
        <v>62.213999999999999</v>
      </c>
      <c r="H620">
        <v>68.972409999999996</v>
      </c>
      <c r="I620">
        <v>49.730789999999999</v>
      </c>
      <c r="J620">
        <v>30.903680000000001</v>
      </c>
      <c r="K620">
        <v>72.7</v>
      </c>
      <c r="L620">
        <v>80.231179999999995</v>
      </c>
      <c r="M620">
        <v>76.242549999999994</v>
      </c>
      <c r="N620">
        <v>75.87</v>
      </c>
      <c r="O620">
        <v>71.472319999999996</v>
      </c>
      <c r="P620">
        <v>59.730319999999999</v>
      </c>
      <c r="Q620">
        <v>73.239999999999995</v>
      </c>
      <c r="R620">
        <v>78.970470000000006</v>
      </c>
      <c r="S620">
        <v>79.87</v>
      </c>
      <c r="T620">
        <v>61.089889999999997</v>
      </c>
      <c r="U620">
        <v>77.111850000000004</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66.372960000000006</v>
      </c>
      <c r="AG620">
        <v>69.186199999999999</v>
      </c>
      <c r="AH620">
        <v>72.679749999999999</v>
      </c>
      <c r="AI620">
        <v>54.916150000000002</v>
      </c>
      <c r="AJ620">
        <v>53.008609999999997</v>
      </c>
      <c r="AK620">
        <v>74.75</v>
      </c>
      <c r="AL620">
        <v>75.3</v>
      </c>
      <c r="AM620">
        <v>71.328460000000007</v>
      </c>
      <c r="AN620">
        <v>67.807069999999996</v>
      </c>
      <c r="AO620">
        <v>70.82423</v>
      </c>
      <c r="AP620">
        <v>73.804209999999998</v>
      </c>
      <c r="AQ620">
        <v>20.510739999999998</v>
      </c>
      <c r="AR620">
        <v>65.581209999999999</v>
      </c>
      <c r="AS620">
        <v>60.123600000000003</v>
      </c>
      <c r="AT620">
        <v>62.96</v>
      </c>
      <c r="AU620">
        <v>82.975409999999997</v>
      </c>
      <c r="AV620">
        <v>14.05049</v>
      </c>
      <c r="AW620">
        <v>72.906170000000003</v>
      </c>
      <c r="AX620">
        <v>46.358580000000003</v>
      </c>
    </row>
    <row r="621" spans="1:50" x14ac:dyDescent="0.35">
      <c r="A621" s="75">
        <v>36739</v>
      </c>
      <c r="B621">
        <v>74.812709999999996</v>
      </c>
      <c r="C621">
        <v>75.151759999999996</v>
      </c>
      <c r="D621">
        <v>38.56297</v>
      </c>
      <c r="E621">
        <v>75.61233</v>
      </c>
      <c r="F621">
        <v>93.325509999999994</v>
      </c>
      <c r="G621">
        <v>62.374780000000001</v>
      </c>
      <c r="H621">
        <v>69.383170000000007</v>
      </c>
      <c r="I621">
        <v>49.88579</v>
      </c>
      <c r="J621">
        <v>31.108049999999999</v>
      </c>
      <c r="K621">
        <v>72.8</v>
      </c>
      <c r="L621">
        <v>80.044589999999999</v>
      </c>
      <c r="M621">
        <v>76.166309999999996</v>
      </c>
      <c r="N621">
        <v>75.930000000000007</v>
      </c>
      <c r="O621">
        <v>71.772149999999996</v>
      </c>
      <c r="P621">
        <v>59.832859999999997</v>
      </c>
      <c r="Q621">
        <v>73.34</v>
      </c>
      <c r="R621">
        <v>79.286990000000003</v>
      </c>
      <c r="S621">
        <v>80.02</v>
      </c>
      <c r="T621">
        <v>61.213090000000001</v>
      </c>
      <c r="U621">
        <v>77.134569999999997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66.705020000000005</v>
      </c>
      <c r="AG621">
        <v>68.761799999999994</v>
      </c>
      <c r="AH621">
        <v>73.648989999999998</v>
      </c>
      <c r="AI621">
        <v>54.6</v>
      </c>
      <c r="AJ621">
        <v>53.299880000000002</v>
      </c>
      <c r="AK621">
        <v>75.08</v>
      </c>
      <c r="AL621">
        <v>75.3</v>
      </c>
      <c r="AM621">
        <v>71.420109999999994</v>
      </c>
      <c r="AN621">
        <v>67.924449999999993</v>
      </c>
      <c r="AO621">
        <v>70.613240000000005</v>
      </c>
      <c r="AP621">
        <v>73.833079999999995</v>
      </c>
      <c r="AQ621">
        <v>20.711749999999999</v>
      </c>
      <c r="AR621">
        <v>65.647729999999996</v>
      </c>
      <c r="AS621">
        <v>60.16536</v>
      </c>
      <c r="AT621">
        <v>63.13</v>
      </c>
      <c r="AU621">
        <v>83.032859999999999</v>
      </c>
      <c r="AV621">
        <v>14.355689999999999</v>
      </c>
      <c r="AW621">
        <v>72.906170000000003</v>
      </c>
      <c r="AX621">
        <v>46.542549999999999</v>
      </c>
    </row>
    <row r="622" spans="1:50" x14ac:dyDescent="0.35">
      <c r="A622" s="75">
        <v>36770</v>
      </c>
      <c r="B622">
        <v>75.031409999999994</v>
      </c>
      <c r="C622">
        <v>75.677019999999999</v>
      </c>
      <c r="D622">
        <v>38.651600000000002</v>
      </c>
      <c r="E622">
        <v>75.928370000000001</v>
      </c>
      <c r="F622">
        <v>93.793229999999994</v>
      </c>
      <c r="G622">
        <v>62.754190000000001</v>
      </c>
      <c r="H622">
        <v>70.778469999999999</v>
      </c>
      <c r="I622">
        <v>50.097900000000003</v>
      </c>
      <c r="J622">
        <v>31.226369999999999</v>
      </c>
      <c r="K622">
        <v>72.8</v>
      </c>
      <c r="L622">
        <v>80.231179999999995</v>
      </c>
      <c r="M622">
        <v>76.7</v>
      </c>
      <c r="N622">
        <v>76.260000000000005</v>
      </c>
      <c r="O622">
        <v>71.957700000000003</v>
      </c>
      <c r="P622">
        <v>60.089210000000001</v>
      </c>
      <c r="Q622">
        <v>73.760000000000005</v>
      </c>
      <c r="R622">
        <v>79.959580000000003</v>
      </c>
      <c r="S622">
        <v>80.430000000000007</v>
      </c>
      <c r="T622">
        <v>61.586300000000001</v>
      </c>
      <c r="U622">
        <v>77.440169999999995</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67.570499999999996</v>
      </c>
      <c r="AG622">
        <v>68.787599999999998</v>
      </c>
      <c r="AH622">
        <v>74.033940000000001</v>
      </c>
      <c r="AI622">
        <v>54.646500000000003</v>
      </c>
      <c r="AJ622">
        <v>53.689239999999998</v>
      </c>
      <c r="AK622">
        <v>75.989999999999995</v>
      </c>
      <c r="AL622">
        <v>76</v>
      </c>
      <c r="AM622">
        <v>71.793260000000004</v>
      </c>
      <c r="AN622">
        <v>68.368350000000007</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46.772500000000001</v>
      </c>
    </row>
    <row r="623" spans="1:50" x14ac:dyDescent="0.35">
      <c r="A623" s="75">
        <v>36800</v>
      </c>
      <c r="B623">
        <v>75.170580000000001</v>
      </c>
      <c r="C623">
        <v>75.488720000000001</v>
      </c>
      <c r="D623">
        <v>38.705660000000002</v>
      </c>
      <c r="E623">
        <v>76.086389999999994</v>
      </c>
      <c r="F623">
        <v>93.692689999999999</v>
      </c>
      <c r="G623">
        <v>63.133600000000001</v>
      </c>
      <c r="H623">
        <v>70.778270000000006</v>
      </c>
      <c r="I623">
        <v>50.171320000000001</v>
      </c>
      <c r="J623">
        <v>31.423210000000001</v>
      </c>
      <c r="K623">
        <v>73</v>
      </c>
      <c r="L623">
        <v>80.137889999999999</v>
      </c>
      <c r="M623">
        <v>76.852490000000003</v>
      </c>
      <c r="N623">
        <v>76.3</v>
      </c>
      <c r="O623">
        <v>72.141620000000003</v>
      </c>
      <c r="P623">
        <v>60.653190000000002</v>
      </c>
      <c r="Q623">
        <v>73.91</v>
      </c>
      <c r="R623">
        <v>80.030799999999999</v>
      </c>
      <c r="S623">
        <v>80.33</v>
      </c>
      <c r="T623">
        <v>61.800109999999997</v>
      </c>
      <c r="U623">
        <v>77.521029999999996</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67.504090000000005</v>
      </c>
      <c r="AG623">
        <v>68.900999999999996</v>
      </c>
      <c r="AH623">
        <v>74.267660000000006</v>
      </c>
      <c r="AI623">
        <v>54.878959999999999</v>
      </c>
      <c r="AJ623">
        <v>54.05894</v>
      </c>
      <c r="AK623">
        <v>76.12</v>
      </c>
      <c r="AL623">
        <v>76</v>
      </c>
      <c r="AM623">
        <v>71.961939999999998</v>
      </c>
      <c r="AN623">
        <v>68.585160000000002</v>
      </c>
      <c r="AO623">
        <v>71.87921</v>
      </c>
      <c r="AP623">
        <v>74.066950000000006</v>
      </c>
      <c r="AQ623">
        <v>21.42793</v>
      </c>
      <c r="AR623">
        <v>65.514700000000005</v>
      </c>
      <c r="AS623">
        <v>60.791649999999997</v>
      </c>
      <c r="AT623">
        <v>64.38</v>
      </c>
      <c r="AU623">
        <v>83.80198</v>
      </c>
      <c r="AV623">
        <v>15.255660000000001</v>
      </c>
      <c r="AW623">
        <v>73.412450000000007</v>
      </c>
      <c r="AX623">
        <v>46.910469999999997</v>
      </c>
    </row>
    <row r="624" spans="1:50" x14ac:dyDescent="0.35">
      <c r="A624" s="75">
        <v>36831</v>
      </c>
      <c r="B624">
        <v>75.448909999999998</v>
      </c>
      <c r="C624">
        <v>75.73648</v>
      </c>
      <c r="D624">
        <v>38.829549999999998</v>
      </c>
      <c r="E624">
        <v>76.323409999999996</v>
      </c>
      <c r="F624">
        <v>94.139359999999996</v>
      </c>
      <c r="G624">
        <v>63.34713</v>
      </c>
      <c r="H624">
        <v>70.990949999999998</v>
      </c>
      <c r="I624">
        <v>50.34263</v>
      </c>
      <c r="J624">
        <v>31.683509999999998</v>
      </c>
      <c r="K624">
        <v>73.099999999999994</v>
      </c>
      <c r="L624">
        <v>80.231179999999995</v>
      </c>
      <c r="M624">
        <v>76.928730000000002</v>
      </c>
      <c r="N624">
        <v>76.459999999999994</v>
      </c>
      <c r="O624">
        <v>72.321200000000005</v>
      </c>
      <c r="P624">
        <v>60.960810000000002</v>
      </c>
      <c r="Q624">
        <v>74.13</v>
      </c>
      <c r="R624">
        <v>80.007059999999996</v>
      </c>
      <c r="S624">
        <v>80.510000000000005</v>
      </c>
      <c r="T624">
        <v>61.970700000000001</v>
      </c>
      <c r="U624">
        <v>77.573509999999999</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67.104560000000006</v>
      </c>
      <c r="AG624">
        <v>69.157700000000006</v>
      </c>
      <c r="AH624">
        <v>74.480760000000004</v>
      </c>
      <c r="AI624">
        <v>55.111409999999999</v>
      </c>
      <c r="AJ624">
        <v>54.521160000000002</v>
      </c>
      <c r="AK624">
        <v>76.11</v>
      </c>
      <c r="AL624">
        <v>76.400000000000006</v>
      </c>
      <c r="AM624">
        <v>72.113740000000007</v>
      </c>
      <c r="AN624">
        <v>68.911469999999994</v>
      </c>
      <c r="AO624">
        <v>72.160550000000001</v>
      </c>
      <c r="AP624">
        <v>74.652119999999996</v>
      </c>
      <c r="AQ624">
        <v>21.753640000000001</v>
      </c>
      <c r="AR624">
        <v>65.381680000000003</v>
      </c>
      <c r="AS624">
        <v>61.042160000000003</v>
      </c>
      <c r="AT624">
        <v>65.11</v>
      </c>
      <c r="AU624">
        <v>83.849850000000004</v>
      </c>
      <c r="AV624">
        <v>15.82193</v>
      </c>
      <c r="AW624">
        <v>73.454639999999998</v>
      </c>
      <c r="AX624">
        <v>47.002450000000003</v>
      </c>
    </row>
    <row r="625" spans="1:50" x14ac:dyDescent="0.35">
      <c r="A625" s="75">
        <v>36861</v>
      </c>
      <c r="B625">
        <v>75.588080000000005</v>
      </c>
      <c r="C625">
        <v>75.538269999999997</v>
      </c>
      <c r="D625">
        <v>39.058549999999997</v>
      </c>
      <c r="E625">
        <v>76.402420000000006</v>
      </c>
      <c r="F625">
        <v>94.068690000000004</v>
      </c>
      <c r="G625">
        <v>63.418579999999999</v>
      </c>
      <c r="H625">
        <v>71.061940000000007</v>
      </c>
      <c r="I625">
        <v>50.571060000000003</v>
      </c>
      <c r="J625">
        <v>32.053519999999999</v>
      </c>
      <c r="K625">
        <v>73.2</v>
      </c>
      <c r="L625">
        <v>80.884219999999999</v>
      </c>
      <c r="M625">
        <v>76.852490000000003</v>
      </c>
      <c r="N625">
        <v>76.75</v>
      </c>
      <c r="O625">
        <v>72.5715</v>
      </c>
      <c r="P625">
        <v>61.06335</v>
      </c>
      <c r="Q625">
        <v>74.44</v>
      </c>
      <c r="R625">
        <v>79.888369999999995</v>
      </c>
      <c r="S625">
        <v>80.47</v>
      </c>
      <c r="T625">
        <v>62.112909999999999</v>
      </c>
      <c r="U625">
        <v>77.628919999999994</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67.37021</v>
      </c>
      <c r="AG625">
        <v>69.3108</v>
      </c>
      <c r="AH625">
        <v>74.631990000000002</v>
      </c>
      <c r="AI625">
        <v>55.30668</v>
      </c>
      <c r="AJ625">
        <v>55.111409999999999</v>
      </c>
      <c r="AK625">
        <v>75.66</v>
      </c>
      <c r="AL625">
        <v>76.3</v>
      </c>
      <c r="AM625">
        <v>72.247439999999997</v>
      </c>
      <c r="AN625">
        <v>69.154970000000006</v>
      </c>
      <c r="AO625">
        <v>72.301209999999998</v>
      </c>
      <c r="AP625">
        <v>74.929779999999994</v>
      </c>
      <c r="AQ625">
        <v>22.110399999999998</v>
      </c>
      <c r="AR625">
        <v>65.381680000000003</v>
      </c>
      <c r="AS625">
        <v>61.16742</v>
      </c>
      <c r="AT625">
        <v>65.14</v>
      </c>
      <c r="AU625">
        <v>83.766869999999997</v>
      </c>
      <c r="AV625">
        <v>16.2121</v>
      </c>
      <c r="AW625">
        <v>73.412450000000007</v>
      </c>
      <c r="AX625">
        <v>47.140419999999999</v>
      </c>
    </row>
    <row r="626" spans="1:50" x14ac:dyDescent="0.35">
      <c r="A626" s="75">
        <v>36892</v>
      </c>
      <c r="B626">
        <v>75.670259999999999</v>
      </c>
      <c r="C626">
        <v>75.458979999999997</v>
      </c>
      <c r="D626">
        <v>39.281280000000002</v>
      </c>
      <c r="E626">
        <v>76.086389999999994</v>
      </c>
      <c r="F626">
        <v>94.001230000000007</v>
      </c>
      <c r="G626">
        <v>63.632109999999997</v>
      </c>
      <c r="H626">
        <v>71.787719999999993</v>
      </c>
      <c r="I626">
        <v>51.101320000000001</v>
      </c>
      <c r="J626">
        <v>32.498829999999998</v>
      </c>
      <c r="K626">
        <v>74.599999999999994</v>
      </c>
      <c r="L626">
        <v>80.604339999999993</v>
      </c>
      <c r="M626">
        <v>76.7</v>
      </c>
      <c r="N626">
        <v>76.430000000000007</v>
      </c>
      <c r="O626">
        <v>72.597080000000005</v>
      </c>
      <c r="P626">
        <v>61.832410000000003</v>
      </c>
      <c r="Q626">
        <v>74.31</v>
      </c>
      <c r="R626">
        <v>79.832980000000006</v>
      </c>
      <c r="S626">
        <v>80.13</v>
      </c>
      <c r="T626">
        <v>62.333840000000002</v>
      </c>
      <c r="U626">
        <v>77.813289999999995</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68.103920000000002</v>
      </c>
      <c r="AG626">
        <v>69.143199999999993</v>
      </c>
      <c r="AH626">
        <v>73.587130000000002</v>
      </c>
      <c r="AI626">
        <v>55.660020000000003</v>
      </c>
      <c r="AJ626">
        <v>55.416930000000001</v>
      </c>
      <c r="AK626">
        <v>76.31</v>
      </c>
      <c r="AL626">
        <v>76.900000000000006</v>
      </c>
      <c r="AM626">
        <v>72.489760000000004</v>
      </c>
      <c r="AN626">
        <v>69.191550000000007</v>
      </c>
      <c r="AO626">
        <v>72.863860000000003</v>
      </c>
      <c r="AP626">
        <v>75.205439999999996</v>
      </c>
      <c r="AQ626">
        <v>22.72064</v>
      </c>
      <c r="AR626">
        <v>65.315160000000006</v>
      </c>
      <c r="AS626">
        <v>62.294730000000001</v>
      </c>
      <c r="AT626">
        <v>65.38</v>
      </c>
      <c r="AU626">
        <v>83.517939999999996</v>
      </c>
      <c r="AV626">
        <v>16.618410000000001</v>
      </c>
      <c r="AW626">
        <v>73.876559999999998</v>
      </c>
      <c r="AX626">
        <v>47.738300000000002</v>
      </c>
    </row>
    <row r="627" spans="1:50" x14ac:dyDescent="0.35">
      <c r="A627" s="75">
        <v>36923</v>
      </c>
      <c r="B627">
        <v>75.968760000000003</v>
      </c>
      <c r="C627">
        <v>75.786029999999997</v>
      </c>
      <c r="D627">
        <v>39.462020000000003</v>
      </c>
      <c r="E627">
        <v>76.481430000000003</v>
      </c>
      <c r="F627">
        <v>93.874120000000005</v>
      </c>
      <c r="G627">
        <v>63.436450000000001</v>
      </c>
      <c r="H627">
        <v>71.859499999999997</v>
      </c>
      <c r="I627">
        <v>52.072119999999998</v>
      </c>
      <c r="J627">
        <v>32.874220000000001</v>
      </c>
      <c r="K627">
        <v>74.599999999999994</v>
      </c>
      <c r="L627">
        <v>81.070800000000006</v>
      </c>
      <c r="M627">
        <v>77.3</v>
      </c>
      <c r="N627">
        <v>76.66</v>
      </c>
      <c r="O627">
        <v>72.835419999999999</v>
      </c>
      <c r="P627">
        <v>62.037489999999998</v>
      </c>
      <c r="Q627">
        <v>74.59</v>
      </c>
      <c r="R627">
        <v>80.323580000000007</v>
      </c>
      <c r="S627">
        <v>80.349999999999994</v>
      </c>
      <c r="T627">
        <v>62.52628</v>
      </c>
      <c r="U627">
        <v>78.055179999999993</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68.435980000000001</v>
      </c>
      <c r="AG627">
        <v>69.2547</v>
      </c>
      <c r="AH627">
        <v>74.522000000000006</v>
      </c>
      <c r="AI627">
        <v>55.548439999999999</v>
      </c>
      <c r="AJ627">
        <v>55.38026</v>
      </c>
      <c r="AK627">
        <v>76.98</v>
      </c>
      <c r="AL627">
        <v>77.5</v>
      </c>
      <c r="AM627">
        <v>72.744630000000001</v>
      </c>
      <c r="AN627">
        <v>69.520219999999995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47.876269999999998</v>
      </c>
    </row>
    <row r="628" spans="1:50" x14ac:dyDescent="0.35">
      <c r="A628" s="75">
        <v>36951</v>
      </c>
      <c r="B628">
        <v>76.118009999999998</v>
      </c>
      <c r="C628">
        <v>75.954509999999999</v>
      </c>
      <c r="D628">
        <v>39.611899999999999</v>
      </c>
      <c r="E628">
        <v>76.718459999999993</v>
      </c>
      <c r="F628">
        <v>94.024680000000004</v>
      </c>
      <c r="G628">
        <v>63.73845</v>
      </c>
      <c r="H628">
        <v>71.428349999999995</v>
      </c>
      <c r="I628">
        <v>52.83896</v>
      </c>
      <c r="J628">
        <v>33.435699999999997</v>
      </c>
      <c r="K628">
        <v>74.7</v>
      </c>
      <c r="L628">
        <v>81.070800000000006</v>
      </c>
      <c r="M628">
        <v>77.7</v>
      </c>
      <c r="N628">
        <v>77.069999999999993</v>
      </c>
      <c r="O628">
        <v>73.142330000000001</v>
      </c>
      <c r="P628">
        <v>62.293849999999999</v>
      </c>
      <c r="Q628">
        <v>75.010000000000005</v>
      </c>
      <c r="R628">
        <v>80.758780000000002</v>
      </c>
      <c r="S628">
        <v>80.709999999999994</v>
      </c>
      <c r="T628">
        <v>62.811610000000002</v>
      </c>
      <c r="U628">
        <v>78.191460000000006</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69.035799999999995</v>
      </c>
      <c r="AG628">
        <v>69.631699999999995</v>
      </c>
      <c r="AH628">
        <v>74.728229999999996</v>
      </c>
      <c r="AI628">
        <v>55.818089999999998</v>
      </c>
      <c r="AJ628">
        <v>55.731140000000003</v>
      </c>
      <c r="AK628">
        <v>77.7</v>
      </c>
      <c r="AL628">
        <v>77.7</v>
      </c>
      <c r="AM628">
        <v>73.035039999999995</v>
      </c>
      <c r="AN628">
        <v>69.967320000000001</v>
      </c>
      <c r="AO628">
        <v>73.285849999999996</v>
      </c>
      <c r="AP628">
        <v>75.628399999999999</v>
      </c>
      <c r="AQ628">
        <v>23.670909999999999</v>
      </c>
      <c r="AR628">
        <v>65.182140000000004</v>
      </c>
      <c r="AS628">
        <v>64.257099999999994</v>
      </c>
      <c r="AT628">
        <v>66.84</v>
      </c>
      <c r="AU628">
        <v>84.440250000000006</v>
      </c>
      <c r="AV628">
        <v>17.94462</v>
      </c>
      <c r="AW628">
        <v>74.34066</v>
      </c>
      <c r="AX628">
        <v>48.198210000000003</v>
      </c>
    </row>
    <row r="629" spans="1:50" x14ac:dyDescent="0.35">
      <c r="A629" s="75">
        <v>36982</v>
      </c>
      <c r="B629">
        <v>76.491140000000001</v>
      </c>
      <c r="C629">
        <v>76.608599999999996</v>
      </c>
      <c r="D629">
        <v>39.841589999999997</v>
      </c>
      <c r="E629">
        <v>77.271529999999998</v>
      </c>
      <c r="F629">
        <v>94.284610000000001</v>
      </c>
      <c r="G629">
        <v>64.029380000000003</v>
      </c>
      <c r="H629">
        <v>71.571209999999994</v>
      </c>
      <c r="I629">
        <v>53.44265</v>
      </c>
      <c r="J629">
        <v>33.85519</v>
      </c>
      <c r="K629">
        <v>74.900000000000006</v>
      </c>
      <c r="L629">
        <v>81.443969999999993</v>
      </c>
      <c r="M629">
        <v>78</v>
      </c>
      <c r="N629">
        <v>77.540000000000006</v>
      </c>
      <c r="O629">
        <v>73.522139999999993</v>
      </c>
      <c r="P629">
        <v>62.704009999999997</v>
      </c>
      <c r="Q629">
        <v>75.52</v>
      </c>
      <c r="R629">
        <v>81.130690000000001</v>
      </c>
      <c r="S629">
        <v>81.099999999999994</v>
      </c>
      <c r="T629">
        <v>63.262419999999999</v>
      </c>
      <c r="U629">
        <v>78.509749999999997</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69.301460000000006</v>
      </c>
      <c r="AG629">
        <v>69.768000000000001</v>
      </c>
      <c r="AH629">
        <v>74.961939999999998</v>
      </c>
      <c r="AI629">
        <v>56.013359999999999</v>
      </c>
      <c r="AJ629">
        <v>56.012259999999998</v>
      </c>
      <c r="AK629">
        <v>78.13</v>
      </c>
      <c r="AL629">
        <v>78</v>
      </c>
      <c r="AM629">
        <v>73.528000000000006</v>
      </c>
      <c r="AN629">
        <v>70.746619999999993</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48.428159999999998</v>
      </c>
    </row>
    <row r="630" spans="1:50" x14ac:dyDescent="0.35">
      <c r="A630" s="75">
        <v>37012</v>
      </c>
      <c r="B630">
        <v>76.640389999999996</v>
      </c>
      <c r="C630">
        <v>77.094220000000007</v>
      </c>
      <c r="D630">
        <v>40.004919999999998</v>
      </c>
      <c r="E630">
        <v>77.90361</v>
      </c>
      <c r="F630">
        <v>94.796340000000001</v>
      </c>
      <c r="G630">
        <v>64.307559999999995</v>
      </c>
      <c r="H630">
        <v>71.213350000000005</v>
      </c>
      <c r="I630">
        <v>53.67107</v>
      </c>
      <c r="J630">
        <v>34.087519999999998</v>
      </c>
      <c r="K630">
        <v>75.400000000000006</v>
      </c>
      <c r="L630">
        <v>81.723849999999999</v>
      </c>
      <c r="M630">
        <v>78.400000000000006</v>
      </c>
      <c r="N630">
        <v>77.900000000000006</v>
      </c>
      <c r="O630">
        <v>73.800200000000004</v>
      </c>
      <c r="P630">
        <v>63.114179999999998</v>
      </c>
      <c r="Q630">
        <v>75.94</v>
      </c>
      <c r="R630">
        <v>81.668760000000006</v>
      </c>
      <c r="S630">
        <v>81.599999999999994</v>
      </c>
      <c r="T630">
        <v>63.608840000000001</v>
      </c>
      <c r="U630">
        <v>78.843440000000001</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69.235050000000001</v>
      </c>
      <c r="AG630">
        <v>70.170400000000001</v>
      </c>
      <c r="AH630">
        <v>75.381259999999997</v>
      </c>
      <c r="AI630">
        <v>56.608449999999998</v>
      </c>
      <c r="AJ630">
        <v>56.140790000000003</v>
      </c>
      <c r="AK630">
        <v>78.39</v>
      </c>
      <c r="AL630">
        <v>78.400000000000006</v>
      </c>
      <c r="AM630">
        <v>73.916499999999999</v>
      </c>
      <c r="AN630">
        <v>71.307400000000001</v>
      </c>
      <c r="AO630">
        <v>74.692490000000006</v>
      </c>
      <c r="AP630">
        <v>76.69126</v>
      </c>
      <c r="AQ630">
        <v>24.523499999999999</v>
      </c>
      <c r="AR630">
        <v>65.049109999999999</v>
      </c>
      <c r="AS630">
        <v>64.758129999999994</v>
      </c>
      <c r="AT630">
        <v>68.06</v>
      </c>
      <c r="AU630">
        <v>85.751900000000006</v>
      </c>
      <c r="AV630">
        <v>20.799710000000001</v>
      </c>
      <c r="AW630">
        <v>74.973529999999997</v>
      </c>
      <c r="AX630">
        <v>48.612130000000001</v>
      </c>
    </row>
    <row r="631" spans="1:50" x14ac:dyDescent="0.35">
      <c r="A631" s="75">
        <v>37043</v>
      </c>
      <c r="B631">
        <v>76.789640000000006</v>
      </c>
      <c r="C631">
        <v>77.232969999999995</v>
      </c>
      <c r="D631">
        <v>40.213039999999999</v>
      </c>
      <c r="E631">
        <v>77.982619999999997</v>
      </c>
      <c r="F631">
        <v>94.975970000000004</v>
      </c>
      <c r="G631">
        <v>64.343289999999996</v>
      </c>
      <c r="H631">
        <v>70.358800000000002</v>
      </c>
      <c r="I631">
        <v>53.695549999999997</v>
      </c>
      <c r="J631">
        <v>34.182180000000002</v>
      </c>
      <c r="K631">
        <v>76.2</v>
      </c>
      <c r="L631">
        <v>81.817139999999995</v>
      </c>
      <c r="M631">
        <v>78.3</v>
      </c>
      <c r="N631">
        <v>78.02</v>
      </c>
      <c r="O631">
        <v>74.048879999999997</v>
      </c>
      <c r="P631">
        <v>63.267989999999998</v>
      </c>
      <c r="Q631">
        <v>76.08</v>
      </c>
      <c r="R631">
        <v>81.660849999999996</v>
      </c>
      <c r="S631">
        <v>81.650000000000006</v>
      </c>
      <c r="T631">
        <v>63.790239999999997</v>
      </c>
      <c r="U631">
        <v>78.930689999999998</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69.434290000000004</v>
      </c>
      <c r="AG631">
        <v>70.556700000000006</v>
      </c>
      <c r="AH631">
        <v>75.608109999999996</v>
      </c>
      <c r="AI631">
        <v>56.878100000000003</v>
      </c>
      <c r="AJ631">
        <v>56.273580000000003</v>
      </c>
      <c r="AK631">
        <v>78.09</v>
      </c>
      <c r="AL631">
        <v>78.400000000000006</v>
      </c>
      <c r="AM631">
        <v>74.061840000000004</v>
      </c>
      <c r="AN631">
        <v>71.545169999999999</v>
      </c>
      <c r="AO631">
        <v>74.622159999999994</v>
      </c>
      <c r="AP631">
        <v>76.891300000000001</v>
      </c>
      <c r="AQ631">
        <v>24.92079</v>
      </c>
      <c r="AR631">
        <v>65.049109999999999</v>
      </c>
      <c r="AS631">
        <v>64.925139999999999</v>
      </c>
      <c r="AT631">
        <v>68.33</v>
      </c>
      <c r="AU631">
        <v>85.627430000000004</v>
      </c>
      <c r="AV631">
        <v>21.451429999999998</v>
      </c>
      <c r="AW631">
        <v>75.100099999999998</v>
      </c>
      <c r="AX631">
        <v>48.842080000000003</v>
      </c>
    </row>
    <row r="632" spans="1:50" x14ac:dyDescent="0.35">
      <c r="A632" s="75">
        <v>37073</v>
      </c>
      <c r="B632">
        <v>76.864270000000005</v>
      </c>
      <c r="C632">
        <v>77.173509999999993</v>
      </c>
      <c r="D632">
        <v>40.74783</v>
      </c>
      <c r="E632">
        <v>77.745590000000007</v>
      </c>
      <c r="F632">
        <v>94.832220000000007</v>
      </c>
      <c r="G632">
        <v>64.219089999999994</v>
      </c>
      <c r="H632">
        <v>70.007000000000005</v>
      </c>
      <c r="I632">
        <v>53.752650000000003</v>
      </c>
      <c r="J632">
        <v>34.389769999999999</v>
      </c>
      <c r="K632">
        <v>77</v>
      </c>
      <c r="L632">
        <v>81.910430000000005</v>
      </c>
      <c r="M632">
        <v>78.099999999999994</v>
      </c>
      <c r="N632">
        <v>77.84</v>
      </c>
      <c r="O632">
        <v>74.230630000000005</v>
      </c>
      <c r="P632">
        <v>63.524349999999998</v>
      </c>
      <c r="Q632">
        <v>75.930000000000007</v>
      </c>
      <c r="R632">
        <v>81.051559999999995</v>
      </c>
      <c r="S632">
        <v>81.48</v>
      </c>
      <c r="T632">
        <v>63.792769999999997</v>
      </c>
      <c r="U632">
        <v>78.737570000000005</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69.56711</v>
      </c>
      <c r="AG632">
        <v>69.992400000000004</v>
      </c>
      <c r="AH632">
        <v>74.865710000000007</v>
      </c>
      <c r="AI632">
        <v>56.636339999999997</v>
      </c>
      <c r="AJ632">
        <v>56.127369999999999</v>
      </c>
      <c r="AK632">
        <v>77.98</v>
      </c>
      <c r="AL632">
        <v>77.400000000000006</v>
      </c>
      <c r="AM632">
        <v>73.962149999999994</v>
      </c>
      <c r="AN632">
        <v>71.561449999999994</v>
      </c>
      <c r="AO632">
        <v>74.411159999999995</v>
      </c>
      <c r="AP632">
        <v>76.977869999999996</v>
      </c>
      <c r="AQ632">
        <v>25.03293</v>
      </c>
      <c r="AR632">
        <v>64.916089999999997</v>
      </c>
      <c r="AS632">
        <v>64.966899999999995</v>
      </c>
      <c r="AT632">
        <v>68.48</v>
      </c>
      <c r="AU632">
        <v>85.190219999999997</v>
      </c>
      <c r="AV632">
        <v>21.965009999999999</v>
      </c>
      <c r="AW632">
        <v>74.889139999999998</v>
      </c>
      <c r="AX632">
        <v>48.79609</v>
      </c>
    </row>
    <row r="633" spans="1:50" x14ac:dyDescent="0.35">
      <c r="A633" s="75">
        <v>37104</v>
      </c>
      <c r="B633">
        <v>76.715019999999996</v>
      </c>
      <c r="C633">
        <v>77.163600000000002</v>
      </c>
      <c r="D633">
        <v>41.032969999999999</v>
      </c>
      <c r="E633">
        <v>77.745590000000007</v>
      </c>
      <c r="F633">
        <v>94.306160000000006</v>
      </c>
      <c r="G633">
        <v>64.734610000000004</v>
      </c>
      <c r="H633">
        <v>70.076999999999998</v>
      </c>
      <c r="I633">
        <v>53.891330000000004</v>
      </c>
      <c r="J633">
        <v>34.662979999999997</v>
      </c>
      <c r="K633">
        <v>76.900000000000006</v>
      </c>
      <c r="L633">
        <v>81.723849999999999</v>
      </c>
      <c r="M633">
        <v>78.099999999999994</v>
      </c>
      <c r="N633">
        <v>77.78</v>
      </c>
      <c r="O633">
        <v>74.410200000000003</v>
      </c>
      <c r="P633">
        <v>63.473080000000003</v>
      </c>
      <c r="Q633">
        <v>75.91</v>
      </c>
      <c r="R633">
        <v>81.304770000000005</v>
      </c>
      <c r="S633">
        <v>81.48</v>
      </c>
      <c r="T633">
        <v>63.914099999999998</v>
      </c>
      <c r="U633">
        <v>78.773449999999997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69.833820000000003</v>
      </c>
      <c r="AG633">
        <v>70.426000000000002</v>
      </c>
      <c r="AH633">
        <v>75.731840000000005</v>
      </c>
      <c r="AI633">
        <v>56.264409999999998</v>
      </c>
      <c r="AJ633">
        <v>56.459910000000001</v>
      </c>
      <c r="AK633">
        <v>78.27</v>
      </c>
      <c r="AL633">
        <v>77.3</v>
      </c>
      <c r="AM633">
        <v>74.078360000000004</v>
      </c>
      <c r="AN633">
        <v>71.72484</v>
      </c>
      <c r="AO633">
        <v>74.200159999999997</v>
      </c>
      <c r="AP633">
        <v>76.829589999999996</v>
      </c>
      <c r="AQ633">
        <v>25.035430000000002</v>
      </c>
      <c r="AR633">
        <v>64.849580000000003</v>
      </c>
      <c r="AS633">
        <v>64.883390000000006</v>
      </c>
      <c r="AT633">
        <v>68.45</v>
      </c>
      <c r="AU633">
        <v>85.400850000000005</v>
      </c>
      <c r="AV633">
        <v>22.61055</v>
      </c>
      <c r="AW633">
        <v>74.889139999999998</v>
      </c>
      <c r="AX633">
        <v>48.70411</v>
      </c>
    </row>
    <row r="634" spans="1:50" x14ac:dyDescent="0.35">
      <c r="A634" s="75">
        <v>37135</v>
      </c>
      <c r="B634">
        <v>76.938900000000004</v>
      </c>
      <c r="C634">
        <v>77.381630000000001</v>
      </c>
      <c r="D634">
        <v>41.147820000000003</v>
      </c>
      <c r="E634">
        <v>77.90361</v>
      </c>
      <c r="F634">
        <v>94.426349999999999</v>
      </c>
      <c r="G634">
        <v>65.209299999999999</v>
      </c>
      <c r="H634">
        <v>70.707700000000003</v>
      </c>
      <c r="I634">
        <v>54.087130000000002</v>
      </c>
      <c r="J634">
        <v>34.873800000000003</v>
      </c>
      <c r="K634">
        <v>76.2</v>
      </c>
      <c r="L634">
        <v>81.723849999999999</v>
      </c>
      <c r="M634">
        <v>78.400000000000006</v>
      </c>
      <c r="N634">
        <v>77.989999999999995</v>
      </c>
      <c r="O634">
        <v>74.400409999999994</v>
      </c>
      <c r="P634">
        <v>63.524349999999998</v>
      </c>
      <c r="Q634">
        <v>76.17</v>
      </c>
      <c r="R634">
        <v>81.890330000000006</v>
      </c>
      <c r="S634">
        <v>81.63</v>
      </c>
      <c r="T634">
        <v>64.221959999999996</v>
      </c>
      <c r="U634">
        <v>78.982929999999996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69.767399999999995</v>
      </c>
      <c r="AG634">
        <v>70.295599999999993</v>
      </c>
      <c r="AH634">
        <v>75.821209999999994</v>
      </c>
      <c r="AI634">
        <v>56.636339999999997</v>
      </c>
      <c r="AJ634">
        <v>56.985489999999999</v>
      </c>
      <c r="AK634">
        <v>79.23</v>
      </c>
      <c r="AL634">
        <v>77.7</v>
      </c>
      <c r="AM634">
        <v>74.415800000000004</v>
      </c>
      <c r="AN634">
        <v>72.172420000000002</v>
      </c>
      <c r="AO634">
        <v>74.411159999999995</v>
      </c>
      <c r="AP634">
        <v>76.802719999999994</v>
      </c>
      <c r="AQ634">
        <v>25.185649999999999</v>
      </c>
      <c r="AR634">
        <v>64.849580000000003</v>
      </c>
      <c r="AS634">
        <v>65.00864</v>
      </c>
      <c r="AT634">
        <v>69.05</v>
      </c>
      <c r="AU634">
        <v>86.118899999999996</v>
      </c>
      <c r="AV634">
        <v>23.941980000000001</v>
      </c>
      <c r="AW634">
        <v>75.226669999999999</v>
      </c>
      <c r="AX634">
        <v>48.842080000000003</v>
      </c>
    </row>
    <row r="635" spans="1:50" x14ac:dyDescent="0.35">
      <c r="A635" s="75">
        <v>37165</v>
      </c>
      <c r="B635">
        <v>77.01352</v>
      </c>
      <c r="C635">
        <v>77.262699999999995</v>
      </c>
      <c r="D635">
        <v>41.489339999999999</v>
      </c>
      <c r="E635">
        <v>77.508560000000003</v>
      </c>
      <c r="F635">
        <v>94.283199999999994</v>
      </c>
      <c r="G635">
        <v>65.297780000000003</v>
      </c>
      <c r="H635">
        <v>70.919820000000001</v>
      </c>
      <c r="I635">
        <v>54.193179999999998</v>
      </c>
      <c r="J635">
        <v>34.870570000000001</v>
      </c>
      <c r="K635">
        <v>76.2</v>
      </c>
      <c r="L635">
        <v>81.630549999999999</v>
      </c>
      <c r="M635">
        <v>78.5</v>
      </c>
      <c r="N635">
        <v>78.06</v>
      </c>
      <c r="O635">
        <v>74.322590000000005</v>
      </c>
      <c r="P635">
        <v>63.524349999999998</v>
      </c>
      <c r="Q635">
        <v>76.3</v>
      </c>
      <c r="R635">
        <v>81.708330000000004</v>
      </c>
      <c r="S635">
        <v>81.680000000000007</v>
      </c>
      <c r="T635">
        <v>64.366209999999995</v>
      </c>
      <c r="U635">
        <v>78.822640000000007</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69.767399999999995</v>
      </c>
      <c r="AG635">
        <v>70.504400000000004</v>
      </c>
      <c r="AH635">
        <v>75.951809999999995</v>
      </c>
      <c r="AI635">
        <v>56.710729999999998</v>
      </c>
      <c r="AJ635">
        <v>57.243029999999997</v>
      </c>
      <c r="AK635">
        <v>79.150000000000006</v>
      </c>
      <c r="AL635">
        <v>77.7</v>
      </c>
      <c r="AM635">
        <v>74.467960000000005</v>
      </c>
      <c r="AN635">
        <v>72.505350000000007</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48.79609</v>
      </c>
    </row>
    <row r="636" spans="1:50" x14ac:dyDescent="0.35">
      <c r="A636" s="75">
        <v>37196</v>
      </c>
      <c r="B636">
        <v>76.938900000000004</v>
      </c>
      <c r="C636">
        <v>77.351900000000001</v>
      </c>
      <c r="D636">
        <v>41.783999999999999</v>
      </c>
      <c r="E636">
        <v>76.797470000000004</v>
      </c>
      <c r="F636">
        <v>94.409509999999997</v>
      </c>
      <c r="G636">
        <v>65.291820000000001</v>
      </c>
      <c r="H636">
        <v>70.777979999999999</v>
      </c>
      <c r="I636">
        <v>54.25029</v>
      </c>
      <c r="J636">
        <v>35.181429999999999</v>
      </c>
      <c r="K636">
        <v>76.2</v>
      </c>
      <c r="L636">
        <v>81.443969999999993</v>
      </c>
      <c r="M636">
        <v>78.3</v>
      </c>
      <c r="N636">
        <v>78.010000000000005</v>
      </c>
      <c r="O636">
        <v>74.267089999999996</v>
      </c>
      <c r="P636">
        <v>63.524349999999998</v>
      </c>
      <c r="Q636">
        <v>76.319999999999993</v>
      </c>
      <c r="R636">
        <v>81.344340000000003</v>
      </c>
      <c r="S636">
        <v>81.459999999999994</v>
      </c>
      <c r="T636">
        <v>64.460620000000006</v>
      </c>
      <c r="U636">
        <v>78.651989999999998</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69.368930000000006</v>
      </c>
      <c r="AG636">
        <v>70.477400000000003</v>
      </c>
      <c r="AH636">
        <v>76.061800000000005</v>
      </c>
      <c r="AI636">
        <v>56.840910000000001</v>
      </c>
      <c r="AJ636">
        <v>57.458669999999998</v>
      </c>
      <c r="AK636">
        <v>79.05</v>
      </c>
      <c r="AL636">
        <v>77.7</v>
      </c>
      <c r="AM636">
        <v>74.449190000000002</v>
      </c>
      <c r="AN636">
        <v>72.715770000000006</v>
      </c>
      <c r="AO636">
        <v>74.762829999999994</v>
      </c>
      <c r="AP636">
        <v>77.612809999999996</v>
      </c>
      <c r="AQ636">
        <v>25.806429999999999</v>
      </c>
      <c r="AR636">
        <v>64.849580000000003</v>
      </c>
      <c r="AS636">
        <v>65.00864</v>
      </c>
      <c r="AT636">
        <v>69.66</v>
      </c>
      <c r="AU636">
        <v>85.917850000000001</v>
      </c>
      <c r="AV636">
        <v>26.469080000000002</v>
      </c>
      <c r="AW636">
        <v>74.846950000000007</v>
      </c>
      <c r="AX636">
        <v>49.026040000000002</v>
      </c>
    </row>
    <row r="637" spans="1:50" x14ac:dyDescent="0.35">
      <c r="A637" s="75">
        <v>37226</v>
      </c>
      <c r="B637">
        <v>77.088139999999996</v>
      </c>
      <c r="C637">
        <v>77.183419999999998</v>
      </c>
      <c r="D637">
        <v>42.055680000000002</v>
      </c>
      <c r="E637">
        <v>76.955489999999998</v>
      </c>
      <c r="F637">
        <v>94.374629999999996</v>
      </c>
      <c r="G637">
        <v>65.090199999999996</v>
      </c>
      <c r="H637">
        <v>70.848759999999999</v>
      </c>
      <c r="I637">
        <v>54.437919999999998</v>
      </c>
      <c r="J637">
        <v>35.565429999999999</v>
      </c>
      <c r="K637">
        <v>76.2</v>
      </c>
      <c r="L637">
        <v>82.190309999999997</v>
      </c>
      <c r="M637">
        <v>78.5</v>
      </c>
      <c r="N637">
        <v>78.36</v>
      </c>
      <c r="O637">
        <v>74.536450000000002</v>
      </c>
      <c r="P637">
        <v>63.62688</v>
      </c>
      <c r="Q637">
        <v>76.680000000000007</v>
      </c>
      <c r="R637">
        <v>81.31268</v>
      </c>
      <c r="S637">
        <v>81.56</v>
      </c>
      <c r="T637">
        <v>64.562749999999994</v>
      </c>
      <c r="U637">
        <v>78.572010000000006</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69.501750000000001</v>
      </c>
      <c r="AG637">
        <v>70.718900000000005</v>
      </c>
      <c r="AH637">
        <v>75.917439999999999</v>
      </c>
      <c r="AI637">
        <v>57.064070000000001</v>
      </c>
      <c r="AJ637">
        <v>57.538240000000002</v>
      </c>
      <c r="AK637">
        <v>78.81</v>
      </c>
      <c r="AL637">
        <v>77.900000000000006</v>
      </c>
      <c r="AM637">
        <v>74.496830000000003</v>
      </c>
      <c r="AN637">
        <v>73.105729999999994</v>
      </c>
      <c r="AO637">
        <v>74.903490000000005</v>
      </c>
      <c r="AP637">
        <v>77.765069999999994</v>
      </c>
      <c r="AQ637">
        <v>26.219329999999999</v>
      </c>
      <c r="AR637">
        <v>64.982600000000005</v>
      </c>
      <c r="AS637">
        <v>65.175659999999993</v>
      </c>
      <c r="AT637">
        <v>69.73</v>
      </c>
      <c r="AU637">
        <v>85.994439999999997</v>
      </c>
      <c r="AV637">
        <v>27.32253</v>
      </c>
      <c r="AW637">
        <v>74.551609999999997</v>
      </c>
      <c r="AX637">
        <v>49.30198</v>
      </c>
    </row>
    <row r="638" spans="1:50" x14ac:dyDescent="0.35">
      <c r="A638" s="75">
        <v>37257</v>
      </c>
      <c r="B638">
        <v>77.312020000000004</v>
      </c>
      <c r="C638">
        <v>77.64922</v>
      </c>
      <c r="D638">
        <v>42.274470000000001</v>
      </c>
      <c r="E638">
        <v>77.113510000000005</v>
      </c>
      <c r="F638">
        <v>94.491399999999999</v>
      </c>
      <c r="G638">
        <v>65.037459999999996</v>
      </c>
      <c r="H638">
        <v>71.061300000000003</v>
      </c>
      <c r="I638">
        <v>54.870289999999997</v>
      </c>
      <c r="J638">
        <v>35.963410000000003</v>
      </c>
      <c r="K638">
        <v>77.5</v>
      </c>
      <c r="L638">
        <v>82.283600000000007</v>
      </c>
      <c r="M638">
        <v>78.599999999999994</v>
      </c>
      <c r="N638">
        <v>78.45</v>
      </c>
      <c r="O638">
        <v>74.434020000000004</v>
      </c>
      <c r="P638">
        <v>64.447220000000002</v>
      </c>
      <c r="Q638">
        <v>76.86</v>
      </c>
      <c r="R638">
        <v>81.652940000000001</v>
      </c>
      <c r="S638">
        <v>81.94</v>
      </c>
      <c r="T638">
        <v>64.8142</v>
      </c>
      <c r="U638">
        <v>78.691839999999999</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69.900229999999993</v>
      </c>
      <c r="AG638">
        <v>71.391999999999996</v>
      </c>
      <c r="AH638">
        <v>75.291899999999998</v>
      </c>
      <c r="AI638">
        <v>57.566180000000003</v>
      </c>
      <c r="AJ638">
        <v>58.069389999999999</v>
      </c>
      <c r="AK638">
        <v>79.38</v>
      </c>
      <c r="AL638">
        <v>78</v>
      </c>
      <c r="AM638">
        <v>74.751009999999994</v>
      </c>
      <c r="AN638">
        <v>73.459999999999994</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50.129820000000002</v>
      </c>
    </row>
    <row r="639" spans="1:50" x14ac:dyDescent="0.35">
      <c r="A639" s="75">
        <v>37288</v>
      </c>
      <c r="B639">
        <v>77.38664</v>
      </c>
      <c r="C639">
        <v>77.778049999999993</v>
      </c>
      <c r="D639">
        <v>42.426670000000001</v>
      </c>
      <c r="E639">
        <v>77.587569999999999</v>
      </c>
      <c r="F639">
        <v>94.488489999999999</v>
      </c>
      <c r="G639">
        <v>65.043409999999994</v>
      </c>
      <c r="H639">
        <v>71.842979999999997</v>
      </c>
      <c r="I639">
        <v>55.56371</v>
      </c>
      <c r="J639">
        <v>36.124749999999999</v>
      </c>
      <c r="K639">
        <v>77.5</v>
      </c>
      <c r="L639">
        <v>82.563479999999998</v>
      </c>
      <c r="M639">
        <v>79.2</v>
      </c>
      <c r="N639">
        <v>78.58</v>
      </c>
      <c r="O639">
        <v>74.498249999999999</v>
      </c>
      <c r="P639">
        <v>64.806110000000004</v>
      </c>
      <c r="Q639">
        <v>77.02</v>
      </c>
      <c r="R639">
        <v>81.779539999999997</v>
      </c>
      <c r="S639">
        <v>82.04</v>
      </c>
      <c r="T639">
        <v>65.01849</v>
      </c>
      <c r="U639">
        <v>78.889049999999997</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70.233350000000002</v>
      </c>
      <c r="AG639">
        <v>71.230199999999996</v>
      </c>
      <c r="AH639">
        <v>76.213030000000003</v>
      </c>
      <c r="AI639">
        <v>57.380209999999998</v>
      </c>
      <c r="AJ639">
        <v>58.032060000000001</v>
      </c>
      <c r="AK639">
        <v>79.81</v>
      </c>
      <c r="AL639">
        <v>78.099999999999994</v>
      </c>
      <c r="AM639">
        <v>74.95</v>
      </c>
      <c r="AN639">
        <v>73.683750000000003</v>
      </c>
      <c r="AO639">
        <v>75.606800000000007</v>
      </c>
      <c r="AP639">
        <v>77.755120000000005</v>
      </c>
      <c r="AQ639">
        <v>27.343050000000002</v>
      </c>
      <c r="AR639">
        <v>65.182140000000004</v>
      </c>
      <c r="AS639">
        <v>66.255420000000001</v>
      </c>
      <c r="AT639">
        <v>71.5</v>
      </c>
      <c r="AU639">
        <v>85.991249999999994</v>
      </c>
      <c r="AV639">
        <v>29.28051</v>
      </c>
      <c r="AW639">
        <v>75.015720000000002</v>
      </c>
      <c r="AX639">
        <v>50.735030000000002</v>
      </c>
    </row>
    <row r="640" spans="1:50" x14ac:dyDescent="0.35">
      <c r="A640" s="75">
        <v>37316</v>
      </c>
      <c r="B640">
        <v>77.535899999999998</v>
      </c>
      <c r="C640">
        <v>77.986180000000004</v>
      </c>
      <c r="D640">
        <v>42.681190000000001</v>
      </c>
      <c r="E640">
        <v>78.140640000000005</v>
      </c>
      <c r="F640">
        <v>94.503739999999993</v>
      </c>
      <c r="G640">
        <v>65.387090000000001</v>
      </c>
      <c r="H640">
        <v>70.909019999999998</v>
      </c>
      <c r="I640">
        <v>55.955300000000001</v>
      </c>
      <c r="J640">
        <v>36.407640000000001</v>
      </c>
      <c r="K640">
        <v>77.5</v>
      </c>
      <c r="L640">
        <v>82.750060000000005</v>
      </c>
      <c r="M640">
        <v>79.7</v>
      </c>
      <c r="N640">
        <v>79.02</v>
      </c>
      <c r="O640">
        <v>75.113810000000001</v>
      </c>
      <c r="P640">
        <v>64.959919999999997</v>
      </c>
      <c r="Q640">
        <v>77.44</v>
      </c>
      <c r="R640">
        <v>82.214749999999995</v>
      </c>
      <c r="S640">
        <v>82.4</v>
      </c>
      <c r="T640">
        <v>65.285259999999994</v>
      </c>
      <c r="U640">
        <v>79.235969999999995</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70.63288</v>
      </c>
      <c r="AG640">
        <v>70.763400000000004</v>
      </c>
      <c r="AH640">
        <v>76.274889999999999</v>
      </c>
      <c r="AI640">
        <v>57.603369999999998</v>
      </c>
      <c r="AJ640">
        <v>58.328899999999997</v>
      </c>
      <c r="AK640">
        <v>80.52</v>
      </c>
      <c r="AL640">
        <v>78.400000000000006</v>
      </c>
      <c r="AM640">
        <v>75.311070000000001</v>
      </c>
      <c r="AN640">
        <v>74.021159999999995</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51.243969999999997</v>
      </c>
    </row>
    <row r="641" spans="1:50" x14ac:dyDescent="0.35">
      <c r="A641" s="75">
        <v>37347</v>
      </c>
      <c r="B641">
        <v>77.834400000000002</v>
      </c>
      <c r="C641">
        <v>78.006</v>
      </c>
      <c r="D641">
        <v>43.022709999999996</v>
      </c>
      <c r="E641">
        <v>78.614689999999996</v>
      </c>
      <c r="F641">
        <v>95.319090000000003</v>
      </c>
      <c r="G641">
        <v>65.630390000000006</v>
      </c>
      <c r="H641">
        <v>70.696299999999994</v>
      </c>
      <c r="I641">
        <v>56.469250000000002</v>
      </c>
      <c r="J641">
        <v>36.4711</v>
      </c>
      <c r="K641">
        <v>77.5</v>
      </c>
      <c r="L641">
        <v>82.656769999999995</v>
      </c>
      <c r="M641">
        <v>80</v>
      </c>
      <c r="N641">
        <v>79.38</v>
      </c>
      <c r="O641">
        <v>76.134029999999996</v>
      </c>
      <c r="P641">
        <v>65.57517</v>
      </c>
      <c r="Q641">
        <v>77.81</v>
      </c>
      <c r="R641">
        <v>82.555009999999996</v>
      </c>
      <c r="S641">
        <v>82.71</v>
      </c>
      <c r="T641">
        <v>65.599459999999993</v>
      </c>
      <c r="U641">
        <v>79.576459999999997</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71.032420000000002</v>
      </c>
      <c r="AG641">
        <v>70.731499999999997</v>
      </c>
      <c r="AH641">
        <v>76.570480000000003</v>
      </c>
      <c r="AI641">
        <v>57.64987</v>
      </c>
      <c r="AJ641">
        <v>58.647530000000003</v>
      </c>
      <c r="AK641">
        <v>80.900000000000006</v>
      </c>
      <c r="AL641">
        <v>78.5</v>
      </c>
      <c r="AM641">
        <v>75.702439999999996</v>
      </c>
      <c r="AN641">
        <v>74.382170000000002</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52.117400000000004</v>
      </c>
    </row>
    <row r="642" spans="1:50" x14ac:dyDescent="0.35">
      <c r="A642" s="75">
        <v>37377</v>
      </c>
      <c r="B642">
        <v>78.058269999999993</v>
      </c>
      <c r="C642">
        <v>78.124920000000003</v>
      </c>
      <c r="D642">
        <v>43.112960000000001</v>
      </c>
      <c r="E642">
        <v>78.772710000000004</v>
      </c>
      <c r="F642">
        <v>95.410610000000005</v>
      </c>
      <c r="G642">
        <v>65.689940000000007</v>
      </c>
      <c r="H642">
        <v>70.484210000000004</v>
      </c>
      <c r="I642">
        <v>56.803719999999998</v>
      </c>
      <c r="J642">
        <v>36.699129999999997</v>
      </c>
      <c r="K642">
        <v>77.400000000000006</v>
      </c>
      <c r="L642">
        <v>82.750060000000005</v>
      </c>
      <c r="M642">
        <v>80</v>
      </c>
      <c r="N642">
        <v>79.52</v>
      </c>
      <c r="O642">
        <v>76.408079999999998</v>
      </c>
      <c r="P642">
        <v>65.728980000000007</v>
      </c>
      <c r="Q642">
        <v>77.94</v>
      </c>
      <c r="R642">
        <v>82.736999999999995</v>
      </c>
      <c r="S642">
        <v>82.81</v>
      </c>
      <c r="T642">
        <v>65.727450000000005</v>
      </c>
      <c r="U642">
        <v>79.65804</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71.298069999999996</v>
      </c>
      <c r="AG642">
        <v>70.483999999999995</v>
      </c>
      <c r="AH642">
        <v>76.797330000000002</v>
      </c>
      <c r="AI642">
        <v>57.75215</v>
      </c>
      <c r="AJ642">
        <v>58.766399999999997</v>
      </c>
      <c r="AK642">
        <v>80.92</v>
      </c>
      <c r="AL642">
        <v>78.7</v>
      </c>
      <c r="AM642">
        <v>75.80968</v>
      </c>
      <c r="AN642">
        <v>74.534570000000002</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52.371870000000001</v>
      </c>
    </row>
    <row r="643" spans="1:50" x14ac:dyDescent="0.35">
      <c r="A643" s="75">
        <v>37408</v>
      </c>
      <c r="B643">
        <v>78.132900000000006</v>
      </c>
      <c r="C643">
        <v>77.906890000000004</v>
      </c>
      <c r="D643">
        <v>43.293930000000003</v>
      </c>
      <c r="E643">
        <v>78.930729999999997</v>
      </c>
      <c r="F643">
        <v>95.285510000000002</v>
      </c>
      <c r="G643">
        <v>65.606579999999994</v>
      </c>
      <c r="H643">
        <v>69.849850000000004</v>
      </c>
      <c r="I643">
        <v>57.048459999999999</v>
      </c>
      <c r="J643">
        <v>36.933619999999998</v>
      </c>
      <c r="K643">
        <v>77.099999999999994</v>
      </c>
      <c r="L643">
        <v>82.750060000000005</v>
      </c>
      <c r="M643">
        <v>80</v>
      </c>
      <c r="N643">
        <v>79.489999999999995</v>
      </c>
      <c r="O643">
        <v>76.411289999999994</v>
      </c>
      <c r="P643">
        <v>65.677710000000005</v>
      </c>
      <c r="Q643">
        <v>77.89</v>
      </c>
      <c r="R643">
        <v>82.562920000000005</v>
      </c>
      <c r="S643">
        <v>82.8</v>
      </c>
      <c r="T643">
        <v>65.76688</v>
      </c>
      <c r="U643">
        <v>79.681020000000004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71.231650000000002</v>
      </c>
      <c r="AG643">
        <v>70.242000000000004</v>
      </c>
      <c r="AH643">
        <v>76.914180000000002</v>
      </c>
      <c r="AI643">
        <v>57.436</v>
      </c>
      <c r="AJ643">
        <v>59.052930000000003</v>
      </c>
      <c r="AK643">
        <v>80.650000000000006</v>
      </c>
      <c r="AL643">
        <v>78.7</v>
      </c>
      <c r="AM643">
        <v>75.841350000000006</v>
      </c>
      <c r="AN643">
        <v>74.529340000000005</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52.818899999999999</v>
      </c>
    </row>
    <row r="644" spans="1:50" x14ac:dyDescent="0.35">
      <c r="A644" s="75">
        <v>37438</v>
      </c>
      <c r="B644">
        <v>78.058269999999993</v>
      </c>
      <c r="C644">
        <v>78.164569999999998</v>
      </c>
      <c r="D644">
        <v>43.809229999999999</v>
      </c>
      <c r="E644">
        <v>79.404790000000006</v>
      </c>
      <c r="F644">
        <v>94.78331</v>
      </c>
      <c r="G644">
        <v>65.897509999999997</v>
      </c>
      <c r="H644">
        <v>69.360900000000001</v>
      </c>
      <c r="I644">
        <v>57.056620000000002</v>
      </c>
      <c r="J644">
        <v>37.47466</v>
      </c>
      <c r="K644">
        <v>77.5</v>
      </c>
      <c r="L644">
        <v>82.843350000000001</v>
      </c>
      <c r="M644">
        <v>79.8</v>
      </c>
      <c r="N644">
        <v>79.41</v>
      </c>
      <c r="O644">
        <v>75.881379999999993</v>
      </c>
      <c r="P644">
        <v>65.472629999999995</v>
      </c>
      <c r="Q644">
        <v>77.8</v>
      </c>
      <c r="R644">
        <v>82.412570000000002</v>
      </c>
      <c r="S644">
        <v>82.8</v>
      </c>
      <c r="T644">
        <v>65.852829999999997</v>
      </c>
      <c r="U644">
        <v>79.706620000000001</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71.032420000000002</v>
      </c>
      <c r="AG644">
        <v>70.048400000000001</v>
      </c>
      <c r="AH644">
        <v>76.371129999999994</v>
      </c>
      <c r="AI644">
        <v>57.203539999999997</v>
      </c>
      <c r="AJ644">
        <v>59.222450000000002</v>
      </c>
      <c r="AK644">
        <v>80.540000000000006</v>
      </c>
      <c r="AL644">
        <v>78.599999999999994</v>
      </c>
      <c r="AM644">
        <v>75.863</v>
      </c>
      <c r="AN644">
        <v>74.496709999999993</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53.657960000000003</v>
      </c>
    </row>
    <row r="645" spans="1:50" x14ac:dyDescent="0.35">
      <c r="A645" s="75">
        <v>37469</v>
      </c>
      <c r="B645">
        <v>78.207530000000006</v>
      </c>
      <c r="C645">
        <v>78.134829999999994</v>
      </c>
      <c r="D645">
        <v>44.093910000000001</v>
      </c>
      <c r="E645">
        <v>79.720830000000007</v>
      </c>
      <c r="F645">
        <v>94.751829999999998</v>
      </c>
      <c r="G645">
        <v>66.145920000000004</v>
      </c>
      <c r="H645">
        <v>69.568979999999996</v>
      </c>
      <c r="I645">
        <v>57.113720000000001</v>
      </c>
      <c r="J645">
        <v>37.918889999999998</v>
      </c>
      <c r="K645">
        <v>77.400000000000006</v>
      </c>
      <c r="L645">
        <v>82.750060000000005</v>
      </c>
      <c r="M645">
        <v>79.900000000000006</v>
      </c>
      <c r="N645">
        <v>79.459999999999994</v>
      </c>
      <c r="O645">
        <v>76.098699999999994</v>
      </c>
      <c r="P645">
        <v>65.165009999999995</v>
      </c>
      <c r="Q645">
        <v>77.84</v>
      </c>
      <c r="R645">
        <v>82.412570000000002</v>
      </c>
      <c r="S645">
        <v>82.99</v>
      </c>
      <c r="T645">
        <v>66.063460000000006</v>
      </c>
      <c r="U645">
        <v>79.919049999999999</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71.498360000000005</v>
      </c>
      <c r="AG645">
        <v>69.651799999999994</v>
      </c>
      <c r="AH645">
        <v>77.127279999999999</v>
      </c>
      <c r="AI645">
        <v>56.76652</v>
      </c>
      <c r="AJ645">
        <v>59.447620000000001</v>
      </c>
      <c r="AK645">
        <v>80.81</v>
      </c>
      <c r="AL645">
        <v>78.3</v>
      </c>
      <c r="AM645">
        <v>76.083150000000003</v>
      </c>
      <c r="AN645">
        <v>74.662139999999994</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53.946809999999999</v>
      </c>
    </row>
    <row r="646" spans="1:50" x14ac:dyDescent="0.35">
      <c r="A646" s="75">
        <v>37500</v>
      </c>
      <c r="B646">
        <v>78.207530000000006</v>
      </c>
      <c r="C646">
        <v>78.352869999999996</v>
      </c>
      <c r="D646">
        <v>44.411299999999997</v>
      </c>
      <c r="E646">
        <v>79.720830000000007</v>
      </c>
      <c r="F646">
        <v>94.895480000000006</v>
      </c>
      <c r="G646">
        <v>66.703969999999998</v>
      </c>
      <c r="H646">
        <v>70.264669999999995</v>
      </c>
      <c r="I646">
        <v>57.31767</v>
      </c>
      <c r="J646">
        <v>38.069470000000003</v>
      </c>
      <c r="K646">
        <v>77</v>
      </c>
      <c r="L646">
        <v>82.750060000000005</v>
      </c>
      <c r="M646">
        <v>80.3</v>
      </c>
      <c r="N646">
        <v>79.66</v>
      </c>
      <c r="O646">
        <v>76.383459999999999</v>
      </c>
      <c r="P646">
        <v>65.216279999999998</v>
      </c>
      <c r="Q646">
        <v>78.05</v>
      </c>
      <c r="R646">
        <v>82.713260000000005</v>
      </c>
      <c r="S646">
        <v>83.14</v>
      </c>
      <c r="T646">
        <v>66.294250000000005</v>
      </c>
      <c r="U646">
        <v>80.02413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71.898949999999999</v>
      </c>
      <c r="AG646">
        <v>69.254499999999993</v>
      </c>
      <c r="AH646">
        <v>77.354129999999998</v>
      </c>
      <c r="AI646">
        <v>57.203539999999997</v>
      </c>
      <c r="AJ646">
        <v>59.805190000000003</v>
      </c>
      <c r="AK646">
        <v>81.69</v>
      </c>
      <c r="AL646">
        <v>78.8</v>
      </c>
      <c r="AM646">
        <v>76.298419999999993</v>
      </c>
      <c r="AN646">
        <v>74.995350000000002</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54.421349999999997</v>
      </c>
    </row>
    <row r="647" spans="1:50" x14ac:dyDescent="0.35">
      <c r="A647" s="75">
        <v>37530</v>
      </c>
      <c r="B647">
        <v>78.356769999999997</v>
      </c>
      <c r="C647">
        <v>78.263670000000005</v>
      </c>
      <c r="D647">
        <v>44.993189999999998</v>
      </c>
      <c r="E647">
        <v>79.957859999999997</v>
      </c>
      <c r="F647">
        <v>95.449709999999996</v>
      </c>
      <c r="G647">
        <v>67.284999999999997</v>
      </c>
      <c r="H647">
        <v>70.405199999999994</v>
      </c>
      <c r="I647">
        <v>57.643990000000002</v>
      </c>
      <c r="J647">
        <v>38.320099999999996</v>
      </c>
      <c r="K647">
        <v>76.7</v>
      </c>
      <c r="L647">
        <v>82.656769999999995</v>
      </c>
      <c r="M647">
        <v>80.5</v>
      </c>
      <c r="N647">
        <v>79.849999999999994</v>
      </c>
      <c r="O647">
        <v>77.140330000000006</v>
      </c>
      <c r="P647">
        <v>65.57517</v>
      </c>
      <c r="Q647">
        <v>78.260000000000005</v>
      </c>
      <c r="R647">
        <v>82.926910000000007</v>
      </c>
      <c r="S647">
        <v>83.27</v>
      </c>
      <c r="T647">
        <v>66.512249999999995</v>
      </c>
      <c r="U647">
        <v>80.104100000000003</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71.697599999999994</v>
      </c>
      <c r="AG647">
        <v>69.700400000000002</v>
      </c>
      <c r="AH647">
        <v>77.635959999999997</v>
      </c>
      <c r="AI647">
        <v>57.640569999999997</v>
      </c>
      <c r="AJ647">
        <v>60.06879</v>
      </c>
      <c r="AK647">
        <v>81.489999999999995</v>
      </c>
      <c r="AL647">
        <v>79.099999999999994</v>
      </c>
      <c r="AM647">
        <v>76.478620000000006</v>
      </c>
      <c r="AN647">
        <v>75.282300000000006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55.232889999999998</v>
      </c>
    </row>
    <row r="648" spans="1:50" x14ac:dyDescent="0.35">
      <c r="A648" s="75">
        <v>37561</v>
      </c>
      <c r="B648">
        <v>78.282150000000001</v>
      </c>
      <c r="C648">
        <v>78.204210000000003</v>
      </c>
      <c r="D648">
        <v>46.352080000000001</v>
      </c>
      <c r="E648">
        <v>80.194890000000001</v>
      </c>
      <c r="F648">
        <v>95.273780000000002</v>
      </c>
      <c r="G648">
        <v>67.225449999999995</v>
      </c>
      <c r="H648">
        <v>70.334789999999998</v>
      </c>
      <c r="I648">
        <v>58.084510000000002</v>
      </c>
      <c r="J648">
        <v>38.715919999999997</v>
      </c>
      <c r="K648">
        <v>76.599999999999994</v>
      </c>
      <c r="L648">
        <v>82.376890000000003</v>
      </c>
      <c r="M648">
        <v>80.5</v>
      </c>
      <c r="N648">
        <v>79.790000000000006</v>
      </c>
      <c r="O648">
        <v>77.259159999999994</v>
      </c>
      <c r="P648">
        <v>65.472629999999995</v>
      </c>
      <c r="Q648">
        <v>78.239999999999995</v>
      </c>
      <c r="R648">
        <v>82.665790000000001</v>
      </c>
      <c r="S648">
        <v>83.27</v>
      </c>
      <c r="T648">
        <v>66.715869999999995</v>
      </c>
      <c r="U648">
        <v>80.104929999999996</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71.765069999999994</v>
      </c>
      <c r="AG648">
        <v>69.780500000000004</v>
      </c>
      <c r="AH648">
        <v>77.704700000000003</v>
      </c>
      <c r="AI648">
        <v>57.742849999999997</v>
      </c>
      <c r="AJ648">
        <v>60.554600000000001</v>
      </c>
      <c r="AK648">
        <v>81.25</v>
      </c>
      <c r="AL648">
        <v>79.400000000000006</v>
      </c>
      <c r="AM648">
        <v>76.560699999999997</v>
      </c>
      <c r="AN648">
        <v>75.399550000000005</v>
      </c>
      <c r="AO648">
        <v>75.395809999999997</v>
      </c>
      <c r="AP648">
        <v>80.742679999999993</v>
      </c>
      <c r="AQ648">
        <v>29.709389999999999</v>
      </c>
      <c r="AR648">
        <v>65.381680000000003</v>
      </c>
      <c r="AS648">
        <v>66.806020000000004</v>
      </c>
      <c r="AT648">
        <v>74.36</v>
      </c>
      <c r="AU648">
        <v>87.673100000000005</v>
      </c>
      <c r="AV648">
        <v>34.87726</v>
      </c>
      <c r="AW648">
        <v>76.492400000000004</v>
      </c>
      <c r="AX648">
        <v>55.893129999999999</v>
      </c>
    </row>
    <row r="649" spans="1:50" x14ac:dyDescent="0.35">
      <c r="A649" s="75">
        <v>37591</v>
      </c>
      <c r="B649">
        <v>78.506029999999996</v>
      </c>
      <c r="C649">
        <v>78.243849999999995</v>
      </c>
      <c r="D649">
        <v>47.325369999999999</v>
      </c>
      <c r="E649">
        <v>79.87885</v>
      </c>
      <c r="F649">
        <v>95.215350000000001</v>
      </c>
      <c r="G649">
        <v>66.928560000000004</v>
      </c>
      <c r="H649">
        <v>70.5458</v>
      </c>
      <c r="I649">
        <v>58.247680000000003</v>
      </c>
      <c r="J649">
        <v>39.009569999999997</v>
      </c>
      <c r="K649">
        <v>76.7</v>
      </c>
      <c r="L649">
        <v>83.123230000000007</v>
      </c>
      <c r="M649">
        <v>80.5</v>
      </c>
      <c r="N649">
        <v>80.17</v>
      </c>
      <c r="O649">
        <v>77.516080000000002</v>
      </c>
      <c r="P649">
        <v>65.370090000000005</v>
      </c>
      <c r="Q649">
        <v>78.599999999999994</v>
      </c>
      <c r="R649">
        <v>82.657880000000006</v>
      </c>
      <c r="S649">
        <v>83.41</v>
      </c>
      <c r="T649">
        <v>66.848410000000001</v>
      </c>
      <c r="U649">
        <v>80.098320000000001</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72.096080000000001</v>
      </c>
      <c r="AG649">
        <v>70.028000000000006</v>
      </c>
      <c r="AH649">
        <v>77.615340000000003</v>
      </c>
      <c r="AI649">
        <v>57.854430000000001</v>
      </c>
      <c r="AJ649">
        <v>60.818199999999997</v>
      </c>
      <c r="AK649">
        <v>80.97</v>
      </c>
      <c r="AL649">
        <v>80</v>
      </c>
      <c r="AM649">
        <v>76.627350000000007</v>
      </c>
      <c r="AN649">
        <v>75.704130000000006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55.9619</v>
      </c>
    </row>
    <row r="650" spans="1:50" x14ac:dyDescent="0.35">
      <c r="A650" s="75">
        <v>37622</v>
      </c>
      <c r="B650">
        <v>78.655280000000005</v>
      </c>
      <c r="C650">
        <v>78.590720000000005</v>
      </c>
      <c r="D650">
        <v>48.390309999999999</v>
      </c>
      <c r="E650">
        <v>80.589939999999999</v>
      </c>
      <c r="F650">
        <v>95.291430000000005</v>
      </c>
      <c r="G650">
        <v>66.994060000000005</v>
      </c>
      <c r="H650">
        <v>71.321799999999996</v>
      </c>
      <c r="I650">
        <v>58.924790000000002</v>
      </c>
      <c r="J650">
        <v>39.262340000000002</v>
      </c>
      <c r="K650">
        <v>77.099999999999994</v>
      </c>
      <c r="L650">
        <v>83.123230000000007</v>
      </c>
      <c r="M650">
        <v>80.599999999999994</v>
      </c>
      <c r="N650">
        <v>80.14</v>
      </c>
      <c r="O650">
        <v>77.197069999999997</v>
      </c>
      <c r="P650">
        <v>66.087879999999998</v>
      </c>
      <c r="Q650">
        <v>78.64</v>
      </c>
      <c r="R650">
        <v>82.760739999999998</v>
      </c>
      <c r="S650">
        <v>83.57</v>
      </c>
      <c r="T650">
        <v>67.131510000000006</v>
      </c>
      <c r="U650">
        <v>80.282240000000002</v>
      </c>
      <c r="V650">
        <v>75.900000000000006</v>
      </c>
      <c r="W650">
        <v>77.890119999999996</v>
      </c>
      <c r="X650">
        <v>61.06588</v>
      </c>
      <c r="Y650">
        <v>43.74438</v>
      </c>
      <c r="Z650">
        <v>40.04871</v>
      </c>
      <c r="AA650">
        <v>83.628209999999996</v>
      </c>
      <c r="AB650">
        <v>52.48424</v>
      </c>
      <c r="AC650">
        <v>82.25806</v>
      </c>
      <c r="AD650">
        <v>80.247529999999998</v>
      </c>
      <c r="AE650">
        <v>97.123949999999994</v>
      </c>
      <c r="AF650">
        <v>72.564130000000006</v>
      </c>
      <c r="AG650">
        <v>69.999499999999998</v>
      </c>
      <c r="AH650">
        <v>77.031040000000004</v>
      </c>
      <c r="AI650">
        <v>58.384439999999998</v>
      </c>
      <c r="AJ650">
        <v>61.064059999999998</v>
      </c>
      <c r="AK650">
        <v>81.25</v>
      </c>
      <c r="AL650">
        <v>81.900000000000006</v>
      </c>
      <c r="AM650">
        <v>76.872829999999993</v>
      </c>
      <c r="AN650">
        <v>75.865830000000003</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56.415819999999997</v>
      </c>
    </row>
    <row r="651" spans="1:50" x14ac:dyDescent="0.35">
      <c r="A651" s="75">
        <v>37653</v>
      </c>
      <c r="B651">
        <v>78.729900000000001</v>
      </c>
      <c r="C651">
        <v>79.135800000000003</v>
      </c>
      <c r="D651">
        <v>49.150149999999996</v>
      </c>
      <c r="E651">
        <v>81.222020000000001</v>
      </c>
      <c r="F651">
        <v>95.385249999999999</v>
      </c>
      <c r="G651">
        <v>67.534260000000003</v>
      </c>
      <c r="H651">
        <v>71.963700000000003</v>
      </c>
      <c r="I651">
        <v>59.58558</v>
      </c>
      <c r="J651">
        <v>39.581800000000001</v>
      </c>
      <c r="K651">
        <v>77.3</v>
      </c>
      <c r="L651">
        <v>83.589690000000004</v>
      </c>
      <c r="M651">
        <v>81.400000000000006</v>
      </c>
      <c r="N651">
        <v>80.459999999999994</v>
      </c>
      <c r="O651">
        <v>77.360860000000002</v>
      </c>
      <c r="P651">
        <v>66.344229999999996</v>
      </c>
      <c r="Q651">
        <v>78.959999999999994</v>
      </c>
      <c r="R651">
        <v>83.306730000000002</v>
      </c>
      <c r="S651">
        <v>84.15</v>
      </c>
      <c r="T651">
        <v>67.518619999999999</v>
      </c>
      <c r="U651">
        <v>80.708250000000007</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72.962609999999998</v>
      </c>
      <c r="AG651">
        <v>69.819999999999993</v>
      </c>
      <c r="AH651">
        <v>78.08278</v>
      </c>
      <c r="AI651">
        <v>58.570399999999999</v>
      </c>
      <c r="AJ651">
        <v>61.23368</v>
      </c>
      <c r="AK651">
        <v>81.75</v>
      </c>
      <c r="AL651">
        <v>82</v>
      </c>
      <c r="AM651">
        <v>77.267120000000006</v>
      </c>
      <c r="AN651">
        <v>76.215329999999994</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56.353920000000002</v>
      </c>
    </row>
    <row r="652" spans="1:50" x14ac:dyDescent="0.35">
      <c r="A652" s="75">
        <v>37681</v>
      </c>
      <c r="B652">
        <v>78.953779999999995</v>
      </c>
      <c r="C652">
        <v>79.353830000000002</v>
      </c>
      <c r="D652">
        <v>49.754770000000001</v>
      </c>
      <c r="E652">
        <v>81.459050000000005</v>
      </c>
      <c r="F652">
        <v>95.769170000000003</v>
      </c>
      <c r="G652">
        <v>68.322850000000003</v>
      </c>
      <c r="H652">
        <v>71.531909999999996</v>
      </c>
      <c r="I652">
        <v>60.205579999999998</v>
      </c>
      <c r="J652">
        <v>39.837800000000001</v>
      </c>
      <c r="K652">
        <v>77.2</v>
      </c>
      <c r="L652">
        <v>83.682980000000001</v>
      </c>
      <c r="M652">
        <v>82</v>
      </c>
      <c r="N652">
        <v>80.930000000000007</v>
      </c>
      <c r="O652">
        <v>77.897189999999995</v>
      </c>
      <c r="P652">
        <v>66.498050000000006</v>
      </c>
      <c r="Q652">
        <v>79.41</v>
      </c>
      <c r="R652">
        <v>83.536199999999994</v>
      </c>
      <c r="S652">
        <v>84.49</v>
      </c>
      <c r="T652">
        <v>67.880459999999999</v>
      </c>
      <c r="U652">
        <v>81.079740000000001</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73.828090000000003</v>
      </c>
      <c r="AG652">
        <v>69.995699999999999</v>
      </c>
      <c r="AH652">
        <v>78.302750000000003</v>
      </c>
      <c r="AI652">
        <v>58.88655</v>
      </c>
      <c r="AJ652">
        <v>61.62021</v>
      </c>
      <c r="AK652">
        <v>82.53</v>
      </c>
      <c r="AL652">
        <v>81.400000000000006</v>
      </c>
      <c r="AM652">
        <v>77.67756</v>
      </c>
      <c r="AN652">
        <v>76.583370000000002</v>
      </c>
      <c r="AO652">
        <v>76.028790000000001</v>
      </c>
      <c r="AP652">
        <v>81.017349999999993</v>
      </c>
      <c r="AQ652">
        <v>31.72409</v>
      </c>
      <c r="AR652">
        <v>65.381680000000003</v>
      </c>
      <c r="AS652">
        <v>71.577870000000004</v>
      </c>
      <c r="AT652">
        <v>76.44</v>
      </c>
      <c r="AU652">
        <v>89.303889999999996</v>
      </c>
      <c r="AV652">
        <v>37.653739999999999</v>
      </c>
      <c r="AW652">
        <v>77.715940000000003</v>
      </c>
      <c r="AX652">
        <v>56.684040000000003</v>
      </c>
    </row>
    <row r="653" spans="1:50" x14ac:dyDescent="0.35">
      <c r="A653" s="75">
        <v>37712</v>
      </c>
      <c r="B653">
        <v>78.879159999999999</v>
      </c>
      <c r="C653">
        <v>79.155619999999999</v>
      </c>
      <c r="D653">
        <v>50.237360000000002</v>
      </c>
      <c r="E653">
        <v>80.90598</v>
      </c>
      <c r="F653">
        <v>95.959530000000001</v>
      </c>
      <c r="G653">
        <v>68.257350000000002</v>
      </c>
      <c r="H653">
        <v>71.388850000000005</v>
      </c>
      <c r="I653">
        <v>60.899009999999997</v>
      </c>
      <c r="J653">
        <v>40.22072</v>
      </c>
      <c r="K653">
        <v>77.400000000000006</v>
      </c>
      <c r="L653">
        <v>83.403109999999998</v>
      </c>
      <c r="M653">
        <v>81.900000000000006</v>
      </c>
      <c r="N653">
        <v>81.05</v>
      </c>
      <c r="O653">
        <v>78.530940000000001</v>
      </c>
      <c r="P653">
        <v>66.395499999999998</v>
      </c>
      <c r="Q653">
        <v>79.540000000000006</v>
      </c>
      <c r="R653">
        <v>83.433329999999998</v>
      </c>
      <c r="S653">
        <v>84.37</v>
      </c>
      <c r="T653">
        <v>67.98903</v>
      </c>
      <c r="U653">
        <v>81.007859999999994</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73.695260000000005</v>
      </c>
      <c r="AG653">
        <v>70.026799999999994</v>
      </c>
      <c r="AH653">
        <v>78.254630000000006</v>
      </c>
      <c r="AI653">
        <v>59.072519999999997</v>
      </c>
      <c r="AJ653">
        <v>61.725409999999997</v>
      </c>
      <c r="AK653">
        <v>82.61</v>
      </c>
      <c r="AL653">
        <v>80.8</v>
      </c>
      <c r="AM653">
        <v>77.676190000000005</v>
      </c>
      <c r="AN653">
        <v>76.706419999999994</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56.814709999999998</v>
      </c>
    </row>
    <row r="654" spans="1:50" x14ac:dyDescent="0.35">
      <c r="A654" s="75">
        <v>37742</v>
      </c>
      <c r="B654">
        <v>78.879159999999999</v>
      </c>
      <c r="C654">
        <v>78.93759</v>
      </c>
      <c r="D654">
        <v>50.543849999999999</v>
      </c>
      <c r="E654">
        <v>80.984989999999996</v>
      </c>
      <c r="F654">
        <v>95.805760000000006</v>
      </c>
      <c r="G654">
        <v>67.996189999999999</v>
      </c>
      <c r="H654">
        <v>70.889129999999994</v>
      </c>
      <c r="I654">
        <v>61.192689999999999</v>
      </c>
      <c r="J654">
        <v>40.432609999999997</v>
      </c>
      <c r="K654">
        <v>77.400000000000006</v>
      </c>
      <c r="L654">
        <v>83.216520000000003</v>
      </c>
      <c r="M654">
        <v>81.8</v>
      </c>
      <c r="N654">
        <v>81</v>
      </c>
      <c r="O654">
        <v>78.458150000000003</v>
      </c>
      <c r="P654">
        <v>66.190420000000003</v>
      </c>
      <c r="Q654">
        <v>79.5</v>
      </c>
      <c r="R654">
        <v>83.330470000000005</v>
      </c>
      <c r="S654">
        <v>84.27</v>
      </c>
      <c r="T654">
        <v>67.978620000000006</v>
      </c>
      <c r="U654">
        <v>80.951210000000003</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73.562430000000006</v>
      </c>
      <c r="AG654">
        <v>69.921499999999995</v>
      </c>
      <c r="AH654">
        <v>78.282129999999995</v>
      </c>
      <c r="AI654">
        <v>59.174799999999998</v>
      </c>
      <c r="AJ654">
        <v>61.526240000000001</v>
      </c>
      <c r="AK654">
        <v>82.55</v>
      </c>
      <c r="AL654">
        <v>80.3</v>
      </c>
      <c r="AM654">
        <v>77.636340000000004</v>
      </c>
      <c r="AN654">
        <v>76.718980000000002</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56.814709999999998</v>
      </c>
    </row>
    <row r="655" spans="1:50" x14ac:dyDescent="0.35">
      <c r="A655" s="75">
        <v>37773</v>
      </c>
      <c r="B655">
        <v>79.028400000000005</v>
      </c>
      <c r="C655">
        <v>79.165530000000004</v>
      </c>
      <c r="D655">
        <v>50.467979999999997</v>
      </c>
      <c r="E655">
        <v>80.984989999999996</v>
      </c>
      <c r="F655">
        <v>95.807659999999998</v>
      </c>
      <c r="G655">
        <v>67.996189999999999</v>
      </c>
      <c r="H655">
        <v>70.038460000000001</v>
      </c>
      <c r="I655">
        <v>61.160060000000001</v>
      </c>
      <c r="J655">
        <v>40.703670000000002</v>
      </c>
      <c r="K655">
        <v>77.400000000000006</v>
      </c>
      <c r="L655">
        <v>83.496399999999994</v>
      </c>
      <c r="M655">
        <v>81.8</v>
      </c>
      <c r="N655">
        <v>81.099999999999994</v>
      </c>
      <c r="O655">
        <v>78.510599999999997</v>
      </c>
      <c r="P655">
        <v>65.882800000000003</v>
      </c>
      <c r="Q655">
        <v>79.58</v>
      </c>
      <c r="R655">
        <v>83.235510000000005</v>
      </c>
      <c r="S655">
        <v>84.43</v>
      </c>
      <c r="T655">
        <v>67.979209999999995</v>
      </c>
      <c r="U655">
        <v>80.998829999999998</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73.362139999999997</v>
      </c>
      <c r="AG655">
        <v>69.983099999999993</v>
      </c>
      <c r="AH655">
        <v>78.282129999999995</v>
      </c>
      <c r="AI655">
        <v>59.583930000000002</v>
      </c>
      <c r="AJ655">
        <v>61.577069999999999</v>
      </c>
      <c r="AK655">
        <v>82.17</v>
      </c>
      <c r="AL655">
        <v>80.099999999999994</v>
      </c>
      <c r="AM655">
        <v>77.662999999999997</v>
      </c>
      <c r="AN655">
        <v>76.774209999999997</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56.711550000000003</v>
      </c>
    </row>
    <row r="656" spans="1:50" x14ac:dyDescent="0.35">
      <c r="A656" s="75">
        <v>37803</v>
      </c>
      <c r="B656">
        <v>78.953779999999995</v>
      </c>
      <c r="C656">
        <v>79.314189999999996</v>
      </c>
      <c r="D656">
        <v>50.568899999999999</v>
      </c>
      <c r="E656">
        <v>81.063999999999993</v>
      </c>
      <c r="F656">
        <v>95.039619999999999</v>
      </c>
      <c r="G656">
        <v>67.937479999999994</v>
      </c>
      <c r="H656">
        <v>69.688270000000003</v>
      </c>
      <c r="I656">
        <v>61.070320000000002</v>
      </c>
      <c r="J656">
        <v>41.029589999999999</v>
      </c>
      <c r="K656">
        <v>77.5</v>
      </c>
      <c r="L656">
        <v>83.682980000000001</v>
      </c>
      <c r="M656">
        <v>81.3</v>
      </c>
      <c r="N656">
        <v>80.98</v>
      </c>
      <c r="O656">
        <v>78.018159999999995</v>
      </c>
      <c r="P656">
        <v>65.985339999999994</v>
      </c>
      <c r="Q656">
        <v>79.47</v>
      </c>
      <c r="R656">
        <v>82.800309999999996</v>
      </c>
      <c r="S656">
        <v>84.34</v>
      </c>
      <c r="T656">
        <v>67.99879</v>
      </c>
      <c r="U656">
        <v>81.039550000000006</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73.296779999999998</v>
      </c>
      <c r="AG656">
        <v>69.426199999999994</v>
      </c>
      <c r="AH656">
        <v>77.608469999999997</v>
      </c>
      <c r="AI656">
        <v>59.379359999999998</v>
      </c>
      <c r="AJ656">
        <v>61.666310000000003</v>
      </c>
      <c r="AK656">
        <v>82.24</v>
      </c>
      <c r="AL656">
        <v>79.8</v>
      </c>
      <c r="AM656">
        <v>77.65428</v>
      </c>
      <c r="AN656">
        <v>76.674170000000004</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56.422699999999999</v>
      </c>
    </row>
    <row r="657" spans="1:50" x14ac:dyDescent="0.35">
      <c r="A657" s="75">
        <v>37834</v>
      </c>
      <c r="B657">
        <v>79.177660000000003</v>
      </c>
      <c r="C657">
        <v>79.532219999999995</v>
      </c>
      <c r="D657">
        <v>50.740830000000003</v>
      </c>
      <c r="E657">
        <v>81.301029999999997</v>
      </c>
      <c r="F657">
        <v>95.260859999999994</v>
      </c>
      <c r="G657">
        <v>68.049769999999995</v>
      </c>
      <c r="H657">
        <v>70.176090000000002</v>
      </c>
      <c r="I657">
        <v>61.266109999999998</v>
      </c>
      <c r="J657">
        <v>41.199530000000003</v>
      </c>
      <c r="K657">
        <v>77.3</v>
      </c>
      <c r="L657">
        <v>83.682980000000001</v>
      </c>
      <c r="M657">
        <v>81.3</v>
      </c>
      <c r="N657">
        <v>81.099999999999994</v>
      </c>
      <c r="O657">
        <v>78.37679</v>
      </c>
      <c r="P657">
        <v>65.985339999999994</v>
      </c>
      <c r="Q657">
        <v>79.56</v>
      </c>
      <c r="R657">
        <v>82.911090000000002</v>
      </c>
      <c r="S657">
        <v>84.54</v>
      </c>
      <c r="T657">
        <v>68.159260000000003</v>
      </c>
      <c r="U657">
        <v>81.276359999999997</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73.62885</v>
      </c>
      <c r="AG657">
        <v>68.924499999999995</v>
      </c>
      <c r="AH657">
        <v>78.639579999999995</v>
      </c>
      <c r="AI657">
        <v>58.737780000000001</v>
      </c>
      <c r="AJ657">
        <v>61.851300000000002</v>
      </c>
      <c r="AK657">
        <v>82.5</v>
      </c>
      <c r="AL657">
        <v>80</v>
      </c>
      <c r="AM657">
        <v>77.863979999999998</v>
      </c>
      <c r="AN657">
        <v>76.802180000000007</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56.546489999999999</v>
      </c>
    </row>
    <row r="658" spans="1:50" x14ac:dyDescent="0.35">
      <c r="A658" s="75">
        <v>37865</v>
      </c>
      <c r="B658">
        <v>79.326909999999998</v>
      </c>
      <c r="C658">
        <v>79.760159999999999</v>
      </c>
      <c r="D658">
        <v>51.13664</v>
      </c>
      <c r="E658">
        <v>81.459050000000005</v>
      </c>
      <c r="F658">
        <v>95.398889999999994</v>
      </c>
      <c r="G658">
        <v>68.179929999999999</v>
      </c>
      <c r="H658">
        <v>71.018199999999993</v>
      </c>
      <c r="I658">
        <v>61.396639999999998</v>
      </c>
      <c r="J658">
        <v>41.253309999999999</v>
      </c>
      <c r="K658">
        <v>77</v>
      </c>
      <c r="L658">
        <v>83.589690000000004</v>
      </c>
      <c r="M658">
        <v>81.8</v>
      </c>
      <c r="N658">
        <v>81.39</v>
      </c>
      <c r="O658">
        <v>78.610169999999997</v>
      </c>
      <c r="P658">
        <v>66.139139999999998</v>
      </c>
      <c r="Q658">
        <v>79.88</v>
      </c>
      <c r="R658">
        <v>83.251339999999999</v>
      </c>
      <c r="S658">
        <v>84.86</v>
      </c>
      <c r="T658">
        <v>68.43629</v>
      </c>
      <c r="U658">
        <v>81.470920000000007</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74.295090000000002</v>
      </c>
      <c r="AG658">
        <v>68.671499999999995</v>
      </c>
      <c r="AH658">
        <v>78.990160000000003</v>
      </c>
      <c r="AI658">
        <v>59.007429999999999</v>
      </c>
      <c r="AJ658">
        <v>62.21951</v>
      </c>
      <c r="AK658">
        <v>83.31</v>
      </c>
      <c r="AL658">
        <v>80.400000000000006</v>
      </c>
      <c r="AM658">
        <v>78.111999999999995</v>
      </c>
      <c r="AN658">
        <v>77.058670000000006</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56.161349999999999</v>
      </c>
    </row>
    <row r="659" spans="1:50" x14ac:dyDescent="0.35">
      <c r="A659" s="75">
        <v>37895</v>
      </c>
      <c r="B659">
        <v>79.177660000000003</v>
      </c>
      <c r="C659">
        <v>79.502489999999995</v>
      </c>
      <c r="D659">
        <v>51.284889999999997</v>
      </c>
      <c r="E659">
        <v>81.222020000000001</v>
      </c>
      <c r="F659">
        <v>95.882739999999998</v>
      </c>
      <c r="G659">
        <v>68.073589999999996</v>
      </c>
      <c r="H659">
        <v>71.657359999999997</v>
      </c>
      <c r="I659">
        <v>61.437429999999999</v>
      </c>
      <c r="J659">
        <v>41.735190000000003</v>
      </c>
      <c r="K659">
        <v>77</v>
      </c>
      <c r="L659">
        <v>83.589690000000004</v>
      </c>
      <c r="M659">
        <v>81.599999999999994</v>
      </c>
      <c r="N659">
        <v>81.510000000000005</v>
      </c>
      <c r="O659">
        <v>79.140079999999998</v>
      </c>
      <c r="P659">
        <v>66.241690000000006</v>
      </c>
      <c r="Q659">
        <v>80.03</v>
      </c>
      <c r="R659">
        <v>83.164299999999997</v>
      </c>
      <c r="S659">
        <v>85.04</v>
      </c>
      <c r="T659">
        <v>68.574560000000005</v>
      </c>
      <c r="U659">
        <v>81.438990000000004</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74.360439999999997</v>
      </c>
      <c r="AG659">
        <v>68.773799999999994</v>
      </c>
      <c r="AH659">
        <v>78.942040000000006</v>
      </c>
      <c r="AI659">
        <v>59.518839999999997</v>
      </c>
      <c r="AJ659">
        <v>62.44764</v>
      </c>
      <c r="AK659">
        <v>83.08</v>
      </c>
      <c r="AL659">
        <v>80.400000000000006</v>
      </c>
      <c r="AM659">
        <v>78.15361</v>
      </c>
      <c r="AN659">
        <v>77.212209999999999</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55.728070000000002</v>
      </c>
    </row>
    <row r="660" spans="1:50" x14ac:dyDescent="0.35">
      <c r="A660" s="75">
        <v>37926</v>
      </c>
      <c r="B660">
        <v>79.326909999999998</v>
      </c>
      <c r="C660">
        <v>79.651150000000001</v>
      </c>
      <c r="D660">
        <v>51.45937</v>
      </c>
      <c r="E660">
        <v>81.459050000000005</v>
      </c>
      <c r="F660">
        <v>95.762150000000005</v>
      </c>
      <c r="G660">
        <v>67.866029999999995</v>
      </c>
      <c r="H660">
        <v>72.373940000000005</v>
      </c>
      <c r="I660">
        <v>61.649540000000002</v>
      </c>
      <c r="J660">
        <v>42.327860000000001</v>
      </c>
      <c r="K660">
        <v>77.400000000000006</v>
      </c>
      <c r="L660">
        <v>83.403109999999998</v>
      </c>
      <c r="M660">
        <v>81.8</v>
      </c>
      <c r="N660">
        <v>81.540000000000006</v>
      </c>
      <c r="O660">
        <v>79.398079999999993</v>
      </c>
      <c r="P660">
        <v>66.139139999999998</v>
      </c>
      <c r="Q660">
        <v>80.11</v>
      </c>
      <c r="R660">
        <v>83.085170000000005</v>
      </c>
      <c r="S660">
        <v>85.14</v>
      </c>
      <c r="T660">
        <v>68.628240000000005</v>
      </c>
      <c r="U660">
        <v>81.279430000000005</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74.227620000000002</v>
      </c>
      <c r="AG660">
        <v>69.099900000000005</v>
      </c>
      <c r="AH660">
        <v>79.134510000000006</v>
      </c>
      <c r="AI660">
        <v>59.834980000000002</v>
      </c>
      <c r="AJ660">
        <v>62.965960000000003</v>
      </c>
      <c r="AK660">
        <v>82.87</v>
      </c>
      <c r="AL660">
        <v>80.5</v>
      </c>
      <c r="AM660">
        <v>78.101730000000003</v>
      </c>
      <c r="AN660">
        <v>77.314229999999995</v>
      </c>
      <c r="AO660">
        <v>76.521119999999996</v>
      </c>
      <c r="AP660">
        <v>82.725089999999994</v>
      </c>
      <c r="AQ660">
        <v>33.415709999999997</v>
      </c>
      <c r="AR660">
        <v>65.714240000000004</v>
      </c>
      <c r="AS660">
        <v>73.352029999999999</v>
      </c>
      <c r="AT660">
        <v>78.14</v>
      </c>
      <c r="AU660">
        <v>88.82199</v>
      </c>
      <c r="AV660">
        <v>39.787399999999998</v>
      </c>
      <c r="AW660">
        <v>77.842510000000004</v>
      </c>
      <c r="AX660">
        <v>55.09534</v>
      </c>
    </row>
    <row r="661" spans="1:50" x14ac:dyDescent="0.35">
      <c r="A661" s="75">
        <v>37956</v>
      </c>
      <c r="B661">
        <v>79.476159999999993</v>
      </c>
      <c r="C661">
        <v>79.601590000000002</v>
      </c>
      <c r="D661">
        <v>51.726880000000001</v>
      </c>
      <c r="E661">
        <v>81.538060000000002</v>
      </c>
      <c r="F661">
        <v>95.780699999999996</v>
      </c>
      <c r="G661">
        <v>67.646550000000005</v>
      </c>
      <c r="H661">
        <v>72.808179999999993</v>
      </c>
      <c r="I661">
        <v>62.024799999999999</v>
      </c>
      <c r="J661">
        <v>42.859220000000001</v>
      </c>
      <c r="K661">
        <v>77.5</v>
      </c>
      <c r="L661">
        <v>84.056150000000002</v>
      </c>
      <c r="M661">
        <v>81.599999999999994</v>
      </c>
      <c r="N661">
        <v>81.790000000000006</v>
      </c>
      <c r="O661">
        <v>79.534030000000001</v>
      </c>
      <c r="P661">
        <v>66.036609999999996</v>
      </c>
      <c r="Q661">
        <v>80.36</v>
      </c>
      <c r="R661">
        <v>83.156390000000002</v>
      </c>
      <c r="S661">
        <v>85.23</v>
      </c>
      <c r="T661">
        <v>68.753799999999998</v>
      </c>
      <c r="U661">
        <v>81.331819999999993</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74.561790000000002</v>
      </c>
      <c r="AG661">
        <v>69.098500000000001</v>
      </c>
      <c r="AH661">
        <v>79.216999999999999</v>
      </c>
      <c r="AI661">
        <v>59.946559999999998</v>
      </c>
      <c r="AJ661">
        <v>63.236649999999997</v>
      </c>
      <c r="AK661">
        <v>82.34</v>
      </c>
      <c r="AL661">
        <v>80.5</v>
      </c>
      <c r="AM661">
        <v>78.177959999999999</v>
      </c>
      <c r="AN661">
        <v>77.504329999999996</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55.047199999999997</v>
      </c>
    </row>
    <row r="662" spans="1:50" x14ac:dyDescent="0.35">
      <c r="A662" s="75">
        <v>37987</v>
      </c>
      <c r="B662">
        <v>79.550790000000006</v>
      </c>
      <c r="C662">
        <v>79.839449999999999</v>
      </c>
      <c r="D662">
        <v>52.119900000000001</v>
      </c>
      <c r="E662">
        <v>81.617069999999998</v>
      </c>
      <c r="F662">
        <v>95.455820000000003</v>
      </c>
      <c r="G662">
        <v>67.522350000000003</v>
      </c>
      <c r="H662">
        <v>73.609070000000003</v>
      </c>
      <c r="I662">
        <v>62.571379999999998</v>
      </c>
      <c r="J662">
        <v>43.58849</v>
      </c>
      <c r="K662">
        <v>78.900000000000006</v>
      </c>
      <c r="L662">
        <v>84.056150000000002</v>
      </c>
      <c r="M662">
        <v>81.599999999999994</v>
      </c>
      <c r="N662">
        <v>81.61</v>
      </c>
      <c r="O662">
        <v>78.976290000000006</v>
      </c>
      <c r="P662">
        <v>66.395499999999998</v>
      </c>
      <c r="Q662">
        <v>80.3</v>
      </c>
      <c r="R662">
        <v>82.926910000000007</v>
      </c>
      <c r="S662">
        <v>85.23</v>
      </c>
      <c r="T662">
        <v>68.992949999999993</v>
      </c>
      <c r="U662">
        <v>81.510639999999995</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75.027739999999994</v>
      </c>
      <c r="AG662">
        <v>69.084999999999994</v>
      </c>
      <c r="AH662">
        <v>78.653329999999997</v>
      </c>
      <c r="AI662">
        <v>60.66254</v>
      </c>
      <c r="AJ662">
        <v>63.629669999999997</v>
      </c>
      <c r="AK662">
        <v>82.35</v>
      </c>
      <c r="AL662">
        <v>80.400000000000006</v>
      </c>
      <c r="AM662">
        <v>78.368350000000007</v>
      </c>
      <c r="AN662">
        <v>77.504679999999993</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55.287909999999997</v>
      </c>
    </row>
    <row r="663" spans="1:50" x14ac:dyDescent="0.35">
      <c r="A663" s="75">
        <v>38018</v>
      </c>
      <c r="B663">
        <v>79.849289999999996</v>
      </c>
      <c r="C663">
        <v>80.136759999999995</v>
      </c>
      <c r="D663">
        <v>52.437759999999997</v>
      </c>
      <c r="E663">
        <v>81.775090000000006</v>
      </c>
      <c r="F663">
        <v>95.471760000000003</v>
      </c>
      <c r="G663">
        <v>67.528300000000002</v>
      </c>
      <c r="H663">
        <v>73.461849999999998</v>
      </c>
      <c r="I663">
        <v>63.321910000000003</v>
      </c>
      <c r="J663">
        <v>44.15211</v>
      </c>
      <c r="K663">
        <v>79.099999999999994</v>
      </c>
      <c r="L663">
        <v>84.242739999999998</v>
      </c>
      <c r="M663">
        <v>82.2</v>
      </c>
      <c r="N663">
        <v>81.8</v>
      </c>
      <c r="O663">
        <v>79.012690000000006</v>
      </c>
      <c r="P663">
        <v>66.651859999999999</v>
      </c>
      <c r="Q663">
        <v>80.5</v>
      </c>
      <c r="R663">
        <v>83.393770000000004</v>
      </c>
      <c r="S663">
        <v>85.59</v>
      </c>
      <c r="T663">
        <v>69.209329999999994</v>
      </c>
      <c r="U663">
        <v>81.820920000000001</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75.359800000000007</v>
      </c>
      <c r="AG663">
        <v>68.923599999999993</v>
      </c>
      <c r="AH663">
        <v>79.670689999999993</v>
      </c>
      <c r="AI663">
        <v>61.090260000000001</v>
      </c>
      <c r="AJ663">
        <v>64.010289999999998</v>
      </c>
      <c r="AK663">
        <v>82.72</v>
      </c>
      <c r="AL663">
        <v>80.5</v>
      </c>
      <c r="AM663">
        <v>78.657849999999996</v>
      </c>
      <c r="AN663">
        <v>77.709639999999993</v>
      </c>
      <c r="AO663">
        <v>77.013440000000003</v>
      </c>
      <c r="AP663">
        <v>82.652439999999999</v>
      </c>
      <c r="AQ663">
        <v>34.714799999999997</v>
      </c>
      <c r="AR663">
        <v>66.113309999999998</v>
      </c>
      <c r="AS663">
        <v>77.328580000000002</v>
      </c>
      <c r="AT663">
        <v>78.63</v>
      </c>
      <c r="AU663">
        <v>88.493279999999999</v>
      </c>
      <c r="AV663">
        <v>40.428269999999998</v>
      </c>
      <c r="AW663">
        <v>78.55977</v>
      </c>
      <c r="AX663">
        <v>55.459850000000003</v>
      </c>
    </row>
    <row r="664" spans="1:50" x14ac:dyDescent="0.35">
      <c r="A664" s="75">
        <v>38047</v>
      </c>
      <c r="B664">
        <v>80.147790000000001</v>
      </c>
      <c r="C664">
        <v>80.245779999999996</v>
      </c>
      <c r="D664">
        <v>52.684159999999999</v>
      </c>
      <c r="E664">
        <v>82.091130000000007</v>
      </c>
      <c r="F664">
        <v>95.676249999999996</v>
      </c>
      <c r="G664">
        <v>67.812430000000006</v>
      </c>
      <c r="H664">
        <v>73.682239999999993</v>
      </c>
      <c r="I664">
        <v>63.950069999999997</v>
      </c>
      <c r="J664">
        <v>44.355409999999999</v>
      </c>
      <c r="K664">
        <v>79.099999999999994</v>
      </c>
      <c r="L664">
        <v>84.52261</v>
      </c>
      <c r="M664">
        <v>82.5</v>
      </c>
      <c r="N664">
        <v>82.32</v>
      </c>
      <c r="O664">
        <v>79.564009999999996</v>
      </c>
      <c r="P664">
        <v>66.754390000000001</v>
      </c>
      <c r="Q664">
        <v>80.98</v>
      </c>
      <c r="R664">
        <v>83.108909999999995</v>
      </c>
      <c r="S664">
        <v>85.93</v>
      </c>
      <c r="T664">
        <v>69.543670000000006</v>
      </c>
      <c r="U664">
        <v>82.209860000000006</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76.091399999999993</v>
      </c>
      <c r="AG664">
        <v>69.273399999999995</v>
      </c>
      <c r="AH664">
        <v>79.705060000000003</v>
      </c>
      <c r="AI664">
        <v>61.703949999999999</v>
      </c>
      <c r="AJ664">
        <v>64.227199999999996</v>
      </c>
      <c r="AK664">
        <v>83.44</v>
      </c>
      <c r="AL664">
        <v>80.900000000000006</v>
      </c>
      <c r="AM664">
        <v>79.051249999999996</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55.72119</v>
      </c>
    </row>
    <row r="665" spans="1:50" x14ac:dyDescent="0.35">
      <c r="A665" s="75">
        <v>38078</v>
      </c>
      <c r="B665">
        <v>80.147790000000001</v>
      </c>
      <c r="C665">
        <v>80.681849999999997</v>
      </c>
      <c r="D665">
        <v>52.879049999999999</v>
      </c>
      <c r="E665">
        <v>82.24915</v>
      </c>
      <c r="F665">
        <v>96.483289999999997</v>
      </c>
      <c r="G665">
        <v>68.061679999999996</v>
      </c>
      <c r="H665">
        <v>74.050650000000005</v>
      </c>
      <c r="I665">
        <v>64.235600000000005</v>
      </c>
      <c r="J665">
        <v>44.760919999999999</v>
      </c>
      <c r="K665">
        <v>79.099999999999994</v>
      </c>
      <c r="L665">
        <v>84.802480000000003</v>
      </c>
      <c r="M665">
        <v>82.6</v>
      </c>
      <c r="N665">
        <v>82.74</v>
      </c>
      <c r="O665">
        <v>80.653809999999993</v>
      </c>
      <c r="P665">
        <v>67.267110000000002</v>
      </c>
      <c r="Q665">
        <v>81.39</v>
      </c>
      <c r="R665">
        <v>83.12473</v>
      </c>
      <c r="S665">
        <v>86.15</v>
      </c>
      <c r="T665">
        <v>69.788560000000004</v>
      </c>
      <c r="U665">
        <v>82.433149999999998</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76.091399999999993</v>
      </c>
      <c r="AG665">
        <v>69.5732</v>
      </c>
      <c r="AH665">
        <v>79.925030000000007</v>
      </c>
      <c r="AI665">
        <v>62.057290000000002</v>
      </c>
      <c r="AJ665">
        <v>64.324119999999994</v>
      </c>
      <c r="AK665">
        <v>83.71</v>
      </c>
      <c r="AL665">
        <v>81</v>
      </c>
      <c r="AM665">
        <v>79.305440000000004</v>
      </c>
      <c r="AN665">
        <v>78.379570000000001</v>
      </c>
      <c r="AO665">
        <v>77.857429999999994</v>
      </c>
      <c r="AP665">
        <v>83.548109999999994</v>
      </c>
      <c r="AQ665">
        <v>35.32141</v>
      </c>
      <c r="AR665">
        <v>65.714240000000004</v>
      </c>
      <c r="AS665">
        <v>77.45093</v>
      </c>
      <c r="AT665">
        <v>79.48</v>
      </c>
      <c r="AU665">
        <v>89.179419999999993</v>
      </c>
      <c r="AV665">
        <v>41.01925</v>
      </c>
      <c r="AW665">
        <v>79.319209999999998</v>
      </c>
      <c r="AX665">
        <v>55.783090000000001</v>
      </c>
    </row>
    <row r="666" spans="1:50" x14ac:dyDescent="0.35">
      <c r="A666" s="75">
        <v>38108</v>
      </c>
      <c r="B666">
        <v>80.520920000000004</v>
      </c>
      <c r="C666">
        <v>80.989069999999998</v>
      </c>
      <c r="D666">
        <v>53.148650000000004</v>
      </c>
      <c r="E666">
        <v>82.960229999999996</v>
      </c>
      <c r="F666">
        <v>96.706320000000005</v>
      </c>
      <c r="G666">
        <v>68.417270000000002</v>
      </c>
      <c r="H666">
        <v>73.976600000000005</v>
      </c>
      <c r="I666">
        <v>64.480339999999998</v>
      </c>
      <c r="J666">
        <v>45.061019999999999</v>
      </c>
      <c r="K666">
        <v>79.5</v>
      </c>
      <c r="L666">
        <v>84.989069999999998</v>
      </c>
      <c r="M666">
        <v>82.9</v>
      </c>
      <c r="N666">
        <v>83.01</v>
      </c>
      <c r="O666">
        <v>81.129130000000004</v>
      </c>
      <c r="P666">
        <v>68.651409999999998</v>
      </c>
      <c r="Q666">
        <v>81.69</v>
      </c>
      <c r="R666">
        <v>83.24342</v>
      </c>
      <c r="S666">
        <v>86.47</v>
      </c>
      <c r="T666">
        <v>70.071950000000001</v>
      </c>
      <c r="U666">
        <v>82.804180000000002</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76.026039999999995</v>
      </c>
      <c r="AG666">
        <v>70.647000000000006</v>
      </c>
      <c r="AH666">
        <v>80.096890000000002</v>
      </c>
      <c r="AI666">
        <v>62.847650000000002</v>
      </c>
      <c r="AJ666">
        <v>64.162769999999995</v>
      </c>
      <c r="AK666">
        <v>83.85</v>
      </c>
      <c r="AL666">
        <v>81.099999999999994</v>
      </c>
      <c r="AM666">
        <v>79.627669999999995</v>
      </c>
      <c r="AN666">
        <v>78.677700000000002</v>
      </c>
      <c r="AO666">
        <v>78.631079999999997</v>
      </c>
      <c r="AP666">
        <v>84.094470000000001</v>
      </c>
      <c r="AQ666">
        <v>35.582790000000003</v>
      </c>
      <c r="AR666">
        <v>65.647729999999996</v>
      </c>
      <c r="AS666">
        <v>77.756820000000005</v>
      </c>
      <c r="AT666">
        <v>80.16</v>
      </c>
      <c r="AU666">
        <v>89.399630000000002</v>
      </c>
      <c r="AV666">
        <v>41.195770000000003</v>
      </c>
      <c r="AW666">
        <v>79.78331</v>
      </c>
      <c r="AX666">
        <v>55.789969999999997</v>
      </c>
    </row>
    <row r="667" spans="1:50" x14ac:dyDescent="0.35">
      <c r="A667" s="75">
        <v>38139</v>
      </c>
      <c r="B667">
        <v>80.819419999999994</v>
      </c>
      <c r="C667">
        <v>80.949430000000007</v>
      </c>
      <c r="D667">
        <v>53.5259</v>
      </c>
      <c r="E667">
        <v>83.039240000000007</v>
      </c>
      <c r="F667">
        <v>96.87312</v>
      </c>
      <c r="G667">
        <v>68.714169999999996</v>
      </c>
      <c r="H667">
        <v>73.458759999999998</v>
      </c>
      <c r="I667">
        <v>64.871920000000003</v>
      </c>
      <c r="J667">
        <v>45.541820000000001</v>
      </c>
      <c r="K667">
        <v>79.599999999999994</v>
      </c>
      <c r="L667">
        <v>84.989069999999998</v>
      </c>
      <c r="M667">
        <v>82.7</v>
      </c>
      <c r="N667">
        <v>83.05</v>
      </c>
      <c r="O667">
        <v>81.257589999999993</v>
      </c>
      <c r="P667">
        <v>68.856489999999994</v>
      </c>
      <c r="Q667">
        <v>81.75</v>
      </c>
      <c r="R667">
        <v>83.188029999999998</v>
      </c>
      <c r="S667">
        <v>86.5</v>
      </c>
      <c r="T667">
        <v>70.209320000000005</v>
      </c>
      <c r="U667">
        <v>82.981350000000006</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76.026039999999995</v>
      </c>
      <c r="AG667">
        <v>70.721299999999999</v>
      </c>
      <c r="AH667">
        <v>80.303110000000004</v>
      </c>
      <c r="AI667">
        <v>63.22889</v>
      </c>
      <c r="AJ667">
        <v>64.265609999999995</v>
      </c>
      <c r="AK667">
        <v>83.31</v>
      </c>
      <c r="AL667">
        <v>81.099999999999994</v>
      </c>
      <c r="AM667">
        <v>79.774029999999996</v>
      </c>
      <c r="AN667">
        <v>78.717060000000004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55.83811</v>
      </c>
    </row>
    <row r="668" spans="1:50" x14ac:dyDescent="0.35">
      <c r="A668" s="75">
        <v>38169</v>
      </c>
      <c r="B668">
        <v>80.670169999999999</v>
      </c>
      <c r="C668">
        <v>81.226929999999996</v>
      </c>
      <c r="D668">
        <v>54.012889999999999</v>
      </c>
      <c r="E668">
        <v>82.960229999999996</v>
      </c>
      <c r="F668">
        <v>95.859290000000001</v>
      </c>
      <c r="G668">
        <v>68.874099999999999</v>
      </c>
      <c r="H668">
        <v>73.311840000000004</v>
      </c>
      <c r="I668">
        <v>64.855609999999999</v>
      </c>
      <c r="J668">
        <v>46.132330000000003</v>
      </c>
      <c r="K668">
        <v>79.900000000000006</v>
      </c>
      <c r="L668">
        <v>85.175650000000005</v>
      </c>
      <c r="M668">
        <v>82.4</v>
      </c>
      <c r="N668">
        <v>82.88</v>
      </c>
      <c r="O668">
        <v>80.640960000000007</v>
      </c>
      <c r="P668">
        <v>68.702680000000001</v>
      </c>
      <c r="Q668">
        <v>81.62</v>
      </c>
      <c r="R668">
        <v>83.069339999999997</v>
      </c>
      <c r="S668">
        <v>86.36</v>
      </c>
      <c r="T668">
        <v>70.232110000000006</v>
      </c>
      <c r="U668">
        <v>82.871279999999999</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76.491990000000001</v>
      </c>
      <c r="AG668">
        <v>70.718500000000006</v>
      </c>
      <c r="AH668">
        <v>79.491969999999995</v>
      </c>
      <c r="AI668">
        <v>63.33117</v>
      </c>
      <c r="AJ668">
        <v>64.434049999999999</v>
      </c>
      <c r="AK668">
        <v>83.19</v>
      </c>
      <c r="AL668">
        <v>81</v>
      </c>
      <c r="AM668">
        <v>79.690219999999997</v>
      </c>
      <c r="AN668">
        <v>78.620019999999997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55.948149999999998</v>
      </c>
    </row>
    <row r="669" spans="1:50" x14ac:dyDescent="0.35">
      <c r="A669" s="75">
        <v>38200</v>
      </c>
      <c r="B669">
        <v>80.968670000000003</v>
      </c>
      <c r="C669">
        <v>81.326030000000003</v>
      </c>
      <c r="D669">
        <v>54.3855</v>
      </c>
      <c r="E669">
        <v>82.802220000000005</v>
      </c>
      <c r="F669">
        <v>96.214550000000003</v>
      </c>
      <c r="G669">
        <v>69.135270000000006</v>
      </c>
      <c r="H669">
        <v>73.825029999999998</v>
      </c>
      <c r="I669">
        <v>64.871920000000003</v>
      </c>
      <c r="J669">
        <v>46.577640000000002</v>
      </c>
      <c r="K669">
        <v>79.900000000000006</v>
      </c>
      <c r="L669">
        <v>85.268940000000001</v>
      </c>
      <c r="M669">
        <v>82.2</v>
      </c>
      <c r="N669">
        <v>83.04</v>
      </c>
      <c r="O669">
        <v>80.997450000000001</v>
      </c>
      <c r="P669">
        <v>68.600139999999996</v>
      </c>
      <c r="Q669">
        <v>81.739999999999995</v>
      </c>
      <c r="R669">
        <v>83.282989999999998</v>
      </c>
      <c r="S669">
        <v>86.55</v>
      </c>
      <c r="T669">
        <v>70.414510000000007</v>
      </c>
      <c r="U669">
        <v>82.948840000000004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77.156120000000001</v>
      </c>
      <c r="AG669">
        <v>70.4392</v>
      </c>
      <c r="AH669">
        <v>80.426839999999999</v>
      </c>
      <c r="AI669">
        <v>63.284680000000002</v>
      </c>
      <c r="AJ669">
        <v>64.831810000000004</v>
      </c>
      <c r="AK669">
        <v>83.47</v>
      </c>
      <c r="AL669">
        <v>80.8</v>
      </c>
      <c r="AM669">
        <v>79.807429999999997</v>
      </c>
      <c r="AN669">
        <v>78.769670000000005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55.83811</v>
      </c>
    </row>
    <row r="670" spans="1:50" x14ac:dyDescent="0.35">
      <c r="A670" s="75">
        <v>38231</v>
      </c>
      <c r="B670">
        <v>80.968670000000003</v>
      </c>
      <c r="C670">
        <v>81.385499999999993</v>
      </c>
      <c r="D670">
        <v>54.565080000000002</v>
      </c>
      <c r="E670">
        <v>82.960229999999996</v>
      </c>
      <c r="F670">
        <v>96.220050000000001</v>
      </c>
      <c r="G670">
        <v>69.171000000000006</v>
      </c>
      <c r="H670">
        <v>74.637100000000004</v>
      </c>
      <c r="I670">
        <v>65.067710000000005</v>
      </c>
      <c r="J670">
        <v>46.94012</v>
      </c>
      <c r="K670">
        <v>79.2</v>
      </c>
      <c r="L670">
        <v>85.082359999999994</v>
      </c>
      <c r="M670">
        <v>82.7</v>
      </c>
      <c r="N670">
        <v>83.14</v>
      </c>
      <c r="O670">
        <v>81.141970000000001</v>
      </c>
      <c r="P670">
        <v>68.702680000000001</v>
      </c>
      <c r="Q670">
        <v>81.86</v>
      </c>
      <c r="R670">
        <v>83.607410000000002</v>
      </c>
      <c r="S670">
        <v>86.63</v>
      </c>
      <c r="T670">
        <v>70.612489999999994</v>
      </c>
      <c r="U670">
        <v>83.070319999999995</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77.156120000000001</v>
      </c>
      <c r="AG670">
        <v>70.8566</v>
      </c>
      <c r="AH670">
        <v>80.564319999999995</v>
      </c>
      <c r="AI670">
        <v>63.55433</v>
      </c>
      <c r="AJ670">
        <v>65.367859999999993</v>
      </c>
      <c r="AK670">
        <v>84.2</v>
      </c>
      <c r="AL670">
        <v>81.3</v>
      </c>
      <c r="AM670">
        <v>79.974050000000005</v>
      </c>
      <c r="AN670">
        <v>78.882800000000003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55.851860000000002</v>
      </c>
    </row>
    <row r="671" spans="1:50" x14ac:dyDescent="0.35">
      <c r="A671" s="75">
        <v>38261</v>
      </c>
      <c r="B671">
        <v>81.267169999999993</v>
      </c>
      <c r="C671">
        <v>81.78192</v>
      </c>
      <c r="D671">
        <v>54.805210000000002</v>
      </c>
      <c r="E671">
        <v>83.118250000000003</v>
      </c>
      <c r="F671">
        <v>97.122119999999995</v>
      </c>
      <c r="G671">
        <v>69.372609999999995</v>
      </c>
      <c r="H671">
        <v>74.637100000000004</v>
      </c>
      <c r="I671">
        <v>65.059560000000005</v>
      </c>
      <c r="J671">
        <v>47.291849999999997</v>
      </c>
      <c r="K671">
        <v>79.599999999999994</v>
      </c>
      <c r="L671">
        <v>85.175650000000005</v>
      </c>
      <c r="M671">
        <v>83</v>
      </c>
      <c r="N671">
        <v>83.46</v>
      </c>
      <c r="O671">
        <v>81.975909999999999</v>
      </c>
      <c r="P671">
        <v>68.959040000000002</v>
      </c>
      <c r="Q671">
        <v>82.2</v>
      </c>
      <c r="R671">
        <v>83.876459999999994</v>
      </c>
      <c r="S671">
        <v>86.85</v>
      </c>
      <c r="T671">
        <v>70.95317</v>
      </c>
      <c r="U671">
        <v>83.405230000000003</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77.156120000000001</v>
      </c>
      <c r="AG671">
        <v>70.961600000000004</v>
      </c>
      <c r="AH671">
        <v>80.880529999999993</v>
      </c>
      <c r="AI671">
        <v>63.833280000000002</v>
      </c>
      <c r="AJ671">
        <v>65.820580000000007</v>
      </c>
      <c r="AK671">
        <v>84.23</v>
      </c>
      <c r="AL671">
        <v>81.5</v>
      </c>
      <c r="AM671">
        <v>80.345119999999994</v>
      </c>
      <c r="AN671">
        <v>79.209980000000002</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56.01005</v>
      </c>
    </row>
    <row r="672" spans="1:50" x14ac:dyDescent="0.35">
      <c r="A672" s="75">
        <v>38292</v>
      </c>
      <c r="B672">
        <v>81.416420000000002</v>
      </c>
      <c r="C672">
        <v>81.682820000000007</v>
      </c>
      <c r="D672">
        <v>55.183390000000003</v>
      </c>
      <c r="E672">
        <v>83.434290000000004</v>
      </c>
      <c r="F672">
        <v>97.215350000000001</v>
      </c>
      <c r="G672">
        <v>69.550409999999999</v>
      </c>
      <c r="H672">
        <v>74.41319</v>
      </c>
      <c r="I672">
        <v>65.23903</v>
      </c>
      <c r="J672">
        <v>47.953360000000004</v>
      </c>
      <c r="K672">
        <v>79.599999999999994</v>
      </c>
      <c r="L672">
        <v>84.989069999999998</v>
      </c>
      <c r="M672">
        <v>82.8</v>
      </c>
      <c r="N672">
        <v>83.4</v>
      </c>
      <c r="O672">
        <v>82.181460000000001</v>
      </c>
      <c r="P672">
        <v>69.215389999999999</v>
      </c>
      <c r="Q672">
        <v>82.15</v>
      </c>
      <c r="R672">
        <v>83.504549999999995</v>
      </c>
      <c r="S672">
        <v>86.9</v>
      </c>
      <c r="T672">
        <v>71.013249999999999</v>
      </c>
      <c r="U672">
        <v>83.425259999999994</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76.691220000000001</v>
      </c>
      <c r="AG672">
        <v>71.146199999999993</v>
      </c>
      <c r="AH672">
        <v>81.066130000000001</v>
      </c>
      <c r="AI672">
        <v>64.140129999999999</v>
      </c>
      <c r="AJ672">
        <v>66.382050000000007</v>
      </c>
      <c r="AK672">
        <v>83.98</v>
      </c>
      <c r="AL672">
        <v>81.5</v>
      </c>
      <c r="AM672">
        <v>80.406009999999995</v>
      </c>
      <c r="AN672">
        <v>79.297200000000004</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56.340159999999997</v>
      </c>
    </row>
    <row r="673" spans="1:50" x14ac:dyDescent="0.35">
      <c r="A673" s="75">
        <v>38322</v>
      </c>
      <c r="B673">
        <v>81.789550000000006</v>
      </c>
      <c r="C673">
        <v>81.415229999999994</v>
      </c>
      <c r="D673">
        <v>55.657859999999999</v>
      </c>
      <c r="E673">
        <v>83.276269999999997</v>
      </c>
      <c r="F673">
        <v>97.056370000000001</v>
      </c>
      <c r="G673">
        <v>69.289240000000007</v>
      </c>
      <c r="H673">
        <v>74.4876</v>
      </c>
      <c r="I673">
        <v>65.434809999999999</v>
      </c>
      <c r="J673">
        <v>48.485790000000001</v>
      </c>
      <c r="K673">
        <v>79.599999999999994</v>
      </c>
      <c r="L673">
        <v>85.921989999999994</v>
      </c>
      <c r="M673">
        <v>82.6</v>
      </c>
      <c r="N673">
        <v>83.72</v>
      </c>
      <c r="O673">
        <v>82.101169999999996</v>
      </c>
      <c r="P673">
        <v>69.369200000000006</v>
      </c>
      <c r="Q673">
        <v>82.43</v>
      </c>
      <c r="R673">
        <v>83.512469999999993</v>
      </c>
      <c r="S673">
        <v>87</v>
      </c>
      <c r="T673">
        <v>71.015519999999995</v>
      </c>
      <c r="U673">
        <v>83.326030000000003</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76.825100000000006</v>
      </c>
      <c r="AG673">
        <v>71.100999999999999</v>
      </c>
      <c r="AH673">
        <v>80.921779999999998</v>
      </c>
      <c r="AI673">
        <v>64.335400000000007</v>
      </c>
      <c r="AJ673">
        <v>66.519170000000003</v>
      </c>
      <c r="AK673">
        <v>83.25</v>
      </c>
      <c r="AL673">
        <v>81.400000000000006</v>
      </c>
      <c r="AM673">
        <v>80.342929999999996</v>
      </c>
      <c r="AN673">
        <v>79.523430000000005</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56.257629999999999</v>
      </c>
    </row>
    <row r="674" spans="1:50" x14ac:dyDescent="0.35">
      <c r="A674" s="75">
        <v>38353</v>
      </c>
      <c r="B674">
        <v>81.864170000000001</v>
      </c>
      <c r="C674">
        <v>81.643169999999998</v>
      </c>
      <c r="D674">
        <v>55.980589999999999</v>
      </c>
      <c r="E674">
        <v>83.19726</v>
      </c>
      <c r="F674">
        <v>96.605879999999999</v>
      </c>
      <c r="G674">
        <v>69.069760000000002</v>
      </c>
      <c r="H674">
        <v>74.934529999999995</v>
      </c>
      <c r="I674">
        <v>65.973240000000004</v>
      </c>
      <c r="J674">
        <v>49.436639999999997</v>
      </c>
      <c r="K674">
        <v>80.2</v>
      </c>
      <c r="L674">
        <v>85.268940000000001</v>
      </c>
      <c r="M674">
        <v>82.4</v>
      </c>
      <c r="N674">
        <v>83.2</v>
      </c>
      <c r="O674">
        <v>81.409610000000001</v>
      </c>
      <c r="P674">
        <v>69.215389999999999</v>
      </c>
      <c r="Q674">
        <v>82.02</v>
      </c>
      <c r="R674">
        <v>83.085170000000005</v>
      </c>
      <c r="S674">
        <v>86.52</v>
      </c>
      <c r="T674">
        <v>71.142139999999998</v>
      </c>
      <c r="U674">
        <v>83.283820000000006</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77.580950000000001</v>
      </c>
      <c r="AG674">
        <v>71.081900000000005</v>
      </c>
      <c r="AH674">
        <v>80.2</v>
      </c>
      <c r="AI674">
        <v>64.688730000000007</v>
      </c>
      <c r="AJ674">
        <v>66.521529999999998</v>
      </c>
      <c r="AK674">
        <v>83.58</v>
      </c>
      <c r="AL674">
        <v>81.2</v>
      </c>
      <c r="AM674">
        <v>80.341639999999998</v>
      </c>
      <c r="AN674">
        <v>79.287959999999998</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56.429569999999998</v>
      </c>
    </row>
    <row r="675" spans="1:50" x14ac:dyDescent="0.35">
      <c r="A675" s="75">
        <v>38384</v>
      </c>
      <c r="B675">
        <v>82.111750000000001</v>
      </c>
      <c r="C675">
        <v>82.188249999999996</v>
      </c>
      <c r="D675">
        <v>56.310969999999998</v>
      </c>
      <c r="E675">
        <v>83.513300000000001</v>
      </c>
      <c r="F675">
        <v>96.818190000000001</v>
      </c>
      <c r="G675">
        <v>69.004260000000002</v>
      </c>
      <c r="H675">
        <v>76.283360000000002</v>
      </c>
      <c r="I675">
        <v>66.650350000000003</v>
      </c>
      <c r="J675">
        <v>49.977679999999999</v>
      </c>
      <c r="K675">
        <v>80.400000000000006</v>
      </c>
      <c r="L675">
        <v>85.642110000000002</v>
      </c>
      <c r="M675">
        <v>83.2</v>
      </c>
      <c r="N675">
        <v>83.5</v>
      </c>
      <c r="O675">
        <v>81.620500000000007</v>
      </c>
      <c r="P675">
        <v>69.625559999999993</v>
      </c>
      <c r="Q675">
        <v>82.32</v>
      </c>
      <c r="R675">
        <v>83.672039999999996</v>
      </c>
      <c r="S675">
        <v>87.05</v>
      </c>
      <c r="T675">
        <v>71.461650000000006</v>
      </c>
      <c r="U675">
        <v>83.621830000000003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77.895099999999999</v>
      </c>
      <c r="AG675">
        <v>71.2059</v>
      </c>
      <c r="AH675">
        <v>81.459999999999994</v>
      </c>
      <c r="AI675">
        <v>65.301500000000004</v>
      </c>
      <c r="AJ675">
        <v>66.743160000000003</v>
      </c>
      <c r="AK675">
        <v>84.1</v>
      </c>
      <c r="AL675">
        <v>81.3</v>
      </c>
      <c r="AM675">
        <v>80.639129999999994</v>
      </c>
      <c r="AN675">
        <v>79.548220000000001</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56.457079999999998</v>
      </c>
    </row>
    <row r="676" spans="1:50" x14ac:dyDescent="0.35">
      <c r="A676" s="75">
        <v>38412</v>
      </c>
      <c r="B676">
        <v>82.524370000000005</v>
      </c>
      <c r="C676">
        <v>82.713509999999999</v>
      </c>
      <c r="D676">
        <v>56.654350000000001</v>
      </c>
      <c r="E676">
        <v>83.987359999999995</v>
      </c>
      <c r="F676">
        <v>97.055059999999997</v>
      </c>
      <c r="G676">
        <v>69.443209999999993</v>
      </c>
      <c r="H676">
        <v>75.596800000000002</v>
      </c>
      <c r="I676">
        <v>67.164299999999997</v>
      </c>
      <c r="J676">
        <v>50.393949999999997</v>
      </c>
      <c r="K676">
        <v>80.3</v>
      </c>
      <c r="L676">
        <v>86.015280000000004</v>
      </c>
      <c r="M676">
        <v>83.7</v>
      </c>
      <c r="N676">
        <v>84.12</v>
      </c>
      <c r="O676">
        <v>82.266030000000001</v>
      </c>
      <c r="P676">
        <v>70.08699</v>
      </c>
      <c r="Q676">
        <v>82.87</v>
      </c>
      <c r="R676">
        <v>83.923569999999998</v>
      </c>
      <c r="S676">
        <v>87.6</v>
      </c>
      <c r="T676">
        <v>71.837479999999999</v>
      </c>
      <c r="U676">
        <v>84.135890000000003</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78.365260000000006</v>
      </c>
      <c r="AG676">
        <v>71.526700000000005</v>
      </c>
      <c r="AH676">
        <v>81.61</v>
      </c>
      <c r="AI676">
        <v>65.680139999999994</v>
      </c>
      <c r="AJ676">
        <v>67.043989999999994</v>
      </c>
      <c r="AK676">
        <v>84.88</v>
      </c>
      <c r="AL676">
        <v>81.7</v>
      </c>
      <c r="AM676">
        <v>81.112660000000005</v>
      </c>
      <c r="AN676">
        <v>79.939920000000001</v>
      </c>
      <c r="AO676">
        <v>79.967380000000006</v>
      </c>
      <c r="AP676">
        <v>84.699550000000002</v>
      </c>
      <c r="AQ676">
        <v>39.740879999999997</v>
      </c>
      <c r="AR676">
        <v>65.980289999999997</v>
      </c>
      <c r="AS676">
        <v>79.347430000000003</v>
      </c>
      <c r="AT676">
        <v>81.58</v>
      </c>
      <c r="AU676">
        <v>89.278350000000003</v>
      </c>
      <c r="AV676">
        <v>44.05856</v>
      </c>
      <c r="AW676">
        <v>81.555329999999998</v>
      </c>
      <c r="AX676">
        <v>56.80095</v>
      </c>
    </row>
    <row r="677" spans="1:50" x14ac:dyDescent="0.35">
      <c r="A677" s="75">
        <v>38443</v>
      </c>
      <c r="B677">
        <v>82.359319999999997</v>
      </c>
      <c r="C677">
        <v>82.901809999999998</v>
      </c>
      <c r="D677">
        <v>57.14714</v>
      </c>
      <c r="E677">
        <v>84.22439</v>
      </c>
      <c r="F677">
        <v>97.84957</v>
      </c>
      <c r="G677">
        <v>70.065929999999994</v>
      </c>
      <c r="H677">
        <v>75.370009999999994</v>
      </c>
      <c r="I677">
        <v>67.457980000000006</v>
      </c>
      <c r="J677">
        <v>50.876899999999999</v>
      </c>
      <c r="K677">
        <v>80.400000000000006</v>
      </c>
      <c r="L677">
        <v>85.828699999999998</v>
      </c>
      <c r="M677">
        <v>84.1</v>
      </c>
      <c r="N677">
        <v>84.47</v>
      </c>
      <c r="O677">
        <v>83.451099999999997</v>
      </c>
      <c r="P677">
        <v>70.394620000000003</v>
      </c>
      <c r="Q677">
        <v>83.25</v>
      </c>
      <c r="R677">
        <v>84.007409999999993</v>
      </c>
      <c r="S677">
        <v>87.77</v>
      </c>
      <c r="T677">
        <v>72.178049999999999</v>
      </c>
      <c r="U677">
        <v>84.490080000000006</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78.444320000000005</v>
      </c>
      <c r="AG677">
        <v>71.780299999999997</v>
      </c>
      <c r="AH677">
        <v>81.900000000000006</v>
      </c>
      <c r="AI677">
        <v>66.362570000000005</v>
      </c>
      <c r="AJ677">
        <v>67.282759999999996</v>
      </c>
      <c r="AK677">
        <v>85.03</v>
      </c>
      <c r="AL677">
        <v>82.1</v>
      </c>
      <c r="AM677">
        <v>81.478610000000003</v>
      </c>
      <c r="AN677">
        <v>80.199619999999996</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56.97289</v>
      </c>
    </row>
    <row r="678" spans="1:50" x14ac:dyDescent="0.35">
      <c r="A678" s="75">
        <v>38473</v>
      </c>
      <c r="B678">
        <v>82.441850000000002</v>
      </c>
      <c r="C678">
        <v>83.030649999999994</v>
      </c>
      <c r="D678">
        <v>57.42718</v>
      </c>
      <c r="E678">
        <v>84.303399999999996</v>
      </c>
      <c r="F678">
        <v>97.752430000000004</v>
      </c>
      <c r="G678">
        <v>70.255629999999996</v>
      </c>
      <c r="H678">
        <v>75.219269999999995</v>
      </c>
      <c r="I678">
        <v>67.73536</v>
      </c>
      <c r="J678">
        <v>51.574979999999996</v>
      </c>
      <c r="K678">
        <v>80.5</v>
      </c>
      <c r="L678">
        <v>86.015280000000004</v>
      </c>
      <c r="M678">
        <v>84.1</v>
      </c>
      <c r="N678">
        <v>84.66</v>
      </c>
      <c r="O678">
        <v>83.610619999999997</v>
      </c>
      <c r="P678">
        <v>70.548419999999993</v>
      </c>
      <c r="Q678">
        <v>83.43</v>
      </c>
      <c r="R678">
        <v>83.755880000000005</v>
      </c>
      <c r="S678">
        <v>87.83</v>
      </c>
      <c r="T678">
        <v>72.219179999999994</v>
      </c>
      <c r="U678">
        <v>84.518069999999994</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78.365260000000006</v>
      </c>
      <c r="AG678">
        <v>72.010900000000007</v>
      </c>
      <c r="AH678">
        <v>82.01</v>
      </c>
      <c r="AI678">
        <v>66.829269999999994</v>
      </c>
      <c r="AJ678">
        <v>67.113730000000004</v>
      </c>
      <c r="AK678">
        <v>84.98</v>
      </c>
      <c r="AL678">
        <v>82.4</v>
      </c>
      <c r="AM678">
        <v>81.527950000000004</v>
      </c>
      <c r="AN678">
        <v>80.402280000000005</v>
      </c>
      <c r="AO678">
        <v>80.53004</v>
      </c>
      <c r="AP678">
        <v>85.631039999999999</v>
      </c>
      <c r="AQ678">
        <v>40.507460000000002</v>
      </c>
      <c r="AR678">
        <v>65.847260000000006</v>
      </c>
      <c r="AS678">
        <v>79.592150000000004</v>
      </c>
      <c r="AT678">
        <v>81.88</v>
      </c>
      <c r="AU678">
        <v>89.469830000000002</v>
      </c>
      <c r="AV678">
        <v>44.780009999999997</v>
      </c>
      <c r="AW678">
        <v>82.01943</v>
      </c>
      <c r="AX678">
        <v>56.835340000000002</v>
      </c>
    </row>
    <row r="679" spans="1:50" x14ac:dyDescent="0.35">
      <c r="A679" s="75">
        <v>38504</v>
      </c>
      <c r="B679">
        <v>82.689419999999998</v>
      </c>
      <c r="C679">
        <v>83.278409999999994</v>
      </c>
      <c r="D679">
        <v>57.415579999999999</v>
      </c>
      <c r="E679">
        <v>84.461420000000004</v>
      </c>
      <c r="F679">
        <v>97.532709999999994</v>
      </c>
      <c r="G679">
        <v>70.546570000000003</v>
      </c>
      <c r="H679">
        <v>74.617519999999999</v>
      </c>
      <c r="I679">
        <v>68.004570000000001</v>
      </c>
      <c r="J679">
        <v>51.810540000000003</v>
      </c>
      <c r="K679">
        <v>81</v>
      </c>
      <c r="L679">
        <v>86.10857</v>
      </c>
      <c r="M679">
        <v>84.2</v>
      </c>
      <c r="N679">
        <v>84.75</v>
      </c>
      <c r="O679">
        <v>83.805449999999993</v>
      </c>
      <c r="P679">
        <v>71.009860000000003</v>
      </c>
      <c r="Q679">
        <v>83.52</v>
      </c>
      <c r="R679">
        <v>83.839730000000003</v>
      </c>
      <c r="S679">
        <v>87.93</v>
      </c>
      <c r="T679">
        <v>72.220979999999997</v>
      </c>
      <c r="U679">
        <v>84.518109999999993</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78.12912</v>
      </c>
      <c r="AG679">
        <v>72.113200000000006</v>
      </c>
      <c r="AH679">
        <v>82.05</v>
      </c>
      <c r="AI679">
        <v>67.221530000000001</v>
      </c>
      <c r="AJ679">
        <v>67.049310000000006</v>
      </c>
      <c r="AK679">
        <v>84.7</v>
      </c>
      <c r="AL679">
        <v>82.4</v>
      </c>
      <c r="AM679">
        <v>81.533770000000004</v>
      </c>
      <c r="AN679">
        <v>80.454849999999993</v>
      </c>
      <c r="AO679">
        <v>80.38937</v>
      </c>
      <c r="AP679">
        <v>85.651949999999999</v>
      </c>
      <c r="AQ679">
        <v>40.766710000000003</v>
      </c>
      <c r="AR679">
        <v>65.980289999999997</v>
      </c>
      <c r="AS679">
        <v>79.836860000000001</v>
      </c>
      <c r="AT679">
        <v>81.93</v>
      </c>
      <c r="AU679">
        <v>89.501750000000001</v>
      </c>
      <c r="AV679">
        <v>44.826070000000001</v>
      </c>
      <c r="AW679">
        <v>82.061620000000005</v>
      </c>
      <c r="AX679">
        <v>56.718429999999998</v>
      </c>
    </row>
    <row r="680" spans="1:50" x14ac:dyDescent="0.35">
      <c r="A680" s="75">
        <v>38534</v>
      </c>
      <c r="B680">
        <v>82.606899999999996</v>
      </c>
      <c r="C680">
        <v>83.773939999999996</v>
      </c>
      <c r="D680">
        <v>57.559199999999997</v>
      </c>
      <c r="E680">
        <v>84.619439999999997</v>
      </c>
      <c r="F680">
        <v>96.999129999999994</v>
      </c>
      <c r="G680">
        <v>70.979579999999999</v>
      </c>
      <c r="H680">
        <v>74.617519999999999</v>
      </c>
      <c r="I680">
        <v>68.037199999999999</v>
      </c>
      <c r="J680">
        <v>52.474200000000003</v>
      </c>
      <c r="K680">
        <v>81.2</v>
      </c>
      <c r="L680">
        <v>86.481740000000002</v>
      </c>
      <c r="M680">
        <v>84.1</v>
      </c>
      <c r="N680">
        <v>84.66</v>
      </c>
      <c r="O680">
        <v>83.292670000000001</v>
      </c>
      <c r="P680">
        <v>71.266210000000001</v>
      </c>
      <c r="Q680">
        <v>83.46</v>
      </c>
      <c r="R680">
        <v>83.504360000000005</v>
      </c>
      <c r="S680">
        <v>87.8</v>
      </c>
      <c r="T680">
        <v>72.448509999999999</v>
      </c>
      <c r="U680">
        <v>84.7804</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78.444320000000005</v>
      </c>
      <c r="AG680">
        <v>71.974599999999995</v>
      </c>
      <c r="AH680">
        <v>81.53</v>
      </c>
      <c r="AI680">
        <v>67.198359999999994</v>
      </c>
      <c r="AJ680">
        <v>67.311719999999994</v>
      </c>
      <c r="AK680">
        <v>84.57</v>
      </c>
      <c r="AL680">
        <v>82.2</v>
      </c>
      <c r="AM680">
        <v>81.726740000000007</v>
      </c>
      <c r="AN680">
        <v>80.453670000000002</v>
      </c>
      <c r="AO680">
        <v>80.248710000000003</v>
      </c>
      <c r="AP680">
        <v>85.909700000000001</v>
      </c>
      <c r="AQ680">
        <v>40.954239999999999</v>
      </c>
      <c r="AR680">
        <v>66.179820000000007</v>
      </c>
      <c r="AS680">
        <v>79.653329999999997</v>
      </c>
      <c r="AT680">
        <v>82.5</v>
      </c>
      <c r="AU680">
        <v>89.169849999999997</v>
      </c>
      <c r="AV680">
        <v>44.568950000000001</v>
      </c>
      <c r="AW680">
        <v>82.44135</v>
      </c>
      <c r="AX680">
        <v>57.137949999999996</v>
      </c>
    </row>
    <row r="681" spans="1:50" x14ac:dyDescent="0.35">
      <c r="A681" s="75">
        <v>38565</v>
      </c>
      <c r="B681">
        <v>82.606899999999996</v>
      </c>
      <c r="C681">
        <v>83.863140000000001</v>
      </c>
      <c r="D681">
        <v>57.657110000000003</v>
      </c>
      <c r="E681">
        <v>84.935479999999998</v>
      </c>
      <c r="F681">
        <v>97.138859999999994</v>
      </c>
      <c r="G681">
        <v>71.187150000000003</v>
      </c>
      <c r="H681">
        <v>74.766750000000002</v>
      </c>
      <c r="I681">
        <v>68.037199999999999</v>
      </c>
      <c r="J681">
        <v>53.130330000000001</v>
      </c>
      <c r="K681">
        <v>81.2</v>
      </c>
      <c r="L681">
        <v>86.575040000000001</v>
      </c>
      <c r="M681">
        <v>84.1</v>
      </c>
      <c r="N681">
        <v>84.86</v>
      </c>
      <c r="O681">
        <v>83.658789999999996</v>
      </c>
      <c r="P681">
        <v>71.471299999999999</v>
      </c>
      <c r="Q681">
        <v>83.63</v>
      </c>
      <c r="R681">
        <v>83.839730000000003</v>
      </c>
      <c r="S681">
        <v>88.14</v>
      </c>
      <c r="T681">
        <v>72.673580000000001</v>
      </c>
      <c r="U681">
        <v>85.093810000000005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78.679400000000001</v>
      </c>
      <c r="AG681">
        <v>72.040300000000002</v>
      </c>
      <c r="AH681">
        <v>82.62</v>
      </c>
      <c r="AI681">
        <v>67.127210000000005</v>
      </c>
      <c r="AJ681">
        <v>67.392099999999999</v>
      </c>
      <c r="AK681">
        <v>84.96</v>
      </c>
      <c r="AL681">
        <v>82.3</v>
      </c>
      <c r="AM681">
        <v>81.994669999999999</v>
      </c>
      <c r="AN681">
        <v>80.637060000000005</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57.234229999999997</v>
      </c>
    </row>
    <row r="682" spans="1:50" x14ac:dyDescent="0.35">
      <c r="A682" s="75">
        <v>38596</v>
      </c>
      <c r="B682">
        <v>82.771940000000001</v>
      </c>
      <c r="C682">
        <v>83.952330000000003</v>
      </c>
      <c r="D682">
        <v>57.858960000000003</v>
      </c>
      <c r="E682">
        <v>85.646559999999994</v>
      </c>
      <c r="F682">
        <v>97.563879999999997</v>
      </c>
      <c r="G682">
        <v>71.89237</v>
      </c>
      <c r="H682">
        <v>75.290120000000002</v>
      </c>
      <c r="I682">
        <v>68.330889999999997</v>
      </c>
      <c r="J682">
        <v>53.221760000000003</v>
      </c>
      <c r="K682">
        <v>81</v>
      </c>
      <c r="L682">
        <v>86.668329999999997</v>
      </c>
      <c r="M682">
        <v>84.7</v>
      </c>
      <c r="N682">
        <v>85.3</v>
      </c>
      <c r="O682">
        <v>84.172650000000004</v>
      </c>
      <c r="P682">
        <v>72.086550000000003</v>
      </c>
      <c r="Q682">
        <v>84.06</v>
      </c>
      <c r="R682">
        <v>84.258930000000007</v>
      </c>
      <c r="S682">
        <v>88.48</v>
      </c>
      <c r="T682">
        <v>73.186329999999998</v>
      </c>
      <c r="U682">
        <v>85.767179999999996</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79.071560000000005</v>
      </c>
      <c r="AG682">
        <v>72.659599999999998</v>
      </c>
      <c r="AH682">
        <v>82.89</v>
      </c>
      <c r="AI682">
        <v>68.145600000000002</v>
      </c>
      <c r="AJ682">
        <v>67.662189999999995</v>
      </c>
      <c r="AK682">
        <v>85.73</v>
      </c>
      <c r="AL682">
        <v>82.9</v>
      </c>
      <c r="AM682">
        <v>82.590969999999999</v>
      </c>
      <c r="AN682">
        <v>80.946089999999998</v>
      </c>
      <c r="AO682">
        <v>80.53004</v>
      </c>
      <c r="AP682">
        <v>86.169439999999994</v>
      </c>
      <c r="AQ682">
        <v>40.99915</v>
      </c>
      <c r="AR682">
        <v>66.379360000000005</v>
      </c>
      <c r="AS682">
        <v>79.775679999999994</v>
      </c>
      <c r="AT682">
        <v>82.83</v>
      </c>
      <c r="AU682">
        <v>89.954930000000004</v>
      </c>
      <c r="AV682">
        <v>45.409370000000003</v>
      </c>
      <c r="AW682">
        <v>83.875839999999997</v>
      </c>
      <c r="AX682">
        <v>57.282380000000003</v>
      </c>
    </row>
    <row r="683" spans="1:50" x14ac:dyDescent="0.35">
      <c r="A683" s="75">
        <v>38626</v>
      </c>
      <c r="B683">
        <v>82.854470000000006</v>
      </c>
      <c r="C683">
        <v>83.803669999999997</v>
      </c>
      <c r="D683">
        <v>58.292819999999999</v>
      </c>
      <c r="E683">
        <v>85.251509999999996</v>
      </c>
      <c r="F683">
        <v>98.417029999999997</v>
      </c>
      <c r="G683">
        <v>72.242859999999993</v>
      </c>
      <c r="H683">
        <v>75.591279999999998</v>
      </c>
      <c r="I683">
        <v>68.485889999999998</v>
      </c>
      <c r="J683">
        <v>53.882190000000001</v>
      </c>
      <c r="K683">
        <v>81.7</v>
      </c>
      <c r="L683">
        <v>86.761619999999994</v>
      </c>
      <c r="M683">
        <v>84.7</v>
      </c>
      <c r="N683">
        <v>85.52</v>
      </c>
      <c r="O683">
        <v>84.856710000000007</v>
      </c>
      <c r="P683">
        <v>72.035269999999997</v>
      </c>
      <c r="Q683">
        <v>84.3</v>
      </c>
      <c r="R683">
        <v>84.175089999999997</v>
      </c>
      <c r="S683">
        <v>88.46</v>
      </c>
      <c r="T683">
        <v>73.557249999999996</v>
      </c>
      <c r="U683">
        <v>85.874709999999993</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78.914479999999998</v>
      </c>
      <c r="AG683">
        <v>73.129499999999993</v>
      </c>
      <c r="AH683">
        <v>83.35</v>
      </c>
      <c r="AI683">
        <v>68.697680000000005</v>
      </c>
      <c r="AJ683">
        <v>67.828270000000003</v>
      </c>
      <c r="AK683">
        <v>85.66</v>
      </c>
      <c r="AL683">
        <v>83</v>
      </c>
      <c r="AM683">
        <v>82.762270000000001</v>
      </c>
      <c r="AN683">
        <v>81.197360000000003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57.351149999999997</v>
      </c>
    </row>
    <row r="684" spans="1:50" x14ac:dyDescent="0.35">
      <c r="A684" s="75">
        <v>38657</v>
      </c>
      <c r="B684">
        <v>82.606899999999996</v>
      </c>
      <c r="C684">
        <v>83.773939999999996</v>
      </c>
      <c r="D684">
        <v>58.613460000000003</v>
      </c>
      <c r="E684">
        <v>85.093500000000006</v>
      </c>
      <c r="F684">
        <v>98.140370000000004</v>
      </c>
      <c r="G684">
        <v>72.070170000000005</v>
      </c>
      <c r="H684">
        <v>75.364509999999996</v>
      </c>
      <c r="I684">
        <v>68.56747</v>
      </c>
      <c r="J684">
        <v>54.757739999999998</v>
      </c>
      <c r="K684">
        <v>81.5</v>
      </c>
      <c r="L684">
        <v>86.481740000000002</v>
      </c>
      <c r="M684">
        <v>84.4</v>
      </c>
      <c r="N684">
        <v>85.33</v>
      </c>
      <c r="O684">
        <v>84.98518</v>
      </c>
      <c r="P684">
        <v>71.932730000000006</v>
      </c>
      <c r="Q684">
        <v>84.15</v>
      </c>
      <c r="R684">
        <v>84.007409999999993</v>
      </c>
      <c r="S684">
        <v>88.28</v>
      </c>
      <c r="T684">
        <v>73.425619999999995</v>
      </c>
      <c r="U684">
        <v>85.414169999999999</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78.60033</v>
      </c>
      <c r="AG684">
        <v>73.146299999999997</v>
      </c>
      <c r="AH684">
        <v>83.08</v>
      </c>
      <c r="AI684">
        <v>68.889809999999997</v>
      </c>
      <c r="AJ684">
        <v>68.316450000000003</v>
      </c>
      <c r="AK684">
        <v>85.44</v>
      </c>
      <c r="AL684">
        <v>83</v>
      </c>
      <c r="AM684">
        <v>82.465459999999993</v>
      </c>
      <c r="AN684">
        <v>81.179569999999998</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57.337389999999999</v>
      </c>
    </row>
    <row r="685" spans="1:50" x14ac:dyDescent="0.35">
      <c r="A685" s="75">
        <v>38687</v>
      </c>
      <c r="B685">
        <v>82.936989999999994</v>
      </c>
      <c r="C685">
        <v>83.764030000000005</v>
      </c>
      <c r="D685">
        <v>58.824359999999999</v>
      </c>
      <c r="E685">
        <v>85.014489999999995</v>
      </c>
      <c r="F685">
        <v>98.033109999999994</v>
      </c>
      <c r="G685">
        <v>71.827719999999999</v>
      </c>
      <c r="H685">
        <v>75.665959999999998</v>
      </c>
      <c r="I685">
        <v>68.608249999999998</v>
      </c>
      <c r="J685">
        <v>55.310609999999997</v>
      </c>
      <c r="K685">
        <v>81.400000000000006</v>
      </c>
      <c r="L685">
        <v>87.134789999999995</v>
      </c>
      <c r="M685">
        <v>84.5</v>
      </c>
      <c r="N685">
        <v>85.62</v>
      </c>
      <c r="O685">
        <v>85.168239999999997</v>
      </c>
      <c r="P685">
        <v>71.830190000000002</v>
      </c>
      <c r="Q685">
        <v>84.39</v>
      </c>
      <c r="R685">
        <v>84.007409999999993</v>
      </c>
      <c r="S685">
        <v>88.39</v>
      </c>
      <c r="T685">
        <v>73.435130000000001</v>
      </c>
      <c r="U685">
        <v>85.32199</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78.836470000000006</v>
      </c>
      <c r="AG685">
        <v>73.200299999999999</v>
      </c>
      <c r="AH685">
        <v>82.93</v>
      </c>
      <c r="AI685">
        <v>68.815179999999998</v>
      </c>
      <c r="AJ685">
        <v>68.736080000000001</v>
      </c>
      <c r="AK685">
        <v>84.98</v>
      </c>
      <c r="AL685">
        <v>82.9</v>
      </c>
      <c r="AM685">
        <v>82.435360000000003</v>
      </c>
      <c r="AN685">
        <v>81.374210000000005</v>
      </c>
      <c r="AO685">
        <v>80.600369999999998</v>
      </c>
      <c r="AP685">
        <v>87.021320000000003</v>
      </c>
      <c r="AQ685">
        <v>41.870240000000003</v>
      </c>
      <c r="AR685">
        <v>66.911460000000005</v>
      </c>
      <c r="AS685">
        <v>80.754519999999999</v>
      </c>
      <c r="AT685">
        <v>82.57</v>
      </c>
      <c r="AU685">
        <v>89.938959999999994</v>
      </c>
      <c r="AV685">
        <v>47.06718</v>
      </c>
      <c r="AW685">
        <v>83.032020000000003</v>
      </c>
      <c r="AX685">
        <v>57.392409999999998</v>
      </c>
    </row>
    <row r="686" spans="1:50" x14ac:dyDescent="0.35">
      <c r="A686" s="75">
        <v>38718</v>
      </c>
      <c r="B686">
        <v>82.854470000000006</v>
      </c>
      <c r="C686">
        <v>83.783850000000001</v>
      </c>
      <c r="D686">
        <v>59.17145</v>
      </c>
      <c r="E686">
        <v>85.48854</v>
      </c>
      <c r="F686">
        <v>97.852969999999999</v>
      </c>
      <c r="G686">
        <v>71.886420000000001</v>
      </c>
      <c r="H686">
        <v>76.649619999999999</v>
      </c>
      <c r="I686">
        <v>68.983519999999999</v>
      </c>
      <c r="J686">
        <v>55.960290000000001</v>
      </c>
      <c r="K686">
        <v>82.6</v>
      </c>
      <c r="L686">
        <v>86.854910000000004</v>
      </c>
      <c r="M686">
        <v>84.2</v>
      </c>
      <c r="N686">
        <v>85.24</v>
      </c>
      <c r="O686">
        <v>84.822460000000007</v>
      </c>
      <c r="P686">
        <v>72.445440000000005</v>
      </c>
      <c r="Q686">
        <v>84.1</v>
      </c>
      <c r="R686">
        <v>83.755880000000005</v>
      </c>
      <c r="S686">
        <v>88.3</v>
      </c>
      <c r="T686">
        <v>73.750370000000004</v>
      </c>
      <c r="U686">
        <v>85.665520000000001</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79.306629999999998</v>
      </c>
      <c r="AG686">
        <v>73.543000000000006</v>
      </c>
      <c r="AH686">
        <v>82.51</v>
      </c>
      <c r="AI686">
        <v>69.548810000000003</v>
      </c>
      <c r="AJ686">
        <v>69.139150000000001</v>
      </c>
      <c r="AK686">
        <v>84.68</v>
      </c>
      <c r="AL686">
        <v>82.7</v>
      </c>
      <c r="AM686">
        <v>82.73048</v>
      </c>
      <c r="AN686">
        <v>81.291610000000006</v>
      </c>
      <c r="AO686">
        <v>80.74888</v>
      </c>
      <c r="AP686">
        <v>86.728740000000002</v>
      </c>
      <c r="AQ686">
        <v>42.887689999999999</v>
      </c>
      <c r="AR686">
        <v>67.044489999999996</v>
      </c>
      <c r="AS686">
        <v>82.406319999999994</v>
      </c>
      <c r="AT686">
        <v>82.13</v>
      </c>
      <c r="AU686">
        <v>89.227289999999996</v>
      </c>
      <c r="AV686">
        <v>47.420229999999997</v>
      </c>
      <c r="AW686">
        <v>83.66489</v>
      </c>
      <c r="AX686">
        <v>57.612499999999997</v>
      </c>
    </row>
    <row r="687" spans="1:50" x14ac:dyDescent="0.35">
      <c r="A687" s="75">
        <v>38749</v>
      </c>
      <c r="B687">
        <v>83.102040000000002</v>
      </c>
      <c r="C687">
        <v>84.150540000000007</v>
      </c>
      <c r="D687">
        <v>59.41413</v>
      </c>
      <c r="E687">
        <v>85.330520000000007</v>
      </c>
      <c r="F687">
        <v>98.157809999999998</v>
      </c>
      <c r="G687">
        <v>71.821759999999998</v>
      </c>
      <c r="H687">
        <v>77.032870000000003</v>
      </c>
      <c r="I687">
        <v>69.432209999999998</v>
      </c>
      <c r="J687">
        <v>56.455069999999999</v>
      </c>
      <c r="K687">
        <v>82.6</v>
      </c>
      <c r="L687">
        <v>87.228080000000006</v>
      </c>
      <c r="M687">
        <v>85</v>
      </c>
      <c r="N687">
        <v>85.48</v>
      </c>
      <c r="O687">
        <v>84.863140000000001</v>
      </c>
      <c r="P687">
        <v>72.804339999999996</v>
      </c>
      <c r="Q687">
        <v>84.35</v>
      </c>
      <c r="R687">
        <v>84.426609999999997</v>
      </c>
      <c r="S687">
        <v>88.64</v>
      </c>
      <c r="T687">
        <v>73.934359999999998</v>
      </c>
      <c r="U687">
        <v>85.80153</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79.464759999999998</v>
      </c>
      <c r="AG687">
        <v>73.577200000000005</v>
      </c>
      <c r="AH687">
        <v>83.88</v>
      </c>
      <c r="AI687">
        <v>69.803120000000007</v>
      </c>
      <c r="AJ687">
        <v>69.24494</v>
      </c>
      <c r="AK687">
        <v>85.01</v>
      </c>
      <c r="AL687">
        <v>83.4</v>
      </c>
      <c r="AM687">
        <v>82.871179999999995</v>
      </c>
      <c r="AN687">
        <v>81.518159999999995</v>
      </c>
      <c r="AO687">
        <v>80.74888</v>
      </c>
      <c r="AP687">
        <v>86.906880000000001</v>
      </c>
      <c r="AQ687">
        <v>43.599629999999998</v>
      </c>
      <c r="AR687">
        <v>67.044489999999996</v>
      </c>
      <c r="AS687">
        <v>82.895740000000004</v>
      </c>
      <c r="AT687">
        <v>82.43</v>
      </c>
      <c r="AU687">
        <v>89.645359999999997</v>
      </c>
      <c r="AV687">
        <v>47.52384</v>
      </c>
      <c r="AW687">
        <v>83.833650000000006</v>
      </c>
      <c r="AX687">
        <v>57.68815</v>
      </c>
    </row>
    <row r="688" spans="1:50" x14ac:dyDescent="0.35">
      <c r="A688" s="75">
        <v>38777</v>
      </c>
      <c r="B688">
        <v>83.349620000000002</v>
      </c>
      <c r="C688">
        <v>84.120810000000006</v>
      </c>
      <c r="D688">
        <v>59.669580000000003</v>
      </c>
      <c r="E688">
        <v>85.804580000000001</v>
      </c>
      <c r="F688">
        <v>98.053560000000004</v>
      </c>
      <c r="G688">
        <v>72.242859999999993</v>
      </c>
      <c r="H688">
        <v>76.339579999999998</v>
      </c>
      <c r="I688">
        <v>69.921679999999995</v>
      </c>
      <c r="J688">
        <v>56.550800000000002</v>
      </c>
      <c r="K688">
        <v>82.6</v>
      </c>
      <c r="L688">
        <v>87.228080000000006</v>
      </c>
      <c r="M688">
        <v>85.3</v>
      </c>
      <c r="N688">
        <v>85.98</v>
      </c>
      <c r="O688">
        <v>85.463710000000006</v>
      </c>
      <c r="P688">
        <v>72.855609999999999</v>
      </c>
      <c r="Q688">
        <v>84.79</v>
      </c>
      <c r="R688">
        <v>84.678120000000007</v>
      </c>
      <c r="S688">
        <v>88.89</v>
      </c>
      <c r="T688">
        <v>74.17192</v>
      </c>
      <c r="U688">
        <v>86.146439999999998</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79.934920000000005</v>
      </c>
      <c r="AG688">
        <v>73.758799999999994</v>
      </c>
      <c r="AH688">
        <v>84.04</v>
      </c>
      <c r="AI688">
        <v>69.975160000000002</v>
      </c>
      <c r="AJ688">
        <v>69.331829999999997</v>
      </c>
      <c r="AK688">
        <v>85.68</v>
      </c>
      <c r="AL688">
        <v>83.6</v>
      </c>
      <c r="AM688">
        <v>83.209639999999993</v>
      </c>
      <c r="AN688">
        <v>81.776730000000001</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57.860080000000004</v>
      </c>
    </row>
    <row r="689" spans="1:50" x14ac:dyDescent="0.35">
      <c r="A689" s="75">
        <v>38808</v>
      </c>
      <c r="B689">
        <v>83.762240000000006</v>
      </c>
      <c r="C689">
        <v>84.527150000000006</v>
      </c>
      <c r="D689">
        <v>59.79486</v>
      </c>
      <c r="E689">
        <v>86.278639999999996</v>
      </c>
      <c r="F689">
        <v>98.885959999999997</v>
      </c>
      <c r="G689">
        <v>72.704790000000003</v>
      </c>
      <c r="H689">
        <v>76.492260000000002</v>
      </c>
      <c r="I689">
        <v>70.239850000000004</v>
      </c>
      <c r="J689">
        <v>56.793900000000001</v>
      </c>
      <c r="K689">
        <v>82.6</v>
      </c>
      <c r="L689">
        <v>87.507959999999997</v>
      </c>
      <c r="M689">
        <v>85.7</v>
      </c>
      <c r="N689">
        <v>86.55</v>
      </c>
      <c r="O689">
        <v>86.669120000000007</v>
      </c>
      <c r="P689">
        <v>73.419579999999996</v>
      </c>
      <c r="Q689">
        <v>85.35</v>
      </c>
      <c r="R689">
        <v>85.097319999999996</v>
      </c>
      <c r="S689">
        <v>89.27</v>
      </c>
      <c r="T689">
        <v>74.625079999999997</v>
      </c>
      <c r="U689">
        <v>86.69341</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80.013980000000004</v>
      </c>
      <c r="AG689">
        <v>74.270300000000006</v>
      </c>
      <c r="AH689">
        <v>84.3</v>
      </c>
      <c r="AI689">
        <v>70.394970000000001</v>
      </c>
      <c r="AJ689">
        <v>69.433480000000003</v>
      </c>
      <c r="AK689">
        <v>86.07</v>
      </c>
      <c r="AL689">
        <v>84.3</v>
      </c>
      <c r="AM689">
        <v>83.751919999999998</v>
      </c>
      <c r="AN689">
        <v>82.263990000000007</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57.997630000000001</v>
      </c>
    </row>
    <row r="690" spans="1:50" x14ac:dyDescent="0.35">
      <c r="A690" s="75">
        <v>38838</v>
      </c>
      <c r="B690">
        <v>83.844759999999994</v>
      </c>
      <c r="C690">
        <v>84.844279999999998</v>
      </c>
      <c r="D690">
        <v>59.85472</v>
      </c>
      <c r="E690">
        <v>86.673689999999993</v>
      </c>
      <c r="F690">
        <v>99.083730000000003</v>
      </c>
      <c r="G690">
        <v>72.882580000000004</v>
      </c>
      <c r="H690">
        <v>76.415760000000006</v>
      </c>
      <c r="I690">
        <v>70.468270000000004</v>
      </c>
      <c r="J690">
        <v>57.69312</v>
      </c>
      <c r="K690">
        <v>83</v>
      </c>
      <c r="L690">
        <v>87.507959999999997</v>
      </c>
      <c r="M690">
        <v>85.8</v>
      </c>
      <c r="N690">
        <v>86.79</v>
      </c>
      <c r="O690">
        <v>86.981719999999996</v>
      </c>
      <c r="P690">
        <v>73.829750000000004</v>
      </c>
      <c r="Q690">
        <v>85.61</v>
      </c>
      <c r="R690">
        <v>85.181160000000006</v>
      </c>
      <c r="S690">
        <v>89.65</v>
      </c>
      <c r="T690">
        <v>74.909300000000002</v>
      </c>
      <c r="U690">
        <v>87.050920000000005</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80.170010000000005</v>
      </c>
      <c r="AG690">
        <v>74.591800000000006</v>
      </c>
      <c r="AH690">
        <v>84.59</v>
      </c>
      <c r="AI690">
        <v>71.258920000000003</v>
      </c>
      <c r="AJ690">
        <v>69.124369999999999</v>
      </c>
      <c r="AK690">
        <v>86.15</v>
      </c>
      <c r="AL690">
        <v>84.3</v>
      </c>
      <c r="AM690">
        <v>84.072040000000001</v>
      </c>
      <c r="AN690">
        <v>82.587779999999995</v>
      </c>
      <c r="AO690">
        <v>81.644279999999995</v>
      </c>
      <c r="AP690">
        <v>88.838539999999995</v>
      </c>
      <c r="AQ690">
        <v>44.32273</v>
      </c>
      <c r="AR690">
        <v>67.31053</v>
      </c>
      <c r="AS690">
        <v>83.446340000000006</v>
      </c>
      <c r="AT690">
        <v>84.52</v>
      </c>
      <c r="AU690">
        <v>90.877229999999997</v>
      </c>
      <c r="AV690">
        <v>49.197000000000003</v>
      </c>
      <c r="AW690">
        <v>85.436909999999997</v>
      </c>
      <c r="AX690">
        <v>58.217709999999997</v>
      </c>
    </row>
    <row r="691" spans="1:50" x14ac:dyDescent="0.35">
      <c r="A691" s="75">
        <v>38869</v>
      </c>
      <c r="B691">
        <v>83.927279999999996</v>
      </c>
      <c r="C691">
        <v>84.834370000000007</v>
      </c>
      <c r="D691">
        <v>59.728969999999997</v>
      </c>
      <c r="E691">
        <v>86.51567</v>
      </c>
      <c r="F691">
        <v>99.056269999999998</v>
      </c>
      <c r="G691">
        <v>73.309629999999999</v>
      </c>
      <c r="H691">
        <v>76.033680000000004</v>
      </c>
      <c r="I691">
        <v>70.680369999999996</v>
      </c>
      <c r="J691">
        <v>58.244909999999997</v>
      </c>
      <c r="K691">
        <v>83.2</v>
      </c>
      <c r="L691">
        <v>87.694540000000003</v>
      </c>
      <c r="M691">
        <v>86</v>
      </c>
      <c r="N691">
        <v>86.85</v>
      </c>
      <c r="O691">
        <v>87.113399999999999</v>
      </c>
      <c r="P691">
        <v>74.086100000000002</v>
      </c>
      <c r="Q691">
        <v>85.67</v>
      </c>
      <c r="R691">
        <v>85.265000000000001</v>
      </c>
      <c r="S691">
        <v>89.65</v>
      </c>
      <c r="T691">
        <v>75.046850000000006</v>
      </c>
      <c r="U691">
        <v>87.175569999999993</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80.013980000000004</v>
      </c>
      <c r="AG691">
        <v>74.769400000000005</v>
      </c>
      <c r="AH691">
        <v>84.65</v>
      </c>
      <c r="AI691">
        <v>71.451740000000001</v>
      </c>
      <c r="AJ691">
        <v>69.184070000000006</v>
      </c>
      <c r="AK691">
        <v>85.84</v>
      </c>
      <c r="AL691">
        <v>84.2</v>
      </c>
      <c r="AM691">
        <v>84.171840000000003</v>
      </c>
      <c r="AN691">
        <v>82.672309999999996</v>
      </c>
      <c r="AO691">
        <v>81.400080000000003</v>
      </c>
      <c r="AP691">
        <v>88.796750000000003</v>
      </c>
      <c r="AQ691">
        <v>44.446829999999999</v>
      </c>
      <c r="AR691">
        <v>67.377039999999994</v>
      </c>
      <c r="AS691">
        <v>83.50752</v>
      </c>
      <c r="AT691">
        <v>84.28</v>
      </c>
      <c r="AU691">
        <v>90.851690000000005</v>
      </c>
      <c r="AV691">
        <v>49.362009999999998</v>
      </c>
      <c r="AW691">
        <v>85.605670000000003</v>
      </c>
      <c r="AX691">
        <v>58.644120000000001</v>
      </c>
    </row>
    <row r="692" spans="1:50" x14ac:dyDescent="0.35">
      <c r="A692" s="75">
        <v>38899</v>
      </c>
      <c r="B692">
        <v>83.844759999999994</v>
      </c>
      <c r="C692">
        <v>85.121769999999998</v>
      </c>
      <c r="D692">
        <v>59.84243</v>
      </c>
      <c r="E692">
        <v>86.594679999999997</v>
      </c>
      <c r="F692">
        <v>98.381039999999999</v>
      </c>
      <c r="G692">
        <v>73.706909999999993</v>
      </c>
      <c r="H692">
        <v>75.805580000000006</v>
      </c>
      <c r="I692">
        <v>70.974059999999994</v>
      </c>
      <c r="J692">
        <v>58.784869999999998</v>
      </c>
      <c r="K692">
        <v>83.6</v>
      </c>
      <c r="L692">
        <v>88.067710000000005</v>
      </c>
      <c r="M692">
        <v>85.8</v>
      </c>
      <c r="N692">
        <v>86.75</v>
      </c>
      <c r="O692">
        <v>86.595249999999993</v>
      </c>
      <c r="P692">
        <v>74.496269999999996</v>
      </c>
      <c r="Q692">
        <v>85.58</v>
      </c>
      <c r="R692">
        <v>85.097319999999996</v>
      </c>
      <c r="S692">
        <v>89.5</v>
      </c>
      <c r="T692">
        <v>75.173779999999994</v>
      </c>
      <c r="U692">
        <v>87.325980000000001</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80.327070000000006</v>
      </c>
      <c r="AG692">
        <v>75.119500000000002</v>
      </c>
      <c r="AH692">
        <v>83.92</v>
      </c>
      <c r="AI692">
        <v>71.86712</v>
      </c>
      <c r="AJ692">
        <v>69.37379</v>
      </c>
      <c r="AK692">
        <v>85.68</v>
      </c>
      <c r="AL692">
        <v>83.9</v>
      </c>
      <c r="AM692">
        <v>84.310890000000001</v>
      </c>
      <c r="AN692">
        <v>82.724490000000003</v>
      </c>
      <c r="AO692">
        <v>81.481480000000005</v>
      </c>
      <c r="AP692">
        <v>88.590739999999997</v>
      </c>
      <c r="AQ692">
        <v>44.744630000000001</v>
      </c>
      <c r="AR692">
        <v>67.643100000000004</v>
      </c>
      <c r="AS692">
        <v>83.62988</v>
      </c>
      <c r="AT692">
        <v>84.09</v>
      </c>
      <c r="AU692">
        <v>90.695319999999995</v>
      </c>
      <c r="AV692">
        <v>49.780299999999997</v>
      </c>
      <c r="AW692">
        <v>85.858819999999994</v>
      </c>
      <c r="AX692">
        <v>59.049880000000002</v>
      </c>
    </row>
    <row r="693" spans="1:50" x14ac:dyDescent="0.35">
      <c r="A693" s="75">
        <v>38930</v>
      </c>
      <c r="B693">
        <v>84.092330000000004</v>
      </c>
      <c r="C693">
        <v>85.230789999999999</v>
      </c>
      <c r="D693">
        <v>59.87236</v>
      </c>
      <c r="E693">
        <v>86.752700000000004</v>
      </c>
      <c r="F693">
        <v>98.549449999999993</v>
      </c>
      <c r="G693">
        <v>73.902569999999997</v>
      </c>
      <c r="H693">
        <v>76.033000000000001</v>
      </c>
      <c r="I693">
        <v>71.251429999999999</v>
      </c>
      <c r="J693">
        <v>59.301169999999999</v>
      </c>
      <c r="K693">
        <v>83.8</v>
      </c>
      <c r="L693">
        <v>87.881129999999999</v>
      </c>
      <c r="M693">
        <v>85.8</v>
      </c>
      <c r="N693">
        <v>86.83</v>
      </c>
      <c r="O693">
        <v>86.771900000000002</v>
      </c>
      <c r="P693">
        <v>75.060239999999993</v>
      </c>
      <c r="Q693">
        <v>85.67</v>
      </c>
      <c r="R693">
        <v>85.432680000000005</v>
      </c>
      <c r="S693">
        <v>89.8</v>
      </c>
      <c r="T693">
        <v>75.340360000000004</v>
      </c>
      <c r="U693">
        <v>87.540750000000003</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80.797229999999999</v>
      </c>
      <c r="AG693">
        <v>75.062200000000004</v>
      </c>
      <c r="AH693">
        <v>84.94</v>
      </c>
      <c r="AI693">
        <v>71.701759999999993</v>
      </c>
      <c r="AJ693">
        <v>69.727810000000005</v>
      </c>
      <c r="AK693">
        <v>86.13</v>
      </c>
      <c r="AL693">
        <v>83.9</v>
      </c>
      <c r="AM693">
        <v>84.510140000000007</v>
      </c>
      <c r="AN693">
        <v>82.818209999999993</v>
      </c>
      <c r="AO693">
        <v>81.72569</v>
      </c>
      <c r="AP693">
        <v>88.454400000000007</v>
      </c>
      <c r="AQ693">
        <v>44.829639999999998</v>
      </c>
      <c r="AR693">
        <v>67.31053</v>
      </c>
      <c r="AS693">
        <v>83.691059999999993</v>
      </c>
      <c r="AT693">
        <v>84.62</v>
      </c>
      <c r="AU693">
        <v>90.755949999999999</v>
      </c>
      <c r="AV693">
        <v>49.56156</v>
      </c>
      <c r="AW693">
        <v>86.027590000000004</v>
      </c>
      <c r="AX693">
        <v>59.455649999999999</v>
      </c>
    </row>
    <row r="694" spans="1:50" x14ac:dyDescent="0.35">
      <c r="A694" s="75">
        <v>38961</v>
      </c>
      <c r="B694">
        <v>83.927279999999996</v>
      </c>
      <c r="C694">
        <v>84.983019999999996</v>
      </c>
      <c r="D694">
        <v>59.998109999999997</v>
      </c>
      <c r="E694">
        <v>86.278639999999996</v>
      </c>
      <c r="F694">
        <v>98.338440000000006</v>
      </c>
      <c r="G694">
        <v>73.914479999999998</v>
      </c>
      <c r="H694">
        <v>76.413160000000005</v>
      </c>
      <c r="I694">
        <v>71.455380000000005</v>
      </c>
      <c r="J694">
        <v>59.203290000000003</v>
      </c>
      <c r="K694">
        <v>83.2</v>
      </c>
      <c r="L694">
        <v>87.601249999999993</v>
      </c>
      <c r="M694">
        <v>86.1</v>
      </c>
      <c r="N694">
        <v>86.83</v>
      </c>
      <c r="O694">
        <v>86.629519999999999</v>
      </c>
      <c r="P694">
        <v>74.803889999999996</v>
      </c>
      <c r="Q694">
        <v>85.7</v>
      </c>
      <c r="R694">
        <v>85.51652</v>
      </c>
      <c r="S694">
        <v>89.6</v>
      </c>
      <c r="T694">
        <v>75.360550000000003</v>
      </c>
      <c r="U694">
        <v>87.252880000000005</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81.032319999999999</v>
      </c>
      <c r="AG694">
        <v>74.964600000000004</v>
      </c>
      <c r="AH694">
        <v>84.85</v>
      </c>
      <c r="AI694">
        <v>72.193340000000006</v>
      </c>
      <c r="AJ694">
        <v>70.431709999999995</v>
      </c>
      <c r="AK694">
        <v>86.46</v>
      </c>
      <c r="AL694">
        <v>85.1</v>
      </c>
      <c r="AM694">
        <v>84.392359999999996</v>
      </c>
      <c r="AN694">
        <v>82.886790000000005</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59.606960000000001</v>
      </c>
    </row>
    <row r="695" spans="1:50" x14ac:dyDescent="0.35">
      <c r="A695" s="75">
        <v>38991</v>
      </c>
      <c r="B695">
        <v>83.844759999999994</v>
      </c>
      <c r="C695">
        <v>84.814549999999997</v>
      </c>
      <c r="D695">
        <v>60.196010000000001</v>
      </c>
      <c r="E695">
        <v>86.120620000000002</v>
      </c>
      <c r="F695">
        <v>98.671549999999996</v>
      </c>
      <c r="G695">
        <v>73.724779999999996</v>
      </c>
      <c r="H695">
        <v>76.489580000000004</v>
      </c>
      <c r="I695">
        <v>71.349320000000006</v>
      </c>
      <c r="J695">
        <v>59.316229999999997</v>
      </c>
      <c r="K695">
        <v>82.7</v>
      </c>
      <c r="L695">
        <v>87.694540000000003</v>
      </c>
      <c r="M695">
        <v>86</v>
      </c>
      <c r="N695">
        <v>86.9</v>
      </c>
      <c r="O695">
        <v>86.984930000000006</v>
      </c>
      <c r="P695">
        <v>74.701350000000005</v>
      </c>
      <c r="Q695">
        <v>85.76</v>
      </c>
      <c r="R695">
        <v>85.768039999999999</v>
      </c>
      <c r="S695">
        <v>89.4</v>
      </c>
      <c r="T695">
        <v>75.378919999999994</v>
      </c>
      <c r="U695">
        <v>86.963059999999999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80.640169999999998</v>
      </c>
      <c r="AG695">
        <v>75.742999999999995</v>
      </c>
      <c r="AH695">
        <v>84.64</v>
      </c>
      <c r="AI695">
        <v>72.577979999999997</v>
      </c>
      <c r="AJ695">
        <v>70.739630000000005</v>
      </c>
      <c r="AK695">
        <v>86.24</v>
      </c>
      <c r="AL695">
        <v>85.2</v>
      </c>
      <c r="AM695">
        <v>84.217680000000001</v>
      </c>
      <c r="AN695">
        <v>82.979219999999998</v>
      </c>
      <c r="AO695">
        <v>81.72569</v>
      </c>
      <c r="AP695">
        <v>88.886309999999995</v>
      </c>
      <c r="AQ695">
        <v>44.995620000000002</v>
      </c>
      <c r="AR695">
        <v>68.37473</v>
      </c>
      <c r="AS695">
        <v>83.62988</v>
      </c>
      <c r="AT695">
        <v>84.23</v>
      </c>
      <c r="AU695">
        <v>91.295299999999997</v>
      </c>
      <c r="AV695">
        <v>50.835619999999999</v>
      </c>
      <c r="AW695">
        <v>85.141570000000002</v>
      </c>
      <c r="AX695">
        <v>59.923319999999997</v>
      </c>
    </row>
    <row r="696" spans="1:50" x14ac:dyDescent="0.35">
      <c r="A696" s="75">
        <v>39022</v>
      </c>
      <c r="B696">
        <v>83.927279999999996</v>
      </c>
      <c r="C696">
        <v>85.022670000000005</v>
      </c>
      <c r="D696">
        <v>60.382550000000002</v>
      </c>
      <c r="E696">
        <v>86.278639999999996</v>
      </c>
      <c r="F696">
        <v>98.628839999999997</v>
      </c>
      <c r="G696">
        <v>73.600570000000005</v>
      </c>
      <c r="H696">
        <v>76.719049999999996</v>
      </c>
      <c r="I696">
        <v>71.52064</v>
      </c>
      <c r="J696">
        <v>59.918579999999999</v>
      </c>
      <c r="K696">
        <v>82.7</v>
      </c>
      <c r="L696">
        <v>87.694540000000003</v>
      </c>
      <c r="M696">
        <v>85.9</v>
      </c>
      <c r="N696">
        <v>86.94</v>
      </c>
      <c r="O696">
        <v>87.200100000000006</v>
      </c>
      <c r="P696">
        <v>75.265330000000006</v>
      </c>
      <c r="Q696">
        <v>85.82</v>
      </c>
      <c r="R696">
        <v>85.768039999999999</v>
      </c>
      <c r="S696">
        <v>89.5</v>
      </c>
      <c r="T696">
        <v>75.408810000000003</v>
      </c>
      <c r="U696">
        <v>86.867099999999994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80.249070000000003</v>
      </c>
      <c r="AG696">
        <v>76.352199999999996</v>
      </c>
      <c r="AH696">
        <v>84.73</v>
      </c>
      <c r="AI696">
        <v>73.279070000000004</v>
      </c>
      <c r="AJ696">
        <v>71.110789999999994</v>
      </c>
      <c r="AK696">
        <v>86.1</v>
      </c>
      <c r="AL696">
        <v>85.1</v>
      </c>
      <c r="AM696">
        <v>84.194689999999994</v>
      </c>
      <c r="AN696">
        <v>83.128780000000006</v>
      </c>
      <c r="AO696">
        <v>81.807079999999999</v>
      </c>
      <c r="AP696">
        <v>89.006730000000005</v>
      </c>
      <c r="AQ696">
        <v>45.279089999999997</v>
      </c>
      <c r="AR696">
        <v>68.707300000000004</v>
      </c>
      <c r="AS696">
        <v>84.119290000000007</v>
      </c>
      <c r="AT696">
        <v>84.51</v>
      </c>
      <c r="AU696">
        <v>91.41019</v>
      </c>
      <c r="AV696">
        <v>51.491840000000003</v>
      </c>
      <c r="AW696">
        <v>85.015000000000001</v>
      </c>
      <c r="AX696">
        <v>59.923319999999997</v>
      </c>
    </row>
    <row r="697" spans="1:50" x14ac:dyDescent="0.35">
      <c r="A697" s="75">
        <v>39052</v>
      </c>
      <c r="B697">
        <v>84.174859999999995</v>
      </c>
      <c r="C697">
        <v>85.141589999999994</v>
      </c>
      <c r="D697">
        <v>60.672339999999998</v>
      </c>
      <c r="E697">
        <v>86.436660000000003</v>
      </c>
      <c r="F697">
        <v>98.641869999999997</v>
      </c>
      <c r="G697">
        <v>73.672030000000007</v>
      </c>
      <c r="H697">
        <v>77.793109999999999</v>
      </c>
      <c r="I697">
        <v>71.683800000000005</v>
      </c>
      <c r="J697">
        <v>60.528449999999999</v>
      </c>
      <c r="K697">
        <v>82.8</v>
      </c>
      <c r="L697">
        <v>88.347589999999997</v>
      </c>
      <c r="M697">
        <v>86</v>
      </c>
      <c r="N697">
        <v>87.27</v>
      </c>
      <c r="O697">
        <v>87.438839999999999</v>
      </c>
      <c r="P697">
        <v>75.521680000000003</v>
      </c>
      <c r="Q697">
        <v>86.12</v>
      </c>
      <c r="R697">
        <v>85.851879999999994</v>
      </c>
      <c r="S697">
        <v>89.71</v>
      </c>
      <c r="T697">
        <v>75.686509999999998</v>
      </c>
      <c r="U697">
        <v>87.060839999999999</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80.48415</v>
      </c>
      <c r="AG697">
        <v>76.493399999999994</v>
      </c>
      <c r="AH697">
        <v>84.86</v>
      </c>
      <c r="AI697">
        <v>73.519220000000004</v>
      </c>
      <c r="AJ697">
        <v>71.522139999999993</v>
      </c>
      <c r="AK697">
        <v>85.79</v>
      </c>
      <c r="AL697">
        <v>84.7</v>
      </c>
      <c r="AM697">
        <v>84.378489999999999</v>
      </c>
      <c r="AN697">
        <v>83.373490000000004</v>
      </c>
      <c r="AO697">
        <v>81.72569</v>
      </c>
      <c r="AP697">
        <v>89.203770000000006</v>
      </c>
      <c r="AQ697">
        <v>45.636800000000001</v>
      </c>
      <c r="AR697">
        <v>68.840320000000006</v>
      </c>
      <c r="AS697">
        <v>84.119290000000007</v>
      </c>
      <c r="AT697">
        <v>84.87</v>
      </c>
      <c r="AU697">
        <v>91.41019</v>
      </c>
      <c r="AV697">
        <v>51.610799999999998</v>
      </c>
      <c r="AW697">
        <v>85.141570000000002</v>
      </c>
      <c r="AX697">
        <v>60.157150000000001</v>
      </c>
    </row>
    <row r="698" spans="1:50" x14ac:dyDescent="0.35">
      <c r="A698" s="75">
        <v>39083</v>
      </c>
      <c r="B698">
        <v>84.174859999999995</v>
      </c>
      <c r="C698">
        <v>85.181240000000003</v>
      </c>
      <c r="D698">
        <v>60.93938</v>
      </c>
      <c r="E698">
        <v>86.436660000000003</v>
      </c>
      <c r="F698">
        <v>97.952820000000003</v>
      </c>
      <c r="G698">
        <v>73.897469999999998</v>
      </c>
      <c r="H698">
        <v>78.33766</v>
      </c>
      <c r="I698">
        <v>72.230379999999997</v>
      </c>
      <c r="J698">
        <v>61.104979999999998</v>
      </c>
      <c r="K698">
        <v>83.6</v>
      </c>
      <c r="L698">
        <v>88.347589999999997</v>
      </c>
      <c r="M698">
        <v>85.7</v>
      </c>
      <c r="N698">
        <v>86.83</v>
      </c>
      <c r="O698">
        <v>86.851110000000006</v>
      </c>
      <c r="P698">
        <v>76.136920000000003</v>
      </c>
      <c r="Q698">
        <v>85.8</v>
      </c>
      <c r="R698">
        <v>85.684200000000004</v>
      </c>
      <c r="S698">
        <v>89.4</v>
      </c>
      <c r="T698">
        <v>75.811419999999998</v>
      </c>
      <c r="U698">
        <v>87.129320000000007</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80.640169999999998</v>
      </c>
      <c r="AG698">
        <v>76.5077</v>
      </c>
      <c r="AH698">
        <v>84.38</v>
      </c>
      <c r="AI698">
        <v>74.509839999999997</v>
      </c>
      <c r="AJ698">
        <v>71.891530000000003</v>
      </c>
      <c r="AK698">
        <v>85.89</v>
      </c>
      <c r="AL698">
        <v>83.7</v>
      </c>
      <c r="AM698">
        <v>84.458650000000006</v>
      </c>
      <c r="AN698">
        <v>83.266850000000005</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60.59731</v>
      </c>
    </row>
    <row r="699" spans="1:50" x14ac:dyDescent="0.35">
      <c r="A699" s="75">
        <v>39114</v>
      </c>
      <c r="B699">
        <v>84.422430000000006</v>
      </c>
      <c r="C699">
        <v>85.637119999999996</v>
      </c>
      <c r="D699">
        <v>61.207590000000003</v>
      </c>
      <c r="E699">
        <v>87.068740000000005</v>
      </c>
      <c r="F699">
        <v>98.14658</v>
      </c>
      <c r="G699">
        <v>73.772419999999997</v>
      </c>
      <c r="H699">
        <v>79.121039999999994</v>
      </c>
      <c r="I699">
        <v>73.078800000000001</v>
      </c>
      <c r="J699">
        <v>61.32011</v>
      </c>
      <c r="K699">
        <v>83.8</v>
      </c>
      <c r="L699">
        <v>88.720749999999995</v>
      </c>
      <c r="M699">
        <v>86.6</v>
      </c>
      <c r="N699">
        <v>87.08</v>
      </c>
      <c r="O699">
        <v>86.91</v>
      </c>
      <c r="P699">
        <v>76.239469999999997</v>
      </c>
      <c r="Q699">
        <v>86.07</v>
      </c>
      <c r="R699">
        <v>86.271079999999998</v>
      </c>
      <c r="S699">
        <v>89.57</v>
      </c>
      <c r="T699">
        <v>76.158420000000007</v>
      </c>
      <c r="U699">
        <v>87.434259999999995</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81.189390000000003</v>
      </c>
      <c r="AG699">
        <v>76.746300000000005</v>
      </c>
      <c r="AH699">
        <v>85.56</v>
      </c>
      <c r="AI699">
        <v>74.89067</v>
      </c>
      <c r="AJ699">
        <v>72.092479999999995</v>
      </c>
      <c r="AK699">
        <v>86.28</v>
      </c>
      <c r="AL699">
        <v>84</v>
      </c>
      <c r="AM699">
        <v>84.745379999999997</v>
      </c>
      <c r="AN699">
        <v>83.520650000000003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60.521659999999997</v>
      </c>
    </row>
    <row r="700" spans="1:50" x14ac:dyDescent="0.35">
      <c r="A700" s="75">
        <v>39142</v>
      </c>
      <c r="B700">
        <v>84.835049999999995</v>
      </c>
      <c r="C700">
        <v>85.647030000000001</v>
      </c>
      <c r="D700">
        <v>61.43403</v>
      </c>
      <c r="E700">
        <v>87.779820000000001</v>
      </c>
      <c r="F700">
        <v>98.223070000000007</v>
      </c>
      <c r="G700">
        <v>74.08717</v>
      </c>
      <c r="H700">
        <v>78.883669999999995</v>
      </c>
      <c r="I700">
        <v>73.968019999999996</v>
      </c>
      <c r="J700">
        <v>61.763269999999999</v>
      </c>
      <c r="K700">
        <v>84.1</v>
      </c>
      <c r="L700">
        <v>88.907330000000002</v>
      </c>
      <c r="M700">
        <v>87</v>
      </c>
      <c r="N700">
        <v>87.66</v>
      </c>
      <c r="O700">
        <v>87.56944</v>
      </c>
      <c r="P700">
        <v>77.059799999999996</v>
      </c>
      <c r="Q700">
        <v>86.61</v>
      </c>
      <c r="R700">
        <v>86.857960000000006</v>
      </c>
      <c r="S700">
        <v>89.95</v>
      </c>
      <c r="T700">
        <v>76.522639999999996</v>
      </c>
      <c r="U700">
        <v>88.013369999999995</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81.660610000000005</v>
      </c>
      <c r="AG700">
        <v>77.174300000000002</v>
      </c>
      <c r="AH700">
        <v>85.84</v>
      </c>
      <c r="AI700">
        <v>75.937489999999997</v>
      </c>
      <c r="AJ700">
        <v>72.248500000000007</v>
      </c>
      <c r="AK700">
        <v>87.22</v>
      </c>
      <c r="AL700">
        <v>84.5</v>
      </c>
      <c r="AM700">
        <v>85.294110000000003</v>
      </c>
      <c r="AN700">
        <v>83.942570000000003</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60.941180000000003</v>
      </c>
    </row>
    <row r="701" spans="1:50" x14ac:dyDescent="0.35">
      <c r="A701" s="75">
        <v>39173</v>
      </c>
      <c r="B701">
        <v>85.247669999999999</v>
      </c>
      <c r="C701">
        <v>86.033550000000005</v>
      </c>
      <c r="D701">
        <v>61.587620000000001</v>
      </c>
      <c r="E701">
        <v>88.174869999999999</v>
      </c>
      <c r="F701">
        <v>99.33484</v>
      </c>
      <c r="G701">
        <v>74.513369999999995</v>
      </c>
      <c r="H701">
        <v>78.804789999999997</v>
      </c>
      <c r="I701">
        <v>74.628810000000001</v>
      </c>
      <c r="J701">
        <v>62.334420000000001</v>
      </c>
      <c r="K701">
        <v>84.7</v>
      </c>
      <c r="L701">
        <v>89.37379</v>
      </c>
      <c r="M701">
        <v>87.1</v>
      </c>
      <c r="N701">
        <v>88.22</v>
      </c>
      <c r="O701">
        <v>88.779139999999998</v>
      </c>
      <c r="P701">
        <v>77.46996</v>
      </c>
      <c r="Q701">
        <v>87.15</v>
      </c>
      <c r="R701">
        <v>87.277150000000006</v>
      </c>
      <c r="S701">
        <v>90.39</v>
      </c>
      <c r="T701">
        <v>76.907210000000006</v>
      </c>
      <c r="U701">
        <v>88.477800000000002</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81.973690000000005</v>
      </c>
      <c r="AG701">
        <v>77.839399999999998</v>
      </c>
      <c r="AH701">
        <v>86.06</v>
      </c>
      <c r="AI701">
        <v>76.625249999999994</v>
      </c>
      <c r="AJ701">
        <v>72.205359999999999</v>
      </c>
      <c r="AK701">
        <v>87.64</v>
      </c>
      <c r="AL701">
        <v>84.5</v>
      </c>
      <c r="AM701">
        <v>85.775289999999998</v>
      </c>
      <c r="AN701">
        <v>84.424660000000003</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61.457000000000001</v>
      </c>
    </row>
    <row r="702" spans="1:50" x14ac:dyDescent="0.35">
      <c r="A702" s="75">
        <v>39203</v>
      </c>
      <c r="B702">
        <v>85.495249999999999</v>
      </c>
      <c r="C702">
        <v>85.934439999999995</v>
      </c>
      <c r="D702">
        <v>61.760010000000001</v>
      </c>
      <c r="E702">
        <v>88.569919999999996</v>
      </c>
      <c r="F702">
        <v>99.567189999999997</v>
      </c>
      <c r="G702">
        <v>74.976150000000004</v>
      </c>
      <c r="H702">
        <v>79.041210000000007</v>
      </c>
      <c r="I702">
        <v>74.857240000000004</v>
      </c>
      <c r="J702">
        <v>62.984099999999998</v>
      </c>
      <c r="K702">
        <v>85</v>
      </c>
      <c r="L702">
        <v>89.37379</v>
      </c>
      <c r="M702">
        <v>87.3</v>
      </c>
      <c r="N702">
        <v>88.43</v>
      </c>
      <c r="O702">
        <v>89.023219999999995</v>
      </c>
      <c r="P702">
        <v>78.033940000000001</v>
      </c>
      <c r="Q702">
        <v>87.38</v>
      </c>
      <c r="R702">
        <v>87.193309999999997</v>
      </c>
      <c r="S702">
        <v>90.61</v>
      </c>
      <c r="T702">
        <v>77.21481</v>
      </c>
      <c r="U702">
        <v>88.872029999999995</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82.052760000000006</v>
      </c>
      <c r="AG702">
        <v>78.209100000000007</v>
      </c>
      <c r="AH702">
        <v>86.21</v>
      </c>
      <c r="AI702">
        <v>77.076880000000003</v>
      </c>
      <c r="AJ702">
        <v>71.853110000000001</v>
      </c>
      <c r="AK702">
        <v>87.7</v>
      </c>
      <c r="AL702">
        <v>84.6</v>
      </c>
      <c r="AM702">
        <v>86.086020000000005</v>
      </c>
      <c r="AN702">
        <v>84.611980000000003</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61.738970000000002</v>
      </c>
    </row>
    <row r="703" spans="1:50" x14ac:dyDescent="0.35">
      <c r="A703" s="75">
        <v>39234</v>
      </c>
      <c r="B703">
        <v>85.577770000000001</v>
      </c>
      <c r="C703">
        <v>85.924530000000004</v>
      </c>
      <c r="D703">
        <v>61.932859999999998</v>
      </c>
      <c r="E703">
        <v>88.411900000000003</v>
      </c>
      <c r="F703">
        <v>99.681169999999995</v>
      </c>
      <c r="G703">
        <v>75.676270000000002</v>
      </c>
      <c r="H703">
        <v>79.357380000000006</v>
      </c>
      <c r="I703">
        <v>74.946979999999996</v>
      </c>
      <c r="J703">
        <v>63.342280000000002</v>
      </c>
      <c r="K703">
        <v>85.2</v>
      </c>
      <c r="L703">
        <v>89.37379</v>
      </c>
      <c r="M703">
        <v>87.2</v>
      </c>
      <c r="N703">
        <v>88.52</v>
      </c>
      <c r="O703">
        <v>89.187010000000001</v>
      </c>
      <c r="P703">
        <v>78.392840000000007</v>
      </c>
      <c r="Q703">
        <v>87.48</v>
      </c>
      <c r="R703">
        <v>87.360990000000001</v>
      </c>
      <c r="S703">
        <v>90.72</v>
      </c>
      <c r="T703">
        <v>77.385509999999996</v>
      </c>
      <c r="U703">
        <v>88.973140000000001</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82.052760000000006</v>
      </c>
      <c r="AG703">
        <v>78.395399999999995</v>
      </c>
      <c r="AH703">
        <v>86.37</v>
      </c>
      <c r="AI703">
        <v>77.737620000000007</v>
      </c>
      <c r="AJ703">
        <v>71.939400000000006</v>
      </c>
      <c r="AK703">
        <v>87.34</v>
      </c>
      <c r="AL703">
        <v>84.5</v>
      </c>
      <c r="AM703">
        <v>86.172539999999998</v>
      </c>
      <c r="AN703">
        <v>84.684290000000004</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62.179130000000001</v>
      </c>
    </row>
    <row r="704" spans="1:50" x14ac:dyDescent="0.35">
      <c r="A704" s="75">
        <v>39264</v>
      </c>
      <c r="B704">
        <v>85.577770000000001</v>
      </c>
      <c r="C704">
        <v>86.291219999999996</v>
      </c>
      <c r="D704">
        <v>62.081580000000002</v>
      </c>
      <c r="E704">
        <v>88.49091</v>
      </c>
      <c r="F704">
        <v>99.089740000000006</v>
      </c>
      <c r="G704">
        <v>76.530370000000005</v>
      </c>
      <c r="H704">
        <v>80.07159</v>
      </c>
      <c r="I704">
        <v>75.069339999999997</v>
      </c>
      <c r="J704">
        <v>63.930639999999997</v>
      </c>
      <c r="K704">
        <v>85.6</v>
      </c>
      <c r="L704">
        <v>89.840260000000001</v>
      </c>
      <c r="M704">
        <v>86.8</v>
      </c>
      <c r="N704">
        <v>88.31</v>
      </c>
      <c r="O704">
        <v>88.537199999999999</v>
      </c>
      <c r="P704">
        <v>79.264430000000004</v>
      </c>
      <c r="Q704">
        <v>87.31</v>
      </c>
      <c r="R704">
        <v>87.277150000000006</v>
      </c>
      <c r="S704">
        <v>90.49</v>
      </c>
      <c r="T704">
        <v>77.535560000000004</v>
      </c>
      <c r="U704">
        <v>88.959100000000007</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82.366910000000004</v>
      </c>
      <c r="AG704">
        <v>78.920400000000001</v>
      </c>
      <c r="AH704">
        <v>85.48</v>
      </c>
      <c r="AI704">
        <v>78.664550000000006</v>
      </c>
      <c r="AJ704">
        <v>72.244960000000006</v>
      </c>
      <c r="AK704">
        <v>86.93</v>
      </c>
      <c r="AL704">
        <v>84.3</v>
      </c>
      <c r="AM704">
        <v>86.159729999999996</v>
      </c>
      <c r="AN704">
        <v>84.564700000000002</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62.71557</v>
      </c>
    </row>
    <row r="705" spans="1:50" x14ac:dyDescent="0.35">
      <c r="A705" s="75">
        <v>39295</v>
      </c>
      <c r="B705">
        <v>85.495249999999999</v>
      </c>
      <c r="C705">
        <v>86.182209999999998</v>
      </c>
      <c r="D705">
        <v>62.373449999999998</v>
      </c>
      <c r="E705">
        <v>88.253879999999995</v>
      </c>
      <c r="F705">
        <v>98.978980000000007</v>
      </c>
      <c r="G705">
        <v>77.360650000000007</v>
      </c>
      <c r="H705">
        <v>81.032449999999997</v>
      </c>
      <c r="I705">
        <v>74.971450000000004</v>
      </c>
      <c r="J705">
        <v>64.379180000000005</v>
      </c>
      <c r="K705">
        <v>85.9</v>
      </c>
      <c r="L705">
        <v>89.746960000000001</v>
      </c>
      <c r="M705">
        <v>86.6</v>
      </c>
      <c r="N705">
        <v>88.37</v>
      </c>
      <c r="O705">
        <v>88.659239999999997</v>
      </c>
      <c r="P705">
        <v>79.315700000000007</v>
      </c>
      <c r="Q705">
        <v>87.38</v>
      </c>
      <c r="R705">
        <v>87.360990000000001</v>
      </c>
      <c r="S705">
        <v>90.86</v>
      </c>
      <c r="T705">
        <v>77.706280000000007</v>
      </c>
      <c r="U705">
        <v>88.964190000000002</v>
      </c>
      <c r="V705">
        <v>83.4</v>
      </c>
      <c r="W705">
        <v>88.703710000000001</v>
      </c>
      <c r="X705">
        <v>77.57217</v>
      </c>
      <c r="Y705">
        <v>62.714239999999997</v>
      </c>
      <c r="Z705">
        <v>50.876629999999999</v>
      </c>
      <c r="AA705">
        <v>97.68253</v>
      </c>
      <c r="AB705">
        <v>63.79571</v>
      </c>
      <c r="AC705">
        <v>85.483869999999996</v>
      </c>
      <c r="AD705">
        <v>88.23236</v>
      </c>
      <c r="AE705">
        <v>97.531180000000006</v>
      </c>
      <c r="AF705">
        <v>82.444919999999996</v>
      </c>
      <c r="AG705">
        <v>79.194999999999993</v>
      </c>
      <c r="AH705">
        <v>86.53</v>
      </c>
      <c r="AI705">
        <v>78.948769999999996</v>
      </c>
      <c r="AJ705">
        <v>72.539280000000005</v>
      </c>
      <c r="AK705">
        <v>87.08</v>
      </c>
      <c r="AL705">
        <v>84.2</v>
      </c>
      <c r="AM705">
        <v>86.181010000000001</v>
      </c>
      <c r="AN705">
        <v>84.639790000000005</v>
      </c>
      <c r="AO705">
        <v>82.946690000000004</v>
      </c>
      <c r="AP705">
        <v>90.27261</v>
      </c>
      <c r="AQ705">
        <v>48.68045</v>
      </c>
      <c r="AR705">
        <v>70.702669999999998</v>
      </c>
      <c r="AS705">
        <v>85.587559999999996</v>
      </c>
      <c r="AT705">
        <v>87.62</v>
      </c>
      <c r="AU705">
        <v>92.36121</v>
      </c>
      <c r="AV705">
        <v>53.226390000000002</v>
      </c>
      <c r="AW705">
        <v>87.722399999999993</v>
      </c>
      <c r="AX705">
        <v>63.114460000000001</v>
      </c>
    </row>
    <row r="706" spans="1:50" x14ac:dyDescent="0.35">
      <c r="A706" s="75">
        <v>39326</v>
      </c>
      <c r="B706">
        <v>85.660290000000003</v>
      </c>
      <c r="C706">
        <v>86.261489999999995</v>
      </c>
      <c r="D706">
        <v>62.48574</v>
      </c>
      <c r="E706">
        <v>88.411900000000003</v>
      </c>
      <c r="F706">
        <v>99.0732</v>
      </c>
      <c r="G706">
        <v>78.237719999999996</v>
      </c>
      <c r="H706">
        <v>81.275540000000007</v>
      </c>
      <c r="I706">
        <v>75.028549999999996</v>
      </c>
      <c r="J706">
        <v>64.786839999999998</v>
      </c>
      <c r="K706">
        <v>85.6</v>
      </c>
      <c r="L706">
        <v>89.933549999999997</v>
      </c>
      <c r="M706">
        <v>87.2</v>
      </c>
      <c r="N706">
        <v>88.71</v>
      </c>
      <c r="O706">
        <v>88.950419999999994</v>
      </c>
      <c r="P706">
        <v>80.187309999999997</v>
      </c>
      <c r="Q706">
        <v>87.75</v>
      </c>
      <c r="R706">
        <v>87.780190000000005</v>
      </c>
      <c r="S706">
        <v>90.96</v>
      </c>
      <c r="T706">
        <v>77.961039999999997</v>
      </c>
      <c r="U706">
        <v>89.135829999999999</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82.916129999999995</v>
      </c>
      <c r="AG706">
        <v>80.269199999999998</v>
      </c>
      <c r="AH706">
        <v>86.62</v>
      </c>
      <c r="AI706">
        <v>80.412549999999996</v>
      </c>
      <c r="AJ706">
        <v>73.102519999999998</v>
      </c>
      <c r="AK706">
        <v>87.59</v>
      </c>
      <c r="AL706">
        <v>84.8</v>
      </c>
      <c r="AM706">
        <v>86.430210000000002</v>
      </c>
      <c r="AN706">
        <v>84.916129999999995</v>
      </c>
      <c r="AO706">
        <v>83.597890000000007</v>
      </c>
      <c r="AP706">
        <v>90.676649999999995</v>
      </c>
      <c r="AQ706">
        <v>49.06503</v>
      </c>
      <c r="AR706">
        <v>71.307929999999999</v>
      </c>
      <c r="AS706">
        <v>85.832269999999994</v>
      </c>
      <c r="AT706">
        <v>87.92</v>
      </c>
      <c r="AU706">
        <v>93.283519999999996</v>
      </c>
      <c r="AV706">
        <v>53.77516</v>
      </c>
      <c r="AW706">
        <v>87.964160000000007</v>
      </c>
      <c r="AX706">
        <v>63.472090000000001</v>
      </c>
    </row>
    <row r="707" spans="1:50" x14ac:dyDescent="0.35">
      <c r="A707" s="75">
        <v>39356</v>
      </c>
      <c r="B707">
        <v>86.155439999999999</v>
      </c>
      <c r="C707">
        <v>86.717380000000006</v>
      </c>
      <c r="D707">
        <v>62.673209999999997</v>
      </c>
      <c r="E707">
        <v>88.174869999999999</v>
      </c>
      <c r="F707">
        <v>99.919139999999999</v>
      </c>
      <c r="G707">
        <v>78.481020000000001</v>
      </c>
      <c r="H707">
        <v>81.519369999999995</v>
      </c>
      <c r="I707">
        <v>75.036709999999999</v>
      </c>
      <c r="J707">
        <v>65.155779999999993</v>
      </c>
      <c r="K707">
        <v>86.1</v>
      </c>
      <c r="L707">
        <v>90.120130000000003</v>
      </c>
      <c r="M707">
        <v>87.5</v>
      </c>
      <c r="N707">
        <v>89.15</v>
      </c>
      <c r="O707">
        <v>90.103390000000005</v>
      </c>
      <c r="P707">
        <v>81.007639999999995</v>
      </c>
      <c r="Q707">
        <v>88.21</v>
      </c>
      <c r="R707">
        <v>88.031720000000007</v>
      </c>
      <c r="S707">
        <v>91.19</v>
      </c>
      <c r="T707">
        <v>78.312780000000004</v>
      </c>
      <c r="U707">
        <v>89.325850000000003</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83.072140000000005</v>
      </c>
      <c r="AG707">
        <v>81.471100000000007</v>
      </c>
      <c r="AH707">
        <v>87.11</v>
      </c>
      <c r="AI707">
        <v>82.151380000000003</v>
      </c>
      <c r="AJ707">
        <v>73.3874</v>
      </c>
      <c r="AK707">
        <v>87.63</v>
      </c>
      <c r="AL707">
        <v>85</v>
      </c>
      <c r="AM707">
        <v>86.718310000000002</v>
      </c>
      <c r="AN707">
        <v>85.362560000000002</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64.05668</v>
      </c>
    </row>
    <row r="708" spans="1:50" x14ac:dyDescent="0.35">
      <c r="A708" s="75">
        <v>39387</v>
      </c>
      <c r="B708">
        <v>86.568060000000003</v>
      </c>
      <c r="C708">
        <v>87.53004</v>
      </c>
      <c r="D708">
        <v>62.911250000000003</v>
      </c>
      <c r="E708">
        <v>88.411900000000003</v>
      </c>
      <c r="F708">
        <v>100.3746</v>
      </c>
      <c r="G708">
        <v>79.073949999999996</v>
      </c>
      <c r="H708">
        <v>82.090010000000007</v>
      </c>
      <c r="I708">
        <v>75.395660000000007</v>
      </c>
      <c r="J708">
        <v>65.964650000000006</v>
      </c>
      <c r="K708">
        <v>86.9</v>
      </c>
      <c r="L708">
        <v>90.586590000000001</v>
      </c>
      <c r="M708">
        <v>88</v>
      </c>
      <c r="N708">
        <v>89.63</v>
      </c>
      <c r="O708">
        <v>90.748919999999998</v>
      </c>
      <c r="P708">
        <v>82.135599999999997</v>
      </c>
      <c r="Q708">
        <v>88.71</v>
      </c>
      <c r="R708">
        <v>88.283230000000003</v>
      </c>
      <c r="S708">
        <v>91.69</v>
      </c>
      <c r="T708">
        <v>78.703770000000006</v>
      </c>
      <c r="U708">
        <v>89.732169999999996</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83.072140000000005</v>
      </c>
      <c r="AG708">
        <v>82.327200000000005</v>
      </c>
      <c r="AH708">
        <v>87.44</v>
      </c>
      <c r="AI708">
        <v>83.312510000000003</v>
      </c>
      <c r="AJ708">
        <v>73.90513</v>
      </c>
      <c r="AK708">
        <v>87.76</v>
      </c>
      <c r="AL708">
        <v>86.4</v>
      </c>
      <c r="AM708">
        <v>87.153769999999994</v>
      </c>
      <c r="AN708">
        <v>85.881979999999999</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64.256119999999996</v>
      </c>
    </row>
    <row r="709" spans="1:50" x14ac:dyDescent="0.35">
      <c r="A709" s="75">
        <v>39417</v>
      </c>
      <c r="B709">
        <v>87.228260000000006</v>
      </c>
      <c r="C709">
        <v>87.767899999999997</v>
      </c>
      <c r="D709">
        <v>63.376899999999999</v>
      </c>
      <c r="E709">
        <v>88.49091</v>
      </c>
      <c r="F709">
        <v>100.6187</v>
      </c>
      <c r="G709">
        <v>79.435500000000005</v>
      </c>
      <c r="H709">
        <v>82.910910000000001</v>
      </c>
      <c r="I709">
        <v>75.76276</v>
      </c>
      <c r="J709">
        <v>67.06823</v>
      </c>
      <c r="K709">
        <v>87.3</v>
      </c>
      <c r="L709">
        <v>91.146349999999998</v>
      </c>
      <c r="M709">
        <v>88</v>
      </c>
      <c r="N709">
        <v>89.98</v>
      </c>
      <c r="O709">
        <v>91.128950000000003</v>
      </c>
      <c r="P709">
        <v>82.750839999999997</v>
      </c>
      <c r="Q709">
        <v>89.06</v>
      </c>
      <c r="R709">
        <v>88.115549999999999</v>
      </c>
      <c r="S709">
        <v>92.03</v>
      </c>
      <c r="T709">
        <v>78.94659</v>
      </c>
      <c r="U709">
        <v>89.830439999999996</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83.386290000000002</v>
      </c>
      <c r="AG709">
        <v>82.724199999999996</v>
      </c>
      <c r="AH709">
        <v>87.71</v>
      </c>
      <c r="AI709">
        <v>83.858170000000001</v>
      </c>
      <c r="AJ709">
        <v>74.21069</v>
      </c>
      <c r="AK709">
        <v>87.39</v>
      </c>
      <c r="AL709">
        <v>87.1</v>
      </c>
      <c r="AM709">
        <v>87.294479999999993</v>
      </c>
      <c r="AN709">
        <v>86.204210000000003</v>
      </c>
      <c r="AO709">
        <v>84.900279999999995</v>
      </c>
      <c r="AP709">
        <v>91.595209999999994</v>
      </c>
      <c r="AQ709">
        <v>51.053550000000001</v>
      </c>
      <c r="AR709">
        <v>73.29665</v>
      </c>
      <c r="AS709">
        <v>86.994640000000004</v>
      </c>
      <c r="AT709">
        <v>89.69</v>
      </c>
      <c r="AU709">
        <v>94.56644</v>
      </c>
      <c r="AV709">
        <v>55.939520000000002</v>
      </c>
      <c r="AW709">
        <v>88.616420000000005</v>
      </c>
      <c r="AX709">
        <v>64.710040000000006</v>
      </c>
    </row>
    <row r="710" spans="1:50" x14ac:dyDescent="0.35">
      <c r="A710" s="75">
        <v>39448</v>
      </c>
      <c r="B710">
        <v>86.898160000000004</v>
      </c>
      <c r="C710">
        <v>88.124669999999995</v>
      </c>
      <c r="D710">
        <v>63.719119999999997</v>
      </c>
      <c r="E710">
        <v>88.332890000000006</v>
      </c>
      <c r="F710">
        <v>100.32940000000001</v>
      </c>
      <c r="G710">
        <v>79.406580000000005</v>
      </c>
      <c r="H710">
        <v>83.905839999999998</v>
      </c>
      <c r="I710">
        <v>76.562250000000006</v>
      </c>
      <c r="J710">
        <v>67.558719999999994</v>
      </c>
      <c r="K710">
        <v>89.9</v>
      </c>
      <c r="L710">
        <v>90.866470000000007</v>
      </c>
      <c r="M710">
        <v>88.2</v>
      </c>
      <c r="N710">
        <v>89.67</v>
      </c>
      <c r="O710">
        <v>90.564790000000002</v>
      </c>
      <c r="P710">
        <v>84.545310000000001</v>
      </c>
      <c r="Q710">
        <v>88.94</v>
      </c>
      <c r="R710">
        <v>89.037790000000001</v>
      </c>
      <c r="S710">
        <v>91.92</v>
      </c>
      <c r="T710">
        <v>79.275790000000001</v>
      </c>
      <c r="U710">
        <v>90.021770000000004</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83.777389999999997</v>
      </c>
      <c r="AG710">
        <v>84.0625</v>
      </c>
      <c r="AH710">
        <v>87.2</v>
      </c>
      <c r="AI710">
        <v>86.246430000000004</v>
      </c>
      <c r="AJ710">
        <v>74.554659999999998</v>
      </c>
      <c r="AK710">
        <v>87.63</v>
      </c>
      <c r="AL710">
        <v>86.7</v>
      </c>
      <c r="AM710">
        <v>87.517979999999994</v>
      </c>
      <c r="AN710">
        <v>86.202870000000004</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65.623949999999994</v>
      </c>
    </row>
    <row r="711" spans="1:50" x14ac:dyDescent="0.35">
      <c r="A711" s="75">
        <v>39479</v>
      </c>
      <c r="B711">
        <v>87.145740000000004</v>
      </c>
      <c r="C711">
        <v>88.758949999999999</v>
      </c>
      <c r="D711">
        <v>64.031409999999994</v>
      </c>
      <c r="E711">
        <v>88.648929999999993</v>
      </c>
      <c r="F711">
        <v>100.4674</v>
      </c>
      <c r="G711">
        <v>79.726439999999997</v>
      </c>
      <c r="H711">
        <v>86.087389999999999</v>
      </c>
      <c r="I711">
        <v>77.720669999999998</v>
      </c>
      <c r="J711">
        <v>68.310580000000002</v>
      </c>
      <c r="K711">
        <v>90.2</v>
      </c>
      <c r="L711">
        <v>91.239639999999994</v>
      </c>
      <c r="M711">
        <v>89.3</v>
      </c>
      <c r="N711">
        <v>89.98</v>
      </c>
      <c r="O711">
        <v>90.706090000000003</v>
      </c>
      <c r="P711">
        <v>84.852940000000004</v>
      </c>
      <c r="Q711">
        <v>89.27</v>
      </c>
      <c r="R711">
        <v>89.456990000000005</v>
      </c>
      <c r="S711">
        <v>92.12</v>
      </c>
      <c r="T711">
        <v>79.751599999999996</v>
      </c>
      <c r="U711">
        <v>90.250699999999995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84.092590000000001</v>
      </c>
      <c r="AG711">
        <v>85.002200000000002</v>
      </c>
      <c r="AH711">
        <v>88.18</v>
      </c>
      <c r="AI711">
        <v>87.380459999999999</v>
      </c>
      <c r="AJ711">
        <v>74.776290000000003</v>
      </c>
      <c r="AK711">
        <v>88.22</v>
      </c>
      <c r="AL711">
        <v>87.2</v>
      </c>
      <c r="AM711">
        <v>87.785669999999996</v>
      </c>
      <c r="AN711">
        <v>86.570790000000002</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65.894000000000005</v>
      </c>
    </row>
    <row r="712" spans="1:50" x14ac:dyDescent="0.35">
      <c r="A712" s="75">
        <v>39508</v>
      </c>
      <c r="B712">
        <v>87.805930000000004</v>
      </c>
      <c r="C712">
        <v>89.403139999999993</v>
      </c>
      <c r="D712">
        <v>64.338819999999998</v>
      </c>
      <c r="E712">
        <v>88.964969999999994</v>
      </c>
      <c r="F712">
        <v>100.80719999999999</v>
      </c>
      <c r="G712">
        <v>80.390829999999994</v>
      </c>
      <c r="H712">
        <v>85.484780000000001</v>
      </c>
      <c r="I712">
        <v>78.348830000000007</v>
      </c>
      <c r="J712">
        <v>68.579480000000004</v>
      </c>
      <c r="K712">
        <v>90.1</v>
      </c>
      <c r="L712">
        <v>91.706100000000006</v>
      </c>
      <c r="M712">
        <v>89.7</v>
      </c>
      <c r="N712">
        <v>90.87</v>
      </c>
      <c r="O712">
        <v>91.511129999999994</v>
      </c>
      <c r="P712">
        <v>85.468190000000007</v>
      </c>
      <c r="Q712">
        <v>90.08</v>
      </c>
      <c r="R712">
        <v>90.211550000000003</v>
      </c>
      <c r="S712">
        <v>92.81</v>
      </c>
      <c r="T712">
        <v>80.329599999999999</v>
      </c>
      <c r="U712">
        <v>90.877619999999993</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84.876890000000003</v>
      </c>
      <c r="AG712">
        <v>85.864900000000006</v>
      </c>
      <c r="AH712">
        <v>88.84</v>
      </c>
      <c r="AI712">
        <v>88.665670000000006</v>
      </c>
      <c r="AJ712">
        <v>75.318250000000006</v>
      </c>
      <c r="AK712">
        <v>89.09</v>
      </c>
      <c r="AL712">
        <v>87.2</v>
      </c>
      <c r="AM712">
        <v>88.410030000000006</v>
      </c>
      <c r="AN712">
        <v>87.143029999999996</v>
      </c>
      <c r="AO712">
        <v>86.121279999999999</v>
      </c>
      <c r="AP712">
        <v>92.843180000000004</v>
      </c>
      <c r="AQ712">
        <v>53.494</v>
      </c>
      <c r="AR712">
        <v>75.957149999999999</v>
      </c>
      <c r="AS712">
        <v>88.768799999999999</v>
      </c>
      <c r="AT712">
        <v>90.88</v>
      </c>
      <c r="AU712">
        <v>95.153649999999999</v>
      </c>
      <c r="AV712">
        <v>57.666400000000003</v>
      </c>
      <c r="AW712">
        <v>90.089740000000006</v>
      </c>
      <c r="AX712">
        <v>66.839200000000005</v>
      </c>
    </row>
    <row r="713" spans="1:50" x14ac:dyDescent="0.35">
      <c r="A713" s="75">
        <v>39539</v>
      </c>
      <c r="B713">
        <v>88.0535</v>
      </c>
      <c r="C713">
        <v>89.611260000000001</v>
      </c>
      <c r="D713">
        <v>64.692639999999997</v>
      </c>
      <c r="E713">
        <v>89.676060000000007</v>
      </c>
      <c r="F713">
        <v>101.6036</v>
      </c>
      <c r="G713">
        <v>80.698779999999999</v>
      </c>
      <c r="H713">
        <v>85.570269999999994</v>
      </c>
      <c r="I713">
        <v>78.903570000000002</v>
      </c>
      <c r="J713">
        <v>69.158159999999995</v>
      </c>
      <c r="K713">
        <v>90.4</v>
      </c>
      <c r="L713">
        <v>91.51952</v>
      </c>
      <c r="M713">
        <v>90</v>
      </c>
      <c r="N713">
        <v>91.17</v>
      </c>
      <c r="O713">
        <v>92.496030000000005</v>
      </c>
      <c r="P713">
        <v>86.339789999999994</v>
      </c>
      <c r="Q713">
        <v>90.4</v>
      </c>
      <c r="R713">
        <v>90.379230000000007</v>
      </c>
      <c r="S713">
        <v>93.12</v>
      </c>
      <c r="T713">
        <v>80.753270000000001</v>
      </c>
      <c r="U713">
        <v>91.269689999999997</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85.348110000000005</v>
      </c>
      <c r="AG713">
        <v>86.928399999999996</v>
      </c>
      <c r="AH713">
        <v>89.06</v>
      </c>
      <c r="AI713">
        <v>90.034189999999995</v>
      </c>
      <c r="AJ713">
        <v>75.489649999999997</v>
      </c>
      <c r="AK713">
        <v>89.42</v>
      </c>
      <c r="AL713">
        <v>87.2</v>
      </c>
      <c r="AM713">
        <v>88.853189999999998</v>
      </c>
      <c r="AN713">
        <v>87.549769999999995</v>
      </c>
      <c r="AO713">
        <v>86.446879999999993</v>
      </c>
      <c r="AP713">
        <v>93.133769999999998</v>
      </c>
      <c r="AQ713">
        <v>54.253610000000002</v>
      </c>
      <c r="AR713">
        <v>76.62227</v>
      </c>
      <c r="AS713">
        <v>88.952330000000003</v>
      </c>
      <c r="AT713">
        <v>91.58</v>
      </c>
      <c r="AU713">
        <v>95.571719999999999</v>
      </c>
      <c r="AV713">
        <v>58.633459999999999</v>
      </c>
      <c r="AW713">
        <v>90.636120000000005</v>
      </c>
      <c r="AX713">
        <v>67.244290000000007</v>
      </c>
    </row>
    <row r="714" spans="1:50" x14ac:dyDescent="0.35">
      <c r="A714" s="75">
        <v>39569</v>
      </c>
      <c r="B714">
        <v>88.631169999999997</v>
      </c>
      <c r="C714">
        <v>90.414019999999994</v>
      </c>
      <c r="D714">
        <v>65.203770000000006</v>
      </c>
      <c r="E714">
        <v>90.545169999999999</v>
      </c>
      <c r="F714">
        <v>102.41030000000001</v>
      </c>
      <c r="G714">
        <v>81.630290000000002</v>
      </c>
      <c r="H714">
        <v>85.227980000000002</v>
      </c>
      <c r="I714">
        <v>79.637789999999995</v>
      </c>
      <c r="J714">
        <v>70.475800000000007</v>
      </c>
      <c r="K714">
        <v>90.8</v>
      </c>
      <c r="L714">
        <v>92.079269999999994</v>
      </c>
      <c r="M714">
        <v>90.3</v>
      </c>
      <c r="N714">
        <v>91.74</v>
      </c>
      <c r="O714">
        <v>93.120140000000006</v>
      </c>
      <c r="P714">
        <v>86.852490000000003</v>
      </c>
      <c r="Q714">
        <v>90.96</v>
      </c>
      <c r="R714">
        <v>90.882260000000002</v>
      </c>
      <c r="S714">
        <v>93.62</v>
      </c>
      <c r="T714">
        <v>81.291820000000001</v>
      </c>
      <c r="U714">
        <v>91.970510000000004</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86.052300000000002</v>
      </c>
      <c r="AG714">
        <v>87.626499999999993</v>
      </c>
      <c r="AH714">
        <v>89.64</v>
      </c>
      <c r="AI714">
        <v>90.877110000000002</v>
      </c>
      <c r="AJ714">
        <v>75.408090000000001</v>
      </c>
      <c r="AK714">
        <v>89.74</v>
      </c>
      <c r="AL714">
        <v>87.2</v>
      </c>
      <c r="AM714">
        <v>89.492400000000004</v>
      </c>
      <c r="AN714">
        <v>88.112269999999995</v>
      </c>
      <c r="AO714">
        <v>87.098079999999996</v>
      </c>
      <c r="AP714">
        <v>93.541799999999995</v>
      </c>
      <c r="AQ714">
        <v>54.98603</v>
      </c>
      <c r="AR714">
        <v>76.489239999999995</v>
      </c>
      <c r="AS714">
        <v>89.258219999999994</v>
      </c>
      <c r="AT714">
        <v>92.57</v>
      </c>
      <c r="AU714">
        <v>95.948300000000003</v>
      </c>
      <c r="AV714">
        <v>59.508420000000001</v>
      </c>
      <c r="AW714">
        <v>91.399349999999998</v>
      </c>
      <c r="AX714">
        <v>67.784400000000005</v>
      </c>
    </row>
    <row r="715" spans="1:50" x14ac:dyDescent="0.35">
      <c r="A715" s="75">
        <v>39600</v>
      </c>
      <c r="B715">
        <v>88.878749999999997</v>
      </c>
      <c r="C715">
        <v>90.909540000000007</v>
      </c>
      <c r="D715">
        <v>65.686350000000004</v>
      </c>
      <c r="E715">
        <v>91.177250000000001</v>
      </c>
      <c r="F715">
        <v>102.5836</v>
      </c>
      <c r="G715">
        <v>82.845939999999999</v>
      </c>
      <c r="H715">
        <v>85.05753</v>
      </c>
      <c r="I715">
        <v>80.331209999999999</v>
      </c>
      <c r="J715">
        <v>71.461070000000007</v>
      </c>
      <c r="K715">
        <v>91</v>
      </c>
      <c r="L715">
        <v>92.26585</v>
      </c>
      <c r="M715">
        <v>90.5</v>
      </c>
      <c r="N715">
        <v>92.09</v>
      </c>
      <c r="O715">
        <v>93.656480000000002</v>
      </c>
      <c r="P715">
        <v>87.365200000000002</v>
      </c>
      <c r="Q715">
        <v>91.3</v>
      </c>
      <c r="R715">
        <v>91.217619999999997</v>
      </c>
      <c r="S715">
        <v>93.96</v>
      </c>
      <c r="T715">
        <v>81.798900000000003</v>
      </c>
      <c r="U715">
        <v>92.669439999999994</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86.601519999999994</v>
      </c>
      <c r="AG715">
        <v>88.172499999999999</v>
      </c>
      <c r="AH715">
        <v>90.08</v>
      </c>
      <c r="AI715">
        <v>91.499409999999997</v>
      </c>
      <c r="AJ715">
        <v>75.720150000000004</v>
      </c>
      <c r="AK715">
        <v>89.58</v>
      </c>
      <c r="AL715">
        <v>87.4</v>
      </c>
      <c r="AM715">
        <v>90.069820000000007</v>
      </c>
      <c r="AN715">
        <v>88.389110000000002</v>
      </c>
      <c r="AO715">
        <v>87.260890000000003</v>
      </c>
      <c r="AP715">
        <v>94.010540000000006</v>
      </c>
      <c r="AQ715">
        <v>55.519399999999997</v>
      </c>
      <c r="AR715">
        <v>76.821809999999999</v>
      </c>
      <c r="AS715">
        <v>89.564109999999999</v>
      </c>
      <c r="AT715">
        <v>93.41</v>
      </c>
      <c r="AU715">
        <v>96.404660000000007</v>
      </c>
      <c r="AV715">
        <v>59.293509999999998</v>
      </c>
      <c r="AW715">
        <v>92.32038</v>
      </c>
      <c r="AX715">
        <v>68.729609999999994</v>
      </c>
    </row>
    <row r="716" spans="1:50" x14ac:dyDescent="0.35">
      <c r="A716" s="75">
        <v>39630</v>
      </c>
      <c r="B716">
        <v>88.796229999999994</v>
      </c>
      <c r="C716">
        <v>91.385249999999999</v>
      </c>
      <c r="D716">
        <v>66.034369999999996</v>
      </c>
      <c r="E716">
        <v>91.493290000000002</v>
      </c>
      <c r="F716">
        <v>102.1366</v>
      </c>
      <c r="G716">
        <v>83.782560000000004</v>
      </c>
      <c r="H716">
        <v>85.142589999999998</v>
      </c>
      <c r="I716">
        <v>80.714640000000003</v>
      </c>
      <c r="J716">
        <v>72.989530000000002</v>
      </c>
      <c r="K716">
        <v>91.5</v>
      </c>
      <c r="L716">
        <v>92.825609999999998</v>
      </c>
      <c r="M716">
        <v>90.3</v>
      </c>
      <c r="N716">
        <v>91.95</v>
      </c>
      <c r="O716">
        <v>93.206860000000006</v>
      </c>
      <c r="P716">
        <v>87.980450000000005</v>
      </c>
      <c r="Q716">
        <v>91.22</v>
      </c>
      <c r="R716">
        <v>91.049940000000007</v>
      </c>
      <c r="S716">
        <v>93.76</v>
      </c>
      <c r="T716">
        <v>82.196640000000002</v>
      </c>
      <c r="U716">
        <v>93.039850000000001</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87.229810000000001</v>
      </c>
      <c r="AG716">
        <v>88.537000000000006</v>
      </c>
      <c r="AH716">
        <v>89.64</v>
      </c>
      <c r="AI716">
        <v>91.776730000000001</v>
      </c>
      <c r="AJ716">
        <v>76.142139999999998</v>
      </c>
      <c r="AK716">
        <v>89.72</v>
      </c>
      <c r="AL716">
        <v>87.9</v>
      </c>
      <c r="AM716">
        <v>90.406229999999994</v>
      </c>
      <c r="AN716">
        <v>88.493970000000004</v>
      </c>
      <c r="AO716">
        <v>87.260890000000003</v>
      </c>
      <c r="AP716">
        <v>93.466170000000005</v>
      </c>
      <c r="AQ716">
        <v>55.802549999999997</v>
      </c>
      <c r="AR716">
        <v>78.019030000000001</v>
      </c>
      <c r="AS716">
        <v>89.686459999999997</v>
      </c>
      <c r="AT716">
        <v>93.37</v>
      </c>
      <c r="AU716">
        <v>96.206800000000001</v>
      </c>
      <c r="AV716">
        <v>59.63505</v>
      </c>
      <c r="AW716">
        <v>92.805160000000001</v>
      </c>
      <c r="AX716">
        <v>69.809839999999994</v>
      </c>
    </row>
    <row r="717" spans="1:50" x14ac:dyDescent="0.35">
      <c r="A717" s="75">
        <v>39661</v>
      </c>
      <c r="B717">
        <v>88.631169999999997</v>
      </c>
      <c r="C717">
        <v>90.830250000000007</v>
      </c>
      <c r="D717">
        <v>66.219279999999998</v>
      </c>
      <c r="E717">
        <v>91.335269999999994</v>
      </c>
      <c r="F717">
        <v>101.87050000000001</v>
      </c>
      <c r="G717">
        <v>84.559250000000006</v>
      </c>
      <c r="H717">
        <v>85.05744</v>
      </c>
      <c r="I717">
        <v>80.869640000000004</v>
      </c>
      <c r="J717">
        <v>74.294259999999994</v>
      </c>
      <c r="K717">
        <v>91.4</v>
      </c>
      <c r="L717">
        <v>92.545730000000006</v>
      </c>
      <c r="M717">
        <v>90.4</v>
      </c>
      <c r="N717">
        <v>91.82</v>
      </c>
      <c r="O717">
        <v>93.00667</v>
      </c>
      <c r="P717">
        <v>88.082989999999995</v>
      </c>
      <c r="Q717">
        <v>91.08</v>
      </c>
      <c r="R717">
        <v>91.469139999999996</v>
      </c>
      <c r="S717">
        <v>93.73</v>
      </c>
      <c r="T717">
        <v>82.235669999999999</v>
      </c>
      <c r="U717">
        <v>92.883610000000004</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87.072739999999996</v>
      </c>
      <c r="AG717">
        <v>88.680700000000002</v>
      </c>
      <c r="AH717">
        <v>89.99</v>
      </c>
      <c r="AI717">
        <v>91.376130000000003</v>
      </c>
      <c r="AJ717">
        <v>76.581850000000003</v>
      </c>
      <c r="AK717">
        <v>89.89</v>
      </c>
      <c r="AL717">
        <v>88</v>
      </c>
      <c r="AM717">
        <v>90.297160000000005</v>
      </c>
      <c r="AN717">
        <v>88.462760000000003</v>
      </c>
      <c r="AO717">
        <v>86.935289999999995</v>
      </c>
      <c r="AP717">
        <v>92.994450000000001</v>
      </c>
      <c r="AQ717">
        <v>56.003439999999998</v>
      </c>
      <c r="AR717">
        <v>78.418109999999999</v>
      </c>
      <c r="AS717">
        <v>89.87</v>
      </c>
      <c r="AT717">
        <v>92.84</v>
      </c>
      <c r="AU717">
        <v>96.372749999999996</v>
      </c>
      <c r="AV717">
        <v>59.489229999999999</v>
      </c>
      <c r="AW717">
        <v>92.434719999999999</v>
      </c>
      <c r="AX717">
        <v>70.214920000000006</v>
      </c>
    </row>
    <row r="718" spans="1:50" x14ac:dyDescent="0.35">
      <c r="A718" s="75">
        <v>39692</v>
      </c>
      <c r="B718">
        <v>88.878749999999997</v>
      </c>
      <c r="C718">
        <v>90.978909999999999</v>
      </c>
      <c r="D718">
        <v>66.39143</v>
      </c>
      <c r="E718">
        <v>91.414280000000005</v>
      </c>
      <c r="F718">
        <v>101.97329999999999</v>
      </c>
      <c r="G718">
        <v>85.460980000000006</v>
      </c>
      <c r="H718">
        <v>85.05744</v>
      </c>
      <c r="I718">
        <v>80.714640000000003</v>
      </c>
      <c r="J718">
        <v>75.00094</v>
      </c>
      <c r="K718">
        <v>91.2</v>
      </c>
      <c r="L718">
        <v>92.452439999999996</v>
      </c>
      <c r="M718">
        <v>90.8</v>
      </c>
      <c r="N718">
        <v>92</v>
      </c>
      <c r="O718">
        <v>92.987399999999994</v>
      </c>
      <c r="P718">
        <v>88.595699999999994</v>
      </c>
      <c r="Q718">
        <v>91.28</v>
      </c>
      <c r="R718">
        <v>91.888339999999999</v>
      </c>
      <c r="S718">
        <v>93.67</v>
      </c>
      <c r="T718">
        <v>82.385930000000002</v>
      </c>
      <c r="U718">
        <v>92.818299999999994</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87.151799999999994</v>
      </c>
      <c r="AG718">
        <v>89.126300000000001</v>
      </c>
      <c r="AH718">
        <v>90.09</v>
      </c>
      <c r="AI718">
        <v>92.376390000000001</v>
      </c>
      <c r="AJ718">
        <v>77.103719999999996</v>
      </c>
      <c r="AK718">
        <v>90.28</v>
      </c>
      <c r="AL718">
        <v>89.3</v>
      </c>
      <c r="AM718">
        <v>90.338859999999997</v>
      </c>
      <c r="AN718">
        <v>88.620320000000007</v>
      </c>
      <c r="AO718">
        <v>87.179490000000001</v>
      </c>
      <c r="AP718">
        <v>93.491050000000001</v>
      </c>
      <c r="AQ718">
        <v>56.45147</v>
      </c>
      <c r="AR718">
        <v>78.684150000000002</v>
      </c>
      <c r="AS718">
        <v>90.420590000000004</v>
      </c>
      <c r="AT718">
        <v>92.79</v>
      </c>
      <c r="AU718">
        <v>97.362080000000006</v>
      </c>
      <c r="AV718">
        <v>59.757849999999998</v>
      </c>
      <c r="AW718">
        <v>92.306880000000007</v>
      </c>
      <c r="AX718">
        <v>70.620009999999994</v>
      </c>
    </row>
    <row r="719" spans="1:50" x14ac:dyDescent="0.35">
      <c r="A719" s="75">
        <v>39722</v>
      </c>
      <c r="B719">
        <v>88.796229999999994</v>
      </c>
      <c r="C719">
        <v>90.810429999999997</v>
      </c>
      <c r="D719">
        <v>66.690269999999998</v>
      </c>
      <c r="E719">
        <v>90.466160000000002</v>
      </c>
      <c r="F719">
        <v>102.5151</v>
      </c>
      <c r="G719">
        <v>86.213849999999994</v>
      </c>
      <c r="H719">
        <v>84.802269999999993</v>
      </c>
      <c r="I719">
        <v>80.992000000000004</v>
      </c>
      <c r="J719">
        <v>75.778620000000004</v>
      </c>
      <c r="K719">
        <v>91.2</v>
      </c>
      <c r="L719">
        <v>92.26585</v>
      </c>
      <c r="M719">
        <v>90.7</v>
      </c>
      <c r="N719">
        <v>92.03</v>
      </c>
      <c r="O719">
        <v>93.307490000000001</v>
      </c>
      <c r="P719">
        <v>88.954589999999996</v>
      </c>
      <c r="Q719">
        <v>91.35</v>
      </c>
      <c r="R719">
        <v>91.888339999999999</v>
      </c>
      <c r="S719">
        <v>93.62</v>
      </c>
      <c r="T719">
        <v>82.302120000000002</v>
      </c>
      <c r="U719">
        <v>92.213980000000006</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87.072739999999996</v>
      </c>
      <c r="AG719">
        <v>90.019300000000001</v>
      </c>
      <c r="AH719">
        <v>89.95</v>
      </c>
      <c r="AI719">
        <v>93.478679999999997</v>
      </c>
      <c r="AJ719">
        <v>77.629140000000007</v>
      </c>
      <c r="AK719">
        <v>90.07</v>
      </c>
      <c r="AL719">
        <v>89.6</v>
      </c>
      <c r="AM719">
        <v>90.005899999999997</v>
      </c>
      <c r="AN719">
        <v>88.746080000000006</v>
      </c>
      <c r="AO719">
        <v>87.505089999999996</v>
      </c>
      <c r="AP719">
        <v>93.34675</v>
      </c>
      <c r="AQ719">
        <v>56.965170000000001</v>
      </c>
      <c r="AR719">
        <v>79.881379999999993</v>
      </c>
      <c r="AS719">
        <v>90.787660000000002</v>
      </c>
      <c r="AT719">
        <v>92.79</v>
      </c>
      <c r="AU719">
        <v>97.515259999999998</v>
      </c>
      <c r="AV719">
        <v>61.312049999999999</v>
      </c>
      <c r="AW719">
        <v>91.374459999999999</v>
      </c>
      <c r="AX719">
        <v>70.890060000000005</v>
      </c>
    </row>
    <row r="720" spans="1:50" x14ac:dyDescent="0.35">
      <c r="A720" s="75">
        <v>39753</v>
      </c>
      <c r="B720">
        <v>88.548649999999995</v>
      </c>
      <c r="C720">
        <v>90.275270000000006</v>
      </c>
      <c r="D720">
        <v>66.930400000000006</v>
      </c>
      <c r="E720">
        <v>90.150120000000001</v>
      </c>
      <c r="F720">
        <v>101.8323</v>
      </c>
      <c r="G720">
        <v>86.101560000000006</v>
      </c>
      <c r="H720">
        <v>84.123850000000004</v>
      </c>
      <c r="I720">
        <v>81.220429999999993</v>
      </c>
      <c r="J720">
        <v>76.715479999999999</v>
      </c>
      <c r="K720">
        <v>90.7</v>
      </c>
      <c r="L720">
        <v>91.799390000000002</v>
      </c>
      <c r="M720">
        <v>90.4</v>
      </c>
      <c r="N720">
        <v>91.59</v>
      </c>
      <c r="O720">
        <v>92.911389999999997</v>
      </c>
      <c r="P720">
        <v>88.698229999999995</v>
      </c>
      <c r="Q720">
        <v>90.97</v>
      </c>
      <c r="R720">
        <v>91.469139999999996</v>
      </c>
      <c r="S720">
        <v>93.18</v>
      </c>
      <c r="T720">
        <v>81.722309999999993</v>
      </c>
      <c r="U720">
        <v>91.030349999999999</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86.83766</v>
      </c>
      <c r="AG720">
        <v>89.798599999999993</v>
      </c>
      <c r="AH720">
        <v>89.19</v>
      </c>
      <c r="AI720">
        <v>93.137389999999996</v>
      </c>
      <c r="AJ720">
        <v>78.511529999999993</v>
      </c>
      <c r="AK720">
        <v>89.74</v>
      </c>
      <c r="AL720">
        <v>89.1</v>
      </c>
      <c r="AM720">
        <v>89.170770000000005</v>
      </c>
      <c r="AN720">
        <v>88.49682</v>
      </c>
      <c r="AO720">
        <v>87.667879999999997</v>
      </c>
      <c r="AP720">
        <v>92.751630000000006</v>
      </c>
      <c r="AQ720">
        <v>57.437980000000003</v>
      </c>
      <c r="AR720">
        <v>79.748350000000002</v>
      </c>
      <c r="AS720">
        <v>90.971199999999996</v>
      </c>
      <c r="AT720">
        <v>92.12</v>
      </c>
      <c r="AU720">
        <v>96.717410000000001</v>
      </c>
      <c r="AV720">
        <v>61.82244</v>
      </c>
      <c r="AW720">
        <v>89.624369999999999</v>
      </c>
      <c r="AX720">
        <v>70.890060000000005</v>
      </c>
    </row>
    <row r="721" spans="1:50" x14ac:dyDescent="0.35">
      <c r="A721" s="75">
        <v>39783</v>
      </c>
      <c r="B721">
        <v>88.383600000000001</v>
      </c>
      <c r="C721">
        <v>90.077060000000003</v>
      </c>
      <c r="D721">
        <v>67.117869999999996</v>
      </c>
      <c r="E721">
        <v>89.518039999999999</v>
      </c>
      <c r="F721">
        <v>101.324</v>
      </c>
      <c r="G721">
        <v>85.069659999999999</v>
      </c>
      <c r="H721">
        <v>83.955600000000004</v>
      </c>
      <c r="I721">
        <v>81.57938</v>
      </c>
      <c r="J721">
        <v>76.392790000000005</v>
      </c>
      <c r="K721">
        <v>90.5</v>
      </c>
      <c r="L721">
        <v>92.172560000000004</v>
      </c>
      <c r="M721">
        <v>90.1</v>
      </c>
      <c r="N721">
        <v>91.47</v>
      </c>
      <c r="O721">
        <v>92.435010000000005</v>
      </c>
      <c r="P721">
        <v>88.493160000000003</v>
      </c>
      <c r="Q721">
        <v>90.85</v>
      </c>
      <c r="R721">
        <v>91.133780000000002</v>
      </c>
      <c r="S721">
        <v>92.95</v>
      </c>
      <c r="T721">
        <v>81.391649999999998</v>
      </c>
      <c r="U721">
        <v>90.433989999999994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86.83766</v>
      </c>
      <c r="AG721">
        <v>89.732200000000006</v>
      </c>
      <c r="AH721">
        <v>88.67</v>
      </c>
      <c r="AI721">
        <v>92.694339999999997</v>
      </c>
      <c r="AJ721">
        <v>79.055269999999993</v>
      </c>
      <c r="AK721">
        <v>89.09</v>
      </c>
      <c r="AL721">
        <v>89</v>
      </c>
      <c r="AM721">
        <v>88.705619999999996</v>
      </c>
      <c r="AN721">
        <v>88.310839999999999</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70.755039999999994</v>
      </c>
    </row>
    <row r="722" spans="1:50" x14ac:dyDescent="0.35">
      <c r="A722" s="75">
        <v>39814</v>
      </c>
      <c r="B722">
        <v>87.970979999999997</v>
      </c>
      <c r="C722">
        <v>90.166250000000005</v>
      </c>
      <c r="D722">
        <v>67.439899999999994</v>
      </c>
      <c r="E722">
        <v>89.281009999999995</v>
      </c>
      <c r="F722">
        <v>100.4691</v>
      </c>
      <c r="G722">
        <v>84.42313</v>
      </c>
      <c r="H722">
        <v>84.711200000000005</v>
      </c>
      <c r="I722">
        <v>82.060689999999994</v>
      </c>
      <c r="J722">
        <v>76.679990000000004</v>
      </c>
      <c r="K722">
        <v>91.9</v>
      </c>
      <c r="L722">
        <v>91.706100000000006</v>
      </c>
      <c r="M722">
        <v>89.8</v>
      </c>
      <c r="N722">
        <v>90.73</v>
      </c>
      <c r="O722">
        <v>91.295959999999994</v>
      </c>
      <c r="P722">
        <v>87.980450000000005</v>
      </c>
      <c r="Q722">
        <v>90.32</v>
      </c>
      <c r="R722">
        <v>90.966099999999997</v>
      </c>
      <c r="S722">
        <v>92.57</v>
      </c>
      <c r="T722">
        <v>81.56344</v>
      </c>
      <c r="U722">
        <v>90.473460000000003</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86.916730000000001</v>
      </c>
      <c r="AG722">
        <v>92.161699999999996</v>
      </c>
      <c r="AH722">
        <v>87.67</v>
      </c>
      <c r="AI722">
        <v>94.72784</v>
      </c>
      <c r="AJ722">
        <v>79.238479999999996</v>
      </c>
      <c r="AK722">
        <v>89.32</v>
      </c>
      <c r="AL722">
        <v>88.7</v>
      </c>
      <c r="AM722">
        <v>88.716520000000003</v>
      </c>
      <c r="AN722">
        <v>88.017679999999999</v>
      </c>
      <c r="AO722">
        <v>87.993480000000005</v>
      </c>
      <c r="AP722">
        <v>91.716629999999995</v>
      </c>
      <c r="AQ722">
        <v>59.204979999999999</v>
      </c>
      <c r="AR722">
        <v>80.147419999999997</v>
      </c>
      <c r="AS722">
        <v>91.154730000000001</v>
      </c>
      <c r="AT722">
        <v>91.13</v>
      </c>
      <c r="AU722">
        <v>95.06429</v>
      </c>
      <c r="AV722">
        <v>61.745690000000003</v>
      </c>
      <c r="AW722">
        <v>89.083479999999994</v>
      </c>
      <c r="AX722">
        <v>71.160120000000006</v>
      </c>
    </row>
    <row r="723" spans="1:50" x14ac:dyDescent="0.35">
      <c r="A723" s="75">
        <v>39845</v>
      </c>
      <c r="B723">
        <v>88.301079999999999</v>
      </c>
      <c r="C723">
        <v>90.473479999999995</v>
      </c>
      <c r="D723">
        <v>67.810879999999997</v>
      </c>
      <c r="E723">
        <v>89.913089999999997</v>
      </c>
      <c r="F723">
        <v>100.7059</v>
      </c>
      <c r="G723">
        <v>83.323809999999995</v>
      </c>
      <c r="H723">
        <v>84.711200000000005</v>
      </c>
      <c r="I723">
        <v>82.745959999999997</v>
      </c>
      <c r="J723">
        <v>77.018810000000002</v>
      </c>
      <c r="K723">
        <v>91.9</v>
      </c>
      <c r="L723">
        <v>92.26585</v>
      </c>
      <c r="M723">
        <v>90.9</v>
      </c>
      <c r="N723">
        <v>91.1</v>
      </c>
      <c r="O723">
        <v>91.305599999999998</v>
      </c>
      <c r="P723">
        <v>87.672820000000002</v>
      </c>
      <c r="Q723">
        <v>90.73</v>
      </c>
      <c r="R723">
        <v>91.049940000000007</v>
      </c>
      <c r="S723">
        <v>92.92</v>
      </c>
      <c r="T723">
        <v>81.881100000000004</v>
      </c>
      <c r="U723">
        <v>90.838499999999996</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87.543959999999998</v>
      </c>
      <c r="AG723">
        <v>92.415999999999997</v>
      </c>
      <c r="AH723">
        <v>89.23</v>
      </c>
      <c r="AI723">
        <v>95.749709999999993</v>
      </c>
      <c r="AJ723">
        <v>79.413420000000002</v>
      </c>
      <c r="AK723">
        <v>89.95</v>
      </c>
      <c r="AL723">
        <v>89.4</v>
      </c>
      <c r="AM723">
        <v>89.031109999999998</v>
      </c>
      <c r="AN723">
        <v>88.334419999999994</v>
      </c>
      <c r="AO723">
        <v>88.807490000000001</v>
      </c>
      <c r="AP723">
        <v>91.667860000000005</v>
      </c>
      <c r="AQ723">
        <v>60.18186</v>
      </c>
      <c r="AR723">
        <v>80.213939999999994</v>
      </c>
      <c r="AS723">
        <v>91.154730000000001</v>
      </c>
      <c r="AT723">
        <v>91.61</v>
      </c>
      <c r="AU723">
        <v>95.08663</v>
      </c>
      <c r="AV723">
        <v>61.534619999999997</v>
      </c>
      <c r="AW723">
        <v>89.526489999999995</v>
      </c>
      <c r="AX723">
        <v>71.835269999999994</v>
      </c>
    </row>
    <row r="724" spans="1:50" x14ac:dyDescent="0.35">
      <c r="A724" s="75">
        <v>39873</v>
      </c>
      <c r="B724">
        <v>88.466130000000007</v>
      </c>
      <c r="C724">
        <v>89.958129999999997</v>
      </c>
      <c r="D724">
        <v>67.946380000000005</v>
      </c>
      <c r="E724">
        <v>90.071110000000004</v>
      </c>
      <c r="F724">
        <v>100.37949999999999</v>
      </c>
      <c r="G724">
        <v>83.357119999999995</v>
      </c>
      <c r="H724">
        <v>84.457070000000002</v>
      </c>
      <c r="I724">
        <v>83.162019999999998</v>
      </c>
      <c r="J724">
        <v>77.029560000000004</v>
      </c>
      <c r="K724">
        <v>92.1</v>
      </c>
      <c r="L724">
        <v>92.079269999999994</v>
      </c>
      <c r="M724">
        <v>91.2</v>
      </c>
      <c r="N724">
        <v>91.44</v>
      </c>
      <c r="O724">
        <v>91.455470000000005</v>
      </c>
      <c r="P724">
        <v>87.211389999999994</v>
      </c>
      <c r="Q724">
        <v>91.08</v>
      </c>
      <c r="R724">
        <v>91.049940000000007</v>
      </c>
      <c r="S724">
        <v>93.09</v>
      </c>
      <c r="T724">
        <v>82.124709999999993</v>
      </c>
      <c r="U724">
        <v>91.008489999999995</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88.171189999999996</v>
      </c>
      <c r="AG724">
        <v>92.439300000000003</v>
      </c>
      <c r="AH724">
        <v>89.07</v>
      </c>
      <c r="AI724">
        <v>95.974410000000006</v>
      </c>
      <c r="AJ724">
        <v>79.870279999999994</v>
      </c>
      <c r="AK724">
        <v>90.85</v>
      </c>
      <c r="AL724">
        <v>89.4</v>
      </c>
      <c r="AM724">
        <v>89.267110000000002</v>
      </c>
      <c r="AN724">
        <v>88.534040000000005</v>
      </c>
      <c r="AO724">
        <v>89.458690000000004</v>
      </c>
      <c r="AP724">
        <v>92.396339999999995</v>
      </c>
      <c r="AQ724">
        <v>60.97025</v>
      </c>
      <c r="AR724">
        <v>80.479990000000001</v>
      </c>
      <c r="AS724">
        <v>90.910020000000003</v>
      </c>
      <c r="AT724">
        <v>92.48</v>
      </c>
      <c r="AU724">
        <v>95.357889999999998</v>
      </c>
      <c r="AV724">
        <v>62.213859999999997</v>
      </c>
      <c r="AW724">
        <v>89.744190000000003</v>
      </c>
      <c r="AX724">
        <v>72.915499999999994</v>
      </c>
    </row>
    <row r="725" spans="1:50" x14ac:dyDescent="0.35">
      <c r="A725" s="75">
        <v>39904</v>
      </c>
      <c r="B725">
        <v>88.631169999999997</v>
      </c>
      <c r="C725">
        <v>90.146429999999995</v>
      </c>
      <c r="D725">
        <v>68.272589999999994</v>
      </c>
      <c r="E725">
        <v>89.992099999999994</v>
      </c>
      <c r="F725">
        <v>101.2645</v>
      </c>
      <c r="G725">
        <v>83.232200000000006</v>
      </c>
      <c r="H725">
        <v>84.288150000000002</v>
      </c>
      <c r="I725">
        <v>83.423069999999996</v>
      </c>
      <c r="J725">
        <v>77.284480000000002</v>
      </c>
      <c r="K725">
        <v>92</v>
      </c>
      <c r="L725">
        <v>92.172560000000004</v>
      </c>
      <c r="M725">
        <v>91.1</v>
      </c>
      <c r="N725">
        <v>91.76</v>
      </c>
      <c r="O725">
        <v>92.348290000000006</v>
      </c>
      <c r="P725">
        <v>86.596140000000005</v>
      </c>
      <c r="Q725">
        <v>91.41</v>
      </c>
      <c r="R725">
        <v>91.049940000000007</v>
      </c>
      <c r="S725">
        <v>93.24</v>
      </c>
      <c r="T725">
        <v>82.383899999999997</v>
      </c>
      <c r="U725">
        <v>91.187860000000001</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88.40522</v>
      </c>
      <c r="AG725">
        <v>92.363399999999999</v>
      </c>
      <c r="AH725">
        <v>89.3</v>
      </c>
      <c r="AI725">
        <v>95.605590000000007</v>
      </c>
      <c r="AJ725">
        <v>80.149829999999994</v>
      </c>
      <c r="AK725">
        <v>91.05</v>
      </c>
      <c r="AL725">
        <v>89.7</v>
      </c>
      <c r="AM725">
        <v>89.483909999999995</v>
      </c>
      <c r="AN725">
        <v>88.768050000000002</v>
      </c>
      <c r="AO725">
        <v>90.109889999999993</v>
      </c>
      <c r="AP725">
        <v>92.627229999999997</v>
      </c>
      <c r="AQ725">
        <v>61.390940000000001</v>
      </c>
      <c r="AR725">
        <v>80.613010000000003</v>
      </c>
      <c r="AS725">
        <v>90.848839999999996</v>
      </c>
      <c r="AT725">
        <v>92.61</v>
      </c>
      <c r="AU725">
        <v>95.5047</v>
      </c>
      <c r="AV725">
        <v>62.225380000000001</v>
      </c>
      <c r="AW725">
        <v>89.968230000000005</v>
      </c>
      <c r="AX725">
        <v>73.185550000000006</v>
      </c>
    </row>
    <row r="726" spans="1:50" x14ac:dyDescent="0.35">
      <c r="A726" s="75">
        <v>39934</v>
      </c>
      <c r="B726">
        <v>88.878749999999997</v>
      </c>
      <c r="C726">
        <v>90.077060000000003</v>
      </c>
      <c r="D726">
        <v>68.593459999999993</v>
      </c>
      <c r="E726">
        <v>90.624179999999996</v>
      </c>
      <c r="F726">
        <v>101.426</v>
      </c>
      <c r="G726">
        <v>83.04898</v>
      </c>
      <c r="H726">
        <v>84.035290000000003</v>
      </c>
      <c r="I726">
        <v>83.43938</v>
      </c>
      <c r="J726">
        <v>77.18768</v>
      </c>
      <c r="K726">
        <v>92</v>
      </c>
      <c r="L726">
        <v>92.079269999999994</v>
      </c>
      <c r="M726">
        <v>91.4</v>
      </c>
      <c r="N726">
        <v>91.8</v>
      </c>
      <c r="O726">
        <v>92.316180000000003</v>
      </c>
      <c r="P726">
        <v>86.596140000000005</v>
      </c>
      <c r="Q726">
        <v>91.51</v>
      </c>
      <c r="R726">
        <v>90.882260000000002</v>
      </c>
      <c r="S726">
        <v>93.38</v>
      </c>
      <c r="T726">
        <v>82.548900000000003</v>
      </c>
      <c r="U726">
        <v>91.378230000000002</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88.40522</v>
      </c>
      <c r="AG726">
        <v>92.217500000000001</v>
      </c>
      <c r="AH726">
        <v>89.38</v>
      </c>
      <c r="AI726">
        <v>95.119630000000001</v>
      </c>
      <c r="AJ726">
        <v>79.916380000000004</v>
      </c>
      <c r="AK726">
        <v>91.17</v>
      </c>
      <c r="AL726">
        <v>89.9</v>
      </c>
      <c r="AM726">
        <v>89.638769999999994</v>
      </c>
      <c r="AN726">
        <v>88.930170000000004</v>
      </c>
      <c r="AO726">
        <v>90.598290000000006</v>
      </c>
      <c r="AP726">
        <v>92.446100000000001</v>
      </c>
      <c r="AQ726">
        <v>61.740870000000001</v>
      </c>
      <c r="AR726">
        <v>80.67953</v>
      </c>
      <c r="AS726">
        <v>90.910020000000003</v>
      </c>
      <c r="AT726">
        <v>93.21</v>
      </c>
      <c r="AU726">
        <v>95.258960000000002</v>
      </c>
      <c r="AV726">
        <v>62.624479999999998</v>
      </c>
      <c r="AW726">
        <v>90.228129999999993</v>
      </c>
      <c r="AX726">
        <v>73.455609999999993</v>
      </c>
    </row>
    <row r="727" spans="1:50" x14ac:dyDescent="0.35">
      <c r="A727" s="75">
        <v>39965</v>
      </c>
      <c r="B727">
        <v>88.796229999999994</v>
      </c>
      <c r="C727">
        <v>89.908580000000001</v>
      </c>
      <c r="D727">
        <v>68.840320000000006</v>
      </c>
      <c r="E727">
        <v>90.940219999999997</v>
      </c>
      <c r="F727">
        <v>101.608</v>
      </c>
      <c r="G727">
        <v>83.332139999999995</v>
      </c>
      <c r="H727">
        <v>83.615110000000001</v>
      </c>
      <c r="I727">
        <v>83.390439999999998</v>
      </c>
      <c r="J727">
        <v>77.317830000000001</v>
      </c>
      <c r="K727">
        <v>92</v>
      </c>
      <c r="L727">
        <v>92.35915</v>
      </c>
      <c r="M727">
        <v>91.6</v>
      </c>
      <c r="N727">
        <v>91.99</v>
      </c>
      <c r="O727">
        <v>92.722980000000007</v>
      </c>
      <c r="P727">
        <v>86.544870000000003</v>
      </c>
      <c r="Q727">
        <v>91.69</v>
      </c>
      <c r="R727">
        <v>91.133780000000002</v>
      </c>
      <c r="S727">
        <v>93.5</v>
      </c>
      <c r="T727">
        <v>82.887529999999998</v>
      </c>
      <c r="U727">
        <v>91.85248</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88.327209999999994</v>
      </c>
      <c r="AG727">
        <v>91.900099999999995</v>
      </c>
      <c r="AH727">
        <v>89.83</v>
      </c>
      <c r="AI727">
        <v>94.598159999999993</v>
      </c>
      <c r="AJ727">
        <v>80.063550000000006</v>
      </c>
      <c r="AK727">
        <v>90.85</v>
      </c>
      <c r="AL727">
        <v>90.4</v>
      </c>
      <c r="AM727">
        <v>90.004090000000005</v>
      </c>
      <c r="AN727">
        <v>89.074420000000003</v>
      </c>
      <c r="AO727">
        <v>90.761089999999996</v>
      </c>
      <c r="AP727">
        <v>92.51576</v>
      </c>
      <c r="AQ727">
        <v>62.111310000000003</v>
      </c>
      <c r="AR727">
        <v>80.812550000000002</v>
      </c>
      <c r="AS727">
        <v>91.154730000000001</v>
      </c>
      <c r="AT727">
        <v>93.68</v>
      </c>
      <c r="AU727">
        <v>95.488749999999996</v>
      </c>
      <c r="AV727">
        <v>62.693550000000002</v>
      </c>
      <c r="AW727">
        <v>91.003169999999997</v>
      </c>
      <c r="AX727">
        <v>73.725669999999994</v>
      </c>
    </row>
    <row r="728" spans="1:50" x14ac:dyDescent="0.35">
      <c r="A728" s="75">
        <v>39995</v>
      </c>
      <c r="B728">
        <v>88.548649999999995</v>
      </c>
      <c r="C728">
        <v>89.849109999999996</v>
      </c>
      <c r="D728">
        <v>69.005520000000004</v>
      </c>
      <c r="E728">
        <v>90.624179999999996</v>
      </c>
      <c r="F728">
        <v>100.9337</v>
      </c>
      <c r="G728">
        <v>82.974019999999996</v>
      </c>
      <c r="H728">
        <v>83.615110000000001</v>
      </c>
      <c r="I728">
        <v>83.357799999999997</v>
      </c>
      <c r="J728">
        <v>78.027739999999994</v>
      </c>
      <c r="K728">
        <v>91.7</v>
      </c>
      <c r="L728">
        <v>92.35915</v>
      </c>
      <c r="M728">
        <v>91.2</v>
      </c>
      <c r="N728">
        <v>91.38</v>
      </c>
      <c r="O728">
        <v>91.930790000000002</v>
      </c>
      <c r="P728">
        <v>87.365200000000002</v>
      </c>
      <c r="Q728">
        <v>91.19</v>
      </c>
      <c r="R728">
        <v>90.546909999999997</v>
      </c>
      <c r="S728">
        <v>93.08</v>
      </c>
      <c r="T728">
        <v>83.105379999999997</v>
      </c>
      <c r="U728">
        <v>91.690370000000001</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88.641350000000003</v>
      </c>
      <c r="AG728">
        <v>91.189400000000006</v>
      </c>
      <c r="AH728">
        <v>89.03</v>
      </c>
      <c r="AI728">
        <v>94.027429999999995</v>
      </c>
      <c r="AJ728">
        <v>80.281630000000007</v>
      </c>
      <c r="AK728">
        <v>89.89</v>
      </c>
      <c r="AL728">
        <v>89.9</v>
      </c>
      <c r="AM728">
        <v>89.872119999999995</v>
      </c>
      <c r="AN728">
        <v>88.859030000000004</v>
      </c>
      <c r="AO728">
        <v>90.842489999999998</v>
      </c>
      <c r="AP728">
        <v>92.024140000000003</v>
      </c>
      <c r="AQ728">
        <v>62.502609999999997</v>
      </c>
      <c r="AR728">
        <v>81.278139999999993</v>
      </c>
      <c r="AS728">
        <v>91.154730000000001</v>
      </c>
      <c r="AT728">
        <v>92.8</v>
      </c>
      <c r="AU728">
        <v>95.048330000000007</v>
      </c>
      <c r="AV728">
        <v>62.85089</v>
      </c>
      <c r="AW728">
        <v>90.858890000000002</v>
      </c>
      <c r="AX728">
        <v>74.400810000000007</v>
      </c>
    </row>
    <row r="729" spans="1:50" x14ac:dyDescent="0.35">
      <c r="A729" s="75">
        <v>40026</v>
      </c>
      <c r="B729">
        <v>88.878749999999997</v>
      </c>
      <c r="C729">
        <v>90.126609999999999</v>
      </c>
      <c r="D729">
        <v>69.108990000000006</v>
      </c>
      <c r="E729">
        <v>90.624179999999996</v>
      </c>
      <c r="F729">
        <v>101.0454</v>
      </c>
      <c r="G729">
        <v>82.59093</v>
      </c>
      <c r="H729">
        <v>84.033190000000005</v>
      </c>
      <c r="I729">
        <v>83.398600000000002</v>
      </c>
      <c r="J729">
        <v>78.538659999999993</v>
      </c>
      <c r="K729">
        <v>91.5</v>
      </c>
      <c r="L729">
        <v>92.545730000000006</v>
      </c>
      <c r="M729">
        <v>91.4</v>
      </c>
      <c r="N729">
        <v>91.69</v>
      </c>
      <c r="O729">
        <v>92.251949999999994</v>
      </c>
      <c r="P729">
        <v>87.365200000000002</v>
      </c>
      <c r="Q729">
        <v>91.42</v>
      </c>
      <c r="R729">
        <v>90.798419999999993</v>
      </c>
      <c r="S729">
        <v>93.56</v>
      </c>
      <c r="T729">
        <v>83.383189999999999</v>
      </c>
      <c r="U729">
        <v>91.925110000000004</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88.955500000000001</v>
      </c>
      <c r="AG729">
        <v>91.004199999999997</v>
      </c>
      <c r="AH729">
        <v>90.2</v>
      </c>
      <c r="AI729">
        <v>93.05932</v>
      </c>
      <c r="AJ729">
        <v>80.473709999999997</v>
      </c>
      <c r="AK729">
        <v>90.14</v>
      </c>
      <c r="AL729">
        <v>89.7</v>
      </c>
      <c r="AM729">
        <v>90.058300000000003</v>
      </c>
      <c r="AN729">
        <v>89.022810000000007</v>
      </c>
      <c r="AO729">
        <v>90.516890000000004</v>
      </c>
      <c r="AP729">
        <v>91.757429999999999</v>
      </c>
      <c r="AQ729">
        <v>62.502609999999997</v>
      </c>
      <c r="AR729">
        <v>81.610690000000005</v>
      </c>
      <c r="AS729">
        <v>91.03237</v>
      </c>
      <c r="AT729">
        <v>92.85</v>
      </c>
      <c r="AU729">
        <v>95.246200000000002</v>
      </c>
      <c r="AV729">
        <v>62.662849999999999</v>
      </c>
      <c r="AW729">
        <v>91.062669999999997</v>
      </c>
      <c r="AX729">
        <v>74.670869999999994</v>
      </c>
    </row>
    <row r="730" spans="1:50" x14ac:dyDescent="0.35">
      <c r="A730" s="75">
        <v>40057</v>
      </c>
      <c r="B730">
        <v>88.961269999999999</v>
      </c>
      <c r="C730">
        <v>89.888760000000005</v>
      </c>
      <c r="D730">
        <v>69.274879999999996</v>
      </c>
      <c r="E730">
        <v>90.624179999999996</v>
      </c>
      <c r="F730">
        <v>101.0325</v>
      </c>
      <c r="G730">
        <v>83.53201</v>
      </c>
      <c r="H730">
        <v>84.369320000000002</v>
      </c>
      <c r="I730">
        <v>83.308859999999996</v>
      </c>
      <c r="J730">
        <v>78.626859999999994</v>
      </c>
      <c r="K730">
        <v>91.2</v>
      </c>
      <c r="L730">
        <v>92.26585</v>
      </c>
      <c r="M730">
        <v>91.6</v>
      </c>
      <c r="N730">
        <v>91.71</v>
      </c>
      <c r="O730">
        <v>92.034620000000004</v>
      </c>
      <c r="P730">
        <v>87.160120000000006</v>
      </c>
      <c r="Q730">
        <v>91.44</v>
      </c>
      <c r="R730">
        <v>90.966099999999997</v>
      </c>
      <c r="S730">
        <v>93.33</v>
      </c>
      <c r="T730">
        <v>83.532679999999999</v>
      </c>
      <c r="U730">
        <v>91.906530000000004</v>
      </c>
      <c r="V730">
        <v>88.3</v>
      </c>
      <c r="W730">
        <v>95.338719999999995</v>
      </c>
      <c r="X730">
        <v>86.676540000000003</v>
      </c>
      <c r="Y730">
        <v>72.767759999999996</v>
      </c>
      <c r="Z730">
        <v>62.35257</v>
      </c>
      <c r="AA730">
        <v>95.589330000000004</v>
      </c>
      <c r="AB730">
        <v>81.68853</v>
      </c>
      <c r="AC730">
        <v>92.439509999999999</v>
      </c>
      <c r="AD730">
        <v>91.759</v>
      </c>
      <c r="AE730">
        <v>97.327569999999994</v>
      </c>
      <c r="AF730">
        <v>89.034559999999999</v>
      </c>
      <c r="AG730">
        <v>91.559899999999999</v>
      </c>
      <c r="AH730">
        <v>90.1</v>
      </c>
      <c r="AI730">
        <v>92.849109999999996</v>
      </c>
      <c r="AJ730">
        <v>80.877369999999999</v>
      </c>
      <c r="AK730">
        <v>90.62</v>
      </c>
      <c r="AL730">
        <v>90.4</v>
      </c>
      <c r="AM730">
        <v>90.095249999999993</v>
      </c>
      <c r="AN730">
        <v>88.995639999999995</v>
      </c>
      <c r="AO730">
        <v>90.516890000000004</v>
      </c>
      <c r="AP730">
        <v>91.934569999999994</v>
      </c>
      <c r="AQ730">
        <v>62.48386</v>
      </c>
      <c r="AR730">
        <v>82.142799999999994</v>
      </c>
      <c r="AS730">
        <v>91.03237</v>
      </c>
      <c r="AT730">
        <v>92.68</v>
      </c>
      <c r="AU730">
        <v>95.5398</v>
      </c>
      <c r="AV730">
        <v>62.908450000000002</v>
      </c>
      <c r="AW730">
        <v>91.119619999999998</v>
      </c>
      <c r="AX730">
        <v>74.805890000000005</v>
      </c>
    </row>
    <row r="731" spans="1:50" x14ac:dyDescent="0.35">
      <c r="A731" s="75">
        <v>40087</v>
      </c>
      <c r="B731">
        <v>88.961269999999999</v>
      </c>
      <c r="C731">
        <v>89.928399999999996</v>
      </c>
      <c r="D731">
        <v>69.46884</v>
      </c>
      <c r="E731">
        <v>90.545169999999999</v>
      </c>
      <c r="F731">
        <v>101.6604</v>
      </c>
      <c r="G731">
        <v>83.523690000000002</v>
      </c>
      <c r="H731">
        <v>84.287030000000001</v>
      </c>
      <c r="I731">
        <v>83.194649999999996</v>
      </c>
      <c r="J731">
        <v>78.809719999999999</v>
      </c>
      <c r="K731">
        <v>91.1</v>
      </c>
      <c r="L731">
        <v>92.26585</v>
      </c>
      <c r="M731">
        <v>91.6</v>
      </c>
      <c r="N731">
        <v>91.92</v>
      </c>
      <c r="O731">
        <v>92.690860000000001</v>
      </c>
      <c r="P731">
        <v>87.057580000000002</v>
      </c>
      <c r="Q731">
        <v>91.63</v>
      </c>
      <c r="R731">
        <v>90.463070000000002</v>
      </c>
      <c r="S731">
        <v>93.42</v>
      </c>
      <c r="T731">
        <v>83.709810000000004</v>
      </c>
      <c r="U731">
        <v>91.923259999999999</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88.798419999999993</v>
      </c>
      <c r="AG731">
        <v>91.156400000000005</v>
      </c>
      <c r="AH731">
        <v>90.02</v>
      </c>
      <c r="AI731">
        <v>92.67407</v>
      </c>
      <c r="AJ731">
        <v>81.122060000000005</v>
      </c>
      <c r="AK731">
        <v>90.7</v>
      </c>
      <c r="AL731">
        <v>90.2</v>
      </c>
      <c r="AM731">
        <v>90.198650000000001</v>
      </c>
      <c r="AN731">
        <v>89.242570000000001</v>
      </c>
      <c r="AO731">
        <v>90.598290000000006</v>
      </c>
      <c r="AP731">
        <v>91.986320000000006</v>
      </c>
      <c r="AQ731">
        <v>62.48386</v>
      </c>
      <c r="AR731">
        <v>82.674899999999994</v>
      </c>
      <c r="AS731">
        <v>91.154730000000001</v>
      </c>
      <c r="AT731">
        <v>92.79</v>
      </c>
      <c r="AU731">
        <v>95.779160000000005</v>
      </c>
      <c r="AV731">
        <v>64.424279999999996</v>
      </c>
      <c r="AW731">
        <v>91.207380000000001</v>
      </c>
      <c r="AX731">
        <v>74.805890000000005</v>
      </c>
    </row>
    <row r="732" spans="1:50" x14ac:dyDescent="0.35">
      <c r="A732" s="75">
        <v>40118</v>
      </c>
      <c r="B732">
        <v>89.126320000000007</v>
      </c>
      <c r="C732">
        <v>90.166250000000005</v>
      </c>
      <c r="D732">
        <v>69.753749999999997</v>
      </c>
      <c r="E732">
        <v>91.019229999999993</v>
      </c>
      <c r="F732">
        <v>101.8567</v>
      </c>
      <c r="G732">
        <v>83.190560000000005</v>
      </c>
      <c r="H732">
        <v>84.540660000000003</v>
      </c>
      <c r="I732">
        <v>83.145700000000005</v>
      </c>
      <c r="J732">
        <v>78.683869999999999</v>
      </c>
      <c r="K732">
        <v>91.2</v>
      </c>
      <c r="L732">
        <v>92.172560000000004</v>
      </c>
      <c r="M732">
        <v>91.6</v>
      </c>
      <c r="N732">
        <v>92.02</v>
      </c>
      <c r="O732">
        <v>93.192939999999993</v>
      </c>
      <c r="P732">
        <v>86.852490000000003</v>
      </c>
      <c r="Q732">
        <v>91.76</v>
      </c>
      <c r="R732">
        <v>90.546909999999997</v>
      </c>
      <c r="S732">
        <v>93.55</v>
      </c>
      <c r="T732">
        <v>83.968410000000006</v>
      </c>
      <c r="U732">
        <v>91.969639999999998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88.955500000000001</v>
      </c>
      <c r="AG732">
        <v>91.176000000000002</v>
      </c>
      <c r="AH732">
        <v>90.38</v>
      </c>
      <c r="AI732">
        <v>92.052310000000006</v>
      </c>
      <c r="AJ732">
        <v>81.542860000000005</v>
      </c>
      <c r="AK732">
        <v>90.61</v>
      </c>
      <c r="AL732">
        <v>90.5</v>
      </c>
      <c r="AM732">
        <v>90.311899999999994</v>
      </c>
      <c r="AN732">
        <v>89.43038</v>
      </c>
      <c r="AO732">
        <v>90.842489999999998</v>
      </c>
      <c r="AP732">
        <v>92.203280000000007</v>
      </c>
      <c r="AQ732">
        <v>62.66507</v>
      </c>
      <c r="AR732">
        <v>82.940950000000001</v>
      </c>
      <c r="AS732">
        <v>91.338260000000005</v>
      </c>
      <c r="AT732">
        <v>93.6</v>
      </c>
      <c r="AU732">
        <v>95.756820000000005</v>
      </c>
      <c r="AV732">
        <v>65.241669999999999</v>
      </c>
      <c r="AW732">
        <v>91.271929999999998</v>
      </c>
      <c r="AX732">
        <v>74.805890000000005</v>
      </c>
    </row>
    <row r="733" spans="1:50" x14ac:dyDescent="0.35">
      <c r="A733" s="75">
        <v>40148</v>
      </c>
      <c r="B733">
        <v>89.291370000000001</v>
      </c>
      <c r="C733">
        <v>90.314909999999998</v>
      </c>
      <c r="D733">
        <v>70.011759999999995</v>
      </c>
      <c r="E733">
        <v>90.703190000000006</v>
      </c>
      <c r="F733">
        <v>101.6104</v>
      </c>
      <c r="G733">
        <v>82.874080000000006</v>
      </c>
      <c r="H733">
        <v>85.386139999999997</v>
      </c>
      <c r="I733">
        <v>83.210970000000003</v>
      </c>
      <c r="J733">
        <v>79.484129999999993</v>
      </c>
      <c r="K733">
        <v>91.4</v>
      </c>
      <c r="L733">
        <v>92.918890000000005</v>
      </c>
      <c r="M733">
        <v>91.4</v>
      </c>
      <c r="N733">
        <v>92.31</v>
      </c>
      <c r="O733">
        <v>93.169390000000007</v>
      </c>
      <c r="P733">
        <v>87.006309999999999</v>
      </c>
      <c r="Q733">
        <v>92</v>
      </c>
      <c r="R733">
        <v>90.630740000000003</v>
      </c>
      <c r="S733">
        <v>93.8</v>
      </c>
      <c r="T733">
        <v>84.154210000000006</v>
      </c>
      <c r="U733">
        <v>91.957920000000001</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89.269639999999995</v>
      </c>
      <c r="AG733">
        <v>90.882300000000001</v>
      </c>
      <c r="AH733">
        <v>90.26</v>
      </c>
      <c r="AI733">
        <v>91.610960000000006</v>
      </c>
      <c r="AJ733">
        <v>81.880330000000001</v>
      </c>
      <c r="AK733">
        <v>90.08</v>
      </c>
      <c r="AL733">
        <v>90.8</v>
      </c>
      <c r="AM733">
        <v>90.333749999999995</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75.075950000000006</v>
      </c>
    </row>
    <row r="734" spans="1:50" x14ac:dyDescent="0.35">
      <c r="A734" s="75">
        <v>40179</v>
      </c>
      <c r="B734">
        <v>89.043790000000001</v>
      </c>
      <c r="C734">
        <v>90.721239999999995</v>
      </c>
      <c r="D734">
        <v>70.536799999999999</v>
      </c>
      <c r="E734">
        <v>90.940219999999997</v>
      </c>
      <c r="F734">
        <v>101.4975</v>
      </c>
      <c r="G734">
        <v>83.307149999999993</v>
      </c>
      <c r="H734">
        <v>85.893420000000006</v>
      </c>
      <c r="I734">
        <v>83.782020000000003</v>
      </c>
      <c r="J734">
        <v>80.777029999999996</v>
      </c>
      <c r="K734">
        <v>92.5</v>
      </c>
      <c r="L734">
        <v>92.35915</v>
      </c>
      <c r="M734">
        <v>91.6</v>
      </c>
      <c r="N734">
        <v>91.56</v>
      </c>
      <c r="O734">
        <v>92.234819999999999</v>
      </c>
      <c r="P734">
        <v>87.365200000000002</v>
      </c>
      <c r="Q734">
        <v>91.51</v>
      </c>
      <c r="R734">
        <v>90.798419999999993</v>
      </c>
      <c r="S734">
        <v>93.59</v>
      </c>
      <c r="T734">
        <v>84.491519999999994</v>
      </c>
      <c r="U734">
        <v>92.090230000000005</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89.974879999999999</v>
      </c>
      <c r="AG734">
        <v>92.031000000000006</v>
      </c>
      <c r="AH734">
        <v>89.52</v>
      </c>
      <c r="AI734">
        <v>91.770269999999996</v>
      </c>
      <c r="AJ734">
        <v>82.770409999999998</v>
      </c>
      <c r="AK734">
        <v>90.05</v>
      </c>
      <c r="AL734">
        <v>90.9</v>
      </c>
      <c r="AM734">
        <v>90.533000000000001</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75.346010000000007</v>
      </c>
    </row>
    <row r="735" spans="1:50" x14ac:dyDescent="0.35">
      <c r="A735" s="75">
        <v>40210</v>
      </c>
      <c r="B735">
        <v>89.208849999999998</v>
      </c>
      <c r="C735">
        <v>91.107749999999996</v>
      </c>
      <c r="D735">
        <v>71.0869</v>
      </c>
      <c r="E735">
        <v>91.335269999999994</v>
      </c>
      <c r="F735">
        <v>101.64530000000001</v>
      </c>
      <c r="G735">
        <v>83.535960000000003</v>
      </c>
      <c r="H735">
        <v>86.929140000000004</v>
      </c>
      <c r="I735">
        <v>84.475440000000006</v>
      </c>
      <c r="J735">
        <v>81.332049999999995</v>
      </c>
      <c r="K735">
        <v>92.5</v>
      </c>
      <c r="L735">
        <v>92.732320000000001</v>
      </c>
      <c r="M735">
        <v>92.7</v>
      </c>
      <c r="N735">
        <v>91.85</v>
      </c>
      <c r="O735">
        <v>92.066739999999996</v>
      </c>
      <c r="P735">
        <v>87.570279999999997</v>
      </c>
      <c r="Q735">
        <v>91.79</v>
      </c>
      <c r="R735">
        <v>91.092569999999995</v>
      </c>
      <c r="S735">
        <v>94.11</v>
      </c>
      <c r="T735">
        <v>84.707149999999999</v>
      </c>
      <c r="U735">
        <v>92.203010000000006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90.156199999999998</v>
      </c>
      <c r="AG735">
        <v>91.980699999999999</v>
      </c>
      <c r="AH735">
        <v>90.59</v>
      </c>
      <c r="AI735">
        <v>91.748810000000006</v>
      </c>
      <c r="AJ735">
        <v>83.249139999999997</v>
      </c>
      <c r="AK735">
        <v>90.69</v>
      </c>
      <c r="AL735">
        <v>92</v>
      </c>
      <c r="AM735">
        <v>90.705039999999997</v>
      </c>
      <c r="AN735">
        <v>89.914730000000006</v>
      </c>
      <c r="AO735">
        <v>91.575090000000003</v>
      </c>
      <c r="AP735">
        <v>91.853970000000004</v>
      </c>
      <c r="AQ735">
        <v>64.503910000000005</v>
      </c>
      <c r="AR735">
        <v>83.872119999999995</v>
      </c>
      <c r="AS735">
        <v>91.521799999999999</v>
      </c>
      <c r="AT735">
        <v>92.8</v>
      </c>
      <c r="AU735">
        <v>95.93553</v>
      </c>
      <c r="AV735">
        <v>67.766750000000002</v>
      </c>
      <c r="AW735">
        <v>91.445340000000002</v>
      </c>
      <c r="AX735">
        <v>75.751099999999994</v>
      </c>
    </row>
    <row r="736" spans="1:50" x14ac:dyDescent="0.35">
      <c r="A736" s="75">
        <v>40238</v>
      </c>
      <c r="B736">
        <v>90.199129999999997</v>
      </c>
      <c r="C736">
        <v>91.444710000000001</v>
      </c>
      <c r="D736">
        <v>71.456490000000002</v>
      </c>
      <c r="E736">
        <v>91.335269999999994</v>
      </c>
      <c r="F736">
        <v>101.7846</v>
      </c>
      <c r="G736">
        <v>83.612229999999997</v>
      </c>
      <c r="H736">
        <v>86.31617</v>
      </c>
      <c r="I736">
        <v>84.687550000000002</v>
      </c>
      <c r="J736">
        <v>81.529960000000003</v>
      </c>
      <c r="K736">
        <v>92.7</v>
      </c>
      <c r="L736">
        <v>93.198769999999996</v>
      </c>
      <c r="M736">
        <v>93.3</v>
      </c>
      <c r="N736">
        <v>92.86</v>
      </c>
      <c r="O736">
        <v>92.749740000000003</v>
      </c>
      <c r="P736">
        <v>88.646969999999996</v>
      </c>
      <c r="Q736">
        <v>92.68</v>
      </c>
      <c r="R736">
        <v>91.616510000000005</v>
      </c>
      <c r="S736">
        <v>94.57</v>
      </c>
      <c r="T736">
        <v>85.023349999999994</v>
      </c>
      <c r="U736">
        <v>92.551379999999995</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90.338579999999993</v>
      </c>
      <c r="AG736">
        <v>92.253</v>
      </c>
      <c r="AH736">
        <v>91.1</v>
      </c>
      <c r="AI736">
        <v>92.190340000000006</v>
      </c>
      <c r="AJ736">
        <v>83.840159999999997</v>
      </c>
      <c r="AK736">
        <v>91.77</v>
      </c>
      <c r="AL736">
        <v>92.5</v>
      </c>
      <c r="AM736">
        <v>91.095489999999998</v>
      </c>
      <c r="AN736">
        <v>90.425389999999993</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76.426240000000007</v>
      </c>
    </row>
    <row r="737" spans="1:50" x14ac:dyDescent="0.35">
      <c r="A737" s="75">
        <v>40269</v>
      </c>
      <c r="B737">
        <v>90.446709999999996</v>
      </c>
      <c r="C737">
        <v>91.761849999999995</v>
      </c>
      <c r="D737">
        <v>71.863910000000004</v>
      </c>
      <c r="E737">
        <v>91.651309999999995</v>
      </c>
      <c r="F737">
        <v>102.6545</v>
      </c>
      <c r="G737">
        <v>83.993570000000005</v>
      </c>
      <c r="H737">
        <v>86.492310000000003</v>
      </c>
      <c r="I737">
        <v>85.079130000000006</v>
      </c>
      <c r="J737">
        <v>81.578370000000007</v>
      </c>
      <c r="K737">
        <v>93.1</v>
      </c>
      <c r="L737">
        <v>93.292060000000006</v>
      </c>
      <c r="M737">
        <v>93.4</v>
      </c>
      <c r="N737">
        <v>93.24</v>
      </c>
      <c r="O737">
        <v>93.737840000000006</v>
      </c>
      <c r="P737">
        <v>89.057130000000001</v>
      </c>
      <c r="Q737">
        <v>93.06</v>
      </c>
      <c r="R737">
        <v>91.919849999999997</v>
      </c>
      <c r="S737">
        <v>94.81</v>
      </c>
      <c r="T737">
        <v>85.230059999999995</v>
      </c>
      <c r="U737">
        <v>92.732929999999996</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90.702259999999995</v>
      </c>
      <c r="AG737">
        <v>92.65</v>
      </c>
      <c r="AH737">
        <v>91.37</v>
      </c>
      <c r="AI737">
        <v>92.997640000000004</v>
      </c>
      <c r="AJ737">
        <v>83.573009999999996</v>
      </c>
      <c r="AK737">
        <v>92.08</v>
      </c>
      <c r="AL737">
        <v>92.7</v>
      </c>
      <c r="AM737">
        <v>91.332459999999998</v>
      </c>
      <c r="AN737">
        <v>90.812759999999997</v>
      </c>
      <c r="AO737">
        <v>92.226299999999995</v>
      </c>
      <c r="AP737">
        <v>93.297979999999995</v>
      </c>
      <c r="AQ737">
        <v>65.098529999999997</v>
      </c>
      <c r="AR737">
        <v>84.53725</v>
      </c>
      <c r="AS737">
        <v>91.950040000000001</v>
      </c>
      <c r="AT737">
        <v>94.74</v>
      </c>
      <c r="AU737">
        <v>96.178079999999994</v>
      </c>
      <c r="AV737">
        <v>68.568790000000007</v>
      </c>
      <c r="AW737">
        <v>91.980320000000006</v>
      </c>
      <c r="AX737">
        <v>76.426240000000007</v>
      </c>
    </row>
    <row r="738" spans="1:50" x14ac:dyDescent="0.35">
      <c r="A738" s="75">
        <v>40299</v>
      </c>
      <c r="B738">
        <v>90.529240000000001</v>
      </c>
      <c r="C738">
        <v>92.128540000000001</v>
      </c>
      <c r="D738">
        <v>72.172939999999997</v>
      </c>
      <c r="E738">
        <v>91.888339999999999</v>
      </c>
      <c r="F738">
        <v>102.54859999999999</v>
      </c>
      <c r="G738">
        <v>84.298649999999995</v>
      </c>
      <c r="H738">
        <v>86.407759999999996</v>
      </c>
      <c r="I738">
        <v>85.168869999999998</v>
      </c>
      <c r="J738">
        <v>81.998930000000001</v>
      </c>
      <c r="K738">
        <v>93.2</v>
      </c>
      <c r="L738">
        <v>93.198769999999996</v>
      </c>
      <c r="M738">
        <v>93.4</v>
      </c>
      <c r="N738">
        <v>93.35</v>
      </c>
      <c r="O738">
        <v>93.945530000000005</v>
      </c>
      <c r="P738">
        <v>89.210949999999997</v>
      </c>
      <c r="Q738">
        <v>93.18</v>
      </c>
      <c r="R738">
        <v>91.800349999999995</v>
      </c>
      <c r="S738">
        <v>94.92</v>
      </c>
      <c r="T738">
        <v>85.380290000000002</v>
      </c>
      <c r="U738">
        <v>92.799300000000002</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90.793980000000005</v>
      </c>
      <c r="AG738">
        <v>92.817899999999995</v>
      </c>
      <c r="AH738">
        <v>91.54</v>
      </c>
      <c r="AI738">
        <v>92.923919999999995</v>
      </c>
      <c r="AJ738">
        <v>83.046419999999998</v>
      </c>
      <c r="AK738">
        <v>92.04</v>
      </c>
      <c r="AL738">
        <v>92.2</v>
      </c>
      <c r="AM738">
        <v>91.382480000000001</v>
      </c>
      <c r="AN738">
        <v>90.891580000000005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76.561269999999993</v>
      </c>
    </row>
    <row r="739" spans="1:50" x14ac:dyDescent="0.35">
      <c r="A739" s="75">
        <v>40330</v>
      </c>
      <c r="B739">
        <v>90.529240000000001</v>
      </c>
      <c r="C739">
        <v>92.118629999999996</v>
      </c>
      <c r="D739">
        <v>72.172939999999997</v>
      </c>
      <c r="E739">
        <v>91.809330000000003</v>
      </c>
      <c r="F739">
        <v>102.10209999999999</v>
      </c>
      <c r="G739">
        <v>84.298649999999995</v>
      </c>
      <c r="H739">
        <v>85.886380000000003</v>
      </c>
      <c r="I739">
        <v>85.266760000000005</v>
      </c>
      <c r="J739">
        <v>82.197919999999996</v>
      </c>
      <c r="K739">
        <v>93.2</v>
      </c>
      <c r="L739">
        <v>93.198769999999996</v>
      </c>
      <c r="M739">
        <v>93.3</v>
      </c>
      <c r="N739">
        <v>93.35</v>
      </c>
      <c r="O739">
        <v>94.113590000000002</v>
      </c>
      <c r="P739">
        <v>89.621110000000002</v>
      </c>
      <c r="Q739">
        <v>93.2</v>
      </c>
      <c r="R739">
        <v>91.892269999999996</v>
      </c>
      <c r="S739">
        <v>94.91</v>
      </c>
      <c r="T739">
        <v>85.406270000000006</v>
      </c>
      <c r="U739">
        <v>92.728710000000007</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90.702259999999995</v>
      </c>
      <c r="AG739">
        <v>92.861099999999993</v>
      </c>
      <c r="AH739">
        <v>91.53</v>
      </c>
      <c r="AI739">
        <v>93.295140000000004</v>
      </c>
      <c r="AJ739">
        <v>83.020409999999998</v>
      </c>
      <c r="AK739">
        <v>91.6</v>
      </c>
      <c r="AL739">
        <v>92.1</v>
      </c>
      <c r="AM739">
        <v>91.318650000000005</v>
      </c>
      <c r="AN739">
        <v>90.870919999999998</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76.561269999999993</v>
      </c>
    </row>
    <row r="740" spans="1:50" x14ac:dyDescent="0.35">
      <c r="A740" s="75">
        <v>40360</v>
      </c>
      <c r="B740">
        <v>90.199129999999997</v>
      </c>
      <c r="C740">
        <v>92.158270000000002</v>
      </c>
      <c r="D740">
        <v>72.180139999999994</v>
      </c>
      <c r="E740">
        <v>92.283379999999994</v>
      </c>
      <c r="F740">
        <v>101.3561</v>
      </c>
      <c r="G740">
        <v>84.843419999999995</v>
      </c>
      <c r="H740">
        <v>86.231620000000007</v>
      </c>
      <c r="I740">
        <v>85.225980000000007</v>
      </c>
      <c r="J740">
        <v>82.461449999999999</v>
      </c>
      <c r="K740">
        <v>93.5</v>
      </c>
      <c r="L740">
        <v>93.385350000000003</v>
      </c>
      <c r="M740">
        <v>93.2</v>
      </c>
      <c r="N740">
        <v>92.95</v>
      </c>
      <c r="O740">
        <v>93.691800000000001</v>
      </c>
      <c r="P740">
        <v>89.877459999999999</v>
      </c>
      <c r="Q740">
        <v>92.93</v>
      </c>
      <c r="R740">
        <v>91.267210000000006</v>
      </c>
      <c r="S740">
        <v>94.64</v>
      </c>
      <c r="T740">
        <v>85.596519999999998</v>
      </c>
      <c r="U740">
        <v>92.702100000000002</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90.884640000000005</v>
      </c>
      <c r="AG740">
        <v>92.894999999999996</v>
      </c>
      <c r="AH740">
        <v>91.23</v>
      </c>
      <c r="AI740">
        <v>93.483770000000007</v>
      </c>
      <c r="AJ740">
        <v>83.200670000000002</v>
      </c>
      <c r="AK740">
        <v>91.34</v>
      </c>
      <c r="AL740">
        <v>91.6</v>
      </c>
      <c r="AM740">
        <v>91.28828</v>
      </c>
      <c r="AN740">
        <v>90.761600000000001</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77.101389999999995</v>
      </c>
    </row>
    <row r="741" spans="1:50" x14ac:dyDescent="0.35">
      <c r="A741" s="75">
        <v>40391</v>
      </c>
      <c r="B741">
        <v>90.364189999999994</v>
      </c>
      <c r="C741">
        <v>92.217740000000006</v>
      </c>
      <c r="D741">
        <v>72.208910000000003</v>
      </c>
      <c r="E741">
        <v>92.204369999999997</v>
      </c>
      <c r="F741">
        <v>101.342</v>
      </c>
      <c r="G741">
        <v>84.756259999999997</v>
      </c>
      <c r="H741">
        <v>86.745949999999993</v>
      </c>
      <c r="I741">
        <v>85.323869999999999</v>
      </c>
      <c r="J741">
        <v>82.627099999999999</v>
      </c>
      <c r="K741">
        <v>93.2</v>
      </c>
      <c r="L741">
        <v>93.478650000000002</v>
      </c>
      <c r="M741">
        <v>93.6</v>
      </c>
      <c r="N741">
        <v>93.13</v>
      </c>
      <c r="O741">
        <v>93.928389999999993</v>
      </c>
      <c r="P741">
        <v>89.877459999999999</v>
      </c>
      <c r="Q741">
        <v>93.06</v>
      </c>
      <c r="R741">
        <v>91.72681</v>
      </c>
      <c r="S741">
        <v>94.86</v>
      </c>
      <c r="T741">
        <v>85.791749999999993</v>
      </c>
      <c r="U741">
        <v>92.84554</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91.341089999999994</v>
      </c>
      <c r="AG741">
        <v>92.659300000000002</v>
      </c>
      <c r="AH741">
        <v>92.21</v>
      </c>
      <c r="AI741">
        <v>92.823220000000006</v>
      </c>
      <c r="AJ741">
        <v>83.431759999999997</v>
      </c>
      <c r="AK741">
        <v>91.48</v>
      </c>
      <c r="AL741">
        <v>91.4</v>
      </c>
      <c r="AM741">
        <v>91.422539999999998</v>
      </c>
      <c r="AN741">
        <v>90.901669999999996</v>
      </c>
      <c r="AO741">
        <v>92.144890000000004</v>
      </c>
      <c r="AP741">
        <v>93.574650000000005</v>
      </c>
      <c r="AQ741">
        <v>66.27816</v>
      </c>
      <c r="AR741">
        <v>86.479410000000001</v>
      </c>
      <c r="AS741">
        <v>92.011219999999994</v>
      </c>
      <c r="AT741">
        <v>94.97</v>
      </c>
      <c r="AU741">
        <v>96.082340000000002</v>
      </c>
      <c r="AV741">
        <v>67.885720000000006</v>
      </c>
      <c r="AW741">
        <v>92.108159999999998</v>
      </c>
      <c r="AX741">
        <v>77.101389999999995</v>
      </c>
    </row>
    <row r="742" spans="1:50" x14ac:dyDescent="0.35">
      <c r="A742" s="75">
        <v>40422</v>
      </c>
      <c r="B742">
        <v>90.611760000000004</v>
      </c>
      <c r="C742">
        <v>92.505139999999997</v>
      </c>
      <c r="D742">
        <v>72.533720000000002</v>
      </c>
      <c r="E742">
        <v>92.362390000000005</v>
      </c>
      <c r="F742">
        <v>101.3185</v>
      </c>
      <c r="G742">
        <v>85.09402</v>
      </c>
      <c r="H742">
        <v>87.267330000000001</v>
      </c>
      <c r="I742">
        <v>85.20966</v>
      </c>
      <c r="J742">
        <v>82.558260000000004</v>
      </c>
      <c r="K742">
        <v>93</v>
      </c>
      <c r="L742">
        <v>93.385350000000003</v>
      </c>
      <c r="M742">
        <v>93.9</v>
      </c>
      <c r="N742">
        <v>93.42</v>
      </c>
      <c r="O742">
        <v>93.993700000000004</v>
      </c>
      <c r="P742">
        <v>90.646519999999995</v>
      </c>
      <c r="Q742">
        <v>93.35</v>
      </c>
      <c r="R742">
        <v>92.232380000000006</v>
      </c>
      <c r="S742">
        <v>94.79</v>
      </c>
      <c r="T742">
        <v>86.073849999999993</v>
      </c>
      <c r="U742">
        <v>92.880579999999995</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92.068470000000005</v>
      </c>
      <c r="AG742">
        <v>93.209299999999999</v>
      </c>
      <c r="AH742">
        <v>92.24</v>
      </c>
      <c r="AI742">
        <v>93.239710000000002</v>
      </c>
      <c r="AJ742">
        <v>83.869110000000006</v>
      </c>
      <c r="AK742">
        <v>92.05</v>
      </c>
      <c r="AL742">
        <v>92</v>
      </c>
      <c r="AM742">
        <v>91.563749999999999</v>
      </c>
      <c r="AN742">
        <v>91.055109999999999</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77.236410000000006</v>
      </c>
    </row>
    <row r="743" spans="1:50" x14ac:dyDescent="0.35">
      <c r="A743" s="75">
        <v>40452</v>
      </c>
      <c r="B743">
        <v>90.85933</v>
      </c>
      <c r="C743">
        <v>92.633979999999994</v>
      </c>
      <c r="D743">
        <v>73.077799999999996</v>
      </c>
      <c r="E743">
        <v>92.757440000000003</v>
      </c>
      <c r="F743">
        <v>101.85760000000001</v>
      </c>
      <c r="G743">
        <v>85.181179999999998</v>
      </c>
      <c r="H743">
        <v>87.880300000000005</v>
      </c>
      <c r="I743">
        <v>85.136240000000001</v>
      </c>
      <c r="J743">
        <v>82.949780000000004</v>
      </c>
      <c r="K743">
        <v>92.8</v>
      </c>
      <c r="L743">
        <v>93.478650000000002</v>
      </c>
      <c r="M743">
        <v>93.8</v>
      </c>
      <c r="N743">
        <v>93.71</v>
      </c>
      <c r="O743">
        <v>94.852260000000001</v>
      </c>
      <c r="P743">
        <v>91.159229999999994</v>
      </c>
      <c r="Q743">
        <v>93.63</v>
      </c>
      <c r="R743">
        <v>92.600049999999996</v>
      </c>
      <c r="S743">
        <v>94.91</v>
      </c>
      <c r="T743">
        <v>86.425030000000007</v>
      </c>
      <c r="U743">
        <v>93.039249999999996</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92.068470000000005</v>
      </c>
      <c r="AG743">
        <v>93.640199999999993</v>
      </c>
      <c r="AH743">
        <v>92.34</v>
      </c>
      <c r="AI743">
        <v>93.591229999999996</v>
      </c>
      <c r="AJ743">
        <v>84.386849999999995</v>
      </c>
      <c r="AK743">
        <v>92.13</v>
      </c>
      <c r="AL743">
        <v>92.1</v>
      </c>
      <c r="AM743">
        <v>91.804929999999999</v>
      </c>
      <c r="AN743">
        <v>91.381630000000001</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77.371440000000007</v>
      </c>
    </row>
    <row r="744" spans="1:50" x14ac:dyDescent="0.35">
      <c r="A744" s="75">
        <v>40483</v>
      </c>
      <c r="B744">
        <v>90.776809999999998</v>
      </c>
      <c r="C744">
        <v>92.75291</v>
      </c>
      <c r="D744">
        <v>73.684269999999998</v>
      </c>
      <c r="E744">
        <v>92.836449999999999</v>
      </c>
      <c r="F744">
        <v>102.1022</v>
      </c>
      <c r="G744">
        <v>85.235659999999996</v>
      </c>
      <c r="H744">
        <v>88.845550000000003</v>
      </c>
      <c r="I744">
        <v>85.299390000000002</v>
      </c>
      <c r="J744">
        <v>83.494050000000001</v>
      </c>
      <c r="K744">
        <v>93</v>
      </c>
      <c r="L744">
        <v>93.571939999999998</v>
      </c>
      <c r="M744">
        <v>93.9</v>
      </c>
      <c r="N744">
        <v>93.79</v>
      </c>
      <c r="O744">
        <v>95.367189999999994</v>
      </c>
      <c r="P744">
        <v>91.466849999999994</v>
      </c>
      <c r="Q744">
        <v>93.74</v>
      </c>
      <c r="R744">
        <v>92.829849999999993</v>
      </c>
      <c r="S744">
        <v>95.02</v>
      </c>
      <c r="T744">
        <v>86.672569999999993</v>
      </c>
      <c r="U744">
        <v>93.064160000000001</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91.614130000000003</v>
      </c>
      <c r="AG744">
        <v>93.624799999999993</v>
      </c>
      <c r="AH744">
        <v>92.47</v>
      </c>
      <c r="AI744">
        <v>93.809439999999995</v>
      </c>
      <c r="AJ744">
        <v>85.062970000000007</v>
      </c>
      <c r="AK744">
        <v>92.02</v>
      </c>
      <c r="AL744">
        <v>92.3</v>
      </c>
      <c r="AM744">
        <v>91.869829999999993</v>
      </c>
      <c r="AN744">
        <v>91.527990000000003</v>
      </c>
      <c r="AO744">
        <v>93.284490000000005</v>
      </c>
      <c r="AP744">
        <v>94.311080000000004</v>
      </c>
      <c r="AQ744">
        <v>67.713139999999996</v>
      </c>
      <c r="AR744">
        <v>87.729839999999996</v>
      </c>
      <c r="AS744">
        <v>92.255930000000006</v>
      </c>
      <c r="AT744">
        <v>94.83</v>
      </c>
      <c r="AU744">
        <v>97.524829999999994</v>
      </c>
      <c r="AV744">
        <v>69.996350000000007</v>
      </c>
      <c r="AW744">
        <v>92.31532</v>
      </c>
      <c r="AX744">
        <v>77.506469999999993</v>
      </c>
    </row>
    <row r="745" spans="1:50" x14ac:dyDescent="0.35">
      <c r="A745" s="75">
        <v>40513</v>
      </c>
      <c r="B745">
        <v>91.354479999999995</v>
      </c>
      <c r="C745">
        <v>93.119600000000005</v>
      </c>
      <c r="D745">
        <v>74.148529999999994</v>
      </c>
      <c r="E745">
        <v>92.836449999999999</v>
      </c>
      <c r="F745">
        <v>102.1384</v>
      </c>
      <c r="G745">
        <v>85.344620000000006</v>
      </c>
      <c r="H745">
        <v>89.289429999999996</v>
      </c>
      <c r="I745">
        <v>85.854129999999998</v>
      </c>
      <c r="J745">
        <v>84.113609999999994</v>
      </c>
      <c r="K745">
        <v>93.5</v>
      </c>
      <c r="L745">
        <v>94.131690000000006</v>
      </c>
      <c r="M745">
        <v>94</v>
      </c>
      <c r="N745">
        <v>94.36</v>
      </c>
      <c r="O745">
        <v>95.952770000000001</v>
      </c>
      <c r="P745">
        <v>91.979560000000006</v>
      </c>
      <c r="Q745">
        <v>94.28</v>
      </c>
      <c r="R745">
        <v>93.215909999999994</v>
      </c>
      <c r="S745">
        <v>95.45</v>
      </c>
      <c r="T745">
        <v>87.098399999999998</v>
      </c>
      <c r="U745">
        <v>93.283320000000003</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91.977810000000005</v>
      </c>
      <c r="AG745">
        <v>94.361400000000003</v>
      </c>
      <c r="AH745">
        <v>92.76</v>
      </c>
      <c r="AI745">
        <v>93.939830000000001</v>
      </c>
      <c r="AJ745">
        <v>85.484369999999998</v>
      </c>
      <c r="AK745">
        <v>91.82</v>
      </c>
      <c r="AL745">
        <v>93.3</v>
      </c>
      <c r="AM745">
        <v>92.110759999999999</v>
      </c>
      <c r="AN745">
        <v>91.948629999999994</v>
      </c>
      <c r="AO745">
        <v>93.691490000000002</v>
      </c>
      <c r="AP745">
        <v>94.58775</v>
      </c>
      <c r="AQ745">
        <v>68.44444</v>
      </c>
      <c r="AR745">
        <v>87.796350000000004</v>
      </c>
      <c r="AS745">
        <v>92.500640000000004</v>
      </c>
      <c r="AT745">
        <v>94.9</v>
      </c>
      <c r="AU745">
        <v>98.210980000000006</v>
      </c>
      <c r="AV745">
        <v>69.785290000000003</v>
      </c>
      <c r="AW745">
        <v>92.473960000000005</v>
      </c>
      <c r="AX745">
        <v>77.641499999999994</v>
      </c>
    </row>
    <row r="746" spans="1:50" x14ac:dyDescent="0.35">
      <c r="A746" s="75">
        <v>40544</v>
      </c>
      <c r="B746">
        <v>91.271960000000007</v>
      </c>
      <c r="C746">
        <v>93.644850000000005</v>
      </c>
      <c r="D746">
        <v>74.764060000000001</v>
      </c>
      <c r="E746">
        <v>93.073480000000004</v>
      </c>
      <c r="F746">
        <v>101.78019999999999</v>
      </c>
      <c r="G746">
        <v>85.573430000000002</v>
      </c>
      <c r="H746">
        <v>90.184229999999999</v>
      </c>
      <c r="I746">
        <v>86.629140000000007</v>
      </c>
      <c r="J746">
        <v>84.682609999999997</v>
      </c>
      <c r="K746">
        <v>94.1</v>
      </c>
      <c r="L746">
        <v>93.94511</v>
      </c>
      <c r="M746">
        <v>94.1</v>
      </c>
      <c r="N746">
        <v>93.69</v>
      </c>
      <c r="O746">
        <v>95.250500000000002</v>
      </c>
      <c r="P746">
        <v>91.928290000000004</v>
      </c>
      <c r="Q746">
        <v>93.81</v>
      </c>
      <c r="R746">
        <v>93.556020000000004</v>
      </c>
      <c r="S746">
        <v>95.22</v>
      </c>
      <c r="T746">
        <v>87.547200000000004</v>
      </c>
      <c r="U746">
        <v>93.52337</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93.070999999999998</v>
      </c>
      <c r="AG746">
        <v>94.723200000000006</v>
      </c>
      <c r="AH746">
        <v>92.35</v>
      </c>
      <c r="AI746">
        <v>95.148929999999993</v>
      </c>
      <c r="AJ746">
        <v>85.900819999999996</v>
      </c>
      <c r="AK746">
        <v>91.72</v>
      </c>
      <c r="AL746">
        <v>92.7</v>
      </c>
      <c r="AM746">
        <v>92.383840000000006</v>
      </c>
      <c r="AN746">
        <v>91.983850000000004</v>
      </c>
      <c r="AO746">
        <v>94.831090000000003</v>
      </c>
      <c r="AP746">
        <v>95.13212</v>
      </c>
      <c r="AQ746">
        <v>70.066569999999999</v>
      </c>
      <c r="AR746">
        <v>89.483999999999995</v>
      </c>
      <c r="AS746">
        <v>94.274789999999996</v>
      </c>
      <c r="AT746">
        <v>94.12</v>
      </c>
      <c r="AU746">
        <v>97.703550000000007</v>
      </c>
      <c r="AV746">
        <v>70.073099999999997</v>
      </c>
      <c r="AW746">
        <v>92.914429999999996</v>
      </c>
      <c r="AX746">
        <v>78.046589999999995</v>
      </c>
    </row>
    <row r="747" spans="1:50" x14ac:dyDescent="0.35">
      <c r="A747" s="75">
        <v>40575</v>
      </c>
      <c r="B747">
        <v>91.904529999999994</v>
      </c>
      <c r="C747">
        <v>94.189930000000004</v>
      </c>
      <c r="D747">
        <v>75.362179999999995</v>
      </c>
      <c r="E747">
        <v>93.310509999999994</v>
      </c>
      <c r="F747">
        <v>102.16379999999999</v>
      </c>
      <c r="G747">
        <v>85.769540000000006</v>
      </c>
      <c r="H747">
        <v>91.33717</v>
      </c>
      <c r="I747">
        <v>87.151250000000005</v>
      </c>
      <c r="J747">
        <v>85.051550000000006</v>
      </c>
      <c r="K747">
        <v>94.2</v>
      </c>
      <c r="L747">
        <v>94.504859999999994</v>
      </c>
      <c r="M747">
        <v>95.2</v>
      </c>
      <c r="N747">
        <v>94.08</v>
      </c>
      <c r="O747">
        <v>95.371470000000002</v>
      </c>
      <c r="P747">
        <v>92.543539999999993</v>
      </c>
      <c r="Q747">
        <v>94.2</v>
      </c>
      <c r="R747">
        <v>94.125919999999994</v>
      </c>
      <c r="S747">
        <v>95.67</v>
      </c>
      <c r="T747">
        <v>87.881079999999997</v>
      </c>
      <c r="U747">
        <v>93.916600000000003</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93.707719999999995</v>
      </c>
      <c r="AG747">
        <v>94.797200000000004</v>
      </c>
      <c r="AH747">
        <v>93.82</v>
      </c>
      <c r="AI747">
        <v>95.413700000000006</v>
      </c>
      <c r="AJ747">
        <v>86.223070000000007</v>
      </c>
      <c r="AK747">
        <v>92.41</v>
      </c>
      <c r="AL747">
        <v>93.1</v>
      </c>
      <c r="AM747">
        <v>92.761160000000004</v>
      </c>
      <c r="AN747">
        <v>92.383669999999995</v>
      </c>
      <c r="AO747">
        <v>94.993899999999996</v>
      </c>
      <c r="AP747">
        <v>95.127139999999997</v>
      </c>
      <c r="AQ747">
        <v>70.61309</v>
      </c>
      <c r="AR747">
        <v>89.773910000000001</v>
      </c>
      <c r="AS747">
        <v>94.580680000000001</v>
      </c>
      <c r="AT747">
        <v>94.1</v>
      </c>
      <c r="AU747">
        <v>98.300330000000002</v>
      </c>
      <c r="AV747">
        <v>70.583500000000001</v>
      </c>
      <c r="AW747">
        <v>93.372630000000001</v>
      </c>
      <c r="AX747">
        <v>78.451669999999993</v>
      </c>
    </row>
    <row r="748" spans="1:50" x14ac:dyDescent="0.35">
      <c r="A748" s="75">
        <v>40603</v>
      </c>
      <c r="B748">
        <v>92.988950000000003</v>
      </c>
      <c r="C748">
        <v>94.665639999999996</v>
      </c>
      <c r="D748">
        <v>75.957530000000006</v>
      </c>
      <c r="E748">
        <v>94.337630000000004</v>
      </c>
      <c r="F748">
        <v>102.8068</v>
      </c>
      <c r="G748">
        <v>86.423270000000002</v>
      </c>
      <c r="H748">
        <v>91.153829999999999</v>
      </c>
      <c r="I748">
        <v>87.387829999999994</v>
      </c>
      <c r="J748">
        <v>85.266670000000005</v>
      </c>
      <c r="K748">
        <v>94.3</v>
      </c>
      <c r="L748">
        <v>95.064610000000002</v>
      </c>
      <c r="M748">
        <v>95.8</v>
      </c>
      <c r="N748">
        <v>95.35</v>
      </c>
      <c r="O748">
        <v>96.084440000000001</v>
      </c>
      <c r="P748">
        <v>93.261330000000001</v>
      </c>
      <c r="Q748">
        <v>95.37</v>
      </c>
      <c r="R748">
        <v>94.64067</v>
      </c>
      <c r="S748">
        <v>96.45</v>
      </c>
      <c r="T748">
        <v>88.436869999999999</v>
      </c>
      <c r="U748">
        <v>94.627750000000006</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94.072460000000007</v>
      </c>
      <c r="AG748">
        <v>95.754800000000003</v>
      </c>
      <c r="AH748">
        <v>94.5</v>
      </c>
      <c r="AI748">
        <v>96.092579999999998</v>
      </c>
      <c r="AJ748">
        <v>86.388480000000001</v>
      </c>
      <c r="AK748">
        <v>93.46</v>
      </c>
      <c r="AL748">
        <v>93.4</v>
      </c>
      <c r="AM748">
        <v>93.426540000000003</v>
      </c>
      <c r="AN748">
        <v>93.011610000000005</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79.396870000000007</v>
      </c>
    </row>
    <row r="749" spans="1:50" x14ac:dyDescent="0.35">
      <c r="A749" s="75">
        <v>40634</v>
      </c>
      <c r="B749">
        <v>93.440799999999996</v>
      </c>
      <c r="C749">
        <v>94.893590000000003</v>
      </c>
      <c r="D749">
        <v>76.542429999999996</v>
      </c>
      <c r="E749">
        <v>94.653670000000005</v>
      </c>
      <c r="F749">
        <v>102.92019999999999</v>
      </c>
      <c r="G749">
        <v>86.695660000000004</v>
      </c>
      <c r="H749">
        <v>91.245500000000007</v>
      </c>
      <c r="I749">
        <v>87.493880000000004</v>
      </c>
      <c r="J749">
        <v>85.397900000000007</v>
      </c>
      <c r="K749">
        <v>94.5</v>
      </c>
      <c r="L749">
        <v>95.064610000000002</v>
      </c>
      <c r="M749">
        <v>96.2</v>
      </c>
      <c r="N749">
        <v>95.89</v>
      </c>
      <c r="O749">
        <v>97.280230000000003</v>
      </c>
      <c r="P749">
        <v>93.876570000000001</v>
      </c>
      <c r="Q749">
        <v>95.88</v>
      </c>
      <c r="R749">
        <v>94.824510000000004</v>
      </c>
      <c r="S749">
        <v>96.78</v>
      </c>
      <c r="T749">
        <v>88.854920000000007</v>
      </c>
      <c r="U749">
        <v>95.088120000000004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94.164180000000002</v>
      </c>
      <c r="AG749">
        <v>96.756200000000007</v>
      </c>
      <c r="AH749">
        <v>94.78</v>
      </c>
      <c r="AI749">
        <v>97.189819999999997</v>
      </c>
      <c r="AJ749">
        <v>86.381619999999998</v>
      </c>
      <c r="AK749">
        <v>93.96</v>
      </c>
      <c r="AL749">
        <v>93.9</v>
      </c>
      <c r="AM749">
        <v>93.882230000000007</v>
      </c>
      <c r="AN749">
        <v>93.473399999999998</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79.666929999999994</v>
      </c>
    </row>
    <row r="750" spans="1:50" x14ac:dyDescent="0.35">
      <c r="A750" s="75">
        <v>40664</v>
      </c>
      <c r="B750">
        <v>93.53116</v>
      </c>
      <c r="C750">
        <v>95.210719999999995</v>
      </c>
      <c r="D750">
        <v>76.902280000000005</v>
      </c>
      <c r="E750">
        <v>95.285749999999993</v>
      </c>
      <c r="F750">
        <v>102.92700000000001</v>
      </c>
      <c r="G750">
        <v>87.044319999999999</v>
      </c>
      <c r="H750">
        <v>91.33717</v>
      </c>
      <c r="I750">
        <v>87.738619999999997</v>
      </c>
      <c r="J750">
        <v>85.972279999999998</v>
      </c>
      <c r="K750">
        <v>95</v>
      </c>
      <c r="L750">
        <v>95.064610000000002</v>
      </c>
      <c r="M750">
        <v>96.3</v>
      </c>
      <c r="N750">
        <v>95.9</v>
      </c>
      <c r="O750">
        <v>97.248109999999997</v>
      </c>
      <c r="P750">
        <v>94.030389999999997</v>
      </c>
      <c r="Q750">
        <v>95.94</v>
      </c>
      <c r="R750">
        <v>94.870469999999997</v>
      </c>
      <c r="S750">
        <v>96.83</v>
      </c>
      <c r="T750">
        <v>89.116829999999993</v>
      </c>
      <c r="U750">
        <v>95.382400000000004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94.345500000000001</v>
      </c>
      <c r="AG750">
        <v>97.475399999999993</v>
      </c>
      <c r="AH750">
        <v>94.83</v>
      </c>
      <c r="AI750">
        <v>97.536869999999993</v>
      </c>
      <c r="AJ750">
        <v>85.744829999999993</v>
      </c>
      <c r="AK750">
        <v>94.03</v>
      </c>
      <c r="AL750">
        <v>93.7</v>
      </c>
      <c r="AM750">
        <v>94.159679999999994</v>
      </c>
      <c r="AN750">
        <v>93.732699999999994</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80.072010000000006</v>
      </c>
    </row>
    <row r="751" spans="1:50" x14ac:dyDescent="0.35">
      <c r="A751" s="75">
        <v>40695</v>
      </c>
      <c r="B751">
        <v>93.53116</v>
      </c>
      <c r="C751">
        <v>95.508039999999994</v>
      </c>
      <c r="D751">
        <v>77.017589999999998</v>
      </c>
      <c r="E751">
        <v>94.653670000000005</v>
      </c>
      <c r="F751">
        <v>102.67829999999999</v>
      </c>
      <c r="G751">
        <v>87.196849999999998</v>
      </c>
      <c r="H751">
        <v>91.612170000000006</v>
      </c>
      <c r="I751">
        <v>88.024150000000006</v>
      </c>
      <c r="J751">
        <v>86.453090000000003</v>
      </c>
      <c r="K751">
        <v>94.9</v>
      </c>
      <c r="L751">
        <v>95.157910000000001</v>
      </c>
      <c r="M751">
        <v>96.1</v>
      </c>
      <c r="N751">
        <v>95.89</v>
      </c>
      <c r="O751">
        <v>97.111080000000001</v>
      </c>
      <c r="P751">
        <v>94.030389999999997</v>
      </c>
      <c r="Q751">
        <v>95.89</v>
      </c>
      <c r="R751">
        <v>95.146230000000003</v>
      </c>
      <c r="S751">
        <v>96.91</v>
      </c>
      <c r="T751">
        <v>89.176900000000003</v>
      </c>
      <c r="U751">
        <v>95.308030000000002</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94.527860000000004</v>
      </c>
      <c r="AG751">
        <v>97.347899999999996</v>
      </c>
      <c r="AH751">
        <v>94.75</v>
      </c>
      <c r="AI751">
        <v>97.786779999999993</v>
      </c>
      <c r="AJ751">
        <v>85.740549999999999</v>
      </c>
      <c r="AK751">
        <v>93.57</v>
      </c>
      <c r="AL751">
        <v>93.4</v>
      </c>
      <c r="AM751">
        <v>94.059619999999995</v>
      </c>
      <c r="AN751">
        <v>93.611109999999996</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80.477099999999993</v>
      </c>
    </row>
    <row r="752" spans="1:50" x14ac:dyDescent="0.35">
      <c r="A752" s="75">
        <v>40725</v>
      </c>
      <c r="B752">
        <v>93.350430000000003</v>
      </c>
      <c r="C752">
        <v>95.617059999999995</v>
      </c>
      <c r="D752">
        <v>77.140789999999996</v>
      </c>
      <c r="E752">
        <v>94.811689999999999</v>
      </c>
      <c r="F752">
        <v>101.83450000000001</v>
      </c>
      <c r="G752">
        <v>87.305809999999994</v>
      </c>
      <c r="H752">
        <v>92.014049999999997</v>
      </c>
      <c r="I752">
        <v>88.146510000000006</v>
      </c>
      <c r="J752">
        <v>86.743499999999997</v>
      </c>
      <c r="K752">
        <v>95.1</v>
      </c>
      <c r="L752">
        <v>95.344489999999993</v>
      </c>
      <c r="M752">
        <v>96</v>
      </c>
      <c r="N752">
        <v>95.34</v>
      </c>
      <c r="O752">
        <v>96.589740000000006</v>
      </c>
      <c r="P752">
        <v>94.491820000000004</v>
      </c>
      <c r="Q752">
        <v>95.41</v>
      </c>
      <c r="R752">
        <v>94.879660000000001</v>
      </c>
      <c r="S752">
        <v>96.48</v>
      </c>
      <c r="T752">
        <v>89.351590000000002</v>
      </c>
      <c r="U752">
        <v>95.367189999999994</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94.983270000000005</v>
      </c>
      <c r="AG752">
        <v>97.124700000000004</v>
      </c>
      <c r="AH752">
        <v>93.88</v>
      </c>
      <c r="AI752">
        <v>97.516930000000002</v>
      </c>
      <c r="AJ752">
        <v>86.151929999999993</v>
      </c>
      <c r="AK752">
        <v>94.04</v>
      </c>
      <c r="AL752">
        <v>93.1</v>
      </c>
      <c r="AM752">
        <v>94.098669999999998</v>
      </c>
      <c r="AN752">
        <v>93.497299999999996</v>
      </c>
      <c r="AO752">
        <v>96.2149</v>
      </c>
      <c r="AP752">
        <v>96.717449999999999</v>
      </c>
      <c r="AQ752">
        <v>71.856639999999999</v>
      </c>
      <c r="AR752">
        <v>90.836889999999997</v>
      </c>
      <c r="AS752">
        <v>95.559520000000006</v>
      </c>
      <c r="AT752">
        <v>95.57</v>
      </c>
      <c r="AU752">
        <v>99.292850000000001</v>
      </c>
      <c r="AV752">
        <v>71.880579999999995</v>
      </c>
      <c r="AW752">
        <v>95.318899999999999</v>
      </c>
      <c r="AX752">
        <v>81.152240000000006</v>
      </c>
    </row>
    <row r="753" spans="1:50" x14ac:dyDescent="0.35">
      <c r="A753" s="75">
        <v>40756</v>
      </c>
      <c r="B753">
        <v>93.53116</v>
      </c>
      <c r="C753">
        <v>95.537769999999995</v>
      </c>
      <c r="D753">
        <v>77.426159999999996</v>
      </c>
      <c r="E753">
        <v>95.048720000000003</v>
      </c>
      <c r="F753">
        <v>101.5368</v>
      </c>
      <c r="G753">
        <v>87.447450000000003</v>
      </c>
      <c r="H753">
        <v>92.275450000000006</v>
      </c>
      <c r="I753">
        <v>88.113879999999995</v>
      </c>
      <c r="J753">
        <v>86.966160000000002</v>
      </c>
      <c r="K753">
        <v>94.9</v>
      </c>
      <c r="L753">
        <v>95.437780000000004</v>
      </c>
      <c r="M753">
        <v>96</v>
      </c>
      <c r="N753">
        <v>95.52</v>
      </c>
      <c r="O753">
        <v>96.709630000000004</v>
      </c>
      <c r="P753">
        <v>94.799449999999993</v>
      </c>
      <c r="Q753">
        <v>95.55</v>
      </c>
      <c r="R753">
        <v>95.247339999999994</v>
      </c>
      <c r="S753">
        <v>96.98</v>
      </c>
      <c r="T753">
        <v>89.594949999999997</v>
      </c>
      <c r="U753">
        <v>95.620429999999999</v>
      </c>
      <c r="V753">
        <v>93.9</v>
      </c>
      <c r="W753">
        <v>100.3965</v>
      </c>
      <c r="X753">
        <v>93.19023</v>
      </c>
      <c r="Y753">
        <v>80.315709999999996</v>
      </c>
      <c r="Z753">
        <v>74.211029999999994</v>
      </c>
      <c r="AA753">
        <v>98.18092</v>
      </c>
      <c r="AB753">
        <v>88.999510000000001</v>
      </c>
      <c r="AC753">
        <v>97.681449999999998</v>
      </c>
      <c r="AD753">
        <v>96</v>
      </c>
      <c r="AE753">
        <v>96.411299999999997</v>
      </c>
      <c r="AF753">
        <v>95.621049999999997</v>
      </c>
      <c r="AG753">
        <v>96.771799999999999</v>
      </c>
      <c r="AH753">
        <v>95.22</v>
      </c>
      <c r="AI753">
        <v>97.176109999999994</v>
      </c>
      <c r="AJ753">
        <v>86.288210000000007</v>
      </c>
      <c r="AK753">
        <v>94.19</v>
      </c>
      <c r="AL753">
        <v>92.6</v>
      </c>
      <c r="AM753">
        <v>94.315439999999995</v>
      </c>
      <c r="AN753">
        <v>93.68723</v>
      </c>
      <c r="AO753">
        <v>96.2149</v>
      </c>
      <c r="AP753">
        <v>96.293499999999995</v>
      </c>
      <c r="AQ753">
        <v>71.684190000000001</v>
      </c>
      <c r="AR753">
        <v>91.030169999999998</v>
      </c>
      <c r="AS753">
        <v>95.620699999999999</v>
      </c>
      <c r="AT753">
        <v>95.82</v>
      </c>
      <c r="AU753">
        <v>99.324759999999998</v>
      </c>
      <c r="AV753">
        <v>72.402479999999997</v>
      </c>
      <c r="AW753">
        <v>95.58175</v>
      </c>
      <c r="AX753">
        <v>81.152240000000006</v>
      </c>
    </row>
    <row r="754" spans="1:50" x14ac:dyDescent="0.35">
      <c r="A754" s="75">
        <v>40787</v>
      </c>
      <c r="B754">
        <v>93.892629999999997</v>
      </c>
      <c r="C754">
        <v>95.795450000000002</v>
      </c>
      <c r="D754">
        <v>77.836590000000001</v>
      </c>
      <c r="E754">
        <v>95.285749999999993</v>
      </c>
      <c r="F754">
        <v>101.8107</v>
      </c>
      <c r="G754">
        <v>87.883269999999996</v>
      </c>
      <c r="H754">
        <v>92.711129999999997</v>
      </c>
      <c r="I754">
        <v>88.391260000000003</v>
      </c>
      <c r="J754">
        <v>86.830629999999999</v>
      </c>
      <c r="K754">
        <v>94.7</v>
      </c>
      <c r="L754">
        <v>95.624369999999999</v>
      </c>
      <c r="M754">
        <v>96.3</v>
      </c>
      <c r="N754">
        <v>96.22</v>
      </c>
      <c r="O754">
        <v>96.946219999999997</v>
      </c>
      <c r="P754">
        <v>95.312150000000003</v>
      </c>
      <c r="Q754">
        <v>96.14</v>
      </c>
      <c r="R754">
        <v>95.642600000000002</v>
      </c>
      <c r="S754">
        <v>96.91</v>
      </c>
      <c r="T754">
        <v>89.977440000000001</v>
      </c>
      <c r="U754">
        <v>95.764629999999997</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95.529340000000005</v>
      </c>
      <c r="AG754">
        <v>97.444000000000003</v>
      </c>
      <c r="AH754">
        <v>95.32</v>
      </c>
      <c r="AI754">
        <v>97.545649999999995</v>
      </c>
      <c r="AJ754">
        <v>86.499899999999997</v>
      </c>
      <c r="AK754">
        <v>94.53</v>
      </c>
      <c r="AL754">
        <v>93.4</v>
      </c>
      <c r="AM754">
        <v>94.50873</v>
      </c>
      <c r="AN754">
        <v>94.004080000000002</v>
      </c>
      <c r="AO754">
        <v>96.296300000000002</v>
      </c>
      <c r="AP754">
        <v>97.078699999999998</v>
      </c>
      <c r="AQ754">
        <v>71.655519999999996</v>
      </c>
      <c r="AR754">
        <v>91.416700000000006</v>
      </c>
      <c r="AS754">
        <v>95.926590000000004</v>
      </c>
      <c r="AT754">
        <v>96.43</v>
      </c>
      <c r="AU754">
        <v>100.0205</v>
      </c>
      <c r="AV754">
        <v>72.947410000000005</v>
      </c>
      <c r="AW754">
        <v>95.726889999999997</v>
      </c>
      <c r="AX754">
        <v>81.692359999999994</v>
      </c>
    </row>
    <row r="755" spans="1:50" x14ac:dyDescent="0.35">
      <c r="A755" s="75">
        <v>40817</v>
      </c>
      <c r="B755">
        <v>93.983000000000004</v>
      </c>
      <c r="C755">
        <v>95.944109999999995</v>
      </c>
      <c r="D755">
        <v>78.171390000000002</v>
      </c>
      <c r="E755">
        <v>95.443770000000001</v>
      </c>
      <c r="F755">
        <v>101.74299999999999</v>
      </c>
      <c r="G755">
        <v>88.308199999999999</v>
      </c>
      <c r="H755">
        <v>92.798259999999999</v>
      </c>
      <c r="I755">
        <v>88.554410000000004</v>
      </c>
      <c r="J755">
        <v>87.036069999999995</v>
      </c>
      <c r="K755">
        <v>94.9</v>
      </c>
      <c r="L755">
        <v>95.624369999999999</v>
      </c>
      <c r="M755">
        <v>96.4</v>
      </c>
      <c r="N755">
        <v>96.55</v>
      </c>
      <c r="O755">
        <v>97.710579999999993</v>
      </c>
      <c r="P755">
        <v>95.158339999999995</v>
      </c>
      <c r="Q755">
        <v>96.49</v>
      </c>
      <c r="R755">
        <v>95.881590000000003</v>
      </c>
      <c r="S755">
        <v>97.14</v>
      </c>
      <c r="T755">
        <v>90.156279999999995</v>
      </c>
      <c r="U755">
        <v>95.724559999999997</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95.348010000000002</v>
      </c>
      <c r="AG755">
        <v>97.537899999999993</v>
      </c>
      <c r="AH755">
        <v>95.46</v>
      </c>
      <c r="AI755">
        <v>97.746340000000004</v>
      </c>
      <c r="AJ755">
        <v>87.083550000000002</v>
      </c>
      <c r="AK755">
        <v>94.57</v>
      </c>
      <c r="AL755">
        <v>93.3</v>
      </c>
      <c r="AM755">
        <v>94.633439999999993</v>
      </c>
      <c r="AN755">
        <v>94.449089999999998</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82.232479999999995</v>
      </c>
    </row>
    <row r="756" spans="1:50" x14ac:dyDescent="0.35">
      <c r="A756" s="75">
        <v>40848</v>
      </c>
      <c r="B756">
        <v>94.073369999999997</v>
      </c>
      <c r="C756">
        <v>96.320710000000005</v>
      </c>
      <c r="D756">
        <v>78.577870000000004</v>
      </c>
      <c r="E756">
        <v>95.522779999999997</v>
      </c>
      <c r="F756">
        <v>101.5654</v>
      </c>
      <c r="G756">
        <v>88.591480000000004</v>
      </c>
      <c r="H756">
        <v>92.623990000000006</v>
      </c>
      <c r="I756">
        <v>88.676779999999994</v>
      </c>
      <c r="J756">
        <v>87.297449999999998</v>
      </c>
      <c r="K756">
        <v>95.3</v>
      </c>
      <c r="L756">
        <v>95.810950000000005</v>
      </c>
      <c r="M756">
        <v>96.3</v>
      </c>
      <c r="N756">
        <v>96.64</v>
      </c>
      <c r="O756">
        <v>98.106669999999994</v>
      </c>
      <c r="P756">
        <v>95.26088</v>
      </c>
      <c r="Q756">
        <v>96.63</v>
      </c>
      <c r="R756">
        <v>95.945930000000004</v>
      </c>
      <c r="S756">
        <v>97.41</v>
      </c>
      <c r="T756">
        <v>90.252610000000004</v>
      </c>
      <c r="U756">
        <v>95.650409999999994</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95.438670000000002</v>
      </c>
      <c r="AG756">
        <v>97.729500000000002</v>
      </c>
      <c r="AH756">
        <v>95.76</v>
      </c>
      <c r="AI756">
        <v>97.705209999999994</v>
      </c>
      <c r="AJ756">
        <v>88.025450000000006</v>
      </c>
      <c r="AK756">
        <v>94.28</v>
      </c>
      <c r="AL756">
        <v>93.3</v>
      </c>
      <c r="AM756">
        <v>94.698830000000001</v>
      </c>
      <c r="AN756">
        <v>94.727260000000001</v>
      </c>
      <c r="AO756">
        <v>97.598690000000005</v>
      </c>
      <c r="AP756">
        <v>98.021150000000006</v>
      </c>
      <c r="AQ756">
        <v>72.301860000000005</v>
      </c>
      <c r="AR756">
        <v>91.803250000000006</v>
      </c>
      <c r="AS756">
        <v>96.538359999999997</v>
      </c>
      <c r="AT756">
        <v>97.37</v>
      </c>
      <c r="AU756">
        <v>100.2598</v>
      </c>
      <c r="AV756">
        <v>76.635260000000002</v>
      </c>
      <c r="AW756">
        <v>95.448849999999993</v>
      </c>
      <c r="AX756">
        <v>82.232479999999995</v>
      </c>
    </row>
    <row r="757" spans="1:50" x14ac:dyDescent="0.35">
      <c r="A757" s="75">
        <v>40878</v>
      </c>
      <c r="B757">
        <v>94.254099999999994</v>
      </c>
      <c r="C757">
        <v>96.360349999999997</v>
      </c>
      <c r="D757">
        <v>78.970669999999998</v>
      </c>
      <c r="E757">
        <v>94.969710000000006</v>
      </c>
      <c r="F757">
        <v>101.4084</v>
      </c>
      <c r="G757">
        <v>89.125360000000001</v>
      </c>
      <c r="H757">
        <v>92.885390000000001</v>
      </c>
      <c r="I757">
        <v>89.052049999999994</v>
      </c>
      <c r="J757">
        <v>88.096630000000005</v>
      </c>
      <c r="K757">
        <v>95.7</v>
      </c>
      <c r="L757">
        <v>95.997540000000001</v>
      </c>
      <c r="M757">
        <v>96.3</v>
      </c>
      <c r="N757">
        <v>96.96</v>
      </c>
      <c r="O757">
        <v>98.234070000000003</v>
      </c>
      <c r="P757">
        <v>95.414699999999996</v>
      </c>
      <c r="Q757">
        <v>96.95</v>
      </c>
      <c r="R757">
        <v>95.918360000000007</v>
      </c>
      <c r="S757">
        <v>97.8</v>
      </c>
      <c r="T757">
        <v>90.307839999999999</v>
      </c>
      <c r="U757">
        <v>95.597849999999994</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95.802359999999993</v>
      </c>
      <c r="AG757">
        <v>97.572999999999993</v>
      </c>
      <c r="AH757">
        <v>95.71</v>
      </c>
      <c r="AI757">
        <v>97.723650000000006</v>
      </c>
      <c r="AJ757">
        <v>88.748810000000006</v>
      </c>
      <c r="AK757">
        <v>94.04</v>
      </c>
      <c r="AL757">
        <v>93.4</v>
      </c>
      <c r="AM757">
        <v>94.736609999999999</v>
      </c>
      <c r="AN757">
        <v>94.961849999999998</v>
      </c>
      <c r="AO757">
        <v>98.005700000000004</v>
      </c>
      <c r="AP757">
        <v>98.004230000000007</v>
      </c>
      <c r="AQ757">
        <v>72.619990000000001</v>
      </c>
      <c r="AR757">
        <v>91.803250000000006</v>
      </c>
      <c r="AS757">
        <v>96.599540000000005</v>
      </c>
      <c r="AT757">
        <v>96.8</v>
      </c>
      <c r="AU757">
        <v>100.4577</v>
      </c>
      <c r="AV757">
        <v>77.076580000000007</v>
      </c>
      <c r="AW757">
        <v>95.213419999999999</v>
      </c>
      <c r="AX757">
        <v>82.502529999999993</v>
      </c>
    </row>
    <row r="758" spans="1:50" x14ac:dyDescent="0.35">
      <c r="A758" s="75">
        <v>40909</v>
      </c>
      <c r="B758">
        <v>93.802269999999993</v>
      </c>
      <c r="C758">
        <v>97.063999999999993</v>
      </c>
      <c r="D758">
        <v>79.412890000000004</v>
      </c>
      <c r="E758">
        <v>95.364760000000004</v>
      </c>
      <c r="F758">
        <v>100.97669999999999</v>
      </c>
      <c r="G758">
        <v>89.201629999999994</v>
      </c>
      <c r="H758">
        <v>94.27955</v>
      </c>
      <c r="I758">
        <v>89.704679999999996</v>
      </c>
      <c r="J758">
        <v>88.251530000000002</v>
      </c>
      <c r="K758">
        <v>97.4</v>
      </c>
      <c r="L758">
        <v>95.904240000000001</v>
      </c>
      <c r="M758">
        <v>96.7</v>
      </c>
      <c r="N758">
        <v>96.18</v>
      </c>
      <c r="O758">
        <v>97.153909999999996</v>
      </c>
      <c r="P758">
        <v>96.081209999999999</v>
      </c>
      <c r="Q758">
        <v>96.39</v>
      </c>
      <c r="R758">
        <v>96.525030000000001</v>
      </c>
      <c r="S758">
        <v>97.46</v>
      </c>
      <c r="T758">
        <v>90.608649999999997</v>
      </c>
      <c r="U758">
        <v>95.834879999999998</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96.185029999999998</v>
      </c>
      <c r="AG758">
        <v>97.901899999999998</v>
      </c>
      <c r="AH758">
        <v>95.06</v>
      </c>
      <c r="AI758">
        <v>98.543520000000001</v>
      </c>
      <c r="AJ758">
        <v>89.377030000000005</v>
      </c>
      <c r="AK758">
        <v>93.99</v>
      </c>
      <c r="AL758">
        <v>93.2</v>
      </c>
      <c r="AM758">
        <v>94.963750000000005</v>
      </c>
      <c r="AN758">
        <v>94.917959999999994</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82.907619999999994</v>
      </c>
    </row>
    <row r="759" spans="1:50" x14ac:dyDescent="0.35">
      <c r="A759" s="75">
        <v>40940</v>
      </c>
      <c r="B759">
        <v>94.254099999999994</v>
      </c>
      <c r="C759">
        <v>97.638810000000007</v>
      </c>
      <c r="D759">
        <v>79.770189999999999</v>
      </c>
      <c r="E759">
        <v>95.759810000000002</v>
      </c>
      <c r="F759">
        <v>101.2612</v>
      </c>
      <c r="G759">
        <v>89.550290000000004</v>
      </c>
      <c r="H759">
        <v>94.192409999999995</v>
      </c>
      <c r="I759">
        <v>90.251270000000005</v>
      </c>
      <c r="J759">
        <v>88.498919999999998</v>
      </c>
      <c r="K759">
        <v>97.7</v>
      </c>
      <c r="L759">
        <v>96.557289999999995</v>
      </c>
      <c r="M759">
        <v>97.8</v>
      </c>
      <c r="N759">
        <v>96.66</v>
      </c>
      <c r="O759">
        <v>97.254530000000003</v>
      </c>
      <c r="P759">
        <v>96.440110000000004</v>
      </c>
      <c r="Q759">
        <v>96.88</v>
      </c>
      <c r="R759">
        <v>97.058170000000004</v>
      </c>
      <c r="S759">
        <v>97.86</v>
      </c>
      <c r="T759">
        <v>90.93329</v>
      </c>
      <c r="U759">
        <v>96.249669999999995</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96.549769999999995</v>
      </c>
      <c r="AG759">
        <v>98.293400000000005</v>
      </c>
      <c r="AH759">
        <v>96.67</v>
      </c>
      <c r="AI759">
        <v>98.677869999999999</v>
      </c>
      <c r="AJ759">
        <v>89.558719999999994</v>
      </c>
      <c r="AK759">
        <v>94.7</v>
      </c>
      <c r="AL759">
        <v>94.2</v>
      </c>
      <c r="AM759">
        <v>95.348950000000002</v>
      </c>
      <c r="AN759">
        <v>95.356989999999996</v>
      </c>
      <c r="AO759">
        <v>99.063900000000004</v>
      </c>
      <c r="AP759">
        <v>98.551580000000001</v>
      </c>
      <c r="AQ759">
        <v>73.253129999999999</v>
      </c>
      <c r="AR759">
        <v>91.996510000000001</v>
      </c>
      <c r="AS759">
        <v>98.190160000000006</v>
      </c>
      <c r="AT759">
        <v>96.84</v>
      </c>
      <c r="AU759">
        <v>100.1832</v>
      </c>
      <c r="AV759">
        <v>77.947689999999994</v>
      </c>
      <c r="AW759">
        <v>96.053439999999995</v>
      </c>
      <c r="AX759">
        <v>83.312709999999996</v>
      </c>
    </row>
    <row r="760" spans="1:50" x14ac:dyDescent="0.35">
      <c r="A760" s="75">
        <v>40969</v>
      </c>
      <c r="B760">
        <v>95.248159999999999</v>
      </c>
      <c r="C760">
        <v>97.84693</v>
      </c>
      <c r="D760">
        <v>79.937700000000007</v>
      </c>
      <c r="E760">
        <v>96.154859999999999</v>
      </c>
      <c r="F760">
        <v>101.8257</v>
      </c>
      <c r="G760">
        <v>89.702830000000006</v>
      </c>
      <c r="H760">
        <v>94.366680000000002</v>
      </c>
      <c r="I760">
        <v>90.357320000000001</v>
      </c>
      <c r="J760">
        <v>88.853870000000001</v>
      </c>
      <c r="K760">
        <v>97.8</v>
      </c>
      <c r="L760">
        <v>97.11703</v>
      </c>
      <c r="M760">
        <v>98.3</v>
      </c>
      <c r="N760">
        <v>97.91</v>
      </c>
      <c r="O760">
        <v>97.908630000000002</v>
      </c>
      <c r="P760">
        <v>97.362979999999993</v>
      </c>
      <c r="Q760">
        <v>98.01</v>
      </c>
      <c r="R760">
        <v>97.425839999999994</v>
      </c>
      <c r="S760">
        <v>98.67</v>
      </c>
      <c r="T760">
        <v>91.523240000000001</v>
      </c>
      <c r="U760">
        <v>96.861630000000005</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96.577179999999998</v>
      </c>
      <c r="AG760">
        <v>99.238900000000001</v>
      </c>
      <c r="AH760">
        <v>97</v>
      </c>
      <c r="AI760">
        <v>99.254940000000005</v>
      </c>
      <c r="AJ760">
        <v>89.610150000000004</v>
      </c>
      <c r="AK760">
        <v>95.78</v>
      </c>
      <c r="AL760">
        <v>94.1</v>
      </c>
      <c r="AM760">
        <v>95.899029999999996</v>
      </c>
      <c r="AN760">
        <v>95.920779999999993</v>
      </c>
      <c r="AO760">
        <v>99.552300000000002</v>
      </c>
      <c r="AP760">
        <v>99.701030000000003</v>
      </c>
      <c r="AQ760">
        <v>73.677989999999994</v>
      </c>
      <c r="AR760">
        <v>92.286420000000007</v>
      </c>
      <c r="AS760">
        <v>98.496049999999997</v>
      </c>
      <c r="AT760">
        <v>97.8</v>
      </c>
      <c r="AU760">
        <v>100.4641</v>
      </c>
      <c r="AV760">
        <v>78.270049999999998</v>
      </c>
      <c r="AW760">
        <v>96.782929999999993</v>
      </c>
      <c r="AX760">
        <v>84.257900000000006</v>
      </c>
    </row>
    <row r="761" spans="1:50" x14ac:dyDescent="0.35">
      <c r="A761" s="75">
        <v>41000</v>
      </c>
      <c r="B761">
        <v>95.609629999999996</v>
      </c>
      <c r="C761">
        <v>97.916309999999996</v>
      </c>
      <c r="D761">
        <v>80.449290000000005</v>
      </c>
      <c r="E761">
        <v>96.549909999999997</v>
      </c>
      <c r="F761">
        <v>101.90179999999999</v>
      </c>
      <c r="G761">
        <v>89.746409999999997</v>
      </c>
      <c r="H761">
        <v>94.27955</v>
      </c>
      <c r="I761">
        <v>90.487849999999995</v>
      </c>
      <c r="J761">
        <v>89.417500000000004</v>
      </c>
      <c r="K761">
        <v>97.8</v>
      </c>
      <c r="L761">
        <v>96.930459999999997</v>
      </c>
      <c r="M761">
        <v>98.3</v>
      </c>
      <c r="N761">
        <v>98.36</v>
      </c>
      <c r="O761">
        <v>99.284260000000003</v>
      </c>
      <c r="P761">
        <v>97.670599999999993</v>
      </c>
      <c r="Q761">
        <v>98.45</v>
      </c>
      <c r="R761">
        <v>97.765950000000004</v>
      </c>
      <c r="S761">
        <v>98.8</v>
      </c>
      <c r="T761">
        <v>91.928399999999996</v>
      </c>
      <c r="U761">
        <v>97.106219999999993</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96.567700000000002</v>
      </c>
      <c r="AG761">
        <v>99.834800000000001</v>
      </c>
      <c r="AH761">
        <v>97.32</v>
      </c>
      <c r="AI761">
        <v>99.869320000000002</v>
      </c>
      <c r="AJ761">
        <v>89.329030000000003</v>
      </c>
      <c r="AK761">
        <v>96.17</v>
      </c>
      <c r="AL761">
        <v>94.2</v>
      </c>
      <c r="AM761">
        <v>96.194900000000004</v>
      </c>
      <c r="AN761">
        <v>96.341220000000007</v>
      </c>
      <c r="AO761">
        <v>100.1221</v>
      </c>
      <c r="AP761">
        <v>99.981669999999994</v>
      </c>
      <c r="AQ761">
        <v>73.906390000000002</v>
      </c>
      <c r="AR761">
        <v>92.479690000000005</v>
      </c>
      <c r="AS761">
        <v>98.801940000000002</v>
      </c>
      <c r="AT761">
        <v>98.9</v>
      </c>
      <c r="AU761">
        <v>100.68429999999999</v>
      </c>
      <c r="AV761">
        <v>79.455839999999995</v>
      </c>
      <c r="AW761">
        <v>97.075320000000005</v>
      </c>
      <c r="AX761">
        <v>84.662989999999994</v>
      </c>
    </row>
    <row r="762" spans="1:50" x14ac:dyDescent="0.35">
      <c r="A762" s="75">
        <v>41030</v>
      </c>
      <c r="B762">
        <v>95.519260000000003</v>
      </c>
      <c r="C762">
        <v>97.886570000000006</v>
      </c>
      <c r="D762">
        <v>80.738839999999996</v>
      </c>
      <c r="E762">
        <v>96.4709</v>
      </c>
      <c r="F762">
        <v>101.8837</v>
      </c>
      <c r="G762">
        <v>89.768199999999993</v>
      </c>
      <c r="H762">
        <v>94.018140000000002</v>
      </c>
      <c r="I762">
        <v>90.757059999999996</v>
      </c>
      <c r="J762">
        <v>90.300579999999997</v>
      </c>
      <c r="K762">
        <v>98</v>
      </c>
      <c r="L762">
        <v>96.930459999999997</v>
      </c>
      <c r="M762">
        <v>98.4</v>
      </c>
      <c r="N762">
        <v>98.23</v>
      </c>
      <c r="O762">
        <v>99.137600000000006</v>
      </c>
      <c r="P762">
        <v>97.619330000000005</v>
      </c>
      <c r="Q762">
        <v>98.36</v>
      </c>
      <c r="R762">
        <v>97.775139999999993</v>
      </c>
      <c r="S762">
        <v>98.75</v>
      </c>
      <c r="T762">
        <v>91.895539999999997</v>
      </c>
      <c r="U762">
        <v>96.999260000000007</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96.740579999999994</v>
      </c>
      <c r="AG762">
        <v>99.897300000000001</v>
      </c>
      <c r="AH762">
        <v>97.18</v>
      </c>
      <c r="AI762">
        <v>99.712410000000006</v>
      </c>
      <c r="AJ762">
        <v>89.047070000000005</v>
      </c>
      <c r="AK762">
        <v>96.03</v>
      </c>
      <c r="AL762">
        <v>94.2</v>
      </c>
      <c r="AM762">
        <v>96.103160000000003</v>
      </c>
      <c r="AN762">
        <v>96.298810000000003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84.662989999999994</v>
      </c>
    </row>
    <row r="763" spans="1:50" x14ac:dyDescent="0.35">
      <c r="A763" s="75">
        <v>41061</v>
      </c>
      <c r="B763">
        <v>95.609629999999996</v>
      </c>
      <c r="C763">
        <v>97.658630000000002</v>
      </c>
      <c r="D763">
        <v>80.803340000000006</v>
      </c>
      <c r="E763">
        <v>96.075850000000003</v>
      </c>
      <c r="F763">
        <v>101.5963</v>
      </c>
      <c r="G763">
        <v>89.506709999999998</v>
      </c>
      <c r="H763">
        <v>93.495339999999999</v>
      </c>
      <c r="I763">
        <v>90.838639999999998</v>
      </c>
      <c r="J763">
        <v>90.442570000000003</v>
      </c>
      <c r="K763">
        <v>98.2</v>
      </c>
      <c r="L763">
        <v>96.743870000000001</v>
      </c>
      <c r="M763">
        <v>98.2</v>
      </c>
      <c r="N763">
        <v>98.15</v>
      </c>
      <c r="O763">
        <v>98.952389999999994</v>
      </c>
      <c r="P763">
        <v>97.670599999999993</v>
      </c>
      <c r="Q763">
        <v>98.3</v>
      </c>
      <c r="R763">
        <v>97.839489999999998</v>
      </c>
      <c r="S763">
        <v>98.78</v>
      </c>
      <c r="T763">
        <v>91.867419999999996</v>
      </c>
      <c r="U763">
        <v>96.817570000000003</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96.603539999999995</v>
      </c>
      <c r="AG763">
        <v>99.822699999999998</v>
      </c>
      <c r="AH763">
        <v>97.11</v>
      </c>
      <c r="AI763">
        <v>99.645849999999996</v>
      </c>
      <c r="AJ763">
        <v>89.457589999999996</v>
      </c>
      <c r="AK763">
        <v>95.57</v>
      </c>
      <c r="AL763">
        <v>93.7</v>
      </c>
      <c r="AM763">
        <v>95.941249999999997</v>
      </c>
      <c r="AN763">
        <v>96.134839999999997</v>
      </c>
      <c r="AO763">
        <v>100.4477</v>
      </c>
      <c r="AP763">
        <v>99.413420000000002</v>
      </c>
      <c r="AQ763">
        <v>74.951899999999995</v>
      </c>
      <c r="AR763">
        <v>93.156139999999994</v>
      </c>
      <c r="AS763">
        <v>99.04665</v>
      </c>
      <c r="AT763">
        <v>98.87</v>
      </c>
      <c r="AU763">
        <v>100.3524</v>
      </c>
      <c r="AV763">
        <v>78.57705</v>
      </c>
      <c r="AW763">
        <v>96.819209999999998</v>
      </c>
      <c r="AX763">
        <v>85.068079999999995</v>
      </c>
    </row>
    <row r="764" spans="1:50" x14ac:dyDescent="0.35">
      <c r="A764" s="75">
        <v>41091</v>
      </c>
      <c r="B764">
        <v>95.338520000000003</v>
      </c>
      <c r="C764">
        <v>97.837019999999995</v>
      </c>
      <c r="D764">
        <v>81.150890000000004</v>
      </c>
      <c r="E764">
        <v>95.996840000000006</v>
      </c>
      <c r="F764">
        <v>101.1073</v>
      </c>
      <c r="G764">
        <v>89.495810000000006</v>
      </c>
      <c r="H764">
        <v>93.582470000000001</v>
      </c>
      <c r="I764">
        <v>90.814160000000001</v>
      </c>
      <c r="J764">
        <v>90.169359999999998</v>
      </c>
      <c r="K764">
        <v>98.1</v>
      </c>
      <c r="L764">
        <v>97.11703</v>
      </c>
      <c r="M764">
        <v>98.2</v>
      </c>
      <c r="N764">
        <v>97.64</v>
      </c>
      <c r="O764">
        <v>98.721159999999998</v>
      </c>
      <c r="P764">
        <v>97.926959999999994</v>
      </c>
      <c r="Q764">
        <v>97.84</v>
      </c>
      <c r="R764">
        <v>97.655640000000005</v>
      </c>
      <c r="S764">
        <v>98.35</v>
      </c>
      <c r="T764">
        <v>91.99033</v>
      </c>
      <c r="U764">
        <v>96.708510000000004</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96.385319999999993</v>
      </c>
      <c r="AG764">
        <v>99.843800000000002</v>
      </c>
      <c r="AH764">
        <v>96.2</v>
      </c>
      <c r="AI764">
        <v>99.152429999999995</v>
      </c>
      <c r="AJ764">
        <v>89.959819999999993</v>
      </c>
      <c r="AK764">
        <v>96.2</v>
      </c>
      <c r="AL764">
        <v>93.3</v>
      </c>
      <c r="AM764">
        <v>95.869519999999994</v>
      </c>
      <c r="AN764">
        <v>96.077500000000001</v>
      </c>
      <c r="AO764">
        <v>99.959299999999999</v>
      </c>
      <c r="AP764">
        <v>99.397499999999994</v>
      </c>
      <c r="AQ764">
        <v>75.873800000000003</v>
      </c>
      <c r="AR764">
        <v>93.349400000000003</v>
      </c>
      <c r="AS764">
        <v>99.04665</v>
      </c>
      <c r="AT764">
        <v>97.86</v>
      </c>
      <c r="AU764">
        <v>99.963040000000007</v>
      </c>
      <c r="AV764">
        <v>78.396680000000003</v>
      </c>
      <c r="AW764">
        <v>96.661420000000007</v>
      </c>
      <c r="AX764">
        <v>85.068079999999995</v>
      </c>
    </row>
    <row r="765" spans="1:50" x14ac:dyDescent="0.35">
      <c r="A765" s="75">
        <v>41122</v>
      </c>
      <c r="B765">
        <v>95.609629999999996</v>
      </c>
      <c r="C765">
        <v>98.263180000000006</v>
      </c>
      <c r="D765">
        <v>81.483599999999996</v>
      </c>
      <c r="E765">
        <v>96.233869999999996</v>
      </c>
      <c r="F765">
        <v>101.07680000000001</v>
      </c>
      <c r="G765">
        <v>89.691929999999999</v>
      </c>
      <c r="H765">
        <v>94.192999999999998</v>
      </c>
      <c r="I765">
        <v>90.854950000000002</v>
      </c>
      <c r="J765">
        <v>90.645859999999999</v>
      </c>
      <c r="K765">
        <v>98</v>
      </c>
      <c r="L765">
        <v>97.490200000000002</v>
      </c>
      <c r="M765">
        <v>98.5</v>
      </c>
      <c r="N765">
        <v>98.02</v>
      </c>
      <c r="O765">
        <v>99.276759999999996</v>
      </c>
      <c r="P765">
        <v>98.388390000000001</v>
      </c>
      <c r="Q765">
        <v>98.17</v>
      </c>
      <c r="R765">
        <v>97.839489999999998</v>
      </c>
      <c r="S765">
        <v>99</v>
      </c>
      <c r="T765">
        <v>92.444810000000004</v>
      </c>
      <c r="U765">
        <v>97.165019999999998</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96.831239999999994</v>
      </c>
      <c r="AG765">
        <v>100.00830000000001</v>
      </c>
      <c r="AH765">
        <v>97.68</v>
      </c>
      <c r="AI765">
        <v>98.863609999999994</v>
      </c>
      <c r="AJ765">
        <v>90.229799999999997</v>
      </c>
      <c r="AK765">
        <v>96.32</v>
      </c>
      <c r="AL765">
        <v>92.9</v>
      </c>
      <c r="AM765">
        <v>96.256259999999997</v>
      </c>
      <c r="AN765">
        <v>96.4</v>
      </c>
      <c r="AO765">
        <v>99.633700000000005</v>
      </c>
      <c r="AP765">
        <v>99.256180000000001</v>
      </c>
      <c r="AQ765">
        <v>75.949680000000001</v>
      </c>
      <c r="AR765">
        <v>93.639309999999995</v>
      </c>
      <c r="AS765">
        <v>99.107830000000007</v>
      </c>
      <c r="AT765">
        <v>98.56</v>
      </c>
      <c r="AU765">
        <v>100.0652</v>
      </c>
      <c r="AV765">
        <v>78.834159999999997</v>
      </c>
      <c r="AW765">
        <v>97.199359999999999</v>
      </c>
      <c r="AX765">
        <v>85.473159999999993</v>
      </c>
    </row>
    <row r="766" spans="1:50" x14ac:dyDescent="0.35">
      <c r="A766" s="75">
        <v>41153</v>
      </c>
      <c r="B766">
        <v>96.422939999999997</v>
      </c>
      <c r="C766">
        <v>98.431659999999994</v>
      </c>
      <c r="D766">
        <v>81.948080000000004</v>
      </c>
      <c r="E766">
        <v>96.391890000000004</v>
      </c>
      <c r="F766">
        <v>101.3918</v>
      </c>
      <c r="G766">
        <v>90.378349999999998</v>
      </c>
      <c r="H766">
        <v>94.482110000000006</v>
      </c>
      <c r="I766">
        <v>91.116</v>
      </c>
      <c r="J766">
        <v>90.708240000000004</v>
      </c>
      <c r="K766">
        <v>97.9</v>
      </c>
      <c r="L766">
        <v>97.583500000000001</v>
      </c>
      <c r="M766">
        <v>98.7</v>
      </c>
      <c r="N766">
        <v>98.73</v>
      </c>
      <c r="O766">
        <v>100.2542</v>
      </c>
      <c r="P766">
        <v>98.9011</v>
      </c>
      <c r="Q766">
        <v>98.82</v>
      </c>
      <c r="R766">
        <v>98.225549999999998</v>
      </c>
      <c r="S766">
        <v>98.76</v>
      </c>
      <c r="T766">
        <v>92.86806</v>
      </c>
      <c r="U766">
        <v>97.436229999999995</v>
      </c>
      <c r="V766">
        <v>96.4</v>
      </c>
      <c r="W766">
        <v>104.6615</v>
      </c>
      <c r="X766">
        <v>99.259799999999998</v>
      </c>
      <c r="Y766">
        <v>84.008459999999999</v>
      </c>
      <c r="Z766">
        <v>82.24418</v>
      </c>
      <c r="AA766">
        <v>100.0748</v>
      </c>
      <c r="AB766">
        <v>93.369969999999995</v>
      </c>
      <c r="AC766">
        <v>99.495959999999997</v>
      </c>
      <c r="AD766">
        <v>99.069770000000005</v>
      </c>
      <c r="AE766">
        <v>96.105879999999999</v>
      </c>
      <c r="AF766">
        <v>97.523830000000004</v>
      </c>
      <c r="AG766">
        <v>100.7343</v>
      </c>
      <c r="AH766">
        <v>98.1</v>
      </c>
      <c r="AI766">
        <v>99.321619999999996</v>
      </c>
      <c r="AJ766">
        <v>90.627470000000002</v>
      </c>
      <c r="AK766">
        <v>96.72</v>
      </c>
      <c r="AL766">
        <v>93.9</v>
      </c>
      <c r="AM766">
        <v>96.600210000000004</v>
      </c>
      <c r="AN766">
        <v>96.71114</v>
      </c>
      <c r="AO766">
        <v>99.715100000000007</v>
      </c>
      <c r="AP766">
        <v>99.87518</v>
      </c>
      <c r="AQ766">
        <v>76.367400000000004</v>
      </c>
      <c r="AR766">
        <v>94.122479999999996</v>
      </c>
      <c r="AS766">
        <v>99.413709999999995</v>
      </c>
      <c r="AT766">
        <v>99.6</v>
      </c>
      <c r="AU766">
        <v>100.46729999999999</v>
      </c>
      <c r="AV766">
        <v>79.647710000000004</v>
      </c>
      <c r="AW766">
        <v>97.633080000000007</v>
      </c>
      <c r="AX766">
        <v>86.148309999999995</v>
      </c>
    </row>
    <row r="767" spans="1:50" x14ac:dyDescent="0.35">
      <c r="A767" s="75">
        <v>41183</v>
      </c>
      <c r="B767">
        <v>96.603679999999997</v>
      </c>
      <c r="C767">
        <v>98.610050000000001</v>
      </c>
      <c r="D767">
        <v>82.43159</v>
      </c>
      <c r="E767">
        <v>96.549909999999997</v>
      </c>
      <c r="F767">
        <v>101.517</v>
      </c>
      <c r="G767">
        <v>90.890429999999995</v>
      </c>
      <c r="H767">
        <v>94.383380000000002</v>
      </c>
      <c r="I767">
        <v>91.26285</v>
      </c>
      <c r="J767">
        <v>91.112679999999997</v>
      </c>
      <c r="K767">
        <v>98.2</v>
      </c>
      <c r="L767">
        <v>97.583500000000001</v>
      </c>
      <c r="M767">
        <v>98.7</v>
      </c>
      <c r="N767">
        <v>98.96</v>
      </c>
      <c r="O767">
        <v>101.1063</v>
      </c>
      <c r="P767">
        <v>99.054910000000007</v>
      </c>
      <c r="Q767">
        <v>99.05</v>
      </c>
      <c r="R767">
        <v>98.372619999999998</v>
      </c>
      <c r="S767">
        <v>98.94</v>
      </c>
      <c r="T767">
        <v>93.090999999999994</v>
      </c>
      <c r="U767">
        <v>97.461429999999993</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97.341459999999998</v>
      </c>
      <c r="AG767">
        <v>100.57689999999999</v>
      </c>
      <c r="AH767">
        <v>98.23</v>
      </c>
      <c r="AI767">
        <v>99.313569999999999</v>
      </c>
      <c r="AJ767">
        <v>91.085989999999995</v>
      </c>
      <c r="AK767">
        <v>97.29</v>
      </c>
      <c r="AL767">
        <v>94.3</v>
      </c>
      <c r="AM767">
        <v>96.748990000000006</v>
      </c>
      <c r="AN767">
        <v>97.079719999999995</v>
      </c>
      <c r="AO767">
        <v>100.1221</v>
      </c>
      <c r="AP767">
        <v>100.1887</v>
      </c>
      <c r="AQ767">
        <v>76.718689999999995</v>
      </c>
      <c r="AR767">
        <v>94.702290000000005</v>
      </c>
      <c r="AS767">
        <v>99.780779999999993</v>
      </c>
      <c r="AT767">
        <v>99.74</v>
      </c>
      <c r="AU767">
        <v>100.39709999999999</v>
      </c>
      <c r="AV767">
        <v>81.209590000000006</v>
      </c>
      <c r="AW767">
        <v>97.595110000000005</v>
      </c>
      <c r="AX767">
        <v>86.688419999999994</v>
      </c>
    </row>
    <row r="768" spans="1:50" x14ac:dyDescent="0.35">
      <c r="A768" s="75">
        <v>41214</v>
      </c>
      <c r="B768">
        <v>96.694050000000004</v>
      </c>
      <c r="C768">
        <v>98.50103</v>
      </c>
      <c r="D768">
        <v>82.926249999999996</v>
      </c>
      <c r="E768">
        <v>96.312880000000007</v>
      </c>
      <c r="F768">
        <v>101.1842</v>
      </c>
      <c r="G768">
        <v>90.476410000000001</v>
      </c>
      <c r="H768">
        <v>94.540949999999995</v>
      </c>
      <c r="I768">
        <v>91.140479999999997</v>
      </c>
      <c r="J768">
        <v>91.85163</v>
      </c>
      <c r="K768">
        <v>97.9</v>
      </c>
      <c r="L768">
        <v>97.676789999999997</v>
      </c>
      <c r="M768">
        <v>98.5</v>
      </c>
      <c r="N768">
        <v>98.76</v>
      </c>
      <c r="O768">
        <v>100.9811</v>
      </c>
      <c r="P768">
        <v>98.747280000000003</v>
      </c>
      <c r="Q768">
        <v>98.87</v>
      </c>
      <c r="R768">
        <v>98.050899999999999</v>
      </c>
      <c r="S768">
        <v>98.79</v>
      </c>
      <c r="T768">
        <v>93.036540000000002</v>
      </c>
      <c r="U768">
        <v>97.161450000000002</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96.995689999999996</v>
      </c>
      <c r="AG768">
        <v>100.4224</v>
      </c>
      <c r="AH768">
        <v>98.16</v>
      </c>
      <c r="AI768">
        <v>99.238799999999998</v>
      </c>
      <c r="AJ768">
        <v>91.704790000000003</v>
      </c>
      <c r="AK768">
        <v>96.89</v>
      </c>
      <c r="AL768">
        <v>94.4</v>
      </c>
      <c r="AM768">
        <v>96.534170000000003</v>
      </c>
      <c r="AN768">
        <v>97.052210000000002</v>
      </c>
      <c r="AO768">
        <v>100.20350000000001</v>
      </c>
      <c r="AP768">
        <v>99.873199999999997</v>
      </c>
      <c r="AQ768">
        <v>76.97954</v>
      </c>
      <c r="AR768">
        <v>94.895560000000003</v>
      </c>
      <c r="AS768">
        <v>99.780779999999993</v>
      </c>
      <c r="AT768">
        <v>99.67</v>
      </c>
      <c r="AU768">
        <v>100.15130000000001</v>
      </c>
      <c r="AV768">
        <v>81.516589999999994</v>
      </c>
      <c r="AW768">
        <v>97.1327</v>
      </c>
      <c r="AX768">
        <v>86.958479999999994</v>
      </c>
    </row>
    <row r="769" spans="1:50" x14ac:dyDescent="0.35">
      <c r="A769" s="75">
        <v>41244</v>
      </c>
      <c r="B769">
        <v>96.874790000000004</v>
      </c>
      <c r="C769">
        <v>98.510940000000005</v>
      </c>
      <c r="D769">
        <v>83.581450000000004</v>
      </c>
      <c r="E769">
        <v>95.759810000000002</v>
      </c>
      <c r="F769">
        <v>100.9679</v>
      </c>
      <c r="G769">
        <v>90.454610000000002</v>
      </c>
      <c r="H769">
        <v>95.236609999999999</v>
      </c>
      <c r="I769">
        <v>91.222059999999999</v>
      </c>
      <c r="J769">
        <v>92.10548</v>
      </c>
      <c r="K769">
        <v>98</v>
      </c>
      <c r="L769">
        <v>97.956670000000003</v>
      </c>
      <c r="M769">
        <v>98.3</v>
      </c>
      <c r="N769">
        <v>99.11</v>
      </c>
      <c r="O769">
        <v>101.0517</v>
      </c>
      <c r="P769">
        <v>98.696010000000001</v>
      </c>
      <c r="Q769">
        <v>99.17</v>
      </c>
      <c r="R769">
        <v>98.179590000000005</v>
      </c>
      <c r="S769">
        <v>99.1</v>
      </c>
      <c r="T769">
        <v>93.23236</v>
      </c>
      <c r="U769">
        <v>97.073599999999999</v>
      </c>
      <c r="V769">
        <v>97.3</v>
      </c>
      <c r="W769">
        <v>104.7285</v>
      </c>
      <c r="X769">
        <v>99.333820000000003</v>
      </c>
      <c r="Y769">
        <v>84.658289999999994</v>
      </c>
      <c r="Z769">
        <v>83.77431</v>
      </c>
      <c r="AA769">
        <v>99.676060000000007</v>
      </c>
      <c r="AB769">
        <v>93.96902</v>
      </c>
      <c r="AC769">
        <v>98.99194</v>
      </c>
      <c r="AD769">
        <v>99.069770000000005</v>
      </c>
      <c r="AE769">
        <v>95.800460000000001</v>
      </c>
      <c r="AF769">
        <v>97.168570000000003</v>
      </c>
      <c r="AG769">
        <v>100.33669999999999</v>
      </c>
      <c r="AH769">
        <v>97.93</v>
      </c>
      <c r="AI769">
        <v>99.282449999999997</v>
      </c>
      <c r="AJ769">
        <v>91.915629999999993</v>
      </c>
      <c r="AK769">
        <v>96.76</v>
      </c>
      <c r="AL769">
        <v>94.7</v>
      </c>
      <c r="AM769">
        <v>96.500659999999996</v>
      </c>
      <c r="AN769">
        <v>97.239599999999996</v>
      </c>
      <c r="AO769">
        <v>100.28489999999999</v>
      </c>
      <c r="AP769">
        <v>99.885140000000007</v>
      </c>
      <c r="AQ769">
        <v>77.395229999999998</v>
      </c>
      <c r="AR769">
        <v>95.088840000000005</v>
      </c>
      <c r="AS769">
        <v>99.7196</v>
      </c>
      <c r="AT769">
        <v>99.39</v>
      </c>
      <c r="AU769">
        <v>100.4034</v>
      </c>
      <c r="AV769">
        <v>81.827420000000004</v>
      </c>
      <c r="AW769">
        <v>96.871110000000002</v>
      </c>
      <c r="AX769">
        <v>87.228539999999995</v>
      </c>
    </row>
    <row r="770" spans="1:50" x14ac:dyDescent="0.35">
      <c r="A770" s="75">
        <v>41275</v>
      </c>
      <c r="B770">
        <v>96.332579999999993</v>
      </c>
      <c r="C770">
        <v>98.481210000000004</v>
      </c>
      <c r="D770">
        <v>84.300219999999996</v>
      </c>
      <c r="E770">
        <v>95.838819999999998</v>
      </c>
      <c r="F770">
        <v>100.7043</v>
      </c>
      <c r="G770">
        <v>90.618049999999997</v>
      </c>
      <c r="H770">
        <v>96.188550000000006</v>
      </c>
      <c r="I770">
        <v>91.49127</v>
      </c>
      <c r="J770">
        <v>93.313400000000001</v>
      </c>
      <c r="K770">
        <v>99.3</v>
      </c>
      <c r="L770">
        <v>97.490200000000002</v>
      </c>
      <c r="M770">
        <v>97.9</v>
      </c>
      <c r="N770">
        <v>98.09</v>
      </c>
      <c r="O770">
        <v>99.760649999999998</v>
      </c>
      <c r="P770">
        <v>99.362530000000007</v>
      </c>
      <c r="Q770">
        <v>98.34</v>
      </c>
      <c r="R770">
        <v>98.096860000000007</v>
      </c>
      <c r="S770">
        <v>98.6</v>
      </c>
      <c r="T770">
        <v>93.500110000000006</v>
      </c>
      <c r="U770">
        <v>97.164510000000007</v>
      </c>
      <c r="V770">
        <v>97</v>
      </c>
      <c r="W770">
        <v>103.2715</v>
      </c>
      <c r="X770">
        <v>100.148</v>
      </c>
      <c r="Y770">
        <v>85.167400000000001</v>
      </c>
      <c r="Z770">
        <v>84.539370000000005</v>
      </c>
      <c r="AA770">
        <v>99.177670000000006</v>
      </c>
      <c r="AB770">
        <v>94.226969999999994</v>
      </c>
      <c r="AC770">
        <v>98.891130000000004</v>
      </c>
      <c r="AD770">
        <v>99.255809999999997</v>
      </c>
      <c r="AE770">
        <v>95.902270000000001</v>
      </c>
      <c r="AF770">
        <v>97.751530000000002</v>
      </c>
      <c r="AG770">
        <v>100.4927</v>
      </c>
      <c r="AH770">
        <v>97.05</v>
      </c>
      <c r="AI770">
        <v>99.120069999999998</v>
      </c>
      <c r="AJ770">
        <v>92.285870000000003</v>
      </c>
      <c r="AK770">
        <v>96.78</v>
      </c>
      <c r="AL770">
        <v>94.5</v>
      </c>
      <c r="AM770">
        <v>96.604579999999999</v>
      </c>
      <c r="AN770">
        <v>97.05171</v>
      </c>
      <c r="AO770">
        <v>100.3663</v>
      </c>
      <c r="AP770">
        <v>98.644130000000004</v>
      </c>
      <c r="AQ770">
        <v>78.145960000000002</v>
      </c>
      <c r="AR770">
        <v>96.151820000000001</v>
      </c>
      <c r="AS770">
        <v>100.3314</v>
      </c>
      <c r="AT770">
        <v>98.62</v>
      </c>
      <c r="AU770">
        <v>99.570499999999996</v>
      </c>
      <c r="AV770">
        <v>83.174390000000002</v>
      </c>
      <c r="AW770">
        <v>97.157589999999999</v>
      </c>
      <c r="AX770">
        <v>87.498599999999996</v>
      </c>
    </row>
    <row r="771" spans="1:50" x14ac:dyDescent="0.35">
      <c r="A771" s="75">
        <v>41306</v>
      </c>
      <c r="B771">
        <v>96.603679999999997</v>
      </c>
      <c r="C771">
        <v>98.798349999999999</v>
      </c>
      <c r="D771">
        <v>84.806010000000001</v>
      </c>
      <c r="E771">
        <v>96.944950000000006</v>
      </c>
      <c r="F771">
        <v>101.0018</v>
      </c>
      <c r="G771">
        <v>90.71611</v>
      </c>
      <c r="H771">
        <v>97.246269999999996</v>
      </c>
      <c r="I771">
        <v>91.899169999999998</v>
      </c>
      <c r="J771">
        <v>94.265320000000003</v>
      </c>
      <c r="K771">
        <v>99.4</v>
      </c>
      <c r="L771">
        <v>98.049959999999999</v>
      </c>
      <c r="M771">
        <v>99</v>
      </c>
      <c r="N771">
        <v>98.45</v>
      </c>
      <c r="O771">
        <v>99.933009999999996</v>
      </c>
      <c r="P771">
        <v>99.977779999999996</v>
      </c>
      <c r="Q771">
        <v>98.69</v>
      </c>
      <c r="R771">
        <v>98.675960000000003</v>
      </c>
      <c r="S771">
        <v>98.88</v>
      </c>
      <c r="T771">
        <v>94.103309999999993</v>
      </c>
      <c r="U771">
        <v>97.728470000000002</v>
      </c>
      <c r="V771">
        <v>97.5</v>
      </c>
      <c r="W771">
        <v>101.5677</v>
      </c>
      <c r="X771">
        <v>100.074</v>
      </c>
      <c r="Y771">
        <v>85.765299999999996</v>
      </c>
      <c r="Z771">
        <v>85.304429999999996</v>
      </c>
      <c r="AA771">
        <v>99.975080000000005</v>
      </c>
      <c r="AB771">
        <v>95.766040000000004</v>
      </c>
      <c r="AC771">
        <v>98.891130000000004</v>
      </c>
      <c r="AD771">
        <v>99.348839999999996</v>
      </c>
      <c r="AE771">
        <v>95.698650000000001</v>
      </c>
      <c r="AF771">
        <v>98.078320000000005</v>
      </c>
      <c r="AG771">
        <v>100.4466</v>
      </c>
      <c r="AH771">
        <v>98.9</v>
      </c>
      <c r="AI771">
        <v>98.991410000000002</v>
      </c>
      <c r="AJ771">
        <v>92.740110000000001</v>
      </c>
      <c r="AK771">
        <v>97.54</v>
      </c>
      <c r="AL771">
        <v>95.1</v>
      </c>
      <c r="AM771">
        <v>97.08099</v>
      </c>
      <c r="AN771">
        <v>97.362639999999999</v>
      </c>
      <c r="AO771">
        <v>100.3663</v>
      </c>
      <c r="AP771">
        <v>98.525710000000004</v>
      </c>
      <c r="AQ771">
        <v>78.583579999999998</v>
      </c>
      <c r="AR771">
        <v>96.234780000000001</v>
      </c>
      <c r="AS771">
        <v>100.3314</v>
      </c>
      <c r="AT771">
        <v>99.42</v>
      </c>
      <c r="AU771">
        <v>100.0141</v>
      </c>
      <c r="AV771">
        <v>83.423839999999998</v>
      </c>
      <c r="AW771">
        <v>97.953310000000002</v>
      </c>
      <c r="AX771">
        <v>88.308769999999996</v>
      </c>
    </row>
    <row r="772" spans="1:50" x14ac:dyDescent="0.35">
      <c r="A772" s="75">
        <v>41334</v>
      </c>
      <c r="B772">
        <v>97.417000000000002</v>
      </c>
      <c r="C772">
        <v>98.937100000000001</v>
      </c>
      <c r="D772">
        <v>85.204610000000002</v>
      </c>
      <c r="E772">
        <v>97.102969999999999</v>
      </c>
      <c r="F772">
        <v>101.2213</v>
      </c>
      <c r="G772">
        <v>91.064769999999996</v>
      </c>
      <c r="H772">
        <v>96.371889999999993</v>
      </c>
      <c r="I772">
        <v>92.086799999999997</v>
      </c>
      <c r="J772">
        <v>94.368579999999994</v>
      </c>
      <c r="K772">
        <v>99.5</v>
      </c>
      <c r="L772">
        <v>98.516419999999997</v>
      </c>
      <c r="M772">
        <v>99.3</v>
      </c>
      <c r="N772">
        <v>99.61</v>
      </c>
      <c r="O772">
        <v>100.2852</v>
      </c>
      <c r="P772">
        <v>100.74679999999999</v>
      </c>
      <c r="Q772">
        <v>99.69</v>
      </c>
      <c r="R772">
        <v>99.126360000000005</v>
      </c>
      <c r="S772">
        <v>99.63</v>
      </c>
      <c r="T772">
        <v>94.39228</v>
      </c>
      <c r="U772">
        <v>98.022599999999997</v>
      </c>
      <c r="V772">
        <v>97.8</v>
      </c>
      <c r="W772">
        <v>104.154</v>
      </c>
      <c r="X772">
        <v>100.2961</v>
      </c>
      <c r="Y772">
        <v>86.172200000000004</v>
      </c>
      <c r="Z772">
        <v>85.686959999999999</v>
      </c>
      <c r="AA772">
        <v>100.3738</v>
      </c>
      <c r="AB772">
        <v>95.959339999999997</v>
      </c>
      <c r="AC772">
        <v>99.092740000000006</v>
      </c>
      <c r="AD772">
        <v>99.534880000000001</v>
      </c>
      <c r="AE772">
        <v>95.902270000000001</v>
      </c>
      <c r="AF772">
        <v>97.987669999999994</v>
      </c>
      <c r="AG772">
        <v>100.7634</v>
      </c>
      <c r="AH772">
        <v>98.91</v>
      </c>
      <c r="AI772">
        <v>99.477400000000003</v>
      </c>
      <c r="AJ772">
        <v>93.420609999999996</v>
      </c>
      <c r="AK772">
        <v>98.58</v>
      </c>
      <c r="AL772">
        <v>95.4</v>
      </c>
      <c r="AM772">
        <v>97.411349999999999</v>
      </c>
      <c r="AN772">
        <v>97.841120000000004</v>
      </c>
      <c r="AO772">
        <v>100.5291</v>
      </c>
      <c r="AP772">
        <v>100.1538</v>
      </c>
      <c r="AQ772">
        <v>78.850759999999994</v>
      </c>
      <c r="AR772">
        <v>96.214039999999997</v>
      </c>
      <c r="AS772">
        <v>100.3926</v>
      </c>
      <c r="AT772">
        <v>99.73</v>
      </c>
      <c r="AU772">
        <v>100.4162</v>
      </c>
      <c r="AV772">
        <v>83.976439999999997</v>
      </c>
      <c r="AW772">
        <v>98.209410000000005</v>
      </c>
      <c r="AX772">
        <v>89.388990000000007</v>
      </c>
    </row>
    <row r="773" spans="1:50" x14ac:dyDescent="0.35">
      <c r="A773" s="75">
        <v>41365</v>
      </c>
      <c r="B773">
        <v>97.507360000000006</v>
      </c>
      <c r="C773">
        <v>98.897450000000006</v>
      </c>
      <c r="D773">
        <v>85.673270000000002</v>
      </c>
      <c r="E773">
        <v>96.944950000000006</v>
      </c>
      <c r="F773">
        <v>101.25530000000001</v>
      </c>
      <c r="G773">
        <v>90.62894</v>
      </c>
      <c r="H773">
        <v>96.562420000000003</v>
      </c>
      <c r="I773">
        <v>92.315219999999997</v>
      </c>
      <c r="J773">
        <v>95.058059999999998</v>
      </c>
      <c r="K773">
        <v>99.5</v>
      </c>
      <c r="L773">
        <v>98.049959999999999</v>
      </c>
      <c r="M773">
        <v>99.1</v>
      </c>
      <c r="N773">
        <v>99.52</v>
      </c>
      <c r="O773">
        <v>100.65989999999999</v>
      </c>
      <c r="P773">
        <v>100.6443</v>
      </c>
      <c r="Q773">
        <v>99.64</v>
      </c>
      <c r="R773">
        <v>99.273430000000005</v>
      </c>
      <c r="S773">
        <v>99.48</v>
      </c>
      <c r="T773">
        <v>94.529889999999995</v>
      </c>
      <c r="U773">
        <v>97.962289999999996</v>
      </c>
      <c r="V773">
        <v>98</v>
      </c>
      <c r="W773">
        <v>104.63160000000001</v>
      </c>
      <c r="X773">
        <v>100.5181</v>
      </c>
      <c r="Y773">
        <v>86.213719999999995</v>
      </c>
      <c r="Z773">
        <v>86.452029999999993</v>
      </c>
      <c r="AA773">
        <v>100.3738</v>
      </c>
      <c r="AB773">
        <v>96.130669999999995</v>
      </c>
      <c r="AC773">
        <v>99.495959999999997</v>
      </c>
      <c r="AD773">
        <v>99.534880000000001</v>
      </c>
      <c r="AE773">
        <v>96.207689999999999</v>
      </c>
      <c r="AF773">
        <v>97.851680000000002</v>
      </c>
      <c r="AG773">
        <v>101.0692</v>
      </c>
      <c r="AH773">
        <v>99</v>
      </c>
      <c r="AI773">
        <v>99.514089999999996</v>
      </c>
      <c r="AJ773">
        <v>93.482320000000001</v>
      </c>
      <c r="AK773">
        <v>98.67</v>
      </c>
      <c r="AL773">
        <v>95.9</v>
      </c>
      <c r="AM773">
        <v>97.413799999999995</v>
      </c>
      <c r="AN773">
        <v>97.867919999999998</v>
      </c>
      <c r="AO773">
        <v>100.9361</v>
      </c>
      <c r="AP773">
        <v>100.1648</v>
      </c>
      <c r="AQ773">
        <v>79.252899999999997</v>
      </c>
      <c r="AR773">
        <v>96.214039999999997</v>
      </c>
      <c r="AS773">
        <v>100.3926</v>
      </c>
      <c r="AT773">
        <v>100.39</v>
      </c>
      <c r="AU773">
        <v>100.2183</v>
      </c>
      <c r="AV773">
        <v>84.329490000000007</v>
      </c>
      <c r="AW773">
        <v>98.107309999999998</v>
      </c>
      <c r="AX773">
        <v>89.524019999999993</v>
      </c>
    </row>
    <row r="774" spans="1:50" x14ac:dyDescent="0.35">
      <c r="A774" s="75">
        <v>41395</v>
      </c>
      <c r="B774">
        <v>97.688100000000006</v>
      </c>
      <c r="C774">
        <v>99.046109999999999</v>
      </c>
      <c r="D774">
        <v>85.990200000000002</v>
      </c>
      <c r="E774">
        <v>97.181979999999996</v>
      </c>
      <c r="F774">
        <v>101.36669999999999</v>
      </c>
      <c r="G774">
        <v>90.618049999999997</v>
      </c>
      <c r="H774">
        <v>95.984059999999999</v>
      </c>
      <c r="I774">
        <v>92.576279999999997</v>
      </c>
      <c r="J774">
        <v>95.072040000000001</v>
      </c>
      <c r="K774">
        <v>99.3</v>
      </c>
      <c r="L774">
        <v>98.42313</v>
      </c>
      <c r="M774">
        <v>99.2</v>
      </c>
      <c r="N774">
        <v>99.63</v>
      </c>
      <c r="O774">
        <v>100.8451</v>
      </c>
      <c r="P774">
        <v>100.8494</v>
      </c>
      <c r="Q774">
        <v>99.72</v>
      </c>
      <c r="R774">
        <v>99.291820000000001</v>
      </c>
      <c r="S774">
        <v>99.54</v>
      </c>
      <c r="T774">
        <v>94.645610000000005</v>
      </c>
      <c r="U774">
        <v>98.132130000000004</v>
      </c>
      <c r="V774">
        <v>98.2</v>
      </c>
      <c r="W774">
        <v>104.447</v>
      </c>
      <c r="X774">
        <v>100.44410000000001</v>
      </c>
      <c r="Y774">
        <v>86.296760000000006</v>
      </c>
      <c r="Z774">
        <v>87.217089999999999</v>
      </c>
      <c r="AA774">
        <v>100.2741</v>
      </c>
      <c r="AB774">
        <v>96.084770000000006</v>
      </c>
      <c r="AC774">
        <v>99.596770000000006</v>
      </c>
      <c r="AD774">
        <v>99.534880000000001</v>
      </c>
      <c r="AE774">
        <v>96.309489999999997</v>
      </c>
      <c r="AF774">
        <v>97.851680000000002</v>
      </c>
      <c r="AG774">
        <v>101.265</v>
      </c>
      <c r="AH774">
        <v>98.78</v>
      </c>
      <c r="AI774">
        <v>99.587950000000006</v>
      </c>
      <c r="AJ774">
        <v>93.171199999999999</v>
      </c>
      <c r="AK774">
        <v>98.69</v>
      </c>
      <c r="AL774">
        <v>96</v>
      </c>
      <c r="AM774">
        <v>97.539050000000003</v>
      </c>
      <c r="AN774">
        <v>98.003219999999999</v>
      </c>
      <c r="AO774">
        <v>100.85469999999999</v>
      </c>
      <c r="AP774">
        <v>100.336</v>
      </c>
      <c r="AQ774">
        <v>79.775970000000001</v>
      </c>
      <c r="AR774">
        <v>96.203670000000002</v>
      </c>
      <c r="AS774">
        <v>100.5149</v>
      </c>
      <c r="AT774">
        <v>100.71</v>
      </c>
      <c r="AU774">
        <v>100.3811</v>
      </c>
      <c r="AV774">
        <v>84.452290000000005</v>
      </c>
      <c r="AW774">
        <v>98.281980000000004</v>
      </c>
      <c r="AX774">
        <v>89.388990000000007</v>
      </c>
    </row>
    <row r="775" spans="1:50" x14ac:dyDescent="0.35">
      <c r="A775" s="75">
        <v>41426</v>
      </c>
      <c r="B775">
        <v>97.688100000000006</v>
      </c>
      <c r="C775">
        <v>99.214590000000001</v>
      </c>
      <c r="D775">
        <v>86.213859999999997</v>
      </c>
      <c r="E775">
        <v>97.181979999999996</v>
      </c>
      <c r="F775">
        <v>101.46639999999999</v>
      </c>
      <c r="G775">
        <v>91.195509999999999</v>
      </c>
      <c r="H775">
        <v>95.984059999999999</v>
      </c>
      <c r="I775">
        <v>92.796539999999993</v>
      </c>
      <c r="J775">
        <v>95.089250000000007</v>
      </c>
      <c r="K775">
        <v>99.7</v>
      </c>
      <c r="L775">
        <v>98.516419999999997</v>
      </c>
      <c r="M775">
        <v>99.1</v>
      </c>
      <c r="N775">
        <v>99.73</v>
      </c>
      <c r="O775">
        <v>100.9939</v>
      </c>
      <c r="P775">
        <v>101.3621</v>
      </c>
      <c r="Q775">
        <v>99.81</v>
      </c>
      <c r="R775">
        <v>99.227469999999997</v>
      </c>
      <c r="S775">
        <v>99.7</v>
      </c>
      <c r="T775">
        <v>94.896900000000002</v>
      </c>
      <c r="U775">
        <v>98.282719999999998</v>
      </c>
      <c r="V775">
        <v>98</v>
      </c>
      <c r="W775">
        <v>104.1973</v>
      </c>
      <c r="X775">
        <v>100.6662</v>
      </c>
      <c r="Y775">
        <v>87.177000000000007</v>
      </c>
      <c r="Z775">
        <v>88.364680000000007</v>
      </c>
      <c r="AA775">
        <v>100.3738</v>
      </c>
      <c r="AB775">
        <v>96.615110000000001</v>
      </c>
      <c r="AC775">
        <v>100.4032</v>
      </c>
      <c r="AD775">
        <v>99.813959999999994</v>
      </c>
      <c r="AE775">
        <v>96.309489999999997</v>
      </c>
      <c r="AF775">
        <v>97.732560000000007</v>
      </c>
      <c r="AG775">
        <v>101.0218</v>
      </c>
      <c r="AH775">
        <v>99.11</v>
      </c>
      <c r="AI775">
        <v>99.800560000000004</v>
      </c>
      <c r="AJ775">
        <v>93.114639999999994</v>
      </c>
      <c r="AK775">
        <v>98.32</v>
      </c>
      <c r="AL775">
        <v>95.7</v>
      </c>
      <c r="AM775">
        <v>97.675200000000004</v>
      </c>
      <c r="AN775">
        <v>98.107500000000002</v>
      </c>
      <c r="AO775">
        <v>100.85469999999999</v>
      </c>
      <c r="AP775">
        <v>100.3877</v>
      </c>
      <c r="AQ775">
        <v>80.11103</v>
      </c>
      <c r="AR775">
        <v>96.255520000000004</v>
      </c>
      <c r="AS775">
        <v>100.6373</v>
      </c>
      <c r="AT775">
        <v>100.76</v>
      </c>
      <c r="AU775">
        <v>100.2056</v>
      </c>
      <c r="AV775">
        <v>85.096990000000005</v>
      </c>
      <c r="AW775">
        <v>98.517830000000004</v>
      </c>
      <c r="AX775">
        <v>89.659049999999993</v>
      </c>
    </row>
    <row r="776" spans="1:50" x14ac:dyDescent="0.35">
      <c r="A776" s="75">
        <v>41456</v>
      </c>
      <c r="B776">
        <v>97.236260000000001</v>
      </c>
      <c r="C776">
        <v>99.313689999999994</v>
      </c>
      <c r="D776">
        <v>86.239609999999999</v>
      </c>
      <c r="E776">
        <v>97.260990000000007</v>
      </c>
      <c r="F776">
        <v>101.1045</v>
      </c>
      <c r="G776">
        <v>91.435209999999998</v>
      </c>
      <c r="H776">
        <v>96.078969999999998</v>
      </c>
      <c r="I776">
        <v>92.837329999999994</v>
      </c>
      <c r="J776">
        <v>95.411929999999998</v>
      </c>
      <c r="K776">
        <v>99.5</v>
      </c>
      <c r="L776">
        <v>98.982879999999994</v>
      </c>
      <c r="M776">
        <v>98.8</v>
      </c>
      <c r="N776">
        <v>99.2</v>
      </c>
      <c r="O776">
        <v>100.4725</v>
      </c>
      <c r="P776">
        <v>101.25960000000001</v>
      </c>
      <c r="Q776">
        <v>99.36</v>
      </c>
      <c r="R776">
        <v>99.209090000000003</v>
      </c>
      <c r="S776">
        <v>99.4</v>
      </c>
      <c r="T776">
        <v>95.162279999999996</v>
      </c>
      <c r="U776">
        <v>98.361840000000001</v>
      </c>
      <c r="V776">
        <v>98</v>
      </c>
      <c r="W776">
        <v>102.4746</v>
      </c>
      <c r="X776">
        <v>100.37009999999999</v>
      </c>
      <c r="Y776">
        <v>89.809420000000003</v>
      </c>
      <c r="Z776">
        <v>89.894810000000007</v>
      </c>
      <c r="AA776">
        <v>100.2741</v>
      </c>
      <c r="AB776">
        <v>96.352260000000001</v>
      </c>
      <c r="AC776">
        <v>100.7056</v>
      </c>
      <c r="AD776">
        <v>99.906970000000001</v>
      </c>
      <c r="AE776">
        <v>96.513109999999998</v>
      </c>
      <c r="AF776">
        <v>97.942340000000002</v>
      </c>
      <c r="AG776">
        <v>100.3523</v>
      </c>
      <c r="AH776">
        <v>97.97</v>
      </c>
      <c r="AI776">
        <v>99.475629999999995</v>
      </c>
      <c r="AJ776">
        <v>93.083789999999993</v>
      </c>
      <c r="AK776">
        <v>99.15</v>
      </c>
      <c r="AL776">
        <v>96.1</v>
      </c>
      <c r="AM776">
        <v>97.754859999999994</v>
      </c>
      <c r="AN776">
        <v>98.133439999999993</v>
      </c>
      <c r="AO776">
        <v>101.1803</v>
      </c>
      <c r="AP776">
        <v>100.15089999999999</v>
      </c>
      <c r="AQ776">
        <v>80.767939999999996</v>
      </c>
      <c r="AR776">
        <v>96.774019999999993</v>
      </c>
      <c r="AS776">
        <v>100.5761</v>
      </c>
      <c r="AT776">
        <v>100.44</v>
      </c>
      <c r="AU776">
        <v>100.0652</v>
      </c>
      <c r="AV776">
        <v>85.361789999999999</v>
      </c>
      <c r="AW776">
        <v>98.556640000000002</v>
      </c>
      <c r="AX776">
        <v>90.604259999999996</v>
      </c>
    </row>
    <row r="777" spans="1:50" x14ac:dyDescent="0.35">
      <c r="A777" s="75">
        <v>41487</v>
      </c>
      <c r="B777">
        <v>97.326629999999994</v>
      </c>
      <c r="C777">
        <v>99.254230000000007</v>
      </c>
      <c r="D777">
        <v>86.446560000000005</v>
      </c>
      <c r="E777">
        <v>97.260990000000007</v>
      </c>
      <c r="F777">
        <v>101.0317</v>
      </c>
      <c r="G777">
        <v>91.653120000000001</v>
      </c>
      <c r="H777">
        <v>96.562280000000001</v>
      </c>
      <c r="I777">
        <v>92.910749999999993</v>
      </c>
      <c r="J777">
        <v>95.456040000000002</v>
      </c>
      <c r="K777">
        <v>99.3</v>
      </c>
      <c r="L777">
        <v>98.982879999999994</v>
      </c>
      <c r="M777">
        <v>98.9</v>
      </c>
      <c r="N777">
        <v>99.32</v>
      </c>
      <c r="O777">
        <v>100.7851</v>
      </c>
      <c r="P777">
        <v>101.25960000000001</v>
      </c>
      <c r="Q777">
        <v>99.44</v>
      </c>
      <c r="R777">
        <v>99.05283</v>
      </c>
      <c r="S777">
        <v>99.86</v>
      </c>
      <c r="T777">
        <v>95.432130000000001</v>
      </c>
      <c r="U777">
        <v>98.545000000000002</v>
      </c>
      <c r="V777">
        <v>98.4</v>
      </c>
      <c r="W777">
        <v>100.83920000000001</v>
      </c>
      <c r="X777">
        <v>100.148</v>
      </c>
      <c r="Y777">
        <v>90.697969999999998</v>
      </c>
      <c r="Z777">
        <v>90.659869999999998</v>
      </c>
      <c r="AA777">
        <v>100.3738</v>
      </c>
      <c r="AB777">
        <v>96.684520000000006</v>
      </c>
      <c r="AC777">
        <v>100.90730000000001</v>
      </c>
      <c r="AD777">
        <v>100.2791</v>
      </c>
      <c r="AE777">
        <v>96.818529999999996</v>
      </c>
      <c r="AF777">
        <v>98.289159999999995</v>
      </c>
      <c r="AG777">
        <v>100.4119</v>
      </c>
      <c r="AH777">
        <v>99.4</v>
      </c>
      <c r="AI777">
        <v>98.660380000000004</v>
      </c>
      <c r="AJ777">
        <v>93.348619999999997</v>
      </c>
      <c r="AK777">
        <v>99.03</v>
      </c>
      <c r="AL777">
        <v>96</v>
      </c>
      <c r="AM777">
        <v>97.893910000000005</v>
      </c>
      <c r="AN777">
        <v>98.241630000000001</v>
      </c>
      <c r="AO777">
        <v>100.85469999999999</v>
      </c>
      <c r="AP777">
        <v>99.408439999999999</v>
      </c>
      <c r="AQ777">
        <v>80.881010000000003</v>
      </c>
      <c r="AR777">
        <v>96.73254</v>
      </c>
      <c r="AS777">
        <v>100.4537</v>
      </c>
      <c r="AT777">
        <v>100.78</v>
      </c>
      <c r="AU777">
        <v>100.15770000000001</v>
      </c>
      <c r="AV777">
        <v>85.273520000000005</v>
      </c>
      <c r="AW777">
        <v>98.675200000000004</v>
      </c>
      <c r="AX777">
        <v>90.874309999999994</v>
      </c>
    </row>
    <row r="778" spans="1:50" x14ac:dyDescent="0.35">
      <c r="A778" s="75">
        <v>41518</v>
      </c>
      <c r="B778">
        <v>98.049580000000006</v>
      </c>
      <c r="C778">
        <v>99.313689999999994</v>
      </c>
      <c r="D778">
        <v>86.749110000000002</v>
      </c>
      <c r="E778">
        <v>97.41901</v>
      </c>
      <c r="F778">
        <v>101.3356</v>
      </c>
      <c r="G778">
        <v>92.154319999999998</v>
      </c>
      <c r="H778">
        <v>97.331869999999995</v>
      </c>
      <c r="I778">
        <v>93.188130000000001</v>
      </c>
      <c r="J778">
        <v>95.581890000000001</v>
      </c>
      <c r="K778">
        <v>98.9</v>
      </c>
      <c r="L778">
        <v>98.982879999999994</v>
      </c>
      <c r="M778">
        <v>99.2</v>
      </c>
      <c r="N778">
        <v>99.8</v>
      </c>
      <c r="O778">
        <v>100.5967</v>
      </c>
      <c r="P778">
        <v>100.9007</v>
      </c>
      <c r="Q778">
        <v>99.85</v>
      </c>
      <c r="R778">
        <v>99.402119999999996</v>
      </c>
      <c r="S778">
        <v>99.63</v>
      </c>
      <c r="T778">
        <v>95.750370000000004</v>
      </c>
      <c r="U778">
        <v>98.644040000000004</v>
      </c>
      <c r="V778">
        <v>98.7</v>
      </c>
      <c r="W778">
        <v>103.4893</v>
      </c>
      <c r="X778">
        <v>100.59220000000001</v>
      </c>
      <c r="Y778">
        <v>90.473749999999995</v>
      </c>
      <c r="Z778">
        <v>91.042400000000001</v>
      </c>
      <c r="AA778">
        <v>100.2741</v>
      </c>
      <c r="AB778">
        <v>97.008070000000004</v>
      </c>
      <c r="AC778">
        <v>100.90730000000001</v>
      </c>
      <c r="AD778">
        <v>100</v>
      </c>
      <c r="AE778">
        <v>97.123949999999994</v>
      </c>
      <c r="AF778">
        <v>98.479969999999994</v>
      </c>
      <c r="AG778">
        <v>101.1075</v>
      </c>
      <c r="AH778">
        <v>99.57</v>
      </c>
      <c r="AI778">
        <v>98.933120000000002</v>
      </c>
      <c r="AJ778">
        <v>93.700010000000006</v>
      </c>
      <c r="AK778">
        <v>99.08</v>
      </c>
      <c r="AL778">
        <v>96.4</v>
      </c>
      <c r="AM778">
        <v>98.04589</v>
      </c>
      <c r="AN778">
        <v>98.368160000000003</v>
      </c>
      <c r="AO778">
        <v>100.9361</v>
      </c>
      <c r="AP778">
        <v>99.990629999999996</v>
      </c>
      <c r="AQ778">
        <v>81.050870000000003</v>
      </c>
      <c r="AR778">
        <v>96.825869999999995</v>
      </c>
      <c r="AS778">
        <v>100.3926</v>
      </c>
      <c r="AT778">
        <v>101.03</v>
      </c>
      <c r="AU778">
        <v>100.54389999999999</v>
      </c>
      <c r="AV778">
        <v>85.925899999999999</v>
      </c>
      <c r="AW778">
        <v>98.789959999999994</v>
      </c>
      <c r="AX778">
        <v>91.279399999999995</v>
      </c>
    </row>
    <row r="779" spans="1:50" x14ac:dyDescent="0.35">
      <c r="A779" s="75">
        <v>41548</v>
      </c>
      <c r="B779">
        <v>97.959209999999999</v>
      </c>
      <c r="C779">
        <v>99.234409999999997</v>
      </c>
      <c r="D779">
        <v>87.243530000000007</v>
      </c>
      <c r="E779">
        <v>97.181979999999996</v>
      </c>
      <c r="F779">
        <v>101.25790000000001</v>
      </c>
      <c r="G779">
        <v>92.285060000000001</v>
      </c>
      <c r="H779">
        <v>97.429599999999994</v>
      </c>
      <c r="I779">
        <v>92.943380000000005</v>
      </c>
      <c r="J779">
        <v>94.854770000000002</v>
      </c>
      <c r="K779">
        <v>99.1</v>
      </c>
      <c r="L779">
        <v>98.796300000000002</v>
      </c>
      <c r="M779">
        <v>99.3</v>
      </c>
      <c r="N779">
        <v>99.68</v>
      </c>
      <c r="O779">
        <v>101.0057</v>
      </c>
      <c r="P779">
        <v>100.593</v>
      </c>
      <c r="Q779">
        <v>99.75</v>
      </c>
      <c r="R779">
        <v>99.54</v>
      </c>
      <c r="S779">
        <v>99.5</v>
      </c>
      <c r="T779">
        <v>95.904579999999996</v>
      </c>
      <c r="U779">
        <v>98.478870000000001</v>
      </c>
      <c r="V779">
        <v>98.8</v>
      </c>
      <c r="W779">
        <v>103.4199</v>
      </c>
      <c r="X779">
        <v>100.2961</v>
      </c>
      <c r="Y779">
        <v>90.639830000000003</v>
      </c>
      <c r="Z779">
        <v>92.189989999999995</v>
      </c>
      <c r="AA779">
        <v>100.0748</v>
      </c>
      <c r="AB779">
        <v>97.013109999999998</v>
      </c>
      <c r="AC779">
        <v>101.2097</v>
      </c>
      <c r="AD779">
        <v>99.813959999999994</v>
      </c>
      <c r="AE779">
        <v>97.225750000000005</v>
      </c>
      <c r="AF779">
        <v>98.17953</v>
      </c>
      <c r="AG779">
        <v>100.9862</v>
      </c>
      <c r="AH779">
        <v>99.37</v>
      </c>
      <c r="AI779">
        <v>99.277630000000002</v>
      </c>
      <c r="AJ779">
        <v>94.145679999999999</v>
      </c>
      <c r="AK779">
        <v>98.8</v>
      </c>
      <c r="AL779">
        <v>96.6</v>
      </c>
      <c r="AM779">
        <v>98.009739999999994</v>
      </c>
      <c r="AN779">
        <v>98.475359999999995</v>
      </c>
      <c r="AO779">
        <v>101.0989</v>
      </c>
      <c r="AP779">
        <v>99.941860000000005</v>
      </c>
      <c r="AQ779">
        <v>81.512860000000003</v>
      </c>
      <c r="AR779">
        <v>97.251050000000006</v>
      </c>
      <c r="AS779">
        <v>100.3926</v>
      </c>
      <c r="AT779">
        <v>101.07</v>
      </c>
      <c r="AU779">
        <v>100.3364</v>
      </c>
      <c r="AV779">
        <v>87.47242</v>
      </c>
      <c r="AW779">
        <v>98.535550000000001</v>
      </c>
      <c r="AX779">
        <v>91.549449999999993</v>
      </c>
    </row>
    <row r="780" spans="1:50" x14ac:dyDescent="0.35">
      <c r="A780" s="75">
        <v>41579</v>
      </c>
      <c r="B780">
        <v>98.049580000000006</v>
      </c>
      <c r="C780">
        <v>99.303780000000003</v>
      </c>
      <c r="D780">
        <v>87.714740000000006</v>
      </c>
      <c r="E780">
        <v>97.181979999999996</v>
      </c>
      <c r="F780">
        <v>101.2649</v>
      </c>
      <c r="G780">
        <v>92.622829999999993</v>
      </c>
      <c r="H780">
        <v>97.331800000000001</v>
      </c>
      <c r="I780">
        <v>92.739429999999999</v>
      </c>
      <c r="J780">
        <v>95.013949999999994</v>
      </c>
      <c r="K780">
        <v>99</v>
      </c>
      <c r="L780">
        <v>98.982879999999994</v>
      </c>
      <c r="M780">
        <v>99.1</v>
      </c>
      <c r="N780">
        <v>99.6</v>
      </c>
      <c r="O780">
        <v>101.21550000000001</v>
      </c>
      <c r="P780">
        <v>100.1829</v>
      </c>
      <c r="Q780">
        <v>99.65</v>
      </c>
      <c r="R780">
        <v>99.392930000000007</v>
      </c>
      <c r="S780">
        <v>99.46</v>
      </c>
      <c r="T780">
        <v>95.976820000000004</v>
      </c>
      <c r="U780">
        <v>98.365939999999995</v>
      </c>
      <c r="V780">
        <v>98.8</v>
      </c>
      <c r="W780">
        <v>102.0072</v>
      </c>
      <c r="X780">
        <v>100.2221</v>
      </c>
      <c r="Y780">
        <v>90.78931</v>
      </c>
      <c r="Z780">
        <v>92.955060000000003</v>
      </c>
      <c r="AA780">
        <v>99.875399999999999</v>
      </c>
      <c r="AB780">
        <v>97.360309999999998</v>
      </c>
      <c r="AC780">
        <v>100.8064</v>
      </c>
      <c r="AD780">
        <v>99.534880000000001</v>
      </c>
      <c r="AE780">
        <v>97.225750000000005</v>
      </c>
      <c r="AF780">
        <v>98.160550000000001</v>
      </c>
      <c r="AG780">
        <v>100.8297</v>
      </c>
      <c r="AH780">
        <v>99.37</v>
      </c>
      <c r="AI780">
        <v>98.819519999999997</v>
      </c>
      <c r="AJ780">
        <v>95.023300000000006</v>
      </c>
      <c r="AK780">
        <v>98.31</v>
      </c>
      <c r="AL780">
        <v>96.7</v>
      </c>
      <c r="AM780">
        <v>97.948269999999994</v>
      </c>
      <c r="AN780">
        <v>98.430109999999999</v>
      </c>
      <c r="AO780">
        <v>100.9361</v>
      </c>
      <c r="AP780">
        <v>99.719939999999994</v>
      </c>
      <c r="AQ780">
        <v>81.969319999999996</v>
      </c>
      <c r="AR780">
        <v>97.396230000000003</v>
      </c>
      <c r="AS780">
        <v>100.2702</v>
      </c>
      <c r="AT780">
        <v>100.94</v>
      </c>
      <c r="AU780">
        <v>100.2726</v>
      </c>
      <c r="AV780">
        <v>87.480090000000004</v>
      </c>
      <c r="AW780">
        <v>98.334299999999999</v>
      </c>
      <c r="AX780">
        <v>91.684489999999997</v>
      </c>
    </row>
    <row r="781" spans="1:50" x14ac:dyDescent="0.35">
      <c r="A781" s="75">
        <v>41609</v>
      </c>
      <c r="B781">
        <v>98.682149999999993</v>
      </c>
      <c r="C781">
        <v>99.462350000000001</v>
      </c>
      <c r="D781">
        <v>88.521680000000003</v>
      </c>
      <c r="E781">
        <v>96.944950000000006</v>
      </c>
      <c r="F781">
        <v>101.0356</v>
      </c>
      <c r="G781">
        <v>93.1785</v>
      </c>
      <c r="H781">
        <v>97.623800000000003</v>
      </c>
      <c r="I781">
        <v>92.984179999999995</v>
      </c>
      <c r="J781">
        <v>95.494759999999999</v>
      </c>
      <c r="K781">
        <v>99.4</v>
      </c>
      <c r="L781">
        <v>99.356049999999996</v>
      </c>
      <c r="M781">
        <v>99</v>
      </c>
      <c r="N781">
        <v>99.95</v>
      </c>
      <c r="O781">
        <v>101.3065</v>
      </c>
      <c r="P781">
        <v>100.08029999999999</v>
      </c>
      <c r="Q781">
        <v>99.98</v>
      </c>
      <c r="R781">
        <v>99.760599999999997</v>
      </c>
      <c r="S781">
        <v>99.8</v>
      </c>
      <c r="T781">
        <v>96.038520000000005</v>
      </c>
      <c r="U781">
        <v>98.458340000000007</v>
      </c>
      <c r="V781">
        <v>99.2</v>
      </c>
      <c r="W781">
        <v>102.9378</v>
      </c>
      <c r="X781">
        <v>99.70393</v>
      </c>
      <c r="Y781">
        <v>91.196209999999994</v>
      </c>
      <c r="Z781">
        <v>91.424930000000003</v>
      </c>
      <c r="AA781">
        <v>99.875399999999999</v>
      </c>
      <c r="AB781">
        <v>97.859520000000003</v>
      </c>
      <c r="AC781">
        <v>100.90730000000001</v>
      </c>
      <c r="AD781">
        <v>99.720929999999996</v>
      </c>
      <c r="AE781">
        <v>97.327569999999994</v>
      </c>
      <c r="AF781">
        <v>98.279669999999996</v>
      </c>
      <c r="AG781">
        <v>100.7025</v>
      </c>
      <c r="AH781">
        <v>99.44</v>
      </c>
      <c r="AI781">
        <v>98.867859999999993</v>
      </c>
      <c r="AJ781">
        <v>95.568389999999994</v>
      </c>
      <c r="AK781">
        <v>98.36</v>
      </c>
      <c r="AL781">
        <v>96.6</v>
      </c>
      <c r="AM781">
        <v>98.080089999999998</v>
      </c>
      <c r="AN781">
        <v>98.698840000000004</v>
      </c>
      <c r="AO781">
        <v>101.0175</v>
      </c>
      <c r="AP781">
        <v>100.0802</v>
      </c>
      <c r="AQ781">
        <v>82.387370000000004</v>
      </c>
      <c r="AR781">
        <v>97.510310000000004</v>
      </c>
      <c r="AS781">
        <v>100.1478</v>
      </c>
      <c r="AT781">
        <v>100.06</v>
      </c>
      <c r="AU781">
        <v>100.5407</v>
      </c>
      <c r="AV781">
        <v>87.883030000000005</v>
      </c>
      <c r="AW781">
        <v>98.325860000000006</v>
      </c>
      <c r="AX781">
        <v>91.819509999999994</v>
      </c>
    </row>
    <row r="782" spans="1:50" x14ac:dyDescent="0.35">
      <c r="A782" s="75">
        <v>41640</v>
      </c>
      <c r="B782">
        <v>97.868840000000006</v>
      </c>
      <c r="C782">
        <v>99.601100000000002</v>
      </c>
      <c r="D782">
        <v>89.008449999999996</v>
      </c>
      <c r="E782">
        <v>97.260990000000007</v>
      </c>
      <c r="F782">
        <v>100.75920000000001</v>
      </c>
      <c r="G782">
        <v>93.341930000000005</v>
      </c>
      <c r="H782">
        <v>98.6</v>
      </c>
      <c r="I782">
        <v>93.441019999999995</v>
      </c>
      <c r="J782">
        <v>96.210040000000006</v>
      </c>
      <c r="K782">
        <v>99.5</v>
      </c>
      <c r="L782">
        <v>98.796300000000002</v>
      </c>
      <c r="M782">
        <v>98.9</v>
      </c>
      <c r="N782">
        <v>98.84</v>
      </c>
      <c r="O782">
        <v>99.958690000000004</v>
      </c>
      <c r="P782">
        <v>100.4392</v>
      </c>
      <c r="Q782">
        <v>99.05</v>
      </c>
      <c r="R782">
        <v>99.696269999999998</v>
      </c>
      <c r="S782">
        <v>99.24</v>
      </c>
      <c r="T782">
        <v>96.165120000000002</v>
      </c>
      <c r="U782">
        <v>98.547880000000006</v>
      </c>
      <c r="V782">
        <v>98.7</v>
      </c>
      <c r="W782">
        <v>101.7531</v>
      </c>
      <c r="X782">
        <v>100.074</v>
      </c>
      <c r="Y782">
        <v>92.1678</v>
      </c>
      <c r="Z782">
        <v>90.659869999999998</v>
      </c>
      <c r="AA782">
        <v>99.377020000000002</v>
      </c>
      <c r="AB782">
        <v>97.158469999999994</v>
      </c>
      <c r="AC782">
        <v>100.30240000000001</v>
      </c>
      <c r="AD782">
        <v>99.906970000000001</v>
      </c>
      <c r="AE782">
        <v>97.225750000000005</v>
      </c>
      <c r="AF782">
        <v>98.807820000000007</v>
      </c>
      <c r="AG782">
        <v>100.6537</v>
      </c>
      <c r="AH782">
        <v>98.54</v>
      </c>
      <c r="AI782">
        <v>99.508359999999996</v>
      </c>
      <c r="AJ782">
        <v>96.422870000000003</v>
      </c>
      <c r="AK782">
        <v>98.15</v>
      </c>
      <c r="AL782">
        <v>96.6</v>
      </c>
      <c r="AM782">
        <v>98.204009999999997</v>
      </c>
      <c r="AN782">
        <v>98.457949999999997</v>
      </c>
      <c r="AO782">
        <v>101.0989</v>
      </c>
      <c r="AP782">
        <v>98.701859999999996</v>
      </c>
      <c r="AQ782">
        <v>82.873450000000005</v>
      </c>
      <c r="AR782">
        <v>97.894000000000005</v>
      </c>
      <c r="AS782">
        <v>100.3314</v>
      </c>
      <c r="AT782">
        <v>99.44</v>
      </c>
      <c r="AU782">
        <v>99.375820000000004</v>
      </c>
      <c r="AV782">
        <v>89.621430000000004</v>
      </c>
      <c r="AW782">
        <v>98.691659999999999</v>
      </c>
      <c r="AX782">
        <v>92.494649999999993</v>
      </c>
    </row>
    <row r="783" spans="1:50" x14ac:dyDescent="0.35">
      <c r="A783" s="75">
        <v>41671</v>
      </c>
      <c r="B783">
        <v>98.049580000000006</v>
      </c>
      <c r="C783">
        <v>99.75967</v>
      </c>
      <c r="D783">
        <v>89.622579999999999</v>
      </c>
      <c r="E783">
        <v>98.051090000000002</v>
      </c>
      <c r="F783">
        <v>100.8593</v>
      </c>
      <c r="G783">
        <v>93.799539999999993</v>
      </c>
      <c r="H783">
        <v>99.1</v>
      </c>
      <c r="I783">
        <v>94.028390000000002</v>
      </c>
      <c r="J783">
        <v>96.847890000000007</v>
      </c>
      <c r="K783">
        <v>99.6</v>
      </c>
      <c r="L783">
        <v>99.26276</v>
      </c>
      <c r="M783">
        <v>99.5</v>
      </c>
      <c r="N783">
        <v>99.14</v>
      </c>
      <c r="O783">
        <v>99.915869999999998</v>
      </c>
      <c r="P783">
        <v>100.593</v>
      </c>
      <c r="Q783">
        <v>99.34</v>
      </c>
      <c r="R783">
        <v>99.944450000000003</v>
      </c>
      <c r="S783">
        <v>99.79</v>
      </c>
      <c r="T783">
        <v>96.539760000000001</v>
      </c>
      <c r="U783">
        <v>98.877700000000004</v>
      </c>
      <c r="V783">
        <v>99.1</v>
      </c>
      <c r="W783">
        <v>100.4</v>
      </c>
      <c r="X783">
        <v>100.148</v>
      </c>
      <c r="Y783">
        <v>92.408619999999999</v>
      </c>
      <c r="Z783">
        <v>91.042400000000001</v>
      </c>
      <c r="AA783">
        <v>99.875399999999999</v>
      </c>
      <c r="AB783">
        <v>97.81926</v>
      </c>
      <c r="AC783">
        <v>100.10080000000001</v>
      </c>
      <c r="AD783">
        <v>99.813959999999994</v>
      </c>
      <c r="AE783">
        <v>97.225750000000005</v>
      </c>
      <c r="AF783">
        <v>99.071359999999999</v>
      </c>
      <c r="AG783">
        <v>100.60939999999999</v>
      </c>
      <c r="AH783">
        <v>99.75</v>
      </c>
      <c r="AI783">
        <v>99.46172</v>
      </c>
      <c r="AJ783">
        <v>96.66713</v>
      </c>
      <c r="AK783">
        <v>98.57</v>
      </c>
      <c r="AL783">
        <v>97.1</v>
      </c>
      <c r="AM783">
        <v>98.493579999999994</v>
      </c>
      <c r="AN783">
        <v>98.718770000000006</v>
      </c>
      <c r="AO783">
        <v>101.1803</v>
      </c>
      <c r="AP783">
        <v>98.444109999999995</v>
      </c>
      <c r="AQ783">
        <v>83.453569999999999</v>
      </c>
      <c r="AR783">
        <v>98.184359999999998</v>
      </c>
      <c r="AS783">
        <v>100.2702</v>
      </c>
      <c r="AT783">
        <v>99.54</v>
      </c>
      <c r="AU783">
        <v>99.793890000000005</v>
      </c>
      <c r="AV783">
        <v>90.005179999999996</v>
      </c>
      <c r="AW783">
        <v>99.056610000000006</v>
      </c>
      <c r="AX783">
        <v>93.439859999999996</v>
      </c>
    </row>
    <row r="784" spans="1:50" x14ac:dyDescent="0.35">
      <c r="A784" s="75">
        <v>41699</v>
      </c>
      <c r="B784">
        <v>99.043620000000004</v>
      </c>
      <c r="C784">
        <v>99.819130000000001</v>
      </c>
      <c r="D784">
        <v>90.447149999999993</v>
      </c>
      <c r="E784">
        <v>98.604159999999993</v>
      </c>
      <c r="F784">
        <v>101.22410000000001</v>
      </c>
      <c r="G784">
        <v>94.584010000000006</v>
      </c>
      <c r="H784">
        <v>98.6</v>
      </c>
      <c r="I784">
        <v>94.395499999999998</v>
      </c>
      <c r="J784">
        <v>97.443790000000007</v>
      </c>
      <c r="K784">
        <v>99.6</v>
      </c>
      <c r="L784">
        <v>99.542630000000003</v>
      </c>
      <c r="M784">
        <v>99.6</v>
      </c>
      <c r="N784">
        <v>100.07</v>
      </c>
      <c r="O784">
        <v>100.13849999999999</v>
      </c>
      <c r="P784">
        <v>100.9007</v>
      </c>
      <c r="Q784">
        <v>100.13</v>
      </c>
      <c r="R784">
        <v>100.1742</v>
      </c>
      <c r="S784">
        <v>100.24</v>
      </c>
      <c r="T784">
        <v>96.978579999999994</v>
      </c>
      <c r="U784">
        <v>99.348590000000002</v>
      </c>
      <c r="V784">
        <v>99.3</v>
      </c>
      <c r="W784">
        <v>102.7501</v>
      </c>
      <c r="X784">
        <v>100.37009999999999</v>
      </c>
      <c r="Y784">
        <v>92.483360000000005</v>
      </c>
      <c r="Z784">
        <v>91.424930000000003</v>
      </c>
      <c r="AA784">
        <v>100.5731</v>
      </c>
      <c r="AB784">
        <v>98.057270000000003</v>
      </c>
      <c r="AC784">
        <v>100.4032</v>
      </c>
      <c r="AD784">
        <v>99.906970000000001</v>
      </c>
      <c r="AE784">
        <v>97.429370000000006</v>
      </c>
      <c r="AF784">
        <v>99.253730000000004</v>
      </c>
      <c r="AG784">
        <v>100.9629</v>
      </c>
      <c r="AH784">
        <v>99.74</v>
      </c>
      <c r="AI784">
        <v>99.78519</v>
      </c>
      <c r="AJ784">
        <v>96.931960000000004</v>
      </c>
      <c r="AK784">
        <v>99.39</v>
      </c>
      <c r="AL784">
        <v>97.3</v>
      </c>
      <c r="AM784">
        <v>98.950580000000002</v>
      </c>
      <c r="AN784">
        <v>99.108990000000006</v>
      </c>
      <c r="AO784">
        <v>101.2617</v>
      </c>
      <c r="AP784">
        <v>99.787610000000001</v>
      </c>
      <c r="AQ784">
        <v>84.304789999999997</v>
      </c>
      <c r="AR784">
        <v>98.194730000000007</v>
      </c>
      <c r="AS784">
        <v>100.209</v>
      </c>
      <c r="AT784">
        <v>100.31</v>
      </c>
      <c r="AU784">
        <v>99.787509999999997</v>
      </c>
      <c r="AV784">
        <v>91.018289999999993</v>
      </c>
      <c r="AW784">
        <v>99.69453</v>
      </c>
      <c r="AX784">
        <v>94.655109999999993</v>
      </c>
    </row>
    <row r="785" spans="1:50" x14ac:dyDescent="0.35">
      <c r="A785" s="75">
        <v>41730</v>
      </c>
      <c r="B785">
        <v>99.134</v>
      </c>
      <c r="C785">
        <v>99.511899999999997</v>
      </c>
      <c r="D785">
        <v>91.053169999999994</v>
      </c>
      <c r="E785">
        <v>98.920199999999994</v>
      </c>
      <c r="F785">
        <v>101.2938</v>
      </c>
      <c r="G785">
        <v>95.172380000000004</v>
      </c>
      <c r="H785">
        <v>98.2</v>
      </c>
      <c r="I785">
        <v>94.827870000000004</v>
      </c>
      <c r="J785">
        <v>98.554900000000004</v>
      </c>
      <c r="K785">
        <v>99.6</v>
      </c>
      <c r="L785">
        <v>99.356049999999996</v>
      </c>
      <c r="M785">
        <v>99.8</v>
      </c>
      <c r="N785">
        <v>100.22</v>
      </c>
      <c r="O785">
        <v>101.0292</v>
      </c>
      <c r="P785">
        <v>100.8494</v>
      </c>
      <c r="Q785">
        <v>100.28</v>
      </c>
      <c r="R785">
        <v>100.32129999999999</v>
      </c>
      <c r="S785">
        <v>100.2</v>
      </c>
      <c r="T785">
        <v>97.392690000000002</v>
      </c>
      <c r="U785">
        <v>99.827939999999998</v>
      </c>
      <c r="V785">
        <v>99.6</v>
      </c>
      <c r="W785">
        <v>103.2216</v>
      </c>
      <c r="X785">
        <v>100.44410000000001</v>
      </c>
      <c r="Y785">
        <v>92.466750000000005</v>
      </c>
      <c r="Z785">
        <v>92.57253</v>
      </c>
      <c r="AA785">
        <v>100.6728</v>
      </c>
      <c r="AB785">
        <v>98.359570000000005</v>
      </c>
      <c r="AC785">
        <v>100.504</v>
      </c>
      <c r="AD785">
        <v>100.093</v>
      </c>
      <c r="AE785">
        <v>99.465519999999998</v>
      </c>
      <c r="AF785">
        <v>99.318039999999996</v>
      </c>
      <c r="AG785">
        <v>101.2689</v>
      </c>
      <c r="AH785">
        <v>99.77</v>
      </c>
      <c r="AI785">
        <v>100.2452</v>
      </c>
      <c r="AJ785">
        <v>96.75112</v>
      </c>
      <c r="AK785">
        <v>99.85</v>
      </c>
      <c r="AL785">
        <v>97.7</v>
      </c>
      <c r="AM785">
        <v>99.392719999999997</v>
      </c>
      <c r="AN785">
        <v>99.356300000000005</v>
      </c>
      <c r="AO785">
        <v>101.2617</v>
      </c>
      <c r="AP785">
        <v>100.0235</v>
      </c>
      <c r="AQ785">
        <v>85.063540000000003</v>
      </c>
      <c r="AR785">
        <v>98.671760000000006</v>
      </c>
      <c r="AS785">
        <v>100.2702</v>
      </c>
      <c r="AT785">
        <v>100.82</v>
      </c>
      <c r="AU785">
        <v>100.1737</v>
      </c>
      <c r="AV785">
        <v>92.242450000000005</v>
      </c>
      <c r="AW785">
        <v>100.0232</v>
      </c>
      <c r="AX785">
        <v>95.195229999999995</v>
      </c>
    </row>
    <row r="786" spans="1:50" x14ac:dyDescent="0.35">
      <c r="A786" s="75">
        <v>41760</v>
      </c>
      <c r="B786">
        <v>99.405100000000004</v>
      </c>
      <c r="C786">
        <v>99.402889999999999</v>
      </c>
      <c r="D786">
        <v>91.471950000000007</v>
      </c>
      <c r="E786">
        <v>99.394260000000003</v>
      </c>
      <c r="F786">
        <v>101.59059999999999</v>
      </c>
      <c r="G786">
        <v>95.49924</v>
      </c>
      <c r="H786">
        <v>98.3</v>
      </c>
      <c r="I786">
        <v>95.292869999999994</v>
      </c>
      <c r="J786">
        <v>99.075500000000005</v>
      </c>
      <c r="K786">
        <v>99.7</v>
      </c>
      <c r="L786">
        <v>99.26276</v>
      </c>
      <c r="M786">
        <v>99.7</v>
      </c>
      <c r="N786">
        <v>100.11</v>
      </c>
      <c r="O786">
        <v>101.0528</v>
      </c>
      <c r="P786">
        <v>100.95189999999999</v>
      </c>
      <c r="Q786">
        <v>100.18</v>
      </c>
      <c r="R786">
        <v>100.0731</v>
      </c>
      <c r="S786">
        <v>100.22</v>
      </c>
      <c r="T786">
        <v>97.642330000000001</v>
      </c>
      <c r="U786">
        <v>100.0805</v>
      </c>
      <c r="V786">
        <v>99.6</v>
      </c>
      <c r="W786">
        <v>102.4</v>
      </c>
      <c r="X786">
        <v>100.2961</v>
      </c>
      <c r="Y786">
        <v>92.616230000000002</v>
      </c>
      <c r="Z786">
        <v>93.337590000000006</v>
      </c>
      <c r="AA786">
        <v>100.5731</v>
      </c>
      <c r="AB786">
        <v>98.433269999999993</v>
      </c>
      <c r="AC786">
        <v>100.6048</v>
      </c>
      <c r="AD786">
        <v>100</v>
      </c>
      <c r="AE786">
        <v>99.872739999999993</v>
      </c>
      <c r="AF786">
        <v>99.481430000000003</v>
      </c>
      <c r="AG786">
        <v>101.17829999999999</v>
      </c>
      <c r="AH786">
        <v>99.8</v>
      </c>
      <c r="AI786">
        <v>100.1835</v>
      </c>
      <c r="AJ786">
        <v>96.441730000000007</v>
      </c>
      <c r="AK786">
        <v>99.51</v>
      </c>
      <c r="AL786">
        <v>97.8</v>
      </c>
      <c r="AM786">
        <v>99.581339999999997</v>
      </c>
      <c r="AN786">
        <v>99.347149999999999</v>
      </c>
      <c r="AO786">
        <v>101.1803</v>
      </c>
      <c r="AP786">
        <v>99.896090000000001</v>
      </c>
      <c r="AQ786">
        <v>85.82911</v>
      </c>
      <c r="AR786">
        <v>98.796199999999999</v>
      </c>
      <c r="AS786">
        <v>100.5149</v>
      </c>
      <c r="AT786">
        <v>101.42</v>
      </c>
      <c r="AU786">
        <v>100.2247</v>
      </c>
      <c r="AV786">
        <v>92.607020000000006</v>
      </c>
      <c r="AW786">
        <v>100.3725</v>
      </c>
      <c r="AX786">
        <v>95.465289999999996</v>
      </c>
    </row>
    <row r="787" spans="1:50" x14ac:dyDescent="0.35">
      <c r="A787" s="75">
        <v>41791</v>
      </c>
      <c r="B787">
        <v>99.495469999999997</v>
      </c>
      <c r="C787">
        <v>99.482169999999996</v>
      </c>
      <c r="D787">
        <v>91.837829999999997</v>
      </c>
      <c r="E787">
        <v>99.473269999999999</v>
      </c>
      <c r="F787">
        <v>101.5167</v>
      </c>
      <c r="G787">
        <v>95.542820000000006</v>
      </c>
      <c r="H787">
        <v>98.2</v>
      </c>
      <c r="I787">
        <v>95.374449999999996</v>
      </c>
      <c r="J787">
        <v>99.453050000000005</v>
      </c>
      <c r="K787">
        <v>99.7</v>
      </c>
      <c r="L787">
        <v>99.542630000000003</v>
      </c>
      <c r="M787">
        <v>99.7</v>
      </c>
      <c r="N787">
        <v>100.22</v>
      </c>
      <c r="O787">
        <v>101.0806</v>
      </c>
      <c r="P787">
        <v>101.00320000000001</v>
      </c>
      <c r="Q787">
        <v>100.27</v>
      </c>
      <c r="R787">
        <v>100.1467</v>
      </c>
      <c r="S787">
        <v>100.18</v>
      </c>
      <c r="T787">
        <v>97.836529999999996</v>
      </c>
      <c r="U787">
        <v>100.2135</v>
      </c>
      <c r="V787">
        <v>99.8</v>
      </c>
      <c r="W787">
        <v>103.0598</v>
      </c>
      <c r="X787">
        <v>100.37009999999999</v>
      </c>
      <c r="Y787">
        <v>93.01482</v>
      </c>
      <c r="Z787">
        <v>94.102649999999997</v>
      </c>
      <c r="AA787">
        <v>100.77249999999999</v>
      </c>
      <c r="AB787">
        <v>98.777180000000001</v>
      </c>
      <c r="AC787">
        <v>100.90730000000001</v>
      </c>
      <c r="AD787">
        <v>100.093</v>
      </c>
      <c r="AE787">
        <v>99.770939999999996</v>
      </c>
      <c r="AF787">
        <v>99.353880000000004</v>
      </c>
      <c r="AG787">
        <v>101.18219999999999</v>
      </c>
      <c r="AH787">
        <v>99.96</v>
      </c>
      <c r="AI787">
        <v>100.4738</v>
      </c>
      <c r="AJ787">
        <v>96.608850000000004</v>
      </c>
      <c r="AK787">
        <v>99.24</v>
      </c>
      <c r="AL787">
        <v>97.5</v>
      </c>
      <c r="AM787">
        <v>99.697850000000003</v>
      </c>
      <c r="AN787">
        <v>99.467740000000006</v>
      </c>
      <c r="AO787">
        <v>101.1803</v>
      </c>
      <c r="AP787">
        <v>99.966740000000001</v>
      </c>
      <c r="AQ787">
        <v>86.361249999999998</v>
      </c>
      <c r="AR787">
        <v>98.754720000000006</v>
      </c>
      <c r="AS787">
        <v>100.5761</v>
      </c>
      <c r="AT787">
        <v>101.53</v>
      </c>
      <c r="AU787">
        <v>100.43219999999999</v>
      </c>
      <c r="AV787">
        <v>92.894840000000002</v>
      </c>
      <c r="AW787">
        <v>100.5595</v>
      </c>
      <c r="AX787">
        <v>95.735339999999994</v>
      </c>
    </row>
    <row r="788" spans="1:50" x14ac:dyDescent="0.35">
      <c r="A788" s="75">
        <v>41821</v>
      </c>
      <c r="B788">
        <v>98.953249999999997</v>
      </c>
      <c r="C788">
        <v>99.650649999999999</v>
      </c>
      <c r="D788">
        <v>91.847110000000001</v>
      </c>
      <c r="E788">
        <v>99.315250000000006</v>
      </c>
      <c r="F788">
        <v>101.13679999999999</v>
      </c>
      <c r="G788">
        <v>95.771630000000002</v>
      </c>
      <c r="H788">
        <v>98.2</v>
      </c>
      <c r="I788">
        <v>95.521289999999993</v>
      </c>
      <c r="J788">
        <v>100.35980000000001</v>
      </c>
      <c r="K788">
        <v>100</v>
      </c>
      <c r="L788">
        <v>99.822509999999994</v>
      </c>
      <c r="M788">
        <v>99.5</v>
      </c>
      <c r="N788">
        <v>99.57</v>
      </c>
      <c r="O788">
        <v>100.13</v>
      </c>
      <c r="P788">
        <v>100.8494</v>
      </c>
      <c r="Q788">
        <v>99.72</v>
      </c>
      <c r="R788">
        <v>100.0364</v>
      </c>
      <c r="S788">
        <v>99.86</v>
      </c>
      <c r="T788">
        <v>98.019390000000001</v>
      </c>
      <c r="U788">
        <v>100.1846</v>
      </c>
      <c r="V788">
        <v>99.6</v>
      </c>
      <c r="W788">
        <v>101.77760000000001</v>
      </c>
      <c r="X788">
        <v>100.5181</v>
      </c>
      <c r="Y788">
        <v>93.878460000000004</v>
      </c>
      <c r="Z788">
        <v>96.397829999999999</v>
      </c>
      <c r="AA788">
        <v>100.5731</v>
      </c>
      <c r="AB788">
        <v>98.624790000000004</v>
      </c>
      <c r="AC788">
        <v>101.0081</v>
      </c>
      <c r="AD788">
        <v>100</v>
      </c>
      <c r="AE788">
        <v>99.872739999999993</v>
      </c>
      <c r="AF788">
        <v>99.499350000000007</v>
      </c>
      <c r="AG788">
        <v>100.667</v>
      </c>
      <c r="AH788">
        <v>98.94</v>
      </c>
      <c r="AI788">
        <v>100.0986</v>
      </c>
      <c r="AJ788">
        <v>96.874529999999993</v>
      </c>
      <c r="AK788">
        <v>100.05</v>
      </c>
      <c r="AL788">
        <v>98.3</v>
      </c>
      <c r="AM788">
        <v>99.685249999999996</v>
      </c>
      <c r="AN788">
        <v>99.374790000000004</v>
      </c>
      <c r="AO788">
        <v>101.0175</v>
      </c>
      <c r="AP788">
        <v>99.277079999999998</v>
      </c>
      <c r="AQ788">
        <v>86.784419999999997</v>
      </c>
      <c r="AR788">
        <v>98.972499999999997</v>
      </c>
      <c r="AS788">
        <v>100.4537</v>
      </c>
      <c r="AT788">
        <v>100.42</v>
      </c>
      <c r="AU788">
        <v>100.1035</v>
      </c>
      <c r="AV788">
        <v>93.316959999999995</v>
      </c>
      <c r="AW788">
        <v>100.5202</v>
      </c>
      <c r="AX788">
        <v>96.545519999999996</v>
      </c>
    </row>
    <row r="789" spans="1:50" x14ac:dyDescent="0.35">
      <c r="A789" s="75">
        <v>41852</v>
      </c>
      <c r="B789">
        <v>98.953249999999997</v>
      </c>
      <c r="C789">
        <v>99.274060000000006</v>
      </c>
      <c r="D789">
        <v>92.076809999999995</v>
      </c>
      <c r="E789">
        <v>99.315250000000006</v>
      </c>
      <c r="F789">
        <v>101.10420000000001</v>
      </c>
      <c r="G789">
        <v>96.076710000000006</v>
      </c>
      <c r="H789">
        <v>98.4</v>
      </c>
      <c r="I789">
        <v>95.717079999999996</v>
      </c>
      <c r="J789">
        <v>100.6932</v>
      </c>
      <c r="K789">
        <v>99.9</v>
      </c>
      <c r="L789">
        <v>99.822509999999994</v>
      </c>
      <c r="M789">
        <v>99.4</v>
      </c>
      <c r="N789">
        <v>99.68</v>
      </c>
      <c r="O789">
        <v>100.2884</v>
      </c>
      <c r="P789">
        <v>100.54179999999999</v>
      </c>
      <c r="Q789">
        <v>99.78</v>
      </c>
      <c r="R789">
        <v>100.18340000000001</v>
      </c>
      <c r="S789">
        <v>100.3</v>
      </c>
      <c r="T789">
        <v>98.128429999999994</v>
      </c>
      <c r="U789">
        <v>100.1797</v>
      </c>
      <c r="V789">
        <v>99.9</v>
      </c>
      <c r="W789">
        <v>100.5401</v>
      </c>
      <c r="X789">
        <v>100.2961</v>
      </c>
      <c r="Y789">
        <v>94.318569999999994</v>
      </c>
      <c r="Z789">
        <v>96.780360000000002</v>
      </c>
      <c r="AA789">
        <v>100.77249999999999</v>
      </c>
      <c r="AB789">
        <v>98.852580000000003</v>
      </c>
      <c r="AC789">
        <v>100.90730000000001</v>
      </c>
      <c r="AD789">
        <v>100.18600000000001</v>
      </c>
      <c r="AE789">
        <v>100.07640000000001</v>
      </c>
      <c r="AF789">
        <v>99.673289999999994</v>
      </c>
      <c r="AG789">
        <v>100.58369999999999</v>
      </c>
      <c r="AH789">
        <v>99.99</v>
      </c>
      <c r="AI789">
        <v>99.482489999999999</v>
      </c>
      <c r="AJ789">
        <v>97.222499999999997</v>
      </c>
      <c r="AK789">
        <v>99.98</v>
      </c>
      <c r="AL789">
        <v>97.9</v>
      </c>
      <c r="AM789">
        <v>99.689809999999994</v>
      </c>
      <c r="AN789">
        <v>99.447620000000001</v>
      </c>
      <c r="AO789">
        <v>100.6105</v>
      </c>
      <c r="AP789">
        <v>99.051169999999999</v>
      </c>
      <c r="AQ789">
        <v>86.992710000000002</v>
      </c>
      <c r="AR789">
        <v>99.107309999999998</v>
      </c>
      <c r="AS789">
        <v>100.2702</v>
      </c>
      <c r="AT789">
        <v>100.42</v>
      </c>
      <c r="AU789">
        <v>100.0013</v>
      </c>
      <c r="AV789">
        <v>93.40522</v>
      </c>
      <c r="AW789">
        <v>100.3523</v>
      </c>
      <c r="AX789">
        <v>96.815569999999994</v>
      </c>
    </row>
    <row r="790" spans="1:50" x14ac:dyDescent="0.35">
      <c r="A790" s="75">
        <v>41883</v>
      </c>
      <c r="B790">
        <v>99.585840000000005</v>
      </c>
      <c r="C790">
        <v>99.194770000000005</v>
      </c>
      <c r="D790">
        <v>92.601619999999997</v>
      </c>
      <c r="E790">
        <v>99.394260000000003</v>
      </c>
      <c r="F790">
        <v>101.24679999999999</v>
      </c>
      <c r="G790">
        <v>96.88297</v>
      </c>
      <c r="H790">
        <v>98.9</v>
      </c>
      <c r="I790">
        <v>95.847610000000003</v>
      </c>
      <c r="J790">
        <v>100.5545</v>
      </c>
      <c r="K790">
        <v>99.6</v>
      </c>
      <c r="L790">
        <v>99.822509999999994</v>
      </c>
      <c r="M790">
        <v>99.7</v>
      </c>
      <c r="N790">
        <v>100.12</v>
      </c>
      <c r="O790">
        <v>100.4415</v>
      </c>
      <c r="P790">
        <v>100.33669999999999</v>
      </c>
      <c r="Q790">
        <v>100.13</v>
      </c>
      <c r="R790">
        <v>100.72580000000001</v>
      </c>
      <c r="S790">
        <v>99.92</v>
      </c>
      <c r="T790">
        <v>98.363060000000004</v>
      </c>
      <c r="U790">
        <v>100.2133</v>
      </c>
      <c r="V790">
        <v>100</v>
      </c>
      <c r="W790">
        <v>102.62</v>
      </c>
      <c r="X790">
        <v>100.074</v>
      </c>
      <c r="Y790">
        <v>94.575999999999993</v>
      </c>
      <c r="Z790">
        <v>96.780360000000002</v>
      </c>
      <c r="AA790">
        <v>100.4735</v>
      </c>
      <c r="AB790">
        <v>98.734189999999998</v>
      </c>
      <c r="AC790">
        <v>100.6048</v>
      </c>
      <c r="AD790">
        <v>99.813959999999994</v>
      </c>
      <c r="AE790">
        <v>100.28</v>
      </c>
      <c r="AF790">
        <v>99.608990000000006</v>
      </c>
      <c r="AG790">
        <v>101.0117</v>
      </c>
      <c r="AH790">
        <v>99.9</v>
      </c>
      <c r="AI790">
        <v>99.965360000000004</v>
      </c>
      <c r="AJ790">
        <v>97.651889999999995</v>
      </c>
      <c r="AK790">
        <v>99.96</v>
      </c>
      <c r="AL790">
        <v>98.5</v>
      </c>
      <c r="AM790">
        <v>99.770099999999999</v>
      </c>
      <c r="AN790">
        <v>99.463759999999994</v>
      </c>
      <c r="AO790">
        <v>100.6105</v>
      </c>
      <c r="AP790">
        <v>99.617429999999999</v>
      </c>
      <c r="AQ790">
        <v>87.558160000000001</v>
      </c>
      <c r="AR790">
        <v>99.09693</v>
      </c>
      <c r="AS790">
        <v>100.3314</v>
      </c>
      <c r="AT790">
        <v>100.67</v>
      </c>
      <c r="AU790">
        <v>100.1609</v>
      </c>
      <c r="AV790">
        <v>93.535700000000006</v>
      </c>
      <c r="AW790">
        <v>100.4278</v>
      </c>
      <c r="AX790">
        <v>96.815569999999994</v>
      </c>
    </row>
    <row r="791" spans="1:50" x14ac:dyDescent="0.35">
      <c r="A791" s="75">
        <v>41913</v>
      </c>
      <c r="B791">
        <v>99.495469999999997</v>
      </c>
      <c r="C791">
        <v>99.323599999999999</v>
      </c>
      <c r="D791">
        <v>92.990470000000002</v>
      </c>
      <c r="E791">
        <v>99.473269999999999</v>
      </c>
      <c r="F791">
        <v>101.245</v>
      </c>
      <c r="G791">
        <v>97.885360000000006</v>
      </c>
      <c r="H791">
        <v>98.9</v>
      </c>
      <c r="I791">
        <v>96.002610000000004</v>
      </c>
      <c r="J791">
        <v>100.26300000000001</v>
      </c>
      <c r="K791">
        <v>99.8</v>
      </c>
      <c r="L791">
        <v>99.542630000000003</v>
      </c>
      <c r="M791">
        <v>99.8</v>
      </c>
      <c r="N791">
        <v>100.06</v>
      </c>
      <c r="O791">
        <v>100.9093</v>
      </c>
      <c r="P791">
        <v>100.33669999999999</v>
      </c>
      <c r="Q791">
        <v>100.09</v>
      </c>
      <c r="R791">
        <v>100.55110000000001</v>
      </c>
      <c r="S791">
        <v>99.95</v>
      </c>
      <c r="T791">
        <v>98.397989999999993</v>
      </c>
      <c r="U791">
        <v>100.02670000000001</v>
      </c>
      <c r="V791">
        <v>100.1</v>
      </c>
      <c r="W791">
        <v>101.68640000000001</v>
      </c>
      <c r="X791">
        <v>99.851960000000005</v>
      </c>
      <c r="Y791">
        <v>95.016120000000001</v>
      </c>
      <c r="Z791">
        <v>96.780360000000002</v>
      </c>
      <c r="AA791">
        <v>100.2741</v>
      </c>
      <c r="AB791">
        <v>98.866200000000006</v>
      </c>
      <c r="AC791">
        <v>100.90730000000001</v>
      </c>
      <c r="AD791">
        <v>99.906970000000001</v>
      </c>
      <c r="AE791">
        <v>99.974549999999994</v>
      </c>
      <c r="AF791">
        <v>99.308549999999997</v>
      </c>
      <c r="AG791">
        <v>101.0917</v>
      </c>
      <c r="AH791">
        <v>99.67</v>
      </c>
      <c r="AI791">
        <v>99.947670000000002</v>
      </c>
      <c r="AJ791">
        <v>98.191829999999996</v>
      </c>
      <c r="AK791">
        <v>99.84</v>
      </c>
      <c r="AL791">
        <v>98.6</v>
      </c>
      <c r="AM791">
        <v>99.732280000000003</v>
      </c>
      <c r="AN791">
        <v>99.629549999999995</v>
      </c>
      <c r="AO791">
        <v>100.6105</v>
      </c>
      <c r="AP791">
        <v>99.945849999999993</v>
      </c>
      <c r="AQ791">
        <v>88.276129999999995</v>
      </c>
      <c r="AR791">
        <v>99.273219999999995</v>
      </c>
      <c r="AS791">
        <v>100.3926</v>
      </c>
      <c r="AT791">
        <v>100.91</v>
      </c>
      <c r="AU791">
        <v>100.21510000000001</v>
      </c>
      <c r="AV791">
        <v>95.312470000000005</v>
      </c>
      <c r="AW791">
        <v>100.1755</v>
      </c>
      <c r="AX791">
        <v>96.950599999999994</v>
      </c>
    </row>
    <row r="792" spans="1:50" x14ac:dyDescent="0.35">
      <c r="A792" s="75">
        <v>41944</v>
      </c>
      <c r="B792">
        <v>99.676199999999994</v>
      </c>
      <c r="C792">
        <v>99.194770000000005</v>
      </c>
      <c r="D792">
        <v>93.464699999999993</v>
      </c>
      <c r="E792">
        <v>99.078220000000002</v>
      </c>
      <c r="F792">
        <v>101.2055</v>
      </c>
      <c r="G792">
        <v>97.918049999999994</v>
      </c>
      <c r="H792">
        <v>98.6</v>
      </c>
      <c r="I792">
        <v>96.133139999999997</v>
      </c>
      <c r="J792">
        <v>100.6061</v>
      </c>
      <c r="K792">
        <v>99.5</v>
      </c>
      <c r="L792">
        <v>99.542630000000003</v>
      </c>
      <c r="M792">
        <v>99.6</v>
      </c>
      <c r="N792">
        <v>99.88</v>
      </c>
      <c r="O792">
        <v>100.8387</v>
      </c>
      <c r="P792">
        <v>99.567620000000005</v>
      </c>
      <c r="Q792">
        <v>99.9</v>
      </c>
      <c r="R792">
        <v>100.35809999999999</v>
      </c>
      <c r="S792">
        <v>99.78</v>
      </c>
      <c r="T792">
        <v>98.293750000000003</v>
      </c>
      <c r="U792">
        <v>99.638710000000003</v>
      </c>
      <c r="V792">
        <v>99.9</v>
      </c>
      <c r="W792">
        <v>100.7359</v>
      </c>
      <c r="X792">
        <v>99.481859999999998</v>
      </c>
      <c r="Y792">
        <v>96.44444</v>
      </c>
      <c r="Z792">
        <v>96.780360000000002</v>
      </c>
      <c r="AA792">
        <v>99.975080000000005</v>
      </c>
      <c r="AB792">
        <v>98.366780000000006</v>
      </c>
      <c r="AC792">
        <v>100.7056</v>
      </c>
      <c r="AD792">
        <v>99.720929999999996</v>
      </c>
      <c r="AE792">
        <v>99.669129999999996</v>
      </c>
      <c r="AF792">
        <v>99.108249999999998</v>
      </c>
      <c r="AG792">
        <v>101.0574</v>
      </c>
      <c r="AH792">
        <v>99.44</v>
      </c>
      <c r="AI792">
        <v>99.697010000000006</v>
      </c>
      <c r="AJ792">
        <v>98.983750000000001</v>
      </c>
      <c r="AK792">
        <v>99.25</v>
      </c>
      <c r="AL792">
        <v>98.6</v>
      </c>
      <c r="AM792">
        <v>99.462479999999999</v>
      </c>
      <c r="AN792">
        <v>99.502740000000003</v>
      </c>
      <c r="AO792">
        <v>100.4477</v>
      </c>
      <c r="AP792">
        <v>99.738849999999999</v>
      </c>
      <c r="AQ792">
        <v>89.40607</v>
      </c>
      <c r="AR792">
        <v>99.387299999999996</v>
      </c>
      <c r="AS792">
        <v>100.2702</v>
      </c>
      <c r="AT792">
        <v>100.67</v>
      </c>
      <c r="AU792">
        <v>100.0684</v>
      </c>
      <c r="AV792">
        <v>95.485159999999993</v>
      </c>
      <c r="AW792">
        <v>99.634630000000001</v>
      </c>
      <c r="AX792">
        <v>96.950599999999994</v>
      </c>
    </row>
    <row r="793" spans="1:50" x14ac:dyDescent="0.35">
      <c r="A793" s="75">
        <v>41974</v>
      </c>
      <c r="B793">
        <v>99.676199999999994</v>
      </c>
      <c r="C793">
        <v>99.085750000000004</v>
      </c>
      <c r="D793">
        <v>94.193680000000001</v>
      </c>
      <c r="E793">
        <v>98.367130000000003</v>
      </c>
      <c r="F793">
        <v>100.7038</v>
      </c>
      <c r="G793">
        <v>97.514920000000004</v>
      </c>
      <c r="H793">
        <v>99</v>
      </c>
      <c r="I793">
        <v>96.386030000000005</v>
      </c>
      <c r="J793">
        <v>100.39100000000001</v>
      </c>
      <c r="K793">
        <v>99.5</v>
      </c>
      <c r="L793">
        <v>99.542630000000003</v>
      </c>
      <c r="M793">
        <v>99.4</v>
      </c>
      <c r="N793">
        <v>99.78</v>
      </c>
      <c r="O793">
        <v>100.251</v>
      </c>
      <c r="P793">
        <v>99.567620000000005</v>
      </c>
      <c r="Q793">
        <v>99.79</v>
      </c>
      <c r="R793">
        <v>100.2294</v>
      </c>
      <c r="S793">
        <v>99.86</v>
      </c>
      <c r="T793">
        <v>98.392070000000004</v>
      </c>
      <c r="U793">
        <v>99.306569999999994</v>
      </c>
      <c r="V793">
        <v>99.9</v>
      </c>
      <c r="W793">
        <v>100.2543</v>
      </c>
      <c r="X793">
        <v>98.815690000000004</v>
      </c>
      <c r="Y793">
        <v>98.819429999999997</v>
      </c>
      <c r="Z793">
        <v>96.780360000000002</v>
      </c>
      <c r="AA793">
        <v>99.57638</v>
      </c>
      <c r="AB793">
        <v>98.668629999999993</v>
      </c>
      <c r="AC793">
        <v>100.7056</v>
      </c>
      <c r="AD793">
        <v>99.720929999999996</v>
      </c>
      <c r="AE793">
        <v>99.669129999999996</v>
      </c>
      <c r="AF793">
        <v>99.098770000000002</v>
      </c>
      <c r="AG793">
        <v>100.43680000000001</v>
      </c>
      <c r="AH793">
        <v>98.83</v>
      </c>
      <c r="AI793">
        <v>99.063820000000007</v>
      </c>
      <c r="AJ793">
        <v>99.46884</v>
      </c>
      <c r="AK793">
        <v>99.05</v>
      </c>
      <c r="AL793">
        <v>98.6</v>
      </c>
      <c r="AM793">
        <v>99.191410000000005</v>
      </c>
      <c r="AN793">
        <v>99.36806</v>
      </c>
      <c r="AO793">
        <v>100.1221</v>
      </c>
      <c r="AP793">
        <v>99.722920000000002</v>
      </c>
      <c r="AQ793">
        <v>91.748500000000007</v>
      </c>
      <c r="AR793">
        <v>99.366550000000004</v>
      </c>
      <c r="AS793">
        <v>100.02549999999999</v>
      </c>
      <c r="AT793">
        <v>100.2</v>
      </c>
      <c r="AU793">
        <v>100.2247</v>
      </c>
      <c r="AV793">
        <v>95.063029999999998</v>
      </c>
      <c r="AW793">
        <v>99.069689999999994</v>
      </c>
      <c r="AX793">
        <v>96.815569999999994</v>
      </c>
    </row>
    <row r="794" spans="1:50" x14ac:dyDescent="0.35">
      <c r="A794" s="75">
        <v>42005</v>
      </c>
      <c r="B794">
        <v>98.59178</v>
      </c>
      <c r="C794">
        <v>98.956919999999997</v>
      </c>
      <c r="D794">
        <v>95.361630000000005</v>
      </c>
      <c r="E794">
        <v>98.209109999999995</v>
      </c>
      <c r="F794">
        <v>100.2702</v>
      </c>
      <c r="G794">
        <v>97.580280000000002</v>
      </c>
      <c r="H794">
        <v>99.3</v>
      </c>
      <c r="I794">
        <v>97.006029999999996</v>
      </c>
      <c r="J794">
        <v>100.4297</v>
      </c>
      <c r="K794">
        <v>99.5</v>
      </c>
      <c r="L794">
        <v>98.516419999999997</v>
      </c>
      <c r="M794">
        <v>98.8</v>
      </c>
      <c r="N794">
        <v>98.24</v>
      </c>
      <c r="O794">
        <v>98.639799999999994</v>
      </c>
      <c r="P794">
        <v>99.15746</v>
      </c>
      <c r="Q794">
        <v>98.46</v>
      </c>
      <c r="R794">
        <v>99.54</v>
      </c>
      <c r="S794">
        <v>98.86</v>
      </c>
      <c r="T794">
        <v>98.304150000000007</v>
      </c>
      <c r="U794">
        <v>98.804519999999997</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99.77028</v>
      </c>
      <c r="AG794">
        <v>99.13</v>
      </c>
      <c r="AH794">
        <v>98.19</v>
      </c>
      <c r="AI794">
        <v>99.125290000000007</v>
      </c>
      <c r="AJ794">
        <v>99.37885</v>
      </c>
      <c r="AK794">
        <v>98.15</v>
      </c>
      <c r="AL794">
        <v>98.6</v>
      </c>
      <c r="AM794">
        <v>98.779979999999995</v>
      </c>
      <c r="AN794">
        <v>98.722399999999993</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96.680539999999993</v>
      </c>
    </row>
    <row r="795" spans="1:50" x14ac:dyDescent="0.35">
      <c r="A795" s="75">
        <v>42036</v>
      </c>
      <c r="B795">
        <v>98.891760000000005</v>
      </c>
      <c r="C795">
        <v>99.363240000000005</v>
      </c>
      <c r="D795">
        <v>96.524940000000001</v>
      </c>
      <c r="E795">
        <v>99.078220000000002</v>
      </c>
      <c r="F795">
        <v>100.0125</v>
      </c>
      <c r="G795">
        <v>97.928939999999997</v>
      </c>
      <c r="H795">
        <v>100.5</v>
      </c>
      <c r="I795">
        <v>98.123670000000004</v>
      </c>
      <c r="J795">
        <v>100.2641</v>
      </c>
      <c r="K795">
        <v>99.7</v>
      </c>
      <c r="L795">
        <v>99.216539999999995</v>
      </c>
      <c r="M795">
        <v>99.8</v>
      </c>
      <c r="N795">
        <v>98.85</v>
      </c>
      <c r="O795">
        <v>98.843199999999996</v>
      </c>
      <c r="P795">
        <v>99.721429999999998</v>
      </c>
      <c r="Q795">
        <v>99</v>
      </c>
      <c r="R795">
        <v>99.79</v>
      </c>
      <c r="S795">
        <v>99.52</v>
      </c>
      <c r="T795">
        <v>98.813829999999996</v>
      </c>
      <c r="U795">
        <v>99.19659</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99.711240000000004</v>
      </c>
      <c r="AG795">
        <v>98.803700000000006</v>
      </c>
      <c r="AH795">
        <v>99.84</v>
      </c>
      <c r="AI795">
        <v>99.392979999999994</v>
      </c>
      <c r="AJ795">
        <v>99.567409999999995</v>
      </c>
      <c r="AK795">
        <v>98.69</v>
      </c>
      <c r="AL795">
        <v>98.9</v>
      </c>
      <c r="AM795">
        <v>99.131039999999999</v>
      </c>
      <c r="AN795">
        <v>99.144739999999999</v>
      </c>
      <c r="AO795">
        <v>99.877899999999997</v>
      </c>
      <c r="AP795">
        <v>98.240089999999995</v>
      </c>
      <c r="AQ795">
        <v>97.396060000000006</v>
      </c>
      <c r="AR795">
        <v>99.511740000000003</v>
      </c>
      <c r="AS795">
        <v>99.780779999999993</v>
      </c>
      <c r="AT795">
        <v>99.15</v>
      </c>
      <c r="AU795">
        <v>99.867289999999997</v>
      </c>
      <c r="AV795">
        <v>96.79759</v>
      </c>
      <c r="AW795">
        <v>99.031720000000007</v>
      </c>
      <c r="AX795">
        <v>97.355689999999996</v>
      </c>
    </row>
    <row r="796" spans="1:50" x14ac:dyDescent="0.35">
      <c r="A796" s="75">
        <v>42064</v>
      </c>
      <c r="B796">
        <v>99.991669999999999</v>
      </c>
      <c r="C796">
        <v>99.422709999999995</v>
      </c>
      <c r="D796">
        <v>97.799149999999997</v>
      </c>
      <c r="E796">
        <v>99.78931</v>
      </c>
      <c r="F796">
        <v>100.3387</v>
      </c>
      <c r="G796">
        <v>98.539090000000002</v>
      </c>
      <c r="H796">
        <v>99.9</v>
      </c>
      <c r="I796">
        <v>98.694730000000007</v>
      </c>
      <c r="J796">
        <v>100.41249999999999</v>
      </c>
      <c r="K796">
        <v>99.8</v>
      </c>
      <c r="L796">
        <v>99.716620000000006</v>
      </c>
      <c r="M796">
        <v>100.2</v>
      </c>
      <c r="N796">
        <v>100</v>
      </c>
      <c r="O796">
        <v>99.473749999999995</v>
      </c>
      <c r="P796">
        <v>100.33669999999999</v>
      </c>
      <c r="Q796">
        <v>100.01</v>
      </c>
      <c r="R796">
        <v>100.12</v>
      </c>
      <c r="S796">
        <v>100.17</v>
      </c>
      <c r="T796">
        <v>99.309809999999999</v>
      </c>
      <c r="U796">
        <v>99.68871</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99.720730000000003</v>
      </c>
      <c r="AG796">
        <v>99.561400000000006</v>
      </c>
      <c r="AH796">
        <v>99.98</v>
      </c>
      <c r="AI796">
        <v>100.21250000000001</v>
      </c>
      <c r="AJ796">
        <v>99.972790000000003</v>
      </c>
      <c r="AK796">
        <v>99.75</v>
      </c>
      <c r="AL796">
        <v>99.2</v>
      </c>
      <c r="AM796">
        <v>99.633629999999997</v>
      </c>
      <c r="AN796">
        <v>99.663210000000007</v>
      </c>
      <c r="AO796">
        <v>100.0407</v>
      </c>
      <c r="AP796">
        <v>100.0971</v>
      </c>
      <c r="AQ796">
        <v>98.574550000000002</v>
      </c>
      <c r="AR796">
        <v>99.605069999999998</v>
      </c>
      <c r="AS796">
        <v>99.903139999999993</v>
      </c>
      <c r="AT796">
        <v>100.03</v>
      </c>
      <c r="AU796">
        <v>99.950270000000003</v>
      </c>
      <c r="AV796">
        <v>97.945009999999996</v>
      </c>
      <c r="AW796">
        <v>99.621120000000005</v>
      </c>
      <c r="AX796">
        <v>98.570949999999996</v>
      </c>
    </row>
    <row r="797" spans="1:50" x14ac:dyDescent="0.35">
      <c r="A797" s="75">
        <v>42095</v>
      </c>
      <c r="B797">
        <v>100.1917</v>
      </c>
      <c r="C797">
        <v>99.799310000000006</v>
      </c>
      <c r="D797">
        <v>98.493560000000002</v>
      </c>
      <c r="E797">
        <v>99.710300000000004</v>
      </c>
      <c r="F797">
        <v>100.1567</v>
      </c>
      <c r="G797">
        <v>99.116550000000004</v>
      </c>
      <c r="H797">
        <v>99.7</v>
      </c>
      <c r="I797">
        <v>99.224999999999994</v>
      </c>
      <c r="J797">
        <v>100.334</v>
      </c>
      <c r="K797">
        <v>100.1</v>
      </c>
      <c r="L797">
        <v>100.2167</v>
      </c>
      <c r="M797">
        <v>100.3</v>
      </c>
      <c r="N797">
        <v>100.43</v>
      </c>
      <c r="O797">
        <v>100.38800000000001</v>
      </c>
      <c r="P797">
        <v>100.79810000000001</v>
      </c>
      <c r="Q797">
        <v>100.42</v>
      </c>
      <c r="R797">
        <v>100.11</v>
      </c>
      <c r="S797">
        <v>100.28</v>
      </c>
      <c r="T797">
        <v>99.618740000000003</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99.751300000000001</v>
      </c>
      <c r="AG797">
        <v>100.2157</v>
      </c>
      <c r="AH797">
        <v>100.03</v>
      </c>
      <c r="AI797">
        <v>100.7893</v>
      </c>
      <c r="AJ797">
        <v>99.71396</v>
      </c>
      <c r="AK797">
        <v>100.39</v>
      </c>
      <c r="AL797">
        <v>99.6</v>
      </c>
      <c r="AM797">
        <v>99.942959999999999</v>
      </c>
      <c r="AN797">
        <v>100.12050000000001</v>
      </c>
      <c r="AO797">
        <v>100.4477</v>
      </c>
      <c r="AP797">
        <v>100.42149999999999</v>
      </c>
      <c r="AQ797">
        <v>99.027990000000003</v>
      </c>
      <c r="AR797">
        <v>99.667289999999994</v>
      </c>
      <c r="AS797">
        <v>100.08669999999999</v>
      </c>
      <c r="AT797">
        <v>100.11</v>
      </c>
      <c r="AU797">
        <v>99.940700000000007</v>
      </c>
      <c r="AV797">
        <v>99.541420000000002</v>
      </c>
      <c r="AW797">
        <v>99.823639999999997</v>
      </c>
      <c r="AX797">
        <v>99.516139999999993</v>
      </c>
    </row>
    <row r="798" spans="1:50" x14ac:dyDescent="0.35">
      <c r="A798" s="75">
        <v>42125</v>
      </c>
      <c r="B798">
        <v>100.3916</v>
      </c>
      <c r="C798">
        <v>99.957880000000003</v>
      </c>
      <c r="D798">
        <v>99.222309999999993</v>
      </c>
      <c r="E798">
        <v>100.2634</v>
      </c>
      <c r="F798">
        <v>100.3899</v>
      </c>
      <c r="G798">
        <v>99.290890000000005</v>
      </c>
      <c r="H798">
        <v>99.5</v>
      </c>
      <c r="I798">
        <v>99.486050000000006</v>
      </c>
      <c r="J798">
        <v>100.0393</v>
      </c>
      <c r="K798">
        <v>100.4</v>
      </c>
      <c r="L798">
        <v>100.41670000000001</v>
      </c>
      <c r="M798">
        <v>100.4</v>
      </c>
      <c r="N798">
        <v>100.71</v>
      </c>
      <c r="O798">
        <v>100.8676</v>
      </c>
      <c r="P798">
        <v>101.00320000000001</v>
      </c>
      <c r="Q798">
        <v>100.7</v>
      </c>
      <c r="R798">
        <v>100.03</v>
      </c>
      <c r="S798">
        <v>100.52</v>
      </c>
      <c r="T798">
        <v>99.949129999999997</v>
      </c>
      <c r="U798">
        <v>100.3411</v>
      </c>
      <c r="V798">
        <v>100.1</v>
      </c>
      <c r="W798">
        <v>100.19929999999999</v>
      </c>
      <c r="X798">
        <v>100.8142</v>
      </c>
      <c r="Y798">
        <v>99.234629999999996</v>
      </c>
      <c r="Z798">
        <v>98.693020000000004</v>
      </c>
      <c r="AA798">
        <v>100.3738</v>
      </c>
      <c r="AB798">
        <v>100.0497</v>
      </c>
      <c r="AC798">
        <v>100.2016</v>
      </c>
      <c r="AD798">
        <v>100.093</v>
      </c>
      <c r="AE798">
        <v>100.4836</v>
      </c>
      <c r="AF798">
        <v>100.0307</v>
      </c>
      <c r="AG798">
        <v>100.7132</v>
      </c>
      <c r="AH798">
        <v>100.45</v>
      </c>
      <c r="AI798">
        <v>101.35209999999999</v>
      </c>
      <c r="AJ798">
        <v>99.216009999999997</v>
      </c>
      <c r="AK798">
        <v>100.61</v>
      </c>
      <c r="AL798">
        <v>99.8</v>
      </c>
      <c r="AM798">
        <v>100.2675</v>
      </c>
      <c r="AN798">
        <v>100.3561</v>
      </c>
      <c r="AO798">
        <v>100.4477</v>
      </c>
      <c r="AP798">
        <v>100.84950000000001</v>
      </c>
      <c r="AQ798">
        <v>99.374589999999998</v>
      </c>
      <c r="AR798">
        <v>99.791730000000001</v>
      </c>
      <c r="AS798">
        <v>100.4537</v>
      </c>
      <c r="AT798">
        <v>100.88</v>
      </c>
      <c r="AU798">
        <v>100.2854</v>
      </c>
      <c r="AV798">
        <v>100.10169999999999</v>
      </c>
      <c r="AW798">
        <v>100.3325</v>
      </c>
      <c r="AX798">
        <v>99.651179999999997</v>
      </c>
    </row>
    <row r="799" spans="1:50" x14ac:dyDescent="0.35">
      <c r="A799" s="75">
        <v>42156</v>
      </c>
      <c r="B799">
        <v>100.49160000000001</v>
      </c>
      <c r="C799">
        <v>100.1065</v>
      </c>
      <c r="D799">
        <v>100.0063</v>
      </c>
      <c r="E799">
        <v>100.5004</v>
      </c>
      <c r="F799">
        <v>100.4636</v>
      </c>
      <c r="G799">
        <v>99.770290000000003</v>
      </c>
      <c r="H799">
        <v>99.5</v>
      </c>
      <c r="I799">
        <v>99.592100000000002</v>
      </c>
      <c r="J799">
        <v>100.4684</v>
      </c>
      <c r="K799">
        <v>100.5</v>
      </c>
      <c r="L799">
        <v>100.41670000000001</v>
      </c>
      <c r="M799">
        <v>100.3</v>
      </c>
      <c r="N799">
        <v>100.72</v>
      </c>
      <c r="O799">
        <v>101.1374</v>
      </c>
      <c r="P799">
        <v>100.8494</v>
      </c>
      <c r="Q799">
        <v>100.66</v>
      </c>
      <c r="R799">
        <v>100.03</v>
      </c>
      <c r="S799">
        <v>100.44</v>
      </c>
      <c r="T799">
        <v>100.1965</v>
      </c>
      <c r="U799">
        <v>100.5119</v>
      </c>
      <c r="V799">
        <v>100.1</v>
      </c>
      <c r="W799">
        <v>100.83759999999999</v>
      </c>
      <c r="X799">
        <v>100.9622</v>
      </c>
      <c r="Y799">
        <v>99.766099999999994</v>
      </c>
      <c r="Z799">
        <v>99.840609999999998</v>
      </c>
      <c r="AA799">
        <v>100.5731</v>
      </c>
      <c r="AB799">
        <v>100.2889</v>
      </c>
      <c r="AC799">
        <v>100.504</v>
      </c>
      <c r="AD799">
        <v>100.2791</v>
      </c>
      <c r="AE799">
        <v>100.1782</v>
      </c>
      <c r="AF799">
        <v>100.05070000000001</v>
      </c>
      <c r="AG799">
        <v>100.6425</v>
      </c>
      <c r="AH799">
        <v>100.64</v>
      </c>
      <c r="AI799">
        <v>101.107</v>
      </c>
      <c r="AJ799">
        <v>99.382279999999994</v>
      </c>
      <c r="AK799">
        <v>100.23</v>
      </c>
      <c r="AL799">
        <v>100.1</v>
      </c>
      <c r="AM799">
        <v>100.39790000000001</v>
      </c>
      <c r="AN799">
        <v>100.34699999999999</v>
      </c>
      <c r="AO799">
        <v>100.4477</v>
      </c>
      <c r="AP799">
        <v>100.7689</v>
      </c>
      <c r="AQ799">
        <v>99.563400000000001</v>
      </c>
      <c r="AR799">
        <v>99.936909999999997</v>
      </c>
      <c r="AS799">
        <v>100.5149</v>
      </c>
      <c r="AT799">
        <v>100.79</v>
      </c>
      <c r="AU799">
        <v>99.994950000000003</v>
      </c>
      <c r="AV799">
        <v>99.587459999999993</v>
      </c>
      <c r="AW799">
        <v>100.68389999999999</v>
      </c>
      <c r="AX799">
        <v>100.1913</v>
      </c>
    </row>
    <row r="800" spans="1:50" x14ac:dyDescent="0.35">
      <c r="A800" s="75">
        <v>42186</v>
      </c>
      <c r="B800">
        <v>100.0917</v>
      </c>
      <c r="C800">
        <v>100.1065</v>
      </c>
      <c r="D800">
        <v>100.6262</v>
      </c>
      <c r="E800">
        <v>100.57940000000001</v>
      </c>
      <c r="F800">
        <v>99.846270000000004</v>
      </c>
      <c r="G800">
        <v>100.18429999999999</v>
      </c>
      <c r="H800">
        <v>99.9</v>
      </c>
      <c r="I800">
        <v>99.779740000000004</v>
      </c>
      <c r="J800">
        <v>100.0371</v>
      </c>
      <c r="K800">
        <v>100.4</v>
      </c>
      <c r="L800">
        <v>100.6168</v>
      </c>
      <c r="M800">
        <v>100.2</v>
      </c>
      <c r="N800">
        <v>100.11</v>
      </c>
      <c r="O800">
        <v>100.1985</v>
      </c>
      <c r="P800">
        <v>100.4905</v>
      </c>
      <c r="Q800">
        <v>100.14</v>
      </c>
      <c r="R800">
        <v>99.81</v>
      </c>
      <c r="S800">
        <v>100.03</v>
      </c>
      <c r="T800">
        <v>100.33069999999999</v>
      </c>
      <c r="U800">
        <v>100.48560000000001</v>
      </c>
      <c r="V800">
        <v>100</v>
      </c>
      <c r="W800">
        <v>99.507779999999997</v>
      </c>
      <c r="X800">
        <v>100.9622</v>
      </c>
      <c r="Y800">
        <v>100.6962</v>
      </c>
      <c r="Z800">
        <v>100.6057</v>
      </c>
      <c r="AA800">
        <v>100.3738</v>
      </c>
      <c r="AB800">
        <v>100.4691</v>
      </c>
      <c r="AC800">
        <v>100.7056</v>
      </c>
      <c r="AD800">
        <v>100.18600000000001</v>
      </c>
      <c r="AE800">
        <v>100.07640000000001</v>
      </c>
      <c r="AF800">
        <v>100.23090000000001</v>
      </c>
      <c r="AG800">
        <v>100.1725</v>
      </c>
      <c r="AH800">
        <v>99.58</v>
      </c>
      <c r="AI800">
        <v>100.11579999999999</v>
      </c>
      <c r="AJ800">
        <v>99.527979999999999</v>
      </c>
      <c r="AK800">
        <v>101</v>
      </c>
      <c r="AL800">
        <v>100.1</v>
      </c>
      <c r="AM800">
        <v>100.3647</v>
      </c>
      <c r="AN800">
        <v>100.19280000000001</v>
      </c>
      <c r="AO800">
        <v>100.3663</v>
      </c>
      <c r="AP800">
        <v>100.0384</v>
      </c>
      <c r="AQ800">
        <v>100.3599</v>
      </c>
      <c r="AR800">
        <v>100.11320000000001</v>
      </c>
      <c r="AS800">
        <v>100.2702</v>
      </c>
      <c r="AT800">
        <v>99.99</v>
      </c>
      <c r="AU800">
        <v>100.0269</v>
      </c>
      <c r="AV800">
        <v>99.675730000000001</v>
      </c>
      <c r="AW800">
        <v>100.69070000000001</v>
      </c>
      <c r="AX800">
        <v>101.00149999999999</v>
      </c>
    </row>
    <row r="801" spans="1:50" x14ac:dyDescent="0.35">
      <c r="A801" s="75">
        <v>42217</v>
      </c>
      <c r="B801">
        <v>99.891679999999994</v>
      </c>
      <c r="C801">
        <v>100.1759</v>
      </c>
      <c r="D801">
        <v>100.8476</v>
      </c>
      <c r="E801">
        <v>100.57940000000001</v>
      </c>
      <c r="F801">
        <v>99.686179999999993</v>
      </c>
      <c r="G801">
        <v>100.8707</v>
      </c>
      <c r="H801">
        <v>100.4</v>
      </c>
      <c r="I801">
        <v>100.2611</v>
      </c>
      <c r="J801">
        <v>99.949979999999996</v>
      </c>
      <c r="K801">
        <v>100.2</v>
      </c>
      <c r="L801">
        <v>100.6168</v>
      </c>
      <c r="M801">
        <v>100</v>
      </c>
      <c r="N801">
        <v>100.12</v>
      </c>
      <c r="O801">
        <v>99.865560000000002</v>
      </c>
      <c r="P801">
        <v>100.1829</v>
      </c>
      <c r="Q801">
        <v>100.08</v>
      </c>
      <c r="R801">
        <v>99.99</v>
      </c>
      <c r="S801">
        <v>100.35</v>
      </c>
      <c r="T801">
        <v>100.45229999999999</v>
      </c>
      <c r="U801">
        <v>100.471</v>
      </c>
      <c r="V801">
        <v>100.3</v>
      </c>
      <c r="W801">
        <v>99.073009999999996</v>
      </c>
      <c r="X801">
        <v>100.37009999999999</v>
      </c>
      <c r="Y801">
        <v>101.0865</v>
      </c>
      <c r="Z801">
        <v>100.98820000000001</v>
      </c>
      <c r="AA801">
        <v>100.77249999999999</v>
      </c>
      <c r="AB801">
        <v>100.9982</v>
      </c>
      <c r="AC801">
        <v>100.504</v>
      </c>
      <c r="AD801">
        <v>100.3721</v>
      </c>
      <c r="AE801">
        <v>100.1782</v>
      </c>
      <c r="AF801">
        <v>100.3712</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101.1365</v>
      </c>
    </row>
    <row r="802" spans="1:50" x14ac:dyDescent="0.35">
      <c r="A802" s="75">
        <v>42248</v>
      </c>
      <c r="B802">
        <v>100.2916</v>
      </c>
      <c r="C802">
        <v>100.2453</v>
      </c>
      <c r="D802">
        <v>101.3921</v>
      </c>
      <c r="E802">
        <v>100.42140000000001</v>
      </c>
      <c r="F802">
        <v>99.785219999999995</v>
      </c>
      <c r="G802">
        <v>101.3828</v>
      </c>
      <c r="H802">
        <v>100.5</v>
      </c>
      <c r="I802">
        <v>100.979</v>
      </c>
      <c r="J802">
        <v>99.685379999999995</v>
      </c>
      <c r="K802">
        <v>100</v>
      </c>
      <c r="L802">
        <v>100.41670000000001</v>
      </c>
      <c r="M802">
        <v>100.2</v>
      </c>
      <c r="N802">
        <v>100.32</v>
      </c>
      <c r="O802">
        <v>99.558319999999995</v>
      </c>
      <c r="P802">
        <v>99.618889999999993</v>
      </c>
      <c r="Q802">
        <v>100.24</v>
      </c>
      <c r="R802">
        <v>100.13</v>
      </c>
      <c r="S802">
        <v>99.95</v>
      </c>
      <c r="T802">
        <v>100.5968</v>
      </c>
      <c r="U802">
        <v>100.3201</v>
      </c>
      <c r="V802">
        <v>100.2</v>
      </c>
      <c r="W802">
        <v>100.8563</v>
      </c>
      <c r="X802">
        <v>99.70393</v>
      </c>
      <c r="Y802">
        <v>101.03660000000001</v>
      </c>
      <c r="Z802">
        <v>101.7533</v>
      </c>
      <c r="AA802">
        <v>100.2741</v>
      </c>
      <c r="AB802">
        <v>100.6067</v>
      </c>
      <c r="AC802">
        <v>100.10080000000001</v>
      </c>
      <c r="AD802">
        <v>100</v>
      </c>
      <c r="AE802">
        <v>100.28</v>
      </c>
      <c r="AF802">
        <v>100.1108</v>
      </c>
      <c r="AG802">
        <v>99.951499999999996</v>
      </c>
      <c r="AH802">
        <v>100.38</v>
      </c>
      <c r="AI802">
        <v>99.442530000000005</v>
      </c>
      <c r="AJ802">
        <v>100.1116</v>
      </c>
      <c r="AK802">
        <v>100.5</v>
      </c>
      <c r="AL802">
        <v>100.6</v>
      </c>
      <c r="AM802">
        <v>100.3013</v>
      </c>
      <c r="AN802">
        <v>100.1896</v>
      </c>
      <c r="AO802">
        <v>99.633700000000005</v>
      </c>
      <c r="AP802">
        <v>100.4892</v>
      </c>
      <c r="AQ802">
        <v>101.2852</v>
      </c>
      <c r="AR802">
        <v>100.248</v>
      </c>
      <c r="AS802">
        <v>99.780779999999993</v>
      </c>
      <c r="AT802">
        <v>100.03</v>
      </c>
      <c r="AU802">
        <v>100.22790000000001</v>
      </c>
      <c r="AV802">
        <v>100.96899999999999</v>
      </c>
      <c r="AW802">
        <v>100.39149999999999</v>
      </c>
      <c r="AX802">
        <v>101.1365</v>
      </c>
    </row>
    <row r="803" spans="1:50" x14ac:dyDescent="0.35">
      <c r="A803" s="75">
        <v>42278</v>
      </c>
      <c r="B803">
        <v>100.1917</v>
      </c>
      <c r="C803">
        <v>100.59220000000001</v>
      </c>
      <c r="D803">
        <v>102.2234</v>
      </c>
      <c r="E803">
        <v>100.5004</v>
      </c>
      <c r="F803">
        <v>99.868219999999994</v>
      </c>
      <c r="G803">
        <v>101.79689999999999</v>
      </c>
      <c r="H803">
        <v>100.1</v>
      </c>
      <c r="I803">
        <v>101.66419999999999</v>
      </c>
      <c r="J803">
        <v>99.404640000000001</v>
      </c>
      <c r="K803">
        <v>100</v>
      </c>
      <c r="L803">
        <v>100.41670000000001</v>
      </c>
      <c r="M803">
        <v>100.1</v>
      </c>
      <c r="N803">
        <v>100.45</v>
      </c>
      <c r="O803">
        <v>100.1964</v>
      </c>
      <c r="P803">
        <v>99.721429999999998</v>
      </c>
      <c r="Q803">
        <v>100.35</v>
      </c>
      <c r="R803">
        <v>100.29</v>
      </c>
      <c r="S803">
        <v>100.01</v>
      </c>
      <c r="T803">
        <v>100.79049999999999</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100.1108</v>
      </c>
      <c r="AG803">
        <v>100.4212</v>
      </c>
      <c r="AH803">
        <v>100.2</v>
      </c>
      <c r="AI803">
        <v>99.743939999999995</v>
      </c>
      <c r="AJ803">
        <v>100.6267</v>
      </c>
      <c r="AK803">
        <v>100.41</v>
      </c>
      <c r="AL803">
        <v>101</v>
      </c>
      <c r="AM803">
        <v>100.41540000000001</v>
      </c>
      <c r="AN803">
        <v>100.4383</v>
      </c>
      <c r="AO803">
        <v>99.715100000000007</v>
      </c>
      <c r="AP803">
        <v>100.5788</v>
      </c>
      <c r="AQ803">
        <v>102.0347</v>
      </c>
      <c r="AR803">
        <v>100.4451</v>
      </c>
      <c r="AS803">
        <v>99.84196</v>
      </c>
      <c r="AT803">
        <v>100.06</v>
      </c>
      <c r="AU803">
        <v>100.3013</v>
      </c>
      <c r="AV803">
        <v>102.5385</v>
      </c>
      <c r="AW803">
        <v>100.3464</v>
      </c>
      <c r="AX803">
        <v>101.40649999999999</v>
      </c>
    </row>
    <row r="804" spans="1:50" x14ac:dyDescent="0.35">
      <c r="A804" s="75">
        <v>42309</v>
      </c>
      <c r="B804">
        <v>100.2916</v>
      </c>
      <c r="C804">
        <v>100.7012</v>
      </c>
      <c r="D804">
        <v>103.25579999999999</v>
      </c>
      <c r="E804">
        <v>100.42140000000001</v>
      </c>
      <c r="F804">
        <v>99.796239999999997</v>
      </c>
      <c r="G804">
        <v>101.7642</v>
      </c>
      <c r="H804">
        <v>100.1</v>
      </c>
      <c r="I804">
        <v>102.2761</v>
      </c>
      <c r="J804">
        <v>99.394970000000001</v>
      </c>
      <c r="K804">
        <v>99.6</v>
      </c>
      <c r="L804">
        <v>99.716620000000006</v>
      </c>
      <c r="M804">
        <v>99.9</v>
      </c>
      <c r="N804">
        <v>100.01</v>
      </c>
      <c r="O804">
        <v>100.5625</v>
      </c>
      <c r="P804">
        <v>99.424059999999997</v>
      </c>
      <c r="Q804">
        <v>99.97</v>
      </c>
      <c r="R804">
        <v>100.11</v>
      </c>
      <c r="S804">
        <v>99.82</v>
      </c>
      <c r="T804">
        <v>100.7861</v>
      </c>
      <c r="U804">
        <v>100.0518</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99.921030000000002</v>
      </c>
      <c r="AG804">
        <v>100.6948</v>
      </c>
      <c r="AH804">
        <v>100.26</v>
      </c>
      <c r="AI804">
        <v>99.730819999999994</v>
      </c>
      <c r="AJ804">
        <v>101.17610000000001</v>
      </c>
      <c r="AK804">
        <v>99.85</v>
      </c>
      <c r="AL804">
        <v>101.3</v>
      </c>
      <c r="AM804">
        <v>100.2621</v>
      </c>
      <c r="AN804">
        <v>100.2916</v>
      </c>
      <c r="AO804">
        <v>99.633700000000005</v>
      </c>
      <c r="AP804">
        <v>100.3807</v>
      </c>
      <c r="AQ804">
        <v>102.8</v>
      </c>
      <c r="AR804">
        <v>100.57989999999999</v>
      </c>
      <c r="AS804">
        <v>99.84196</v>
      </c>
      <c r="AT804">
        <v>100.19</v>
      </c>
      <c r="AU804">
        <v>100.129</v>
      </c>
      <c r="AV804">
        <v>103.2216</v>
      </c>
      <c r="AW804">
        <v>100.13460000000001</v>
      </c>
      <c r="AX804">
        <v>101.5416</v>
      </c>
    </row>
    <row r="805" spans="1:50" x14ac:dyDescent="0.35">
      <c r="A805" s="75">
        <v>42339</v>
      </c>
      <c r="B805">
        <v>100.69159999999999</v>
      </c>
      <c r="C805">
        <v>100.5723</v>
      </c>
      <c r="D805">
        <v>104.247</v>
      </c>
      <c r="E805">
        <v>99.947329999999994</v>
      </c>
      <c r="F805">
        <v>99.386259999999993</v>
      </c>
      <c r="G805">
        <v>101.77509999999999</v>
      </c>
      <c r="H805">
        <v>100.6</v>
      </c>
      <c r="I805">
        <v>102.91240000000001</v>
      </c>
      <c r="J805">
        <v>99.579970000000003</v>
      </c>
      <c r="K805">
        <v>99.5</v>
      </c>
      <c r="L805">
        <v>99.716620000000006</v>
      </c>
      <c r="M805">
        <v>99.8</v>
      </c>
      <c r="N805">
        <v>100.03</v>
      </c>
      <c r="O805">
        <v>100.26909999999999</v>
      </c>
      <c r="P805">
        <v>98.696010000000001</v>
      </c>
      <c r="Q805">
        <v>99.97</v>
      </c>
      <c r="R805">
        <v>99.99</v>
      </c>
      <c r="S805">
        <v>100.04</v>
      </c>
      <c r="T805">
        <v>100.8515</v>
      </c>
      <c r="U805">
        <v>99.863820000000004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100.2204</v>
      </c>
      <c r="AG805">
        <v>100.3518</v>
      </c>
      <c r="AH805">
        <v>99.91</v>
      </c>
      <c r="AI805">
        <v>99.404300000000006</v>
      </c>
      <c r="AJ805">
        <v>101.5883</v>
      </c>
      <c r="AK805">
        <v>99.73</v>
      </c>
      <c r="AL805">
        <v>100.9</v>
      </c>
      <c r="AM805">
        <v>100.1463</v>
      </c>
      <c r="AN805">
        <v>100.294</v>
      </c>
      <c r="AO805">
        <v>99.4709</v>
      </c>
      <c r="AP805">
        <v>100.119</v>
      </c>
      <c r="AQ805">
        <v>103.5916</v>
      </c>
      <c r="AR805">
        <v>100.5902</v>
      </c>
      <c r="AS805">
        <v>99.536069999999995</v>
      </c>
      <c r="AT805">
        <v>99.75</v>
      </c>
      <c r="AU805">
        <v>100.2758</v>
      </c>
      <c r="AV805">
        <v>103.4365</v>
      </c>
      <c r="AW805">
        <v>99.792420000000007</v>
      </c>
      <c r="AX805">
        <v>101.8116</v>
      </c>
    </row>
    <row r="806" spans="1:50" x14ac:dyDescent="0.35">
      <c r="A806" s="75">
        <v>42370</v>
      </c>
      <c r="B806">
        <v>99.791690000000003</v>
      </c>
      <c r="C806">
        <v>100.6814</v>
      </c>
      <c r="D806">
        <v>105.57089999999999</v>
      </c>
      <c r="E806">
        <v>100.1844</v>
      </c>
      <c r="F806">
        <v>99.000129999999999</v>
      </c>
      <c r="G806">
        <v>102.25449999999999</v>
      </c>
      <c r="H806">
        <v>101.1</v>
      </c>
      <c r="I806">
        <v>104.24209999999999</v>
      </c>
      <c r="J806">
        <v>100.2565</v>
      </c>
      <c r="K806">
        <v>100.1</v>
      </c>
      <c r="L806">
        <v>99.016499999999994</v>
      </c>
      <c r="M806">
        <v>99.4</v>
      </c>
      <c r="N806">
        <v>98.56</v>
      </c>
      <c r="O806">
        <v>98.356110000000001</v>
      </c>
      <c r="P806">
        <v>98.59348</v>
      </c>
      <c r="Q806">
        <v>98.71</v>
      </c>
      <c r="R806">
        <v>99.57</v>
      </c>
      <c r="S806">
        <v>99.08</v>
      </c>
      <c r="T806">
        <v>100.8673</v>
      </c>
      <c r="U806">
        <v>99.746440000000007</v>
      </c>
      <c r="V806">
        <v>99.9</v>
      </c>
      <c r="W806">
        <v>98.140090000000001</v>
      </c>
      <c r="X806">
        <v>99.555890000000005</v>
      </c>
      <c r="Y806">
        <v>102.6559</v>
      </c>
      <c r="Z806">
        <v>102.90089999999999</v>
      </c>
      <c r="AA806">
        <v>98.878649999999993</v>
      </c>
      <c r="AB806">
        <v>100.0573</v>
      </c>
      <c r="AC806">
        <v>99.193550000000002</v>
      </c>
      <c r="AD806">
        <v>99.6</v>
      </c>
      <c r="AE806">
        <v>99.465519999999998</v>
      </c>
      <c r="AF806">
        <v>100.3912</v>
      </c>
      <c r="AG806">
        <v>100.0147</v>
      </c>
      <c r="AH806">
        <v>98.71</v>
      </c>
      <c r="AI806">
        <v>98.846100000000007</v>
      </c>
      <c r="AJ806">
        <v>101.9757</v>
      </c>
      <c r="AK806">
        <v>98.71</v>
      </c>
      <c r="AL806">
        <v>101.5</v>
      </c>
      <c r="AM806">
        <v>100.0505</v>
      </c>
      <c r="AN806">
        <v>99.823040000000006</v>
      </c>
      <c r="AO806">
        <v>98.982500000000002</v>
      </c>
      <c r="AP806">
        <v>99.081019999999995</v>
      </c>
      <c r="AQ806">
        <v>104.586</v>
      </c>
      <c r="AR806">
        <v>101.928</v>
      </c>
      <c r="AS806">
        <v>99.291359999999997</v>
      </c>
      <c r="AT806">
        <v>98.38</v>
      </c>
      <c r="AU806">
        <v>99.931120000000007</v>
      </c>
      <c r="AV806">
        <v>105.3169</v>
      </c>
      <c r="AW806">
        <v>99.957390000000004</v>
      </c>
      <c r="AX806">
        <v>102.62179999999999</v>
      </c>
    </row>
    <row r="807" spans="1:50" x14ac:dyDescent="0.35">
      <c r="A807" s="75">
        <v>42401</v>
      </c>
      <c r="B807">
        <v>99.891679999999994</v>
      </c>
      <c r="C807">
        <v>100.74079999999999</v>
      </c>
      <c r="D807">
        <v>106.521</v>
      </c>
      <c r="E807">
        <v>100.42140000000001</v>
      </c>
      <c r="F807">
        <v>99.183880000000002</v>
      </c>
      <c r="G807">
        <v>102.5378</v>
      </c>
      <c r="H807">
        <v>102.7</v>
      </c>
      <c r="I807">
        <v>105.5719</v>
      </c>
      <c r="J807">
        <v>100.23180000000001</v>
      </c>
      <c r="K807">
        <v>100.2</v>
      </c>
      <c r="L807">
        <v>99.316550000000007</v>
      </c>
      <c r="M807">
        <v>100.1</v>
      </c>
      <c r="N807">
        <v>98.73</v>
      </c>
      <c r="O807">
        <v>98.009259999999998</v>
      </c>
      <c r="P807">
        <v>99.259990000000002</v>
      </c>
      <c r="Q807">
        <v>98.85</v>
      </c>
      <c r="R807">
        <v>99.7</v>
      </c>
      <c r="S807">
        <v>99.33</v>
      </c>
      <c r="T807">
        <v>101.1814</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100.82129999999999</v>
      </c>
      <c r="AG807">
        <v>99.694800000000001</v>
      </c>
      <c r="AH807">
        <v>100.01</v>
      </c>
      <c r="AI807">
        <v>98.913920000000005</v>
      </c>
      <c r="AJ807">
        <v>102.4222</v>
      </c>
      <c r="AK807">
        <v>99.3</v>
      </c>
      <c r="AL807">
        <v>102.1</v>
      </c>
      <c r="AM807">
        <v>100.1828</v>
      </c>
      <c r="AN807">
        <v>99.920090000000002</v>
      </c>
      <c r="AO807">
        <v>98.9011</v>
      </c>
      <c r="AP807">
        <v>98.637169999999998</v>
      </c>
      <c r="AQ807">
        <v>105.2449</v>
      </c>
      <c r="AR807">
        <v>102.0732</v>
      </c>
      <c r="AS807">
        <v>99.352540000000005</v>
      </c>
      <c r="AT807">
        <v>98.42</v>
      </c>
      <c r="AU807">
        <v>100.2534</v>
      </c>
      <c r="AV807">
        <v>105.29389999999999</v>
      </c>
      <c r="AW807">
        <v>100.0397</v>
      </c>
      <c r="AX807">
        <v>104.1071</v>
      </c>
    </row>
    <row r="808" spans="1:50" x14ac:dyDescent="0.35">
      <c r="A808" s="75">
        <v>42430</v>
      </c>
      <c r="B808">
        <v>100.69159999999999</v>
      </c>
      <c r="C808">
        <v>101.65260000000001</v>
      </c>
      <c r="D808">
        <v>106.9789</v>
      </c>
      <c r="E808">
        <v>101.0535</v>
      </c>
      <c r="F808">
        <v>99.475070000000002</v>
      </c>
      <c r="G808">
        <v>102.93</v>
      </c>
      <c r="H808">
        <v>102.2</v>
      </c>
      <c r="I808">
        <v>106.5671</v>
      </c>
      <c r="J808">
        <v>99.321820000000002</v>
      </c>
      <c r="K808">
        <v>100.1</v>
      </c>
      <c r="L808">
        <v>100.0167</v>
      </c>
      <c r="M808">
        <v>100.2</v>
      </c>
      <c r="N808">
        <v>99.96</v>
      </c>
      <c r="O808">
        <v>98.637659999999997</v>
      </c>
      <c r="P808">
        <v>100.08029999999999</v>
      </c>
      <c r="Q808">
        <v>99.89</v>
      </c>
      <c r="R808">
        <v>100.08</v>
      </c>
      <c r="S808">
        <v>100.02</v>
      </c>
      <c r="T808">
        <v>101.53360000000001</v>
      </c>
      <c r="U808">
        <v>100.27460000000001</v>
      </c>
      <c r="V808">
        <v>100.4</v>
      </c>
      <c r="W808">
        <v>99.040649999999999</v>
      </c>
      <c r="X808">
        <v>99.481859999999998</v>
      </c>
      <c r="Y808">
        <v>102.76390000000001</v>
      </c>
      <c r="Z808">
        <v>102.5183</v>
      </c>
      <c r="AA808">
        <v>99.676060000000007</v>
      </c>
      <c r="AB808">
        <v>101.1153</v>
      </c>
      <c r="AC808">
        <v>98.689509999999999</v>
      </c>
      <c r="AD808">
        <v>99.6</v>
      </c>
      <c r="AE808">
        <v>99.669129999999996</v>
      </c>
      <c r="AF808">
        <v>100.5609</v>
      </c>
      <c r="AG808">
        <v>100.71120000000001</v>
      </c>
      <c r="AH808">
        <v>100.03</v>
      </c>
      <c r="AI808">
        <v>99.641400000000004</v>
      </c>
      <c r="AJ808">
        <v>102.5731</v>
      </c>
      <c r="AK808">
        <v>100.31</v>
      </c>
      <c r="AL808">
        <v>102.5</v>
      </c>
      <c r="AM808">
        <v>100.56870000000001</v>
      </c>
      <c r="AN808">
        <v>100.40049999999999</v>
      </c>
      <c r="AO808">
        <v>98.982500000000002</v>
      </c>
      <c r="AP808">
        <v>100.54689999999999</v>
      </c>
      <c r="AQ808">
        <v>105.729</v>
      </c>
      <c r="AR808">
        <v>102.1872</v>
      </c>
      <c r="AS808">
        <v>99.352540000000005</v>
      </c>
      <c r="AT808">
        <v>99.15</v>
      </c>
      <c r="AU808">
        <v>100.7513</v>
      </c>
      <c r="AV808">
        <v>105.2516</v>
      </c>
      <c r="AW808">
        <v>100.4704</v>
      </c>
      <c r="AX808">
        <v>104.9173</v>
      </c>
    </row>
    <row r="809" spans="1:50" x14ac:dyDescent="0.35">
      <c r="A809" s="75">
        <v>42461</v>
      </c>
      <c r="B809">
        <v>100.69159999999999</v>
      </c>
      <c r="C809">
        <v>101.831</v>
      </c>
      <c r="D809">
        <v>107.63160000000001</v>
      </c>
      <c r="E809">
        <v>101.3695</v>
      </c>
      <c r="F809">
        <v>99.804159999999996</v>
      </c>
      <c r="G809">
        <v>103.2677</v>
      </c>
      <c r="H809">
        <v>102</v>
      </c>
      <c r="I809">
        <v>107.09739999999999</v>
      </c>
      <c r="J809">
        <v>99.413250000000005</v>
      </c>
      <c r="K809">
        <v>100.7</v>
      </c>
      <c r="L809">
        <v>100.11669999999999</v>
      </c>
      <c r="M809">
        <v>100.3</v>
      </c>
      <c r="N809">
        <v>100.17</v>
      </c>
      <c r="O809">
        <v>99.329220000000007</v>
      </c>
      <c r="P809">
        <v>100.0291</v>
      </c>
      <c r="Q809">
        <v>100.12</v>
      </c>
      <c r="R809">
        <v>100.37</v>
      </c>
      <c r="S809">
        <v>100.09</v>
      </c>
      <c r="T809">
        <v>101.85169999999999</v>
      </c>
      <c r="U809">
        <v>100.60080000000001</v>
      </c>
      <c r="V809">
        <v>100.6</v>
      </c>
      <c r="W809">
        <v>99.775580000000005</v>
      </c>
      <c r="X809">
        <v>100.2961</v>
      </c>
      <c r="Y809">
        <v>102.2989</v>
      </c>
      <c r="Z809">
        <v>103.66589999999999</v>
      </c>
      <c r="AA809">
        <v>99.875399999999999</v>
      </c>
      <c r="AB809">
        <v>101.32089999999999</v>
      </c>
      <c r="AC809">
        <v>99.092740000000006</v>
      </c>
      <c r="AD809">
        <v>99.5</v>
      </c>
      <c r="AE809">
        <v>99.872739999999993</v>
      </c>
      <c r="AF809">
        <v>100.75069999999999</v>
      </c>
      <c r="AG809">
        <v>101.239</v>
      </c>
      <c r="AH809">
        <v>100.1</v>
      </c>
      <c r="AI809">
        <v>99.991259999999997</v>
      </c>
      <c r="AJ809">
        <v>102.2483</v>
      </c>
      <c r="AK809">
        <v>100.4</v>
      </c>
      <c r="AL809">
        <v>102.9</v>
      </c>
      <c r="AM809">
        <v>100.88979999999999</v>
      </c>
      <c r="AN809">
        <v>100.6506</v>
      </c>
      <c r="AO809">
        <v>99.308099999999996</v>
      </c>
      <c r="AP809">
        <v>100.89919999999999</v>
      </c>
      <c r="AQ809">
        <v>106.1943</v>
      </c>
      <c r="AR809">
        <v>102.1872</v>
      </c>
      <c r="AS809">
        <v>99.658420000000007</v>
      </c>
      <c r="AT809">
        <v>99.54</v>
      </c>
      <c r="AU809">
        <v>100.73220000000001</v>
      </c>
      <c r="AV809">
        <v>106.0767</v>
      </c>
      <c r="AW809">
        <v>100.9468</v>
      </c>
      <c r="AX809">
        <v>105.9975</v>
      </c>
    </row>
    <row r="810" spans="1:50" x14ac:dyDescent="0.35">
      <c r="A810" s="75">
        <v>42491</v>
      </c>
      <c r="B810">
        <v>100.99160000000001</v>
      </c>
      <c r="C810">
        <v>102.158</v>
      </c>
      <c r="D810">
        <v>108.471</v>
      </c>
      <c r="E810">
        <v>101.7645</v>
      </c>
      <c r="F810">
        <v>99.948210000000003</v>
      </c>
      <c r="G810">
        <v>103.4966</v>
      </c>
      <c r="H810">
        <v>101.6</v>
      </c>
      <c r="I810">
        <v>107.64400000000001</v>
      </c>
      <c r="J810">
        <v>99.605779999999996</v>
      </c>
      <c r="K810">
        <v>100.5</v>
      </c>
      <c r="L810">
        <v>100.6168</v>
      </c>
      <c r="M810">
        <v>100.5</v>
      </c>
      <c r="N810">
        <v>100.59</v>
      </c>
      <c r="O810">
        <v>99.871979999999994</v>
      </c>
      <c r="P810">
        <v>100.08029999999999</v>
      </c>
      <c r="Q810">
        <v>100.49</v>
      </c>
      <c r="R810">
        <v>100.34</v>
      </c>
      <c r="S810">
        <v>100.5</v>
      </c>
      <c r="T810">
        <v>102.1891</v>
      </c>
      <c r="U810">
        <v>100.95780000000001</v>
      </c>
      <c r="V810">
        <v>100.8</v>
      </c>
      <c r="W810">
        <v>99.328479999999999</v>
      </c>
      <c r="X810">
        <v>100.59220000000001</v>
      </c>
      <c r="Y810">
        <v>102.5397</v>
      </c>
      <c r="Z810">
        <v>105.196</v>
      </c>
      <c r="AA810">
        <v>100.3738</v>
      </c>
      <c r="AB810">
        <v>101.7354</v>
      </c>
      <c r="AC810">
        <v>99.395160000000004</v>
      </c>
      <c r="AD810">
        <v>99.8</v>
      </c>
      <c r="AE810">
        <v>99.974549999999994</v>
      </c>
      <c r="AF810">
        <v>100.8107</v>
      </c>
      <c r="AG810">
        <v>101.2299</v>
      </c>
      <c r="AH810">
        <v>100.42</v>
      </c>
      <c r="AI810">
        <v>100.57510000000001</v>
      </c>
      <c r="AJ810">
        <v>101.7923</v>
      </c>
      <c r="AK810">
        <v>100.58</v>
      </c>
      <c r="AL810">
        <v>103.2</v>
      </c>
      <c r="AM810">
        <v>101.18899999999999</v>
      </c>
      <c r="AN810">
        <v>100.9871</v>
      </c>
      <c r="AO810">
        <v>99.389499999999998</v>
      </c>
      <c r="AP810">
        <v>101.1849</v>
      </c>
      <c r="AQ810">
        <v>106.6297</v>
      </c>
      <c r="AR810">
        <v>102.125</v>
      </c>
      <c r="AS810">
        <v>99.597239999999999</v>
      </c>
      <c r="AT810">
        <v>100.48</v>
      </c>
      <c r="AU810">
        <v>100.9141</v>
      </c>
      <c r="AV810">
        <v>106.69070000000001</v>
      </c>
      <c r="AW810">
        <v>101.3552</v>
      </c>
      <c r="AX810">
        <v>106.1326</v>
      </c>
    </row>
    <row r="811" spans="1:50" x14ac:dyDescent="0.35">
      <c r="A811" s="75">
        <v>42522</v>
      </c>
      <c r="B811">
        <v>101.0916</v>
      </c>
      <c r="C811">
        <v>102.267</v>
      </c>
      <c r="D811">
        <v>108.8506</v>
      </c>
      <c r="E811">
        <v>102.0016</v>
      </c>
      <c r="F811">
        <v>100.0878</v>
      </c>
      <c r="G811">
        <v>103.96510000000001</v>
      </c>
      <c r="H811">
        <v>101.4</v>
      </c>
      <c r="I811">
        <v>108.1579</v>
      </c>
      <c r="J811">
        <v>99.585350000000005</v>
      </c>
      <c r="K811">
        <v>100.6</v>
      </c>
      <c r="L811">
        <v>100.71680000000001</v>
      </c>
      <c r="M811">
        <v>100.6</v>
      </c>
      <c r="N811">
        <v>100.77</v>
      </c>
      <c r="O811">
        <v>100.3334</v>
      </c>
      <c r="P811">
        <v>100.4392</v>
      </c>
      <c r="Q811">
        <v>100.66</v>
      </c>
      <c r="R811">
        <v>100.39</v>
      </c>
      <c r="S811">
        <v>100.63</v>
      </c>
      <c r="T811">
        <v>102.4207</v>
      </c>
      <c r="U811">
        <v>101.1771</v>
      </c>
      <c r="V811">
        <v>101</v>
      </c>
      <c r="W811">
        <v>100.1207</v>
      </c>
      <c r="X811">
        <v>100.8142</v>
      </c>
      <c r="Y811">
        <v>103.2123</v>
      </c>
      <c r="Z811">
        <v>105.9611</v>
      </c>
      <c r="AA811">
        <v>101.0715</v>
      </c>
      <c r="AB811">
        <v>101.9228</v>
      </c>
      <c r="AC811">
        <v>99.697580000000002</v>
      </c>
      <c r="AD811">
        <v>99.9</v>
      </c>
      <c r="AE811">
        <v>99.872739999999993</v>
      </c>
      <c r="AF811">
        <v>100.7907</v>
      </c>
      <c r="AG811">
        <v>101.3439</v>
      </c>
      <c r="AH811">
        <v>100.66</v>
      </c>
      <c r="AI811">
        <v>100.5643</v>
      </c>
      <c r="AJ811">
        <v>101.9046</v>
      </c>
      <c r="AK811">
        <v>100.26</v>
      </c>
      <c r="AL811">
        <v>103.8</v>
      </c>
      <c r="AM811">
        <v>101.4068</v>
      </c>
      <c r="AN811">
        <v>101.18340000000001</v>
      </c>
      <c r="AO811">
        <v>99.552300000000002</v>
      </c>
      <c r="AP811">
        <v>101.3192</v>
      </c>
      <c r="AQ811">
        <v>107.01349999999999</v>
      </c>
      <c r="AR811">
        <v>102.19759999999999</v>
      </c>
      <c r="AS811">
        <v>99.7196</v>
      </c>
      <c r="AT811">
        <v>101.03</v>
      </c>
      <c r="AU811">
        <v>101.0194</v>
      </c>
      <c r="AV811">
        <v>107.1934</v>
      </c>
      <c r="AW811">
        <v>101.68810000000001</v>
      </c>
      <c r="AX811">
        <v>106.67270000000001</v>
      </c>
    </row>
    <row r="812" spans="1:50" x14ac:dyDescent="0.35">
      <c r="A812" s="75">
        <v>42552</v>
      </c>
      <c r="B812">
        <v>100.69159999999999</v>
      </c>
      <c r="C812">
        <v>102.386</v>
      </c>
      <c r="D812">
        <v>109.41670000000001</v>
      </c>
      <c r="E812">
        <v>101.8436</v>
      </c>
      <c r="F812">
        <v>99.643680000000003</v>
      </c>
      <c r="G812">
        <v>104.2157</v>
      </c>
      <c r="H812">
        <v>101.6</v>
      </c>
      <c r="I812">
        <v>108.7208</v>
      </c>
      <c r="J812">
        <v>100.5125</v>
      </c>
      <c r="K812">
        <v>100.9</v>
      </c>
      <c r="L812">
        <v>101.1169</v>
      </c>
      <c r="M812">
        <v>100.5</v>
      </c>
      <c r="N812">
        <v>100.28</v>
      </c>
      <c r="O812">
        <v>99.603279999999998</v>
      </c>
      <c r="P812">
        <v>100.4392</v>
      </c>
      <c r="Q812">
        <v>100.24</v>
      </c>
      <c r="R812">
        <v>100.32</v>
      </c>
      <c r="S812">
        <v>100.25</v>
      </c>
      <c r="T812">
        <v>102.5356</v>
      </c>
      <c r="U812">
        <v>101.0689</v>
      </c>
      <c r="V812">
        <v>100.9</v>
      </c>
      <c r="W812">
        <v>98.469549999999998</v>
      </c>
      <c r="X812">
        <v>100.59220000000001</v>
      </c>
      <c r="Y812">
        <v>103.9265</v>
      </c>
      <c r="Z812">
        <v>107.1087</v>
      </c>
      <c r="AA812">
        <v>100.87220000000001</v>
      </c>
      <c r="AB812">
        <v>101.6067</v>
      </c>
      <c r="AC812">
        <v>100.10080000000001</v>
      </c>
      <c r="AD812">
        <v>100.1</v>
      </c>
      <c r="AE812">
        <v>99.669129999999996</v>
      </c>
      <c r="AF812">
        <v>100.601</v>
      </c>
      <c r="AG812">
        <v>100.63379999999999</v>
      </c>
      <c r="AH812">
        <v>99.55</v>
      </c>
      <c r="AI812">
        <v>100.23869999999999</v>
      </c>
      <c r="AJ812">
        <v>102.1703</v>
      </c>
      <c r="AK812">
        <v>100.76</v>
      </c>
      <c r="AL812">
        <v>104.5</v>
      </c>
      <c r="AM812">
        <v>101.36109999999999</v>
      </c>
      <c r="AN812">
        <v>101.2092</v>
      </c>
      <c r="AO812">
        <v>99.226699999999994</v>
      </c>
      <c r="AP812">
        <v>100.6494</v>
      </c>
      <c r="AQ812">
        <v>107.59139999999999</v>
      </c>
      <c r="AR812">
        <v>102.37390000000001</v>
      </c>
      <c r="AS812">
        <v>99.352540000000005</v>
      </c>
      <c r="AT812">
        <v>100.2</v>
      </c>
      <c r="AU812">
        <v>101.08</v>
      </c>
      <c r="AV812">
        <v>108.4406</v>
      </c>
      <c r="AW812">
        <v>101.5235</v>
      </c>
      <c r="AX812">
        <v>107.61790000000001</v>
      </c>
    </row>
    <row r="813" spans="1:50" x14ac:dyDescent="0.35">
      <c r="A813" s="75">
        <v>42583</v>
      </c>
      <c r="B813">
        <v>100.49160000000001</v>
      </c>
      <c r="C813">
        <v>102.3364</v>
      </c>
      <c r="D813">
        <v>109.8981</v>
      </c>
      <c r="E813">
        <v>101.6855</v>
      </c>
      <c r="F813">
        <v>99.543539999999993</v>
      </c>
      <c r="G813">
        <v>104.2701</v>
      </c>
      <c r="H813">
        <v>101.7</v>
      </c>
      <c r="I813">
        <v>108.37820000000001</v>
      </c>
      <c r="J813">
        <v>100.5448</v>
      </c>
      <c r="K813">
        <v>100.8</v>
      </c>
      <c r="L813">
        <v>101.0168</v>
      </c>
      <c r="M813">
        <v>100.2</v>
      </c>
      <c r="N813">
        <v>100.34</v>
      </c>
      <c r="O813">
        <v>99.731740000000002</v>
      </c>
      <c r="P813">
        <v>100.4905</v>
      </c>
      <c r="Q813">
        <v>100.25</v>
      </c>
      <c r="R813">
        <v>100.37</v>
      </c>
      <c r="S813">
        <v>100.58</v>
      </c>
      <c r="T813">
        <v>102.5363</v>
      </c>
      <c r="U813">
        <v>101.15860000000001</v>
      </c>
      <c r="V813">
        <v>101.2</v>
      </c>
      <c r="W813">
        <v>98.133889999999994</v>
      </c>
      <c r="X813">
        <v>100.2221</v>
      </c>
      <c r="Y813">
        <v>103.90989999999999</v>
      </c>
      <c r="Z813">
        <v>106.3436</v>
      </c>
      <c r="AA813">
        <v>100.6728</v>
      </c>
      <c r="AB813">
        <v>101.9665</v>
      </c>
      <c r="AC813">
        <v>99.798389999999998</v>
      </c>
      <c r="AD813">
        <v>100.3</v>
      </c>
      <c r="AE813">
        <v>99.669129999999996</v>
      </c>
      <c r="AF813">
        <v>100.8603</v>
      </c>
      <c r="AG813">
        <v>100.16289999999999</v>
      </c>
      <c r="AH813">
        <v>100.7</v>
      </c>
      <c r="AI813">
        <v>99.559209999999993</v>
      </c>
      <c r="AJ813">
        <v>102.45820000000001</v>
      </c>
      <c r="AK813">
        <v>100.88</v>
      </c>
      <c r="AL813">
        <v>103.9</v>
      </c>
      <c r="AM813">
        <v>101.4182</v>
      </c>
      <c r="AN813">
        <v>101.2377</v>
      </c>
      <c r="AO813">
        <v>99.063900000000004</v>
      </c>
      <c r="AP813">
        <v>100.42449999999999</v>
      </c>
      <c r="AQ813">
        <v>107.6022</v>
      </c>
      <c r="AR813">
        <v>102.1561</v>
      </c>
      <c r="AS813">
        <v>99.230180000000004</v>
      </c>
      <c r="AT813">
        <v>100.16</v>
      </c>
      <c r="AU813">
        <v>100.9683</v>
      </c>
      <c r="AV813">
        <v>108.1259</v>
      </c>
      <c r="AW813">
        <v>101.6168</v>
      </c>
      <c r="AX813">
        <v>107.4828</v>
      </c>
    </row>
    <row r="814" spans="1:50" x14ac:dyDescent="0.35">
      <c r="A814" s="75">
        <v>42614</v>
      </c>
      <c r="B814">
        <v>101.19159999999999</v>
      </c>
      <c r="C814">
        <v>102.11839999999999</v>
      </c>
      <c r="D814">
        <v>109.98609999999999</v>
      </c>
      <c r="E814">
        <v>101.7645</v>
      </c>
      <c r="F814">
        <v>99.604079999999996</v>
      </c>
      <c r="G814">
        <v>104.52070000000001</v>
      </c>
      <c r="H814">
        <v>102.4</v>
      </c>
      <c r="I814">
        <v>108.3211</v>
      </c>
      <c r="J814">
        <v>100.07040000000001</v>
      </c>
      <c r="K814">
        <v>100.5</v>
      </c>
      <c r="L814">
        <v>101.0168</v>
      </c>
      <c r="M814">
        <v>100.2</v>
      </c>
      <c r="N814">
        <v>100.72</v>
      </c>
      <c r="O814">
        <v>99.736019999999996</v>
      </c>
      <c r="P814">
        <v>100.6956</v>
      </c>
      <c r="Q814">
        <v>100.56</v>
      </c>
      <c r="R814">
        <v>100.54</v>
      </c>
      <c r="S814">
        <v>100.34</v>
      </c>
      <c r="T814">
        <v>102.78700000000001</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101.46120000000001</v>
      </c>
      <c r="AG814">
        <v>100.78919999999999</v>
      </c>
      <c r="AH814">
        <v>100.75</v>
      </c>
      <c r="AI814">
        <v>100.01390000000001</v>
      </c>
      <c r="AJ814">
        <v>103.0839</v>
      </c>
      <c r="AK814">
        <v>100.57</v>
      </c>
      <c r="AL814">
        <v>104.2</v>
      </c>
      <c r="AM814">
        <v>101.5898</v>
      </c>
      <c r="AN814">
        <v>101.29170000000001</v>
      </c>
      <c r="AO814">
        <v>99.063900000000004</v>
      </c>
      <c r="AP814">
        <v>101.12220000000001</v>
      </c>
      <c r="AQ814">
        <v>107.7851</v>
      </c>
      <c r="AR814">
        <v>102.1561</v>
      </c>
      <c r="AS814">
        <v>99.291359999999997</v>
      </c>
      <c r="AT814">
        <v>100.24</v>
      </c>
      <c r="AU814">
        <v>101.1375</v>
      </c>
      <c r="AV814">
        <v>108.32170000000001</v>
      </c>
      <c r="AW814">
        <v>101.861</v>
      </c>
      <c r="AX814">
        <v>107.61790000000001</v>
      </c>
    </row>
    <row r="815" spans="1:50" x14ac:dyDescent="0.35">
      <c r="A815" s="75">
        <v>42644</v>
      </c>
      <c r="B815">
        <v>101.4915</v>
      </c>
      <c r="C815">
        <v>102.4157</v>
      </c>
      <c r="D815">
        <v>110.27209999999999</v>
      </c>
      <c r="E815">
        <v>102.0016</v>
      </c>
      <c r="F815">
        <v>99.655709999999999</v>
      </c>
      <c r="G815">
        <v>104.6951</v>
      </c>
      <c r="H815">
        <v>102.3</v>
      </c>
      <c r="I815">
        <v>108.25579999999999</v>
      </c>
      <c r="J815">
        <v>99.953209999999999</v>
      </c>
      <c r="K815">
        <v>100.8</v>
      </c>
      <c r="L815">
        <v>101.2169</v>
      </c>
      <c r="M815">
        <v>100.4</v>
      </c>
      <c r="N815">
        <v>100.96</v>
      </c>
      <c r="O815">
        <v>100.87609999999999</v>
      </c>
      <c r="P815">
        <v>100.33669999999999</v>
      </c>
      <c r="Q815">
        <v>100.82</v>
      </c>
      <c r="R815">
        <v>100.75</v>
      </c>
      <c r="S815">
        <v>100.37</v>
      </c>
      <c r="T815">
        <v>103.0317</v>
      </c>
      <c r="U815">
        <v>101.4843</v>
      </c>
      <c r="V815">
        <v>101.6</v>
      </c>
      <c r="W815">
        <v>100.2672</v>
      </c>
      <c r="X815">
        <v>100.9622</v>
      </c>
      <c r="Y815">
        <v>104.2919</v>
      </c>
      <c r="Z815">
        <v>106.3436</v>
      </c>
      <c r="AA815">
        <v>99.775729999999996</v>
      </c>
      <c r="AB815">
        <v>102.4539</v>
      </c>
      <c r="AC815">
        <v>99.899190000000004</v>
      </c>
      <c r="AD815">
        <v>100</v>
      </c>
      <c r="AE815">
        <v>100.3818</v>
      </c>
      <c r="AF815">
        <v>101.6003</v>
      </c>
      <c r="AG815">
        <v>101.322</v>
      </c>
      <c r="AH815">
        <v>100.72</v>
      </c>
      <c r="AI815">
        <v>100.7835</v>
      </c>
      <c r="AJ815">
        <v>103.70950000000001</v>
      </c>
      <c r="AK815">
        <v>100.83</v>
      </c>
      <c r="AL815">
        <v>104.7</v>
      </c>
      <c r="AM815">
        <v>101.8733</v>
      </c>
      <c r="AN815">
        <v>101.645</v>
      </c>
      <c r="AO815">
        <v>99.552300000000002</v>
      </c>
      <c r="AP815">
        <v>101.46850000000001</v>
      </c>
      <c r="AQ815">
        <v>108.2486</v>
      </c>
      <c r="AR815">
        <v>102.01090000000001</v>
      </c>
      <c r="AS815">
        <v>99.536069999999995</v>
      </c>
      <c r="AT815">
        <v>100.69</v>
      </c>
      <c r="AU815">
        <v>101.4853</v>
      </c>
      <c r="AV815">
        <v>109.8797</v>
      </c>
      <c r="AW815">
        <v>101.988</v>
      </c>
      <c r="AX815">
        <v>108.158</v>
      </c>
    </row>
    <row r="816" spans="1:50" x14ac:dyDescent="0.35">
      <c r="A816" s="75">
        <v>42675</v>
      </c>
      <c r="B816">
        <v>101.5915</v>
      </c>
      <c r="C816">
        <v>102.4851</v>
      </c>
      <c r="D816">
        <v>110.47069999999999</v>
      </c>
      <c r="E816">
        <v>101.6065</v>
      </c>
      <c r="F816">
        <v>99.458730000000003</v>
      </c>
      <c r="G816">
        <v>104.7495</v>
      </c>
      <c r="H816">
        <v>102.4</v>
      </c>
      <c r="I816">
        <v>108.37820000000001</v>
      </c>
      <c r="J816">
        <v>99.952129999999997</v>
      </c>
      <c r="K816">
        <v>101.2</v>
      </c>
      <c r="L816">
        <v>100.5168</v>
      </c>
      <c r="M816">
        <v>100.3</v>
      </c>
      <c r="N816">
        <v>100.6</v>
      </c>
      <c r="O816">
        <v>101.2423</v>
      </c>
      <c r="P816">
        <v>100.4392</v>
      </c>
      <c r="Q816">
        <v>100.53</v>
      </c>
      <c r="R816">
        <v>100.77</v>
      </c>
      <c r="S816">
        <v>100.35</v>
      </c>
      <c r="T816">
        <v>102.982</v>
      </c>
      <c r="U816">
        <v>101.32550000000001</v>
      </c>
      <c r="V816">
        <v>101.8</v>
      </c>
      <c r="W816">
        <v>99.103260000000006</v>
      </c>
      <c r="X816">
        <v>101.0363</v>
      </c>
      <c r="Y816">
        <v>104.7818</v>
      </c>
      <c r="Z816">
        <v>105.9611</v>
      </c>
      <c r="AA816">
        <v>99.676060000000007</v>
      </c>
      <c r="AB816">
        <v>102.4179</v>
      </c>
      <c r="AC816">
        <v>99.495959999999997</v>
      </c>
      <c r="AD816">
        <v>99.9</v>
      </c>
      <c r="AE816">
        <v>100.3818</v>
      </c>
      <c r="AF816">
        <v>101.45059999999999</v>
      </c>
      <c r="AG816">
        <v>101.65770000000001</v>
      </c>
      <c r="AH816">
        <v>100.8</v>
      </c>
      <c r="AI816">
        <v>100.98860000000001</v>
      </c>
      <c r="AJ816">
        <v>104.52030000000001</v>
      </c>
      <c r="AK816">
        <v>100.49</v>
      </c>
      <c r="AL816">
        <v>104.9</v>
      </c>
      <c r="AM816">
        <v>101.8082</v>
      </c>
      <c r="AN816">
        <v>101.59</v>
      </c>
      <c r="AO816">
        <v>99.633700000000005</v>
      </c>
      <c r="AP816">
        <v>100.958</v>
      </c>
      <c r="AQ816">
        <v>108.7248</v>
      </c>
      <c r="AR816">
        <v>101.86579999999999</v>
      </c>
      <c r="AS816">
        <v>99.658420000000007</v>
      </c>
      <c r="AT816">
        <v>100.8</v>
      </c>
      <c r="AU816">
        <v>101.5172</v>
      </c>
      <c r="AV816">
        <v>110.44759999999999</v>
      </c>
      <c r="AW816">
        <v>101.82940000000001</v>
      </c>
      <c r="AX816">
        <v>108.56310000000001</v>
      </c>
    </row>
    <row r="817" spans="1:50" x14ac:dyDescent="0.35">
      <c r="A817" s="75">
        <v>42705</v>
      </c>
      <c r="B817">
        <v>102.0915</v>
      </c>
      <c r="C817">
        <v>102.6139</v>
      </c>
      <c r="D817">
        <v>110.80200000000001</v>
      </c>
      <c r="E817">
        <v>101.4485</v>
      </c>
      <c r="F817">
        <v>99.379549999999995</v>
      </c>
      <c r="G817">
        <v>104.5316</v>
      </c>
      <c r="H817">
        <v>102.6</v>
      </c>
      <c r="I817">
        <v>108.82689999999999</v>
      </c>
      <c r="J817">
        <v>100.3426</v>
      </c>
      <c r="K817">
        <v>101.5</v>
      </c>
      <c r="L817">
        <v>101.2169</v>
      </c>
      <c r="M817">
        <v>100.3</v>
      </c>
      <c r="N817">
        <v>101.13</v>
      </c>
      <c r="O817">
        <v>101.84180000000001</v>
      </c>
      <c r="P817">
        <v>100.9007</v>
      </c>
      <c r="Q817">
        <v>101.04</v>
      </c>
      <c r="R817">
        <v>101.02</v>
      </c>
      <c r="S817">
        <v>100.65</v>
      </c>
      <c r="T817">
        <v>103.1375</v>
      </c>
      <c r="U817">
        <v>101.4427</v>
      </c>
      <c r="V817">
        <v>102.2</v>
      </c>
      <c r="W817">
        <v>100.1095</v>
      </c>
      <c r="X817">
        <v>101.4064</v>
      </c>
      <c r="Y817">
        <v>105.22190000000001</v>
      </c>
      <c r="Z817">
        <v>105.196</v>
      </c>
      <c r="AA817">
        <v>99.676060000000007</v>
      </c>
      <c r="AB817">
        <v>102.56229999999999</v>
      </c>
      <c r="AC817">
        <v>99.495959999999997</v>
      </c>
      <c r="AD817">
        <v>100.3</v>
      </c>
      <c r="AE817">
        <v>100.1782</v>
      </c>
      <c r="AF817">
        <v>101.5613</v>
      </c>
      <c r="AG817">
        <v>102.0671</v>
      </c>
      <c r="AH817">
        <v>101.04</v>
      </c>
      <c r="AI817">
        <v>101.5716</v>
      </c>
      <c r="AJ817">
        <v>105.002</v>
      </c>
      <c r="AK817">
        <v>100.71</v>
      </c>
      <c r="AL817">
        <v>104.4</v>
      </c>
      <c r="AM817">
        <v>102.0261</v>
      </c>
      <c r="AN817">
        <v>102.1439</v>
      </c>
      <c r="AO817">
        <v>100.3663</v>
      </c>
      <c r="AP817">
        <v>100.9978</v>
      </c>
      <c r="AQ817">
        <v>109.1597</v>
      </c>
      <c r="AR817">
        <v>101.565</v>
      </c>
      <c r="AS817">
        <v>99.7196</v>
      </c>
      <c r="AT817">
        <v>100.26</v>
      </c>
      <c r="AU817">
        <v>102.0215</v>
      </c>
      <c r="AV817">
        <v>112.2628</v>
      </c>
      <c r="AW817">
        <v>101.8627</v>
      </c>
      <c r="AX817">
        <v>108.9682</v>
      </c>
    </row>
    <row r="818" spans="1:50" x14ac:dyDescent="0.35">
      <c r="A818" s="75">
        <v>42736</v>
      </c>
      <c r="B818">
        <v>101.7915</v>
      </c>
      <c r="C818">
        <v>103.3473</v>
      </c>
      <c r="D818">
        <v>111.2231</v>
      </c>
      <c r="E818">
        <v>102.3176</v>
      </c>
      <c r="F818">
        <v>99.345560000000006</v>
      </c>
      <c r="G818">
        <v>105.09820000000001</v>
      </c>
      <c r="H818">
        <v>103.7</v>
      </c>
      <c r="I818">
        <v>109.94450000000001</v>
      </c>
      <c r="J818">
        <v>100.91370000000001</v>
      </c>
      <c r="K818">
        <v>102.3</v>
      </c>
      <c r="L818">
        <v>100.6168</v>
      </c>
      <c r="M818">
        <v>100.3</v>
      </c>
      <c r="N818">
        <v>100.26</v>
      </c>
      <c r="O818">
        <v>101.28189999999999</v>
      </c>
      <c r="P818">
        <v>101.3108</v>
      </c>
      <c r="Q818">
        <v>100.35</v>
      </c>
      <c r="R818">
        <v>100.41</v>
      </c>
      <c r="S818">
        <v>100.41</v>
      </c>
      <c r="T818">
        <v>103.4751</v>
      </c>
      <c r="U818">
        <v>101.7046</v>
      </c>
      <c r="V818">
        <v>101.8</v>
      </c>
      <c r="W818">
        <v>99.27901</v>
      </c>
      <c r="X818">
        <v>101.8505</v>
      </c>
      <c r="Y818">
        <v>106.2433</v>
      </c>
      <c r="Z818">
        <v>104.8135</v>
      </c>
      <c r="AA818">
        <v>99.177670000000006</v>
      </c>
      <c r="AB818">
        <v>101.97629999999999</v>
      </c>
      <c r="AC818">
        <v>99.294359999999998</v>
      </c>
      <c r="AD818">
        <v>100.6</v>
      </c>
      <c r="AE818">
        <v>99.974549999999994</v>
      </c>
      <c r="AF818">
        <v>102.6408</v>
      </c>
      <c r="AG818">
        <v>102.3231</v>
      </c>
      <c r="AH818">
        <v>100.39</v>
      </c>
      <c r="AI818">
        <v>101.7133</v>
      </c>
      <c r="AJ818">
        <v>106.7872</v>
      </c>
      <c r="AK818">
        <v>100.35</v>
      </c>
      <c r="AL818">
        <v>104.3</v>
      </c>
      <c r="AM818">
        <v>102.41030000000001</v>
      </c>
      <c r="AN818">
        <v>102.1465</v>
      </c>
      <c r="AO818">
        <v>100.77330000000001</v>
      </c>
      <c r="AP818">
        <v>100.3997</v>
      </c>
      <c r="AQ818">
        <v>109.8365</v>
      </c>
      <c r="AR818">
        <v>101.3887</v>
      </c>
      <c r="AS818">
        <v>99.964309999999998</v>
      </c>
      <c r="AT818">
        <v>99.66</v>
      </c>
      <c r="AU818">
        <v>101.3257</v>
      </c>
      <c r="AV818">
        <v>115.0258</v>
      </c>
      <c r="AW818">
        <v>102.4564</v>
      </c>
      <c r="AX818">
        <v>109.6433</v>
      </c>
    </row>
    <row r="819" spans="1:50" x14ac:dyDescent="0.35">
      <c r="A819" s="75">
        <v>42767</v>
      </c>
      <c r="B819">
        <v>102.0915</v>
      </c>
      <c r="C819">
        <v>103.7338</v>
      </c>
      <c r="D819">
        <v>111.5902</v>
      </c>
      <c r="E819">
        <v>102.4756</v>
      </c>
      <c r="F819">
        <v>99.824619999999996</v>
      </c>
      <c r="G819">
        <v>105.3488</v>
      </c>
      <c r="H819">
        <v>103.5</v>
      </c>
      <c r="I819">
        <v>111.0458</v>
      </c>
      <c r="J819">
        <v>101.3203</v>
      </c>
      <c r="K819">
        <v>102.7</v>
      </c>
      <c r="L819">
        <v>101.2169</v>
      </c>
      <c r="M819">
        <v>101.1</v>
      </c>
      <c r="N819">
        <v>100.66</v>
      </c>
      <c r="O819">
        <v>100.9179</v>
      </c>
      <c r="P819">
        <v>102.6439</v>
      </c>
      <c r="Q819">
        <v>100.75</v>
      </c>
      <c r="R819">
        <v>100.92</v>
      </c>
      <c r="S819">
        <v>100.53</v>
      </c>
      <c r="T819">
        <v>103.70869999999999</v>
      </c>
      <c r="U819">
        <v>102.00790000000001</v>
      </c>
      <c r="V819">
        <v>102.4</v>
      </c>
      <c r="W819">
        <v>98.995810000000006</v>
      </c>
      <c r="X819">
        <v>102.2206</v>
      </c>
      <c r="Y819">
        <v>106.49250000000001</v>
      </c>
      <c r="Z819">
        <v>104.8135</v>
      </c>
      <c r="AA819">
        <v>99.775729999999996</v>
      </c>
      <c r="AB819">
        <v>102.7101</v>
      </c>
      <c r="AC819">
        <v>99.294359999999998</v>
      </c>
      <c r="AD819">
        <v>101</v>
      </c>
      <c r="AE819">
        <v>99.872739999999993</v>
      </c>
      <c r="AF819">
        <v>102.9212</v>
      </c>
      <c r="AG819">
        <v>102.6767</v>
      </c>
      <c r="AH819">
        <v>101.77</v>
      </c>
      <c r="AI819">
        <v>102.1341</v>
      </c>
      <c r="AJ819">
        <v>107.40430000000001</v>
      </c>
      <c r="AK819">
        <v>101.09</v>
      </c>
      <c r="AL819">
        <v>104.7</v>
      </c>
      <c r="AM819">
        <v>102.7383</v>
      </c>
      <c r="AN819">
        <v>102.56180000000001</v>
      </c>
      <c r="AO819">
        <v>101.0989</v>
      </c>
      <c r="AP819">
        <v>100.1688</v>
      </c>
      <c r="AQ819">
        <v>110.0782</v>
      </c>
      <c r="AR819">
        <v>101.4924</v>
      </c>
      <c r="AS819">
        <v>100.4537</v>
      </c>
      <c r="AT819">
        <v>100.64</v>
      </c>
      <c r="AU819">
        <v>102.03740000000001</v>
      </c>
      <c r="AV819">
        <v>115.95829999999999</v>
      </c>
      <c r="AW819">
        <v>102.7787</v>
      </c>
      <c r="AX819">
        <v>110.8586</v>
      </c>
    </row>
    <row r="820" spans="1:50" x14ac:dyDescent="0.35">
      <c r="A820" s="75">
        <v>42795</v>
      </c>
      <c r="B820">
        <v>102.5915</v>
      </c>
      <c r="C820">
        <v>103.9717</v>
      </c>
      <c r="D820">
        <v>111.8691</v>
      </c>
      <c r="E820">
        <v>102.6337</v>
      </c>
      <c r="F820">
        <v>100.0399</v>
      </c>
      <c r="G820">
        <v>105.75190000000001</v>
      </c>
      <c r="H820">
        <v>103.2</v>
      </c>
      <c r="I820">
        <v>111.568</v>
      </c>
      <c r="J820">
        <v>100.8933</v>
      </c>
      <c r="K820">
        <v>102.7</v>
      </c>
      <c r="L820">
        <v>101.4169</v>
      </c>
      <c r="M820">
        <v>101.2</v>
      </c>
      <c r="N820">
        <v>101.49</v>
      </c>
      <c r="O820">
        <v>100.8965</v>
      </c>
      <c r="P820">
        <v>102.9002</v>
      </c>
      <c r="Q820">
        <v>101.43</v>
      </c>
      <c r="R820">
        <v>100.91</v>
      </c>
      <c r="S820">
        <v>101.17</v>
      </c>
      <c r="T820">
        <v>103.92700000000001</v>
      </c>
      <c r="U820">
        <v>102.1416</v>
      </c>
      <c r="V820">
        <v>102.7</v>
      </c>
      <c r="W820">
        <v>100.7698</v>
      </c>
      <c r="X820">
        <v>102.14660000000001</v>
      </c>
      <c r="Y820">
        <v>106.4759</v>
      </c>
      <c r="Z820">
        <v>105.196</v>
      </c>
      <c r="AA820">
        <v>100.3738</v>
      </c>
      <c r="AB820">
        <v>102.7677</v>
      </c>
      <c r="AC820">
        <v>99.596770000000006</v>
      </c>
      <c r="AD820">
        <v>101</v>
      </c>
      <c r="AE820">
        <v>99.872739999999993</v>
      </c>
      <c r="AF820">
        <v>102.8506</v>
      </c>
      <c r="AG820">
        <v>103.83710000000001</v>
      </c>
      <c r="AH820">
        <v>101.78</v>
      </c>
      <c r="AI820">
        <v>103.0262</v>
      </c>
      <c r="AJ820">
        <v>108.0634</v>
      </c>
      <c r="AK820">
        <v>101.44</v>
      </c>
      <c r="AL820">
        <v>105</v>
      </c>
      <c r="AM820">
        <v>102.9404</v>
      </c>
      <c r="AN820">
        <v>102.91030000000001</v>
      </c>
      <c r="AO820">
        <v>101.0175</v>
      </c>
      <c r="AP820">
        <v>101.9243</v>
      </c>
      <c r="AQ820">
        <v>110.2213</v>
      </c>
      <c r="AR820">
        <v>101.4302</v>
      </c>
      <c r="AS820">
        <v>100.3314</v>
      </c>
      <c r="AT820">
        <v>100.99</v>
      </c>
      <c r="AU820">
        <v>102.0215</v>
      </c>
      <c r="AV820">
        <v>117.13639999999999</v>
      </c>
      <c r="AW820">
        <v>102.8622</v>
      </c>
      <c r="AX820">
        <v>111.39870000000001</v>
      </c>
    </row>
    <row r="821" spans="1:50" x14ac:dyDescent="0.35">
      <c r="A821" s="75">
        <v>42826</v>
      </c>
      <c r="B821">
        <v>102.7914</v>
      </c>
      <c r="C821">
        <v>104.15</v>
      </c>
      <c r="D821">
        <v>112.0257</v>
      </c>
      <c r="E821">
        <v>103.0287</v>
      </c>
      <c r="F821">
        <v>100.2411</v>
      </c>
      <c r="G821">
        <v>106.0134</v>
      </c>
      <c r="H821">
        <v>103.2</v>
      </c>
      <c r="I821">
        <v>112.09010000000001</v>
      </c>
      <c r="J821">
        <v>101.0471</v>
      </c>
      <c r="K821">
        <v>102.7</v>
      </c>
      <c r="L821">
        <v>101.81699999999999</v>
      </c>
      <c r="M821">
        <v>101.4</v>
      </c>
      <c r="N821">
        <v>102.07</v>
      </c>
      <c r="O821">
        <v>101.8653</v>
      </c>
      <c r="P821">
        <v>103.20780000000001</v>
      </c>
      <c r="Q821">
        <v>101.97</v>
      </c>
      <c r="R821">
        <v>101.22</v>
      </c>
      <c r="S821">
        <v>101.26</v>
      </c>
      <c r="T821">
        <v>104.2829</v>
      </c>
      <c r="U821">
        <v>102.4766</v>
      </c>
      <c r="V821">
        <v>103.2</v>
      </c>
      <c r="W821">
        <v>101.41370000000001</v>
      </c>
      <c r="X821">
        <v>102.5167</v>
      </c>
      <c r="Y821">
        <v>106.5672</v>
      </c>
      <c r="Z821">
        <v>105.9611</v>
      </c>
      <c r="AA821">
        <v>100.77249999999999</v>
      </c>
      <c r="AB821">
        <v>103.2937</v>
      </c>
      <c r="AC821">
        <v>99.798389999999998</v>
      </c>
      <c r="AD821">
        <v>101.4</v>
      </c>
      <c r="AE821">
        <v>100.28</v>
      </c>
      <c r="AF821">
        <v>102.7209</v>
      </c>
      <c r="AG821">
        <v>104.8284</v>
      </c>
      <c r="AH821">
        <v>102.04</v>
      </c>
      <c r="AI821">
        <v>103.41330000000001</v>
      </c>
      <c r="AJ821">
        <v>108.1962</v>
      </c>
      <c r="AK821">
        <v>101.98</v>
      </c>
      <c r="AL821">
        <v>105.2</v>
      </c>
      <c r="AM821">
        <v>103.30759999999999</v>
      </c>
      <c r="AN821">
        <v>103.4122</v>
      </c>
      <c r="AO821">
        <v>101.34310000000001</v>
      </c>
      <c r="AP821">
        <v>102.8956</v>
      </c>
      <c r="AQ821">
        <v>110.58499999999999</v>
      </c>
      <c r="AR821">
        <v>101.5132</v>
      </c>
      <c r="AS821">
        <v>100.4537</v>
      </c>
      <c r="AT821">
        <v>101.3</v>
      </c>
      <c r="AU821">
        <v>102.6151</v>
      </c>
      <c r="AV821">
        <v>118.66759999999999</v>
      </c>
      <c r="AW821">
        <v>103.1673</v>
      </c>
      <c r="AX821">
        <v>111.5337</v>
      </c>
    </row>
    <row r="822" spans="1:50" x14ac:dyDescent="0.35">
      <c r="A822" s="75">
        <v>42856</v>
      </c>
      <c r="B822">
        <v>102.8914</v>
      </c>
      <c r="C822">
        <v>104.0609</v>
      </c>
      <c r="D822">
        <v>112.373</v>
      </c>
      <c r="E822">
        <v>103.10769999999999</v>
      </c>
      <c r="F822">
        <v>100.42740000000001</v>
      </c>
      <c r="G822">
        <v>106.1442</v>
      </c>
      <c r="H822">
        <v>103.3</v>
      </c>
      <c r="I822">
        <v>112.343</v>
      </c>
      <c r="J822">
        <v>101.27079999999999</v>
      </c>
      <c r="K822">
        <v>102.9</v>
      </c>
      <c r="L822">
        <v>101.81699999999999</v>
      </c>
      <c r="M822">
        <v>101.3</v>
      </c>
      <c r="N822">
        <v>101.98</v>
      </c>
      <c r="O822">
        <v>101.8043</v>
      </c>
      <c r="P822">
        <v>103.41289999999999</v>
      </c>
      <c r="Q822">
        <v>101.9</v>
      </c>
      <c r="R822">
        <v>101.06</v>
      </c>
      <c r="S822">
        <v>101.31</v>
      </c>
      <c r="T822">
        <v>104.41289999999999</v>
      </c>
      <c r="U822">
        <v>102.55410000000001</v>
      </c>
      <c r="V822">
        <v>103.5</v>
      </c>
      <c r="W822">
        <v>100.5134</v>
      </c>
      <c r="X822">
        <v>102.73869999999999</v>
      </c>
      <c r="Y822">
        <v>106.9824</v>
      </c>
      <c r="Z822">
        <v>106.3436</v>
      </c>
      <c r="AA822">
        <v>100.5731</v>
      </c>
      <c r="AB822">
        <v>103.49469999999999</v>
      </c>
      <c r="AC822">
        <v>100.2016</v>
      </c>
      <c r="AD822">
        <v>101.2</v>
      </c>
      <c r="AE822">
        <v>100.3818</v>
      </c>
      <c r="AF822">
        <v>102.8306</v>
      </c>
      <c r="AG822">
        <v>104.6743</v>
      </c>
      <c r="AH822">
        <v>102.12</v>
      </c>
      <c r="AI822">
        <v>103.43129999999999</v>
      </c>
      <c r="AJ822">
        <v>108.0668</v>
      </c>
      <c r="AK822">
        <v>101.65</v>
      </c>
      <c r="AL822">
        <v>105.4</v>
      </c>
      <c r="AM822">
        <v>103.37479999999999</v>
      </c>
      <c r="AN822">
        <v>103.45869999999999</v>
      </c>
      <c r="AO822">
        <v>101.34310000000001</v>
      </c>
      <c r="AP822">
        <v>102.6528</v>
      </c>
      <c r="AQ822">
        <v>110.99420000000001</v>
      </c>
      <c r="AR822">
        <v>101.36799999999999</v>
      </c>
      <c r="AS822">
        <v>100.69840000000001</v>
      </c>
      <c r="AT822">
        <v>102</v>
      </c>
      <c r="AU822">
        <v>102.6789</v>
      </c>
      <c r="AV822">
        <v>119.1972</v>
      </c>
      <c r="AW822">
        <v>103.2555</v>
      </c>
      <c r="AX822">
        <v>111.8038</v>
      </c>
    </row>
    <row r="823" spans="1:50" x14ac:dyDescent="0.35">
      <c r="A823" s="75">
        <v>42887</v>
      </c>
      <c r="B823">
        <v>102.9914</v>
      </c>
      <c r="C823">
        <v>103.9023</v>
      </c>
      <c r="D823">
        <v>112.11450000000001</v>
      </c>
      <c r="E823">
        <v>103.0287</v>
      </c>
      <c r="F823">
        <v>100.2852</v>
      </c>
      <c r="G823">
        <v>105.73009999999999</v>
      </c>
      <c r="H823">
        <v>103.1</v>
      </c>
      <c r="I823">
        <v>112.4735</v>
      </c>
      <c r="J823">
        <v>101.3526</v>
      </c>
      <c r="K823">
        <v>102.9</v>
      </c>
      <c r="L823">
        <v>102.117</v>
      </c>
      <c r="M823">
        <v>101.2</v>
      </c>
      <c r="N823">
        <v>102.08</v>
      </c>
      <c r="O823">
        <v>101.84820000000001</v>
      </c>
      <c r="P823">
        <v>103.3616</v>
      </c>
      <c r="Q823">
        <v>101.97</v>
      </c>
      <c r="R823">
        <v>101.14</v>
      </c>
      <c r="S823">
        <v>101.32</v>
      </c>
      <c r="T823">
        <v>104.5288</v>
      </c>
      <c r="U823">
        <v>102.61360000000001</v>
      </c>
      <c r="V823">
        <v>103.5</v>
      </c>
      <c r="W823">
        <v>101.13800000000001</v>
      </c>
      <c r="X823">
        <v>102.7239</v>
      </c>
      <c r="Y823">
        <v>107.72150000000001</v>
      </c>
      <c r="Z823">
        <v>107.1087</v>
      </c>
      <c r="AA823">
        <v>100.6728</v>
      </c>
      <c r="AB823">
        <v>103.49630000000001</v>
      </c>
      <c r="AC823">
        <v>99.495959999999997</v>
      </c>
      <c r="AD823">
        <v>101.1</v>
      </c>
      <c r="AE823">
        <v>100.28</v>
      </c>
      <c r="AF823">
        <v>102.6113</v>
      </c>
      <c r="AG823">
        <v>104.9425</v>
      </c>
      <c r="AH823">
        <v>102.17</v>
      </c>
      <c r="AI823">
        <v>103.6067</v>
      </c>
      <c r="AJ823">
        <v>108.3385</v>
      </c>
      <c r="AK823">
        <v>101.37</v>
      </c>
      <c r="AL823">
        <v>105.8</v>
      </c>
      <c r="AM823">
        <v>103.4064</v>
      </c>
      <c r="AN823">
        <v>103.4692</v>
      </c>
      <c r="AO823">
        <v>101.1803</v>
      </c>
      <c r="AP823">
        <v>102.2398</v>
      </c>
      <c r="AQ823">
        <v>111.6712</v>
      </c>
      <c r="AR823">
        <v>101.63760000000001</v>
      </c>
      <c r="AS823">
        <v>100.69840000000001</v>
      </c>
      <c r="AT823">
        <v>101.96</v>
      </c>
      <c r="AU823">
        <v>102.75230000000001</v>
      </c>
      <c r="AV823">
        <v>118.87869999999999</v>
      </c>
      <c r="AW823">
        <v>103.34910000000001</v>
      </c>
      <c r="AX823">
        <v>112.07380000000001</v>
      </c>
    </row>
    <row r="824" spans="1:50" x14ac:dyDescent="0.35">
      <c r="A824" s="75">
        <v>42917</v>
      </c>
      <c r="B824">
        <v>102.6914</v>
      </c>
      <c r="C824">
        <v>104.20950000000001</v>
      </c>
      <c r="D824">
        <v>112.3837</v>
      </c>
      <c r="E824">
        <v>103.0287</v>
      </c>
      <c r="F824">
        <v>99.971760000000003</v>
      </c>
      <c r="G824">
        <v>105.9807</v>
      </c>
      <c r="H824">
        <v>103</v>
      </c>
      <c r="I824">
        <v>112.4164</v>
      </c>
      <c r="J824">
        <v>101.68170000000001</v>
      </c>
      <c r="K824">
        <v>103.4</v>
      </c>
      <c r="L824">
        <v>102.5171</v>
      </c>
      <c r="M824">
        <v>102</v>
      </c>
      <c r="N824">
        <v>101.62</v>
      </c>
      <c r="O824">
        <v>101.1459</v>
      </c>
      <c r="P824">
        <v>104.0282</v>
      </c>
      <c r="Q824">
        <v>101.61</v>
      </c>
      <c r="R824">
        <v>100.85</v>
      </c>
      <c r="S824">
        <v>100.97</v>
      </c>
      <c r="T824">
        <v>104.645</v>
      </c>
      <c r="U824">
        <v>102.5699</v>
      </c>
      <c r="V824">
        <v>103.5</v>
      </c>
      <c r="W824">
        <v>99.453729999999993</v>
      </c>
      <c r="X824">
        <v>102.76090000000001</v>
      </c>
      <c r="Y824">
        <v>107.95399999999999</v>
      </c>
      <c r="Z824">
        <v>109.0214</v>
      </c>
      <c r="AA824">
        <v>100.6728</v>
      </c>
      <c r="AB824">
        <v>103.4632</v>
      </c>
      <c r="AC824">
        <v>99.395160000000004</v>
      </c>
      <c r="AD824">
        <v>101.2</v>
      </c>
      <c r="AE824">
        <v>100.07640000000001</v>
      </c>
      <c r="AF824">
        <v>102.78100000000001</v>
      </c>
      <c r="AG824">
        <v>104.5896</v>
      </c>
      <c r="AH824">
        <v>101.46</v>
      </c>
      <c r="AI824">
        <v>102.89319999999999</v>
      </c>
      <c r="AJ824">
        <v>108.7482</v>
      </c>
      <c r="AK824">
        <v>102.11</v>
      </c>
      <c r="AL824">
        <v>106.1</v>
      </c>
      <c r="AM824">
        <v>103.39530000000001</v>
      </c>
      <c r="AN824">
        <v>103.45959999999999</v>
      </c>
      <c r="AO824">
        <v>101.0175</v>
      </c>
      <c r="AP824">
        <v>101.55710000000001</v>
      </c>
      <c r="AQ824">
        <v>111.74939999999999</v>
      </c>
      <c r="AR824">
        <v>101.5754</v>
      </c>
      <c r="AS824">
        <v>100.75960000000001</v>
      </c>
      <c r="AT824">
        <v>101.23</v>
      </c>
      <c r="AU824">
        <v>103.30119999999999</v>
      </c>
      <c r="AV824">
        <v>119.0552</v>
      </c>
      <c r="AW824">
        <v>103.2778</v>
      </c>
      <c r="AX824">
        <v>112.2088</v>
      </c>
    </row>
    <row r="825" spans="1:50" x14ac:dyDescent="0.35">
      <c r="A825" s="75">
        <v>42948</v>
      </c>
      <c r="B825">
        <v>102.5915</v>
      </c>
      <c r="C825">
        <v>104.27889999999999</v>
      </c>
      <c r="D825">
        <v>112.5971</v>
      </c>
      <c r="E825">
        <v>103.10769999999999</v>
      </c>
      <c r="F825">
        <v>100.00409999999999</v>
      </c>
      <c r="G825">
        <v>106.1986</v>
      </c>
      <c r="H825">
        <v>103.5</v>
      </c>
      <c r="I825">
        <v>112.5714</v>
      </c>
      <c r="J825">
        <v>101.4602</v>
      </c>
      <c r="K825">
        <v>103.3</v>
      </c>
      <c r="L825">
        <v>102.61709999999999</v>
      </c>
      <c r="M825">
        <v>101.7</v>
      </c>
      <c r="N825">
        <v>101.89</v>
      </c>
      <c r="O825">
        <v>101.3472</v>
      </c>
      <c r="P825">
        <v>104.4383</v>
      </c>
      <c r="Q825">
        <v>101.81</v>
      </c>
      <c r="R825">
        <v>101.11</v>
      </c>
      <c r="S825">
        <v>101.49</v>
      </c>
      <c r="T825">
        <v>104.89109999999999</v>
      </c>
      <c r="U825">
        <v>102.8653</v>
      </c>
      <c r="V825">
        <v>104</v>
      </c>
      <c r="W825">
        <v>99.009590000000003</v>
      </c>
      <c r="X825">
        <v>102.8053</v>
      </c>
      <c r="Y825">
        <v>107.8793</v>
      </c>
      <c r="Z825">
        <v>109.0214</v>
      </c>
      <c r="AA825">
        <v>101.0715</v>
      </c>
      <c r="AB825">
        <v>103.736</v>
      </c>
      <c r="AC825">
        <v>99.697580000000002</v>
      </c>
      <c r="AD825">
        <v>101.5</v>
      </c>
      <c r="AE825">
        <v>100.28</v>
      </c>
      <c r="AF825">
        <v>103.3703</v>
      </c>
      <c r="AG825">
        <v>104.5411</v>
      </c>
      <c r="AH825">
        <v>102.68</v>
      </c>
      <c r="AI825">
        <v>102.6504</v>
      </c>
      <c r="AJ825">
        <v>109.2855</v>
      </c>
      <c r="AK825">
        <v>102.27</v>
      </c>
      <c r="AL825">
        <v>105.3</v>
      </c>
      <c r="AM825">
        <v>103.67010000000001</v>
      </c>
      <c r="AN825">
        <v>103.69880000000001</v>
      </c>
      <c r="AO825">
        <v>100.9361</v>
      </c>
      <c r="AP825">
        <v>101.565</v>
      </c>
      <c r="AQ825">
        <v>111.146</v>
      </c>
      <c r="AR825">
        <v>101.3991</v>
      </c>
      <c r="AS825">
        <v>100.75960000000001</v>
      </c>
      <c r="AT825">
        <v>101.36</v>
      </c>
      <c r="AU825">
        <v>103.1384</v>
      </c>
      <c r="AV825">
        <v>119.673</v>
      </c>
      <c r="AW825">
        <v>103.58710000000001</v>
      </c>
      <c r="AX825">
        <v>112.3439</v>
      </c>
    </row>
    <row r="826" spans="1:50" x14ac:dyDescent="0.35">
      <c r="A826" s="75">
        <v>42979</v>
      </c>
      <c r="B826">
        <v>103.59139999999999</v>
      </c>
      <c r="C826">
        <v>104.1699</v>
      </c>
      <c r="D826">
        <v>112.77719999999999</v>
      </c>
      <c r="E826">
        <v>103.3447</v>
      </c>
      <c r="F826">
        <v>100.2535</v>
      </c>
      <c r="G826">
        <v>106.0352</v>
      </c>
      <c r="H826">
        <v>104.1</v>
      </c>
      <c r="I826">
        <v>112.6203</v>
      </c>
      <c r="J826">
        <v>101.7129</v>
      </c>
      <c r="K826">
        <v>103.2</v>
      </c>
      <c r="L826">
        <v>102.7171</v>
      </c>
      <c r="M826">
        <v>101.8</v>
      </c>
      <c r="N826">
        <v>102.29</v>
      </c>
      <c r="O826">
        <v>101.52379999999999</v>
      </c>
      <c r="P826">
        <v>104.3871</v>
      </c>
      <c r="Q826">
        <v>102.17</v>
      </c>
      <c r="R826">
        <v>101.32</v>
      </c>
      <c r="S826">
        <v>101.33</v>
      </c>
      <c r="T826">
        <v>105.258</v>
      </c>
      <c r="U826">
        <v>103.22</v>
      </c>
      <c r="V826">
        <v>104.3</v>
      </c>
      <c r="W826">
        <v>100.88160000000001</v>
      </c>
      <c r="X826">
        <v>102.9016</v>
      </c>
      <c r="Y826">
        <v>108.0204</v>
      </c>
      <c r="Z826">
        <v>109.0214</v>
      </c>
      <c r="AA826">
        <v>100.4735</v>
      </c>
      <c r="AB826">
        <v>103.87139999999999</v>
      </c>
      <c r="AC826">
        <v>99.798389999999998</v>
      </c>
      <c r="AD826">
        <v>101.2</v>
      </c>
      <c r="AE826">
        <v>100.58540000000001</v>
      </c>
      <c r="AF826">
        <v>103.4905</v>
      </c>
      <c r="AG826">
        <v>105.6101</v>
      </c>
      <c r="AH826">
        <v>102.52</v>
      </c>
      <c r="AI826">
        <v>102.9198</v>
      </c>
      <c r="AJ826">
        <v>109.6275</v>
      </c>
      <c r="AK826">
        <v>102.03</v>
      </c>
      <c r="AL826">
        <v>105.9</v>
      </c>
      <c r="AM826">
        <v>104.00579999999999</v>
      </c>
      <c r="AN826">
        <v>103.87569999999999</v>
      </c>
      <c r="AO826">
        <v>101.34310000000001</v>
      </c>
      <c r="AP826">
        <v>102.5274</v>
      </c>
      <c r="AQ826">
        <v>110.97920000000001</v>
      </c>
      <c r="AR826">
        <v>101.35760000000001</v>
      </c>
      <c r="AS826">
        <v>100.9432</v>
      </c>
      <c r="AT826">
        <v>101.6</v>
      </c>
      <c r="AU826">
        <v>103.27889999999999</v>
      </c>
      <c r="AV826">
        <v>120.4521</v>
      </c>
      <c r="AW826">
        <v>104.1356</v>
      </c>
      <c r="AX826">
        <v>112.884</v>
      </c>
    </row>
    <row r="827" spans="1:50" x14ac:dyDescent="0.35">
      <c r="A827" s="75">
        <v>43009</v>
      </c>
      <c r="B827">
        <v>103.6914</v>
      </c>
      <c r="C827">
        <v>104.46720000000001</v>
      </c>
      <c r="D827">
        <v>113.2509</v>
      </c>
      <c r="E827">
        <v>103.4238</v>
      </c>
      <c r="F827">
        <v>100.31440000000001</v>
      </c>
      <c r="G827">
        <v>106.6563</v>
      </c>
      <c r="H827">
        <v>104.2</v>
      </c>
      <c r="I827">
        <v>112.6366</v>
      </c>
      <c r="J827">
        <v>102.27760000000001</v>
      </c>
      <c r="K827">
        <v>103.7</v>
      </c>
      <c r="L827">
        <v>102.5171</v>
      </c>
      <c r="M827">
        <v>101.9</v>
      </c>
      <c r="N827">
        <v>102.34</v>
      </c>
      <c r="O827">
        <v>102.4605</v>
      </c>
      <c r="P827">
        <v>104.1307</v>
      </c>
      <c r="Q827">
        <v>102.29</v>
      </c>
      <c r="R827">
        <v>101.3</v>
      </c>
      <c r="S827">
        <v>101.43</v>
      </c>
      <c r="T827">
        <v>105.4522</v>
      </c>
      <c r="U827">
        <v>103.17019999999999</v>
      </c>
      <c r="V827">
        <v>104.4</v>
      </c>
      <c r="W827">
        <v>100.98350000000001</v>
      </c>
      <c r="X827">
        <v>103.1828</v>
      </c>
      <c r="Y827">
        <v>108.0287</v>
      </c>
      <c r="Z827">
        <v>109.7864</v>
      </c>
      <c r="AA827">
        <v>100.3738</v>
      </c>
      <c r="AB827">
        <v>104.36279999999999</v>
      </c>
      <c r="AC827">
        <v>100.10080000000001</v>
      </c>
      <c r="AD827">
        <v>101</v>
      </c>
      <c r="AE827">
        <v>100.58540000000001</v>
      </c>
      <c r="AF827">
        <v>103.3903</v>
      </c>
      <c r="AG827">
        <v>105.77370000000001</v>
      </c>
      <c r="AH827">
        <v>102.63</v>
      </c>
      <c r="AI827">
        <v>103.613</v>
      </c>
      <c r="AJ827">
        <v>110.31740000000001</v>
      </c>
      <c r="AK827">
        <v>102.17</v>
      </c>
      <c r="AL827">
        <v>106</v>
      </c>
      <c r="AM827">
        <v>104.13890000000001</v>
      </c>
      <c r="AN827">
        <v>104.1758</v>
      </c>
      <c r="AO827">
        <v>101.83150000000001</v>
      </c>
      <c r="AP827">
        <v>102.8807</v>
      </c>
      <c r="AQ827">
        <v>111.2012</v>
      </c>
      <c r="AR827">
        <v>100.8287</v>
      </c>
      <c r="AS827">
        <v>101.249</v>
      </c>
      <c r="AT827">
        <v>101.72</v>
      </c>
      <c r="AU827">
        <v>103.20229999999999</v>
      </c>
      <c r="AV827">
        <v>122.9541</v>
      </c>
      <c r="AW827">
        <v>104.0697</v>
      </c>
      <c r="AX827">
        <v>113.2891</v>
      </c>
    </row>
    <row r="828" spans="1:50" x14ac:dyDescent="0.35">
      <c r="A828" s="75">
        <v>43040</v>
      </c>
      <c r="B828">
        <v>103.8913</v>
      </c>
      <c r="C828">
        <v>104.60590000000001</v>
      </c>
      <c r="D828">
        <v>113.5681</v>
      </c>
      <c r="E828">
        <v>103.7398</v>
      </c>
      <c r="F828">
        <v>100.2415</v>
      </c>
      <c r="G828">
        <v>106.7543</v>
      </c>
      <c r="H828">
        <v>104.2</v>
      </c>
      <c r="I828">
        <v>112.84059999999999</v>
      </c>
      <c r="J828">
        <v>102.4422</v>
      </c>
      <c r="K828">
        <v>103.8</v>
      </c>
      <c r="L828">
        <v>102.117</v>
      </c>
      <c r="M828">
        <v>101.6</v>
      </c>
      <c r="N828">
        <v>102.14</v>
      </c>
      <c r="O828">
        <v>102.92829999999999</v>
      </c>
      <c r="P828">
        <v>104.6947</v>
      </c>
      <c r="Q828">
        <v>102.17</v>
      </c>
      <c r="R828">
        <v>101.55</v>
      </c>
      <c r="S828">
        <v>101.53</v>
      </c>
      <c r="T828">
        <v>105.574</v>
      </c>
      <c r="U828">
        <v>103.1999</v>
      </c>
      <c r="V828">
        <v>104.7</v>
      </c>
      <c r="W828">
        <v>100.23560000000001</v>
      </c>
      <c r="X828">
        <v>103.55289999999999</v>
      </c>
      <c r="Y828">
        <v>108.24460000000001</v>
      </c>
      <c r="Z828">
        <v>110.169</v>
      </c>
      <c r="AA828">
        <v>100.17440000000001</v>
      </c>
      <c r="AB828">
        <v>104.1931</v>
      </c>
      <c r="AC828">
        <v>99.798389999999998</v>
      </c>
      <c r="AD828">
        <v>100.8</v>
      </c>
      <c r="AE828">
        <v>100.8908</v>
      </c>
      <c r="AF828">
        <v>102.6208</v>
      </c>
      <c r="AG828">
        <v>106.0859</v>
      </c>
      <c r="AH828">
        <v>102.35</v>
      </c>
      <c r="AI828">
        <v>103.7432</v>
      </c>
      <c r="AJ828">
        <v>111.4547</v>
      </c>
      <c r="AK828">
        <v>102</v>
      </c>
      <c r="AL828">
        <v>106.1</v>
      </c>
      <c r="AM828">
        <v>104.2637</v>
      </c>
      <c r="AN828">
        <v>104.3386</v>
      </c>
      <c r="AO828">
        <v>102.3199</v>
      </c>
      <c r="AP828">
        <v>102.5224</v>
      </c>
      <c r="AQ828">
        <v>111.44580000000001</v>
      </c>
      <c r="AR828">
        <v>100.1339</v>
      </c>
      <c r="AS828">
        <v>101.5549</v>
      </c>
      <c r="AT828">
        <v>102.02</v>
      </c>
      <c r="AU828">
        <v>103.41289999999999</v>
      </c>
      <c r="AV828">
        <v>124.7885</v>
      </c>
      <c r="AW828">
        <v>104.0723</v>
      </c>
      <c r="AX828">
        <v>113.2891</v>
      </c>
    </row>
    <row r="829" spans="1:50" x14ac:dyDescent="0.35">
      <c r="A829" s="75">
        <v>43070</v>
      </c>
      <c r="B829">
        <v>104.29130000000001</v>
      </c>
      <c r="C829">
        <v>104.80410000000001</v>
      </c>
      <c r="D829">
        <v>114.06780000000001</v>
      </c>
      <c r="E829">
        <v>103.3447</v>
      </c>
      <c r="F829">
        <v>100.21299999999999</v>
      </c>
      <c r="G829">
        <v>106.90689999999999</v>
      </c>
      <c r="H829">
        <v>104.5</v>
      </c>
      <c r="I829">
        <v>113.273</v>
      </c>
      <c r="J829">
        <v>102.9252</v>
      </c>
      <c r="K829">
        <v>103.9</v>
      </c>
      <c r="L829">
        <v>102.61709999999999</v>
      </c>
      <c r="M829">
        <v>101.3</v>
      </c>
      <c r="N829">
        <v>102.49</v>
      </c>
      <c r="O829">
        <v>102.9744</v>
      </c>
      <c r="P829">
        <v>104.33580000000001</v>
      </c>
      <c r="Q829">
        <v>102.49</v>
      </c>
      <c r="R829">
        <v>101.51</v>
      </c>
      <c r="S829">
        <v>101.85</v>
      </c>
      <c r="T829">
        <v>105.71299999999999</v>
      </c>
      <c r="U829">
        <v>103.2959</v>
      </c>
      <c r="V829">
        <v>105</v>
      </c>
      <c r="W829">
        <v>100.7624</v>
      </c>
      <c r="X829">
        <v>103.62690000000001</v>
      </c>
      <c r="Y829">
        <v>109.01690000000001</v>
      </c>
      <c r="Z829">
        <v>109.40389999999999</v>
      </c>
      <c r="AA829">
        <v>100.0748</v>
      </c>
      <c r="AB829">
        <v>104.4811</v>
      </c>
      <c r="AC829">
        <v>99.899190000000004</v>
      </c>
      <c r="AD829">
        <v>101.2</v>
      </c>
      <c r="AE829">
        <v>101.1962</v>
      </c>
      <c r="AF829">
        <v>102.99079999999999</v>
      </c>
      <c r="AG829">
        <v>106.0629</v>
      </c>
      <c r="AH829">
        <v>102.41</v>
      </c>
      <c r="AI829">
        <v>103.7569</v>
      </c>
      <c r="AJ829">
        <v>112.1138</v>
      </c>
      <c r="AK829">
        <v>101.97</v>
      </c>
      <c r="AL829">
        <v>106.1</v>
      </c>
      <c r="AM829">
        <v>104.4179</v>
      </c>
      <c r="AN829">
        <v>104.6623</v>
      </c>
      <c r="AO829">
        <v>102.5641</v>
      </c>
      <c r="AP829">
        <v>102.4786</v>
      </c>
      <c r="AQ829">
        <v>111.9139</v>
      </c>
      <c r="AR829">
        <v>100.43470000000001</v>
      </c>
      <c r="AS829">
        <v>101.5549</v>
      </c>
      <c r="AT829">
        <v>102.01</v>
      </c>
      <c r="AU829">
        <v>103.7927</v>
      </c>
      <c r="AV829">
        <v>125.6442</v>
      </c>
      <c r="AW829">
        <v>104.0111</v>
      </c>
      <c r="AX829">
        <v>113.8292</v>
      </c>
    </row>
    <row r="830" spans="1:50" x14ac:dyDescent="0.35">
      <c r="A830" s="75">
        <v>43101</v>
      </c>
      <c r="B830">
        <v>103.59139999999999</v>
      </c>
      <c r="C830">
        <v>105.1114</v>
      </c>
      <c r="D830">
        <v>114.39870000000001</v>
      </c>
      <c r="E830">
        <v>104.0558</v>
      </c>
      <c r="F830">
        <v>100.0809</v>
      </c>
      <c r="G830">
        <v>107.39709999999999</v>
      </c>
      <c r="H830">
        <v>105.2</v>
      </c>
      <c r="I830">
        <v>113.98269999999999</v>
      </c>
      <c r="J830">
        <v>103.3436</v>
      </c>
      <c r="K830">
        <v>104.5</v>
      </c>
      <c r="L830">
        <v>102.017</v>
      </c>
      <c r="M830">
        <v>101</v>
      </c>
      <c r="N830">
        <v>101.56</v>
      </c>
      <c r="O830">
        <v>101.8642</v>
      </c>
      <c r="P830">
        <v>104.7972</v>
      </c>
      <c r="Q830">
        <v>101.75</v>
      </c>
      <c r="R830">
        <v>101.21</v>
      </c>
      <c r="S830">
        <v>101.75</v>
      </c>
      <c r="T830">
        <v>106.07769999999999</v>
      </c>
      <c r="U830">
        <v>103.5746</v>
      </c>
      <c r="V830">
        <v>104.5</v>
      </c>
      <c r="W830">
        <v>99.104979999999998</v>
      </c>
      <c r="X830">
        <v>103.923</v>
      </c>
      <c r="Y830">
        <v>109.6979</v>
      </c>
      <c r="Z830">
        <v>110.169</v>
      </c>
      <c r="AA830">
        <v>99.377020000000002</v>
      </c>
      <c r="AB830">
        <v>104.3946</v>
      </c>
      <c r="AC830">
        <v>99.395160000000004</v>
      </c>
      <c r="AD830">
        <v>101.5</v>
      </c>
      <c r="AE830">
        <v>101.298</v>
      </c>
      <c r="AF830">
        <v>103.4209</v>
      </c>
      <c r="AG830">
        <v>106.4272</v>
      </c>
      <c r="AH830">
        <v>101.53</v>
      </c>
      <c r="AI830">
        <v>103.7456</v>
      </c>
      <c r="AJ830">
        <v>112.70950000000001</v>
      </c>
      <c r="AK830">
        <v>101.82</v>
      </c>
      <c r="AL830">
        <v>106</v>
      </c>
      <c r="AM830">
        <v>104.658</v>
      </c>
      <c r="AN830">
        <v>104.4575</v>
      </c>
      <c r="AO830">
        <v>102.8897</v>
      </c>
      <c r="AP830">
        <v>101.43559999999999</v>
      </c>
      <c r="AQ830">
        <v>112.2608</v>
      </c>
      <c r="AR830">
        <v>104.5827</v>
      </c>
      <c r="AS830">
        <v>102.4114</v>
      </c>
      <c r="AT830">
        <v>101.18</v>
      </c>
      <c r="AU830">
        <v>102.9246</v>
      </c>
      <c r="AV830">
        <v>126.926</v>
      </c>
      <c r="AW830">
        <v>104.57769999999999</v>
      </c>
      <c r="AX830">
        <v>114.3693</v>
      </c>
    </row>
    <row r="831" spans="1:50" x14ac:dyDescent="0.35">
      <c r="A831" s="75">
        <v>43132</v>
      </c>
      <c r="B831">
        <v>103.8913</v>
      </c>
      <c r="C831">
        <v>105.26990000000001</v>
      </c>
      <c r="D831">
        <v>114.76479999999999</v>
      </c>
      <c r="E831">
        <v>104.6879</v>
      </c>
      <c r="F831">
        <v>100.4516</v>
      </c>
      <c r="G831">
        <v>107.4516</v>
      </c>
      <c r="H831">
        <v>106.5</v>
      </c>
      <c r="I831">
        <v>114.7903</v>
      </c>
      <c r="J831">
        <v>103.56189999999999</v>
      </c>
      <c r="K831">
        <v>104.5</v>
      </c>
      <c r="L831">
        <v>102.3171</v>
      </c>
      <c r="M831">
        <v>101.7</v>
      </c>
      <c r="N831">
        <v>101.78</v>
      </c>
      <c r="O831">
        <v>102.0013</v>
      </c>
      <c r="P831">
        <v>105.7714</v>
      </c>
      <c r="Q831">
        <v>101.94</v>
      </c>
      <c r="R831">
        <v>101.52</v>
      </c>
      <c r="S831">
        <v>101.72</v>
      </c>
      <c r="T831">
        <v>106.5287</v>
      </c>
      <c r="U831">
        <v>103.9205</v>
      </c>
      <c r="V831">
        <v>104.9</v>
      </c>
      <c r="W831">
        <v>99.05471</v>
      </c>
      <c r="X831">
        <v>104.1451</v>
      </c>
      <c r="Y831">
        <v>109.8806</v>
      </c>
      <c r="Z831">
        <v>109.7864</v>
      </c>
      <c r="AA831">
        <v>100.2741</v>
      </c>
      <c r="AB831">
        <v>105.00790000000001</v>
      </c>
      <c r="AC831">
        <v>99.495959999999997</v>
      </c>
      <c r="AD831">
        <v>101.5</v>
      </c>
      <c r="AE831">
        <v>101.298</v>
      </c>
      <c r="AF831">
        <v>104.2105</v>
      </c>
      <c r="AG831">
        <v>106.244</v>
      </c>
      <c r="AH831">
        <v>102.81</v>
      </c>
      <c r="AI831">
        <v>103.9752</v>
      </c>
      <c r="AJ831">
        <v>113.13890000000001</v>
      </c>
      <c r="AK831">
        <v>102.31</v>
      </c>
      <c r="AL831">
        <v>107</v>
      </c>
      <c r="AM831">
        <v>105.0097</v>
      </c>
      <c r="AN831">
        <v>104.7063</v>
      </c>
      <c r="AO831">
        <v>102.6455</v>
      </c>
      <c r="AP831">
        <v>100.747</v>
      </c>
      <c r="AQ831">
        <v>112.4966</v>
      </c>
      <c r="AR831">
        <v>104.479</v>
      </c>
      <c r="AS831">
        <v>102.595</v>
      </c>
      <c r="AT831">
        <v>101.87</v>
      </c>
      <c r="AU831">
        <v>103.6778</v>
      </c>
      <c r="AV831">
        <v>127.8546</v>
      </c>
      <c r="AW831">
        <v>105.05200000000001</v>
      </c>
      <c r="AX831">
        <v>115.0444</v>
      </c>
    </row>
    <row r="832" spans="1:50" x14ac:dyDescent="0.35">
      <c r="A832" s="75">
        <v>43160</v>
      </c>
      <c r="B832">
        <v>104.4913</v>
      </c>
      <c r="C832">
        <v>105.4186</v>
      </c>
      <c r="D832">
        <v>114.8681</v>
      </c>
      <c r="E832">
        <v>105.004</v>
      </c>
      <c r="F832">
        <v>100.8356</v>
      </c>
      <c r="G832">
        <v>107.6695</v>
      </c>
      <c r="H832">
        <v>105.3</v>
      </c>
      <c r="I832">
        <v>115.0677</v>
      </c>
      <c r="J832">
        <v>103.52970000000001</v>
      </c>
      <c r="K832">
        <v>104.4</v>
      </c>
      <c r="L832">
        <v>102.91719999999999</v>
      </c>
      <c r="M832">
        <v>101.7</v>
      </c>
      <c r="N832">
        <v>102.91</v>
      </c>
      <c r="O832">
        <v>102.1212</v>
      </c>
      <c r="P832">
        <v>105.82259999999999</v>
      </c>
      <c r="Q832">
        <v>102.88</v>
      </c>
      <c r="R832">
        <v>101.73</v>
      </c>
      <c r="S832">
        <v>102.75</v>
      </c>
      <c r="T832">
        <v>106.6636</v>
      </c>
      <c r="U832">
        <v>104.18389999999999</v>
      </c>
      <c r="V832">
        <v>105.1</v>
      </c>
      <c r="W832">
        <v>100.5342</v>
      </c>
      <c r="X832">
        <v>104.2191</v>
      </c>
      <c r="Y832">
        <v>110.09650000000001</v>
      </c>
      <c r="Z832">
        <v>109.7864</v>
      </c>
      <c r="AA832">
        <v>100.5731</v>
      </c>
      <c r="AB832">
        <v>105.6</v>
      </c>
      <c r="AC832">
        <v>99.798389999999998</v>
      </c>
      <c r="AD832">
        <v>101.8</v>
      </c>
      <c r="AE832">
        <v>100.9926</v>
      </c>
      <c r="AF832">
        <v>104.10080000000001</v>
      </c>
      <c r="AG832">
        <v>106.6236</v>
      </c>
      <c r="AH832">
        <v>102.9</v>
      </c>
      <c r="AI832">
        <v>105.265</v>
      </c>
      <c r="AJ832">
        <v>113.5048</v>
      </c>
      <c r="AK832">
        <v>102.47</v>
      </c>
      <c r="AL832">
        <v>107.3</v>
      </c>
      <c r="AM832">
        <v>105.2923</v>
      </c>
      <c r="AN832">
        <v>105.2075</v>
      </c>
      <c r="AO832">
        <v>102.5641</v>
      </c>
      <c r="AP832">
        <v>102.6259</v>
      </c>
      <c r="AQ832">
        <v>112.8228</v>
      </c>
      <c r="AR832">
        <v>104.3442</v>
      </c>
      <c r="AS832">
        <v>102.77849999999999</v>
      </c>
      <c r="AT832">
        <v>102.16</v>
      </c>
      <c r="AU832">
        <v>103.9618</v>
      </c>
      <c r="AV832">
        <v>129.12479999999999</v>
      </c>
      <c r="AW832">
        <v>105.2895</v>
      </c>
      <c r="AX832">
        <v>115.58459999999999</v>
      </c>
    </row>
    <row r="833" spans="1:50" x14ac:dyDescent="0.35">
      <c r="A833" s="75">
        <v>43191</v>
      </c>
      <c r="B833">
        <v>104.6913</v>
      </c>
      <c r="C833">
        <v>105.73569999999999</v>
      </c>
      <c r="D833">
        <v>115.1207</v>
      </c>
      <c r="E833">
        <v>105.32</v>
      </c>
      <c r="F833">
        <v>101.0462</v>
      </c>
      <c r="G833">
        <v>108.0073</v>
      </c>
      <c r="H833">
        <v>105.1</v>
      </c>
      <c r="I833">
        <v>115.598</v>
      </c>
      <c r="J833">
        <v>103.4479</v>
      </c>
      <c r="K833">
        <v>104.7</v>
      </c>
      <c r="L833">
        <v>103.1172</v>
      </c>
      <c r="M833">
        <v>102.2</v>
      </c>
      <c r="N833">
        <v>103.32</v>
      </c>
      <c r="O833">
        <v>102.96469999999999</v>
      </c>
      <c r="P833">
        <v>106.2328</v>
      </c>
      <c r="Q833">
        <v>103.32</v>
      </c>
      <c r="R833">
        <v>101.98</v>
      </c>
      <c r="S833">
        <v>102.92</v>
      </c>
      <c r="T833">
        <v>106.98269999999999</v>
      </c>
      <c r="U833">
        <v>104.48350000000001</v>
      </c>
      <c r="V833">
        <v>105.5</v>
      </c>
      <c r="W833">
        <v>101.4515</v>
      </c>
      <c r="X833">
        <v>104.8853</v>
      </c>
      <c r="Y833">
        <v>110.20440000000001</v>
      </c>
      <c r="Z833">
        <v>110.169</v>
      </c>
      <c r="AA833">
        <v>100.3738</v>
      </c>
      <c r="AB833">
        <v>105.6367</v>
      </c>
      <c r="AC833">
        <v>100.2016</v>
      </c>
      <c r="AD833">
        <v>101.9</v>
      </c>
      <c r="AE833">
        <v>100.8908</v>
      </c>
      <c r="AF833">
        <v>104.2906</v>
      </c>
      <c r="AG833">
        <v>107.2826</v>
      </c>
      <c r="AH833">
        <v>103.13</v>
      </c>
      <c r="AI833">
        <v>105.48050000000001</v>
      </c>
      <c r="AJ833">
        <v>113.12</v>
      </c>
      <c r="AK833">
        <v>103.11</v>
      </c>
      <c r="AL833">
        <v>107.7</v>
      </c>
      <c r="AM833">
        <v>105.6559</v>
      </c>
      <c r="AN833">
        <v>105.70829999999999</v>
      </c>
      <c r="AO833">
        <v>103.05249999999999</v>
      </c>
      <c r="AP833">
        <v>103.3036</v>
      </c>
      <c r="AQ833">
        <v>113.2516</v>
      </c>
      <c r="AR833">
        <v>104.04349999999999</v>
      </c>
      <c r="AS833">
        <v>103.3903</v>
      </c>
      <c r="AT833">
        <v>102.86</v>
      </c>
      <c r="AU833">
        <v>104.3895</v>
      </c>
      <c r="AV833">
        <v>131.54249999999999</v>
      </c>
      <c r="AW833">
        <v>105.708</v>
      </c>
      <c r="AX833">
        <v>116.2597</v>
      </c>
    </row>
    <row r="834" spans="1:50" x14ac:dyDescent="0.35">
      <c r="A834" s="75">
        <v>43221</v>
      </c>
      <c r="B834">
        <v>104.8913</v>
      </c>
      <c r="C834">
        <v>105.9538</v>
      </c>
      <c r="D834">
        <v>115.5813</v>
      </c>
      <c r="E834">
        <v>105.399</v>
      </c>
      <c r="F834">
        <v>101.43089999999999</v>
      </c>
      <c r="G834">
        <v>108.3124</v>
      </c>
      <c r="H834">
        <v>104.9</v>
      </c>
      <c r="I834">
        <v>115.8917</v>
      </c>
      <c r="J834">
        <v>103.3317</v>
      </c>
      <c r="K834">
        <v>105.2</v>
      </c>
      <c r="L834">
        <v>103.9173</v>
      </c>
      <c r="M834">
        <v>102.4</v>
      </c>
      <c r="N834">
        <v>103.97</v>
      </c>
      <c r="O834">
        <v>103.8929</v>
      </c>
      <c r="P834">
        <v>106.54040000000001</v>
      </c>
      <c r="Q834">
        <v>103.9</v>
      </c>
      <c r="R834">
        <v>102.09</v>
      </c>
      <c r="S834">
        <v>103.36</v>
      </c>
      <c r="T834">
        <v>107.3381</v>
      </c>
      <c r="U834">
        <v>104.9036</v>
      </c>
      <c r="V834">
        <v>105.9</v>
      </c>
      <c r="W834">
        <v>101.1223</v>
      </c>
      <c r="X834">
        <v>105.5514</v>
      </c>
      <c r="Y834">
        <v>110.43689999999999</v>
      </c>
      <c r="Z834">
        <v>110.5515</v>
      </c>
      <c r="AA834">
        <v>100.9718</v>
      </c>
      <c r="AB834">
        <v>105.5598</v>
      </c>
      <c r="AC834">
        <v>100.7056</v>
      </c>
      <c r="AD834">
        <v>102.2</v>
      </c>
      <c r="AE834">
        <v>101.09439999999999</v>
      </c>
      <c r="AF834">
        <v>104.3412</v>
      </c>
      <c r="AG834">
        <v>107.7081</v>
      </c>
      <c r="AH834">
        <v>103.48</v>
      </c>
      <c r="AI834">
        <v>105.80329999999999</v>
      </c>
      <c r="AJ834">
        <v>112.9366</v>
      </c>
      <c r="AK834">
        <v>103.42</v>
      </c>
      <c r="AL834">
        <v>107.8</v>
      </c>
      <c r="AM834">
        <v>106.0753</v>
      </c>
      <c r="AN834">
        <v>106.3079</v>
      </c>
      <c r="AO834">
        <v>103.2967</v>
      </c>
      <c r="AP834">
        <v>103.7236</v>
      </c>
      <c r="AQ834">
        <v>113.6819</v>
      </c>
      <c r="AR834">
        <v>103.80500000000001</v>
      </c>
      <c r="AS834">
        <v>103.3903</v>
      </c>
      <c r="AT834">
        <v>104.07</v>
      </c>
      <c r="AU834">
        <v>104.63200000000001</v>
      </c>
      <c r="AV834">
        <v>133.67609999999999</v>
      </c>
      <c r="AW834">
        <v>106.1477</v>
      </c>
      <c r="AX834">
        <v>116.6648</v>
      </c>
    </row>
    <row r="835" spans="1:50" x14ac:dyDescent="0.35">
      <c r="A835" s="75">
        <v>43252</v>
      </c>
      <c r="B835">
        <v>105.0912</v>
      </c>
      <c r="C835">
        <v>106.0628</v>
      </c>
      <c r="D835">
        <v>117.0376</v>
      </c>
      <c r="E835">
        <v>105.557</v>
      </c>
      <c r="F835">
        <v>101.43510000000001</v>
      </c>
      <c r="G835">
        <v>108.4213</v>
      </c>
      <c r="H835">
        <v>104.9</v>
      </c>
      <c r="I835">
        <v>116.0711</v>
      </c>
      <c r="J835">
        <v>103.5157</v>
      </c>
      <c r="K835">
        <v>105.6</v>
      </c>
      <c r="L835">
        <v>104.01730000000001</v>
      </c>
      <c r="M835">
        <v>102.3</v>
      </c>
      <c r="N835">
        <v>104.09</v>
      </c>
      <c r="O835">
        <v>104.1648</v>
      </c>
      <c r="P835">
        <v>107.5146</v>
      </c>
      <c r="Q835">
        <v>104.03</v>
      </c>
      <c r="R835">
        <v>102.32</v>
      </c>
      <c r="S835">
        <v>103.37</v>
      </c>
      <c r="T835">
        <v>107.69240000000001</v>
      </c>
      <c r="U835">
        <v>105.01479999999999</v>
      </c>
      <c r="V835">
        <v>105.9</v>
      </c>
      <c r="W835">
        <v>102.1206</v>
      </c>
      <c r="X835">
        <v>105.92149999999999</v>
      </c>
      <c r="Y835">
        <v>111.0847</v>
      </c>
      <c r="Z835">
        <v>111.3165</v>
      </c>
      <c r="AA835">
        <v>101.0715</v>
      </c>
      <c r="AB835">
        <v>106.20610000000001</v>
      </c>
      <c r="AC835">
        <v>100.8064</v>
      </c>
      <c r="AD835">
        <v>102.4</v>
      </c>
      <c r="AE835">
        <v>100.9926</v>
      </c>
      <c r="AF835">
        <v>104.13030000000001</v>
      </c>
      <c r="AG835">
        <v>107.70140000000001</v>
      </c>
      <c r="AH835">
        <v>103.65</v>
      </c>
      <c r="AI835">
        <v>106.4696</v>
      </c>
      <c r="AJ835">
        <v>113.3728</v>
      </c>
      <c r="AK835">
        <v>103.1</v>
      </c>
      <c r="AL835">
        <v>108.5</v>
      </c>
      <c r="AM835">
        <v>106.2915</v>
      </c>
      <c r="AN835">
        <v>106.6776</v>
      </c>
      <c r="AO835">
        <v>103.3781</v>
      </c>
      <c r="AP835">
        <v>103.7903</v>
      </c>
      <c r="AQ835">
        <v>114.239</v>
      </c>
      <c r="AR835">
        <v>104.002</v>
      </c>
      <c r="AS835">
        <v>103.51260000000001</v>
      </c>
      <c r="AT835">
        <v>104.07</v>
      </c>
      <c r="AU835">
        <v>104.8745</v>
      </c>
      <c r="AV835">
        <v>137.16829999999999</v>
      </c>
      <c r="AW835">
        <v>106.3168</v>
      </c>
      <c r="AX835">
        <v>116.9348</v>
      </c>
    </row>
    <row r="836" spans="1:50" x14ac:dyDescent="0.35">
      <c r="A836" s="75">
        <v>43282</v>
      </c>
      <c r="B836">
        <v>104.8913</v>
      </c>
      <c r="C836">
        <v>106.4691</v>
      </c>
      <c r="D836">
        <v>117.4239</v>
      </c>
      <c r="E836">
        <v>106.1101</v>
      </c>
      <c r="F836">
        <v>101.2017</v>
      </c>
      <c r="G836">
        <v>108.8027</v>
      </c>
      <c r="H836">
        <v>105.2</v>
      </c>
      <c r="I836">
        <v>115.9243</v>
      </c>
      <c r="J836">
        <v>103.80070000000001</v>
      </c>
      <c r="K836">
        <v>105.8</v>
      </c>
      <c r="L836">
        <v>104.4174</v>
      </c>
      <c r="M836">
        <v>103.1</v>
      </c>
      <c r="N836">
        <v>103.85</v>
      </c>
      <c r="O836">
        <v>103.41759999999999</v>
      </c>
      <c r="P836">
        <v>107.66840000000001</v>
      </c>
      <c r="Q836">
        <v>103.86</v>
      </c>
      <c r="R836">
        <v>102.23</v>
      </c>
      <c r="S836">
        <v>103.28</v>
      </c>
      <c r="T836">
        <v>108.2045</v>
      </c>
      <c r="U836">
        <v>105.0899</v>
      </c>
      <c r="V836">
        <v>105.9</v>
      </c>
      <c r="W836">
        <v>100.301</v>
      </c>
      <c r="X836">
        <v>106.2176</v>
      </c>
      <c r="Y836">
        <v>111.39190000000001</v>
      </c>
      <c r="Z836">
        <v>115.14190000000001</v>
      </c>
      <c r="AA836">
        <v>101.47020000000001</v>
      </c>
      <c r="AB836">
        <v>106.2615</v>
      </c>
      <c r="AC836">
        <v>100.8064</v>
      </c>
      <c r="AD836">
        <v>102.7</v>
      </c>
      <c r="AE836">
        <v>100.9926</v>
      </c>
      <c r="AF836">
        <v>103.9311</v>
      </c>
      <c r="AG836">
        <v>107.1698</v>
      </c>
      <c r="AH836">
        <v>102.94</v>
      </c>
      <c r="AI836">
        <v>105.614</v>
      </c>
      <c r="AJ836">
        <v>113.98050000000001</v>
      </c>
      <c r="AK836">
        <v>104.28</v>
      </c>
      <c r="AL836">
        <v>109.3</v>
      </c>
      <c r="AM836">
        <v>106.3817</v>
      </c>
      <c r="AN836">
        <v>106.7821</v>
      </c>
      <c r="AO836">
        <v>103.1339</v>
      </c>
      <c r="AP836">
        <v>103.15730000000001</v>
      </c>
      <c r="AQ836">
        <v>114.5474</v>
      </c>
      <c r="AR836">
        <v>103.85680000000001</v>
      </c>
      <c r="AS836">
        <v>103.3903</v>
      </c>
      <c r="AT836">
        <v>103.12</v>
      </c>
      <c r="AU836">
        <v>105.4203</v>
      </c>
      <c r="AV836">
        <v>137.92429999999999</v>
      </c>
      <c r="AW836">
        <v>106.324</v>
      </c>
      <c r="AX836">
        <v>117.8801</v>
      </c>
    </row>
    <row r="837" spans="1:50" x14ac:dyDescent="0.35">
      <c r="A837" s="75">
        <v>43313</v>
      </c>
      <c r="B837">
        <v>104.8913</v>
      </c>
      <c r="C837">
        <v>106.6178</v>
      </c>
      <c r="D837">
        <v>117.31829999999999</v>
      </c>
      <c r="E837">
        <v>106.0311</v>
      </c>
      <c r="F837">
        <v>101.1853</v>
      </c>
      <c r="G837">
        <v>108.9988</v>
      </c>
      <c r="H837">
        <v>105.9</v>
      </c>
      <c r="I837">
        <v>116.063</v>
      </c>
      <c r="J837">
        <v>103.7329</v>
      </c>
      <c r="K837">
        <v>105.9</v>
      </c>
      <c r="L837">
        <v>104.51739999999999</v>
      </c>
      <c r="M837">
        <v>102.7</v>
      </c>
      <c r="N837">
        <v>104.01</v>
      </c>
      <c r="O837">
        <v>103.56529999999999</v>
      </c>
      <c r="P837">
        <v>108.1811</v>
      </c>
      <c r="Q837">
        <v>103.97</v>
      </c>
      <c r="R837">
        <v>102.38</v>
      </c>
      <c r="S837">
        <v>103.78</v>
      </c>
      <c r="T837">
        <v>108.54349999999999</v>
      </c>
      <c r="U837">
        <v>105.2963</v>
      </c>
      <c r="V837">
        <v>106.5</v>
      </c>
      <c r="W837">
        <v>99.970020000000005</v>
      </c>
      <c r="X837">
        <v>106.2916</v>
      </c>
      <c r="Y837">
        <v>111.3338</v>
      </c>
      <c r="Z837">
        <v>115.14190000000001</v>
      </c>
      <c r="AA837">
        <v>101.7692</v>
      </c>
      <c r="AB837">
        <v>106.4542</v>
      </c>
      <c r="AC837">
        <v>100.90730000000001</v>
      </c>
      <c r="AD837">
        <v>103.1</v>
      </c>
      <c r="AE837">
        <v>101.6035</v>
      </c>
      <c r="AF837">
        <v>104.8503</v>
      </c>
      <c r="AG837">
        <v>106.7647</v>
      </c>
      <c r="AH837">
        <v>104.34</v>
      </c>
      <c r="AI837">
        <v>105.5419</v>
      </c>
      <c r="AJ837">
        <v>114.6455</v>
      </c>
      <c r="AK837">
        <v>104.4</v>
      </c>
      <c r="AL837">
        <v>108.9</v>
      </c>
      <c r="AM837">
        <v>106.6735</v>
      </c>
      <c r="AN837">
        <v>107.2315</v>
      </c>
      <c r="AO837">
        <v>103.1339</v>
      </c>
      <c r="AP837">
        <v>102.801</v>
      </c>
      <c r="AQ837">
        <v>114.55889999999999</v>
      </c>
      <c r="AR837">
        <v>103.7116</v>
      </c>
      <c r="AS837">
        <v>103.63500000000001</v>
      </c>
      <c r="AT837">
        <v>103.2</v>
      </c>
      <c r="AU837">
        <v>105.1969</v>
      </c>
      <c r="AV837">
        <v>141.09020000000001</v>
      </c>
      <c r="AW837">
        <v>106.3831</v>
      </c>
      <c r="AX837">
        <v>117.745</v>
      </c>
    </row>
    <row r="838" spans="1:50" x14ac:dyDescent="0.35">
      <c r="A838" s="75">
        <v>43344</v>
      </c>
      <c r="B838">
        <v>105.69119999999999</v>
      </c>
      <c r="C838">
        <v>106.6178</v>
      </c>
      <c r="D838">
        <v>117.8814</v>
      </c>
      <c r="E838">
        <v>105.636</v>
      </c>
      <c r="F838">
        <v>101.24550000000001</v>
      </c>
      <c r="G838">
        <v>109.36920000000001</v>
      </c>
      <c r="H838">
        <v>106.6</v>
      </c>
      <c r="I838">
        <v>116.25060000000001</v>
      </c>
      <c r="J838">
        <v>103.96210000000001</v>
      </c>
      <c r="K838">
        <v>105.6</v>
      </c>
      <c r="L838">
        <v>104.7175</v>
      </c>
      <c r="M838">
        <v>102.4</v>
      </c>
      <c r="N838">
        <v>104.42</v>
      </c>
      <c r="O838">
        <v>103.818</v>
      </c>
      <c r="P838">
        <v>108.1811</v>
      </c>
      <c r="Q838">
        <v>104.35</v>
      </c>
      <c r="R838">
        <v>102.6</v>
      </c>
      <c r="S838">
        <v>103.56</v>
      </c>
      <c r="T838">
        <v>109.0664</v>
      </c>
      <c r="U838">
        <v>105.3433</v>
      </c>
      <c r="V838">
        <v>106.6</v>
      </c>
      <c r="W838">
        <v>101.9816</v>
      </c>
      <c r="X838">
        <v>106.5877</v>
      </c>
      <c r="Y838">
        <v>111.1345</v>
      </c>
      <c r="Z838">
        <v>115.14190000000001</v>
      </c>
      <c r="AA838">
        <v>101.37050000000001</v>
      </c>
      <c r="AB838">
        <v>106.7269</v>
      </c>
      <c r="AC838">
        <v>101.0081</v>
      </c>
      <c r="AD838">
        <v>102.6</v>
      </c>
      <c r="AE838">
        <v>101.70529999999999</v>
      </c>
      <c r="AF838">
        <v>105.65049999999999</v>
      </c>
      <c r="AG838">
        <v>108.1927</v>
      </c>
      <c r="AH838">
        <v>104.58</v>
      </c>
      <c r="AI838">
        <v>106.2163</v>
      </c>
      <c r="AJ838">
        <v>115.13030000000001</v>
      </c>
      <c r="AK838">
        <v>103.95</v>
      </c>
      <c r="AL838">
        <v>109.5</v>
      </c>
      <c r="AM838">
        <v>107.036</v>
      </c>
      <c r="AN838">
        <v>107.96299999999999</v>
      </c>
      <c r="AO838">
        <v>103.3781</v>
      </c>
      <c r="AP838">
        <v>103.96040000000001</v>
      </c>
      <c r="AQ838">
        <v>114.7422</v>
      </c>
      <c r="AR838">
        <v>103.48350000000001</v>
      </c>
      <c r="AS838">
        <v>103.6962</v>
      </c>
      <c r="AT838">
        <v>103.63</v>
      </c>
      <c r="AU838">
        <v>105.6788</v>
      </c>
      <c r="AV838">
        <v>149.98560000000001</v>
      </c>
      <c r="AW838">
        <v>106.5067</v>
      </c>
      <c r="AX838">
        <v>118.42019999999999</v>
      </c>
    </row>
    <row r="839" spans="1:50" x14ac:dyDescent="0.35">
      <c r="A839" s="75">
        <v>43374</v>
      </c>
      <c r="B839">
        <v>105.99120000000001</v>
      </c>
      <c r="C839">
        <v>107.3412</v>
      </c>
      <c r="D839">
        <v>118.4118</v>
      </c>
      <c r="E839">
        <v>105.9521</v>
      </c>
      <c r="F839">
        <v>101.42449999999999</v>
      </c>
      <c r="G839">
        <v>109.7615</v>
      </c>
      <c r="H839">
        <v>106.8</v>
      </c>
      <c r="I839">
        <v>116.38930000000001</v>
      </c>
      <c r="J839">
        <v>104.3503</v>
      </c>
      <c r="K839">
        <v>106</v>
      </c>
      <c r="L839">
        <v>104.9175</v>
      </c>
      <c r="M839">
        <v>102.7</v>
      </c>
      <c r="N839">
        <v>104.68</v>
      </c>
      <c r="O839">
        <v>104.7782</v>
      </c>
      <c r="P839">
        <v>108.74509999999999</v>
      </c>
      <c r="Q839">
        <v>104.62</v>
      </c>
      <c r="R839">
        <v>102.85</v>
      </c>
      <c r="S839">
        <v>103.67</v>
      </c>
      <c r="T839">
        <v>109.4815</v>
      </c>
      <c r="U839">
        <v>105.5288</v>
      </c>
      <c r="V839">
        <v>106.7</v>
      </c>
      <c r="W839">
        <v>102.76949999999999</v>
      </c>
      <c r="X839">
        <v>107.1799</v>
      </c>
      <c r="Y839">
        <v>111.4417</v>
      </c>
      <c r="Z839">
        <v>115.5244</v>
      </c>
      <c r="AA839">
        <v>101.2709</v>
      </c>
      <c r="AB839">
        <v>107.3314</v>
      </c>
      <c r="AC839">
        <v>101.3105</v>
      </c>
      <c r="AD839">
        <v>102.6</v>
      </c>
      <c r="AE839">
        <v>102.0107</v>
      </c>
      <c r="AF839">
        <v>105.4607</v>
      </c>
      <c r="AG839">
        <v>108.88460000000001</v>
      </c>
      <c r="AH839">
        <v>104.69</v>
      </c>
      <c r="AI839">
        <v>106.931</v>
      </c>
      <c r="AJ839">
        <v>115.727</v>
      </c>
      <c r="AK839">
        <v>104.32</v>
      </c>
      <c r="AL839">
        <v>109.3</v>
      </c>
      <c r="AM839">
        <v>107.3775</v>
      </c>
      <c r="AN839">
        <v>108.4911</v>
      </c>
      <c r="AO839">
        <v>103.7851</v>
      </c>
      <c r="AP839">
        <v>103.8669</v>
      </c>
      <c r="AQ839">
        <v>115.1438</v>
      </c>
      <c r="AR839">
        <v>102.98569999999999</v>
      </c>
      <c r="AS839">
        <v>103.7573</v>
      </c>
      <c r="AT839">
        <v>103.96</v>
      </c>
      <c r="AU839">
        <v>105.54470000000001</v>
      </c>
      <c r="AV839">
        <v>153.9881</v>
      </c>
      <c r="AW839">
        <v>106.6949</v>
      </c>
      <c r="AX839">
        <v>118.9603</v>
      </c>
    </row>
    <row r="840" spans="1:50" x14ac:dyDescent="0.35">
      <c r="A840" s="75">
        <v>43405</v>
      </c>
      <c r="B840">
        <v>106.19119999999999</v>
      </c>
      <c r="C840">
        <v>107.5097</v>
      </c>
      <c r="D840">
        <v>118.1631</v>
      </c>
      <c r="E840">
        <v>105.47799999999999</v>
      </c>
      <c r="F840">
        <v>101.1657</v>
      </c>
      <c r="G840">
        <v>109.7615</v>
      </c>
      <c r="H840">
        <v>106.4</v>
      </c>
      <c r="I840">
        <v>116.52800000000001</v>
      </c>
      <c r="J840">
        <v>104.7914</v>
      </c>
      <c r="K840">
        <v>105.9</v>
      </c>
      <c r="L840">
        <v>104.2174</v>
      </c>
      <c r="M840">
        <v>102.4</v>
      </c>
      <c r="N840">
        <v>104.1</v>
      </c>
      <c r="O840">
        <v>104.66370000000001</v>
      </c>
      <c r="P840">
        <v>108.1811</v>
      </c>
      <c r="Q840">
        <v>104.11</v>
      </c>
      <c r="R840">
        <v>102.83</v>
      </c>
      <c r="S840">
        <v>103.45</v>
      </c>
      <c r="T840">
        <v>109.2748</v>
      </c>
      <c r="U840">
        <v>105.2107</v>
      </c>
      <c r="V840">
        <v>106.9</v>
      </c>
      <c r="W840">
        <v>101.2247</v>
      </c>
      <c r="X840">
        <v>106.8098</v>
      </c>
      <c r="Y840">
        <v>111.7407</v>
      </c>
      <c r="Z840">
        <v>115.5244</v>
      </c>
      <c r="AA840">
        <v>100.77249999999999</v>
      </c>
      <c r="AB840">
        <v>107.5975</v>
      </c>
      <c r="AC840">
        <v>101.0081</v>
      </c>
      <c r="AD840">
        <v>102.4</v>
      </c>
      <c r="AE840">
        <v>101.80710000000001</v>
      </c>
      <c r="AF840">
        <v>104.71120000000001</v>
      </c>
      <c r="AG840">
        <v>108.75660000000001</v>
      </c>
      <c r="AH840">
        <v>104.66</v>
      </c>
      <c r="AI840">
        <v>106.8039</v>
      </c>
      <c r="AJ840">
        <v>116.7115</v>
      </c>
      <c r="AK840">
        <v>104.07</v>
      </c>
      <c r="AL840">
        <v>109.8</v>
      </c>
      <c r="AM840">
        <v>107.0857</v>
      </c>
      <c r="AN840">
        <v>108.1195</v>
      </c>
      <c r="AO840">
        <v>103.7851</v>
      </c>
      <c r="AP840">
        <v>103.4021</v>
      </c>
      <c r="AQ840">
        <v>115.7195</v>
      </c>
      <c r="AR840">
        <v>102.768</v>
      </c>
      <c r="AS840">
        <v>103.6962</v>
      </c>
      <c r="AT840">
        <v>104.06</v>
      </c>
      <c r="AU840">
        <v>105.4426</v>
      </c>
      <c r="AV840">
        <v>151.7662</v>
      </c>
      <c r="AW840">
        <v>106.33750000000001</v>
      </c>
      <c r="AX840">
        <v>119.09529999999999</v>
      </c>
    </row>
    <row r="841" spans="1:50" x14ac:dyDescent="0.35">
      <c r="A841" s="75">
        <v>43435</v>
      </c>
      <c r="B841">
        <v>106.2911</v>
      </c>
      <c r="C841">
        <v>107.2521</v>
      </c>
      <c r="D841">
        <v>118.3403</v>
      </c>
      <c r="E841">
        <v>105.399</v>
      </c>
      <c r="F841">
        <v>100.90600000000001</v>
      </c>
      <c r="G841">
        <v>109.6525</v>
      </c>
      <c r="H841">
        <v>106.5</v>
      </c>
      <c r="I841">
        <v>116.8788</v>
      </c>
      <c r="J841">
        <v>105.0119</v>
      </c>
      <c r="K841">
        <v>106</v>
      </c>
      <c r="L841">
        <v>104.2174</v>
      </c>
      <c r="M841">
        <v>102.1</v>
      </c>
      <c r="N841">
        <v>104.05</v>
      </c>
      <c r="O841">
        <v>104.19370000000001</v>
      </c>
      <c r="P841">
        <v>107.9247</v>
      </c>
      <c r="Q841">
        <v>104.08</v>
      </c>
      <c r="R841">
        <v>102.71</v>
      </c>
      <c r="S841">
        <v>103.47</v>
      </c>
      <c r="T841">
        <v>109.2513</v>
      </c>
      <c r="U841">
        <v>104.99209999999999</v>
      </c>
      <c r="V841">
        <v>107.1</v>
      </c>
      <c r="W841">
        <v>101.32989999999999</v>
      </c>
      <c r="X841">
        <v>106.4397</v>
      </c>
      <c r="Y841">
        <v>112.4299</v>
      </c>
      <c r="Z841">
        <v>115.14190000000001</v>
      </c>
      <c r="AA841">
        <v>100.77249999999999</v>
      </c>
      <c r="AB841">
        <v>108.38760000000001</v>
      </c>
      <c r="AC841">
        <v>100.7056</v>
      </c>
      <c r="AD841">
        <v>102.3</v>
      </c>
      <c r="AE841">
        <v>101.5017</v>
      </c>
      <c r="AF841">
        <v>104.3507</v>
      </c>
      <c r="AG841">
        <v>108.0746</v>
      </c>
      <c r="AH841">
        <v>104.32</v>
      </c>
      <c r="AI841">
        <v>106.4038</v>
      </c>
      <c r="AJ841">
        <v>117.5295</v>
      </c>
      <c r="AK841">
        <v>103.97</v>
      </c>
      <c r="AL841">
        <v>109.8</v>
      </c>
      <c r="AM841">
        <v>106.9152</v>
      </c>
      <c r="AN841">
        <v>108.035</v>
      </c>
      <c r="AO841">
        <v>103.7851</v>
      </c>
      <c r="AP841">
        <v>103.1593</v>
      </c>
      <c r="AQ841">
        <v>116.6915</v>
      </c>
      <c r="AR841">
        <v>102.3532</v>
      </c>
      <c r="AS841">
        <v>103.57380000000001</v>
      </c>
      <c r="AT841">
        <v>103.46</v>
      </c>
      <c r="AU841">
        <v>105.9117</v>
      </c>
      <c r="AV841">
        <v>151.15219999999999</v>
      </c>
      <c r="AW841">
        <v>105.9979</v>
      </c>
      <c r="AX841">
        <v>118.9603</v>
      </c>
    </row>
    <row r="842" spans="1:50" x14ac:dyDescent="0.35">
      <c r="A842" s="75">
        <v>43466</v>
      </c>
      <c r="B842">
        <v>105.49120000000001</v>
      </c>
      <c r="C842">
        <v>107.2025</v>
      </c>
      <c r="D842">
        <v>118.71899999999999</v>
      </c>
      <c r="E842">
        <v>105.557</v>
      </c>
      <c r="F842">
        <v>100.64149999999999</v>
      </c>
      <c r="G842">
        <v>109.7724</v>
      </c>
      <c r="H842">
        <v>107</v>
      </c>
      <c r="I842">
        <v>117.5783</v>
      </c>
      <c r="J842">
        <v>105.0656</v>
      </c>
      <c r="K842">
        <v>107.1</v>
      </c>
      <c r="L842">
        <v>103.41719999999999</v>
      </c>
      <c r="M842">
        <v>102.3</v>
      </c>
      <c r="N842">
        <v>102.97</v>
      </c>
      <c r="O842">
        <v>102.86199999999999</v>
      </c>
      <c r="P842">
        <v>107.66840000000001</v>
      </c>
      <c r="Q842">
        <v>103.22</v>
      </c>
      <c r="R842">
        <v>102.31</v>
      </c>
      <c r="S842">
        <v>103.01</v>
      </c>
      <c r="T842">
        <v>109.53870000000001</v>
      </c>
      <c r="U842">
        <v>104.96510000000001</v>
      </c>
      <c r="V842">
        <v>106.4</v>
      </c>
      <c r="W842">
        <v>99.54</v>
      </c>
      <c r="X842">
        <v>106.73569999999999</v>
      </c>
      <c r="Y842">
        <v>112.7953</v>
      </c>
      <c r="Z842">
        <v>117.437</v>
      </c>
      <c r="AA842">
        <v>100.0748</v>
      </c>
      <c r="AB842">
        <v>107.92959999999999</v>
      </c>
      <c r="AC842">
        <v>100.6048</v>
      </c>
      <c r="AD842">
        <v>102.4</v>
      </c>
      <c r="AE842">
        <v>101.5017</v>
      </c>
      <c r="AF842">
        <v>104.241</v>
      </c>
      <c r="AG842">
        <v>108.28489999999999</v>
      </c>
      <c r="AH842">
        <v>103.4</v>
      </c>
      <c r="AI842">
        <v>106.9089</v>
      </c>
      <c r="AJ842">
        <v>117.62990000000001</v>
      </c>
      <c r="AK842">
        <v>104.05</v>
      </c>
      <c r="AL842">
        <v>109.3</v>
      </c>
      <c r="AM842">
        <v>106.86839999999999</v>
      </c>
      <c r="AN842">
        <v>107.6388</v>
      </c>
      <c r="AO842">
        <v>103.54089999999999</v>
      </c>
      <c r="AP842">
        <v>101.9183</v>
      </c>
      <c r="AQ842">
        <v>117.87009999999999</v>
      </c>
      <c r="AR842">
        <v>101.2747</v>
      </c>
      <c r="AS842">
        <v>104.675</v>
      </c>
      <c r="AT842">
        <v>102.32</v>
      </c>
      <c r="AU842">
        <v>104.8554</v>
      </c>
      <c r="AV842">
        <v>152.76009999999999</v>
      </c>
      <c r="AW842">
        <v>106.2</v>
      </c>
      <c r="AX842">
        <v>118.8252</v>
      </c>
    </row>
    <row r="843" spans="1:50" x14ac:dyDescent="0.35">
      <c r="A843" s="75">
        <v>43497</v>
      </c>
      <c r="B843">
        <v>105.49120000000001</v>
      </c>
      <c r="C843">
        <v>107.54940000000001</v>
      </c>
      <c r="D843">
        <v>119.2294</v>
      </c>
      <c r="E843">
        <v>106.2681</v>
      </c>
      <c r="F843">
        <v>101.03279999999999</v>
      </c>
      <c r="G843">
        <v>109.816</v>
      </c>
      <c r="H843">
        <v>108.1</v>
      </c>
      <c r="I843">
        <v>118.25409999999999</v>
      </c>
      <c r="J843">
        <v>105.15170000000001</v>
      </c>
      <c r="K843">
        <v>107.3</v>
      </c>
      <c r="L843">
        <v>103.8173</v>
      </c>
      <c r="M843">
        <v>102.8</v>
      </c>
      <c r="N843">
        <v>103.3</v>
      </c>
      <c r="O843">
        <v>103.1135</v>
      </c>
      <c r="P843">
        <v>107.8222</v>
      </c>
      <c r="Q843">
        <v>103.57</v>
      </c>
      <c r="R843">
        <v>102.8</v>
      </c>
      <c r="S843">
        <v>103.06</v>
      </c>
      <c r="T843">
        <v>110.03019999999999</v>
      </c>
      <c r="U843">
        <v>105.3207</v>
      </c>
      <c r="V843">
        <v>106.8</v>
      </c>
      <c r="W843">
        <v>99.6691</v>
      </c>
      <c r="X843">
        <v>107.3279</v>
      </c>
      <c r="Y843">
        <v>112.70399999999999</v>
      </c>
      <c r="Z843">
        <v>117.437</v>
      </c>
      <c r="AA843">
        <v>100.87220000000001</v>
      </c>
      <c r="AB843">
        <v>108.1378</v>
      </c>
      <c r="AC843">
        <v>100.7056</v>
      </c>
      <c r="AD843">
        <v>102.5</v>
      </c>
      <c r="AE843">
        <v>101.5017</v>
      </c>
      <c r="AF843">
        <v>104.69119999999999</v>
      </c>
      <c r="AG843">
        <v>108.4233</v>
      </c>
      <c r="AH843">
        <v>104.97</v>
      </c>
      <c r="AI843">
        <v>106.97580000000001</v>
      </c>
      <c r="AJ843">
        <v>117.5968</v>
      </c>
      <c r="AK843">
        <v>104.97</v>
      </c>
      <c r="AL843">
        <v>110.2</v>
      </c>
      <c r="AM843">
        <v>107.2075</v>
      </c>
      <c r="AN843">
        <v>107.95229999999999</v>
      </c>
      <c r="AO843">
        <v>103.9479</v>
      </c>
      <c r="AP843">
        <v>101.6934</v>
      </c>
      <c r="AQ843">
        <v>118.3887</v>
      </c>
      <c r="AR843">
        <v>101.0984</v>
      </c>
      <c r="AS843">
        <v>104.91970000000001</v>
      </c>
      <c r="AT843">
        <v>103.11</v>
      </c>
      <c r="AU843">
        <v>105.6405</v>
      </c>
      <c r="AV843">
        <v>153.00569999999999</v>
      </c>
      <c r="AW843">
        <v>106.6489</v>
      </c>
      <c r="AX843">
        <v>119.7705</v>
      </c>
    </row>
    <row r="844" spans="1:50" x14ac:dyDescent="0.35">
      <c r="A844" s="75">
        <v>43525</v>
      </c>
      <c r="B844">
        <v>106.39109999999999</v>
      </c>
      <c r="C844">
        <v>107.8764</v>
      </c>
      <c r="D844">
        <v>120.1236</v>
      </c>
      <c r="E844">
        <v>106.97920000000001</v>
      </c>
      <c r="F844">
        <v>101.57080000000001</v>
      </c>
      <c r="G844">
        <v>110.3389</v>
      </c>
      <c r="H844">
        <v>107.7</v>
      </c>
      <c r="I844">
        <v>118.7677</v>
      </c>
      <c r="J844">
        <v>104.999</v>
      </c>
      <c r="K844">
        <v>107.5</v>
      </c>
      <c r="L844">
        <v>104.2174</v>
      </c>
      <c r="M844">
        <v>102.9</v>
      </c>
      <c r="N844">
        <v>104.35</v>
      </c>
      <c r="O844">
        <v>103.4872</v>
      </c>
      <c r="P844">
        <v>108.1811</v>
      </c>
      <c r="Q844">
        <v>104.5</v>
      </c>
      <c r="R844">
        <v>102.87</v>
      </c>
      <c r="S844">
        <v>103.89</v>
      </c>
      <c r="T844">
        <v>110.5453</v>
      </c>
      <c r="U844">
        <v>105.80840000000001</v>
      </c>
      <c r="V844">
        <v>107</v>
      </c>
      <c r="W844">
        <v>101.4823</v>
      </c>
      <c r="X844">
        <v>108.0681</v>
      </c>
      <c r="Y844">
        <v>112.82850000000001</v>
      </c>
      <c r="Z844">
        <v>118.2021</v>
      </c>
      <c r="AA844">
        <v>101.6696</v>
      </c>
      <c r="AB844">
        <v>108.70229999999999</v>
      </c>
      <c r="AC844">
        <v>101.2097</v>
      </c>
      <c r="AD844">
        <v>102.8</v>
      </c>
      <c r="AE844">
        <v>101.5017</v>
      </c>
      <c r="AF844">
        <v>104.4909</v>
      </c>
      <c r="AG844">
        <v>109.4406</v>
      </c>
      <c r="AH844">
        <v>105.14</v>
      </c>
      <c r="AI844">
        <v>108.1824</v>
      </c>
      <c r="AJ844">
        <v>118.0498</v>
      </c>
      <c r="AK844">
        <v>105.37</v>
      </c>
      <c r="AL844">
        <v>110.4</v>
      </c>
      <c r="AM844">
        <v>107.6953</v>
      </c>
      <c r="AN844">
        <v>108.492</v>
      </c>
      <c r="AO844">
        <v>104.2735</v>
      </c>
      <c r="AP844">
        <v>103.49469999999999</v>
      </c>
      <c r="AQ844">
        <v>118.7676</v>
      </c>
      <c r="AR844">
        <v>100.99469999999999</v>
      </c>
      <c r="AS844">
        <v>105.53149999999999</v>
      </c>
      <c r="AT844">
        <v>103.83</v>
      </c>
      <c r="AU844">
        <v>105.8862</v>
      </c>
      <c r="AV844">
        <v>154.57910000000001</v>
      </c>
      <c r="AW844">
        <v>107.2505</v>
      </c>
      <c r="AX844">
        <v>120.7157</v>
      </c>
    </row>
    <row r="845" spans="1:50" x14ac:dyDescent="0.35">
      <c r="A845" s="75">
        <v>43556</v>
      </c>
      <c r="B845">
        <v>106.4911</v>
      </c>
      <c r="C845">
        <v>107.9359</v>
      </c>
      <c r="D845">
        <v>120.8083</v>
      </c>
      <c r="E845">
        <v>107.4533</v>
      </c>
      <c r="F845">
        <v>101.7617</v>
      </c>
      <c r="G845">
        <v>110.6331</v>
      </c>
      <c r="H845">
        <v>107.8</v>
      </c>
      <c r="I845">
        <v>119.3567</v>
      </c>
      <c r="J845">
        <v>105.58839999999999</v>
      </c>
      <c r="K845">
        <v>107.6</v>
      </c>
      <c r="L845">
        <v>105.2175</v>
      </c>
      <c r="M845">
        <v>103.2</v>
      </c>
      <c r="N845">
        <v>105.1</v>
      </c>
      <c r="O845">
        <v>104.5309</v>
      </c>
      <c r="P845">
        <v>109.61669999999999</v>
      </c>
      <c r="Q845">
        <v>105.26</v>
      </c>
      <c r="R845">
        <v>103.47</v>
      </c>
      <c r="S845">
        <v>104.22</v>
      </c>
      <c r="T845">
        <v>111.172</v>
      </c>
      <c r="U845">
        <v>106.3486</v>
      </c>
      <c r="V845">
        <v>107.6</v>
      </c>
      <c r="W845">
        <v>102.4866</v>
      </c>
      <c r="X845">
        <v>109.0303</v>
      </c>
      <c r="Y845">
        <v>113.32680000000001</v>
      </c>
      <c r="Z845">
        <v>119.3497</v>
      </c>
      <c r="AA845">
        <v>102.06829999999999</v>
      </c>
      <c r="AB845">
        <v>109.0967</v>
      </c>
      <c r="AC845">
        <v>101.5121</v>
      </c>
      <c r="AD845">
        <v>103</v>
      </c>
      <c r="AE845">
        <v>101.80710000000001</v>
      </c>
      <c r="AF845">
        <v>104.8704</v>
      </c>
      <c r="AG845">
        <v>110.32299999999999</v>
      </c>
      <c r="AH845">
        <v>105.33</v>
      </c>
      <c r="AI845">
        <v>109.1061</v>
      </c>
      <c r="AJ845">
        <v>118.1125</v>
      </c>
      <c r="AK845">
        <v>106.08</v>
      </c>
      <c r="AL845">
        <v>110.8</v>
      </c>
      <c r="AM845">
        <v>108.2826</v>
      </c>
      <c r="AN845">
        <v>109.2517</v>
      </c>
      <c r="AO845">
        <v>105.4131</v>
      </c>
      <c r="AP845">
        <v>104.0998</v>
      </c>
      <c r="AQ845">
        <v>119.11199999999999</v>
      </c>
      <c r="AR845">
        <v>101.04649999999999</v>
      </c>
      <c r="AS845">
        <v>105.7762</v>
      </c>
      <c r="AT845">
        <v>104.64</v>
      </c>
      <c r="AU845">
        <v>106.6266</v>
      </c>
      <c r="AV845">
        <v>157.19630000000001</v>
      </c>
      <c r="AW845">
        <v>107.8184</v>
      </c>
      <c r="AX845">
        <v>121.3908</v>
      </c>
    </row>
    <row r="846" spans="1:50" x14ac:dyDescent="0.35">
      <c r="A846" s="75">
        <v>43586</v>
      </c>
      <c r="B846">
        <v>106.69110000000001</v>
      </c>
      <c r="C846">
        <v>107.95569999999999</v>
      </c>
      <c r="D846">
        <v>120.9653</v>
      </c>
      <c r="E846">
        <v>107.9273</v>
      </c>
      <c r="F846">
        <v>102.0742</v>
      </c>
      <c r="G846">
        <v>111.29770000000001</v>
      </c>
      <c r="H846">
        <v>107.8</v>
      </c>
      <c r="I846">
        <v>119.7323</v>
      </c>
      <c r="J846">
        <v>105.7315</v>
      </c>
      <c r="K846">
        <v>108.3</v>
      </c>
      <c r="L846">
        <v>105.41759999999999</v>
      </c>
      <c r="M846">
        <v>103.1</v>
      </c>
      <c r="N846">
        <v>105.24</v>
      </c>
      <c r="O846">
        <v>104.7343</v>
      </c>
      <c r="P846">
        <v>109.873</v>
      </c>
      <c r="Q846">
        <v>105.44</v>
      </c>
      <c r="R846">
        <v>103.29</v>
      </c>
      <c r="S846">
        <v>104.33</v>
      </c>
      <c r="T846">
        <v>111.4713</v>
      </c>
      <c r="U846">
        <v>106.5436</v>
      </c>
      <c r="V846">
        <v>107.9</v>
      </c>
      <c r="W846">
        <v>101.35209999999999</v>
      </c>
      <c r="X846">
        <v>109.6965</v>
      </c>
      <c r="Y846">
        <v>114.09910000000001</v>
      </c>
      <c r="Z846">
        <v>120.1148</v>
      </c>
      <c r="AA846">
        <v>101.9686</v>
      </c>
      <c r="AB846">
        <v>109.3485</v>
      </c>
      <c r="AC846">
        <v>102.21769999999999</v>
      </c>
      <c r="AD846">
        <v>103</v>
      </c>
      <c r="AE846">
        <v>101.80710000000001</v>
      </c>
      <c r="AF846">
        <v>105.0506</v>
      </c>
      <c r="AG846">
        <v>110.5792</v>
      </c>
      <c r="AH846">
        <v>105.62</v>
      </c>
      <c r="AI846">
        <v>109.34399999999999</v>
      </c>
      <c r="AJ846">
        <v>117.77249999999999</v>
      </c>
      <c r="AK846">
        <v>105.94</v>
      </c>
      <c r="AL846">
        <v>110.5</v>
      </c>
      <c r="AM846">
        <v>108.4789</v>
      </c>
      <c r="AN846">
        <v>109.4804</v>
      </c>
      <c r="AO846">
        <v>105.65730000000001</v>
      </c>
      <c r="AP846">
        <v>104.1605</v>
      </c>
      <c r="AQ846">
        <v>119.517</v>
      </c>
      <c r="AR846">
        <v>101.0776</v>
      </c>
      <c r="AS846">
        <v>106.1433</v>
      </c>
      <c r="AT846">
        <v>105.56</v>
      </c>
      <c r="AU846">
        <v>106.8947</v>
      </c>
      <c r="AV846">
        <v>158.6891</v>
      </c>
      <c r="AW846">
        <v>108.0479</v>
      </c>
      <c r="AX846">
        <v>121.7959</v>
      </c>
    </row>
    <row r="847" spans="1:50" x14ac:dyDescent="0.35">
      <c r="A847" s="75">
        <v>43617</v>
      </c>
      <c r="B847">
        <v>106.7911</v>
      </c>
      <c r="C847">
        <v>107.89619999999999</v>
      </c>
      <c r="D847">
        <v>120.9774</v>
      </c>
      <c r="E847">
        <v>107.69029999999999</v>
      </c>
      <c r="F847">
        <v>102.04389999999999</v>
      </c>
      <c r="G847">
        <v>111.3522</v>
      </c>
      <c r="H847">
        <v>107.7</v>
      </c>
      <c r="I847">
        <v>120.05240000000001</v>
      </c>
      <c r="J847">
        <v>106.0219</v>
      </c>
      <c r="K847">
        <v>108.5</v>
      </c>
      <c r="L847">
        <v>105.7176</v>
      </c>
      <c r="M847">
        <v>102.9</v>
      </c>
      <c r="N847">
        <v>105.41</v>
      </c>
      <c r="O847">
        <v>104.6112</v>
      </c>
      <c r="P847">
        <v>110.07810000000001</v>
      </c>
      <c r="Q847">
        <v>105.57</v>
      </c>
      <c r="R847">
        <v>103.36</v>
      </c>
      <c r="S847">
        <v>104.58</v>
      </c>
      <c r="T847">
        <v>111.6176</v>
      </c>
      <c r="U847">
        <v>106.5723</v>
      </c>
      <c r="V847">
        <v>107.9</v>
      </c>
      <c r="W847">
        <v>101.8369</v>
      </c>
      <c r="X847">
        <v>109.47450000000001</v>
      </c>
      <c r="Y847">
        <v>114.7302</v>
      </c>
      <c r="Z847">
        <v>120.8798</v>
      </c>
      <c r="AA847">
        <v>102.16800000000001</v>
      </c>
      <c r="AB847">
        <v>109.7578</v>
      </c>
      <c r="AC847">
        <v>101.6129</v>
      </c>
      <c r="AD847">
        <v>103.1</v>
      </c>
      <c r="AE847">
        <v>101.6035</v>
      </c>
      <c r="AF847">
        <v>104.8809</v>
      </c>
      <c r="AG847">
        <v>110.3661</v>
      </c>
      <c r="AH847">
        <v>105.55</v>
      </c>
      <c r="AI847">
        <v>109.7107</v>
      </c>
      <c r="AJ847">
        <v>117.84780000000001</v>
      </c>
      <c r="AK847">
        <v>105.84</v>
      </c>
      <c r="AL847">
        <v>110.6</v>
      </c>
      <c r="AM847">
        <v>108.5057</v>
      </c>
      <c r="AN847">
        <v>109.5954</v>
      </c>
      <c r="AO847">
        <v>105.9829</v>
      </c>
      <c r="AP847">
        <v>104.1923</v>
      </c>
      <c r="AQ847">
        <v>119.56480000000001</v>
      </c>
      <c r="AR847">
        <v>101.3058</v>
      </c>
      <c r="AS847">
        <v>106.20440000000001</v>
      </c>
      <c r="AT847">
        <v>105.93</v>
      </c>
      <c r="AU847">
        <v>106.7415</v>
      </c>
      <c r="AV847">
        <v>158.7313</v>
      </c>
      <c r="AW847">
        <v>108.06950000000001</v>
      </c>
      <c r="AX847">
        <v>122.20099999999999</v>
      </c>
    </row>
    <row r="848" spans="1:50" x14ac:dyDescent="0.35">
      <c r="A848" s="75">
        <v>43647</v>
      </c>
      <c r="B848">
        <v>106.39109999999999</v>
      </c>
      <c r="C848">
        <v>107.9854</v>
      </c>
      <c r="D848">
        <v>121.2073</v>
      </c>
      <c r="E848">
        <v>108.2433</v>
      </c>
      <c r="F848">
        <v>101.51730000000001</v>
      </c>
      <c r="G848">
        <v>111.6028</v>
      </c>
      <c r="H848">
        <v>108.1</v>
      </c>
      <c r="I848">
        <v>120.31529999999999</v>
      </c>
      <c r="J848">
        <v>106.8006</v>
      </c>
      <c r="K848">
        <v>108.9</v>
      </c>
      <c r="L848">
        <v>106.21769999999999</v>
      </c>
      <c r="M848">
        <v>103.5</v>
      </c>
      <c r="N848">
        <v>104.91</v>
      </c>
      <c r="O848">
        <v>103.96250000000001</v>
      </c>
      <c r="P848">
        <v>109.9243</v>
      </c>
      <c r="Q848">
        <v>105.22</v>
      </c>
      <c r="R848">
        <v>103.08</v>
      </c>
      <c r="S848">
        <v>104.38</v>
      </c>
      <c r="T848">
        <v>111.9011</v>
      </c>
      <c r="U848">
        <v>106.7371</v>
      </c>
      <c r="V848">
        <v>108</v>
      </c>
      <c r="W848">
        <v>100.34780000000001</v>
      </c>
      <c r="X848">
        <v>109.6965</v>
      </c>
      <c r="Y848">
        <v>115.0873</v>
      </c>
      <c r="Z848">
        <v>122.0274</v>
      </c>
      <c r="AA848">
        <v>101.9686</v>
      </c>
      <c r="AB848">
        <v>109.5162</v>
      </c>
      <c r="AC848">
        <v>101.3105</v>
      </c>
      <c r="AD848">
        <v>103.1</v>
      </c>
      <c r="AE848">
        <v>101.6035</v>
      </c>
      <c r="AF848">
        <v>104.5604</v>
      </c>
      <c r="AG848">
        <v>110.0142</v>
      </c>
      <c r="AH848">
        <v>104.83</v>
      </c>
      <c r="AI848">
        <v>108.6572</v>
      </c>
      <c r="AJ848">
        <v>118.29049999999999</v>
      </c>
      <c r="AK848">
        <v>106.9</v>
      </c>
      <c r="AL848">
        <v>111.4</v>
      </c>
      <c r="AM848">
        <v>108.678</v>
      </c>
      <c r="AN848">
        <v>109.748</v>
      </c>
      <c r="AO848">
        <v>105.9829</v>
      </c>
      <c r="AP848">
        <v>102.8319</v>
      </c>
      <c r="AQ848">
        <v>119.8039</v>
      </c>
      <c r="AR848">
        <v>101.58580000000001</v>
      </c>
      <c r="AS848">
        <v>106.32680000000001</v>
      </c>
      <c r="AT848">
        <v>105.18</v>
      </c>
      <c r="AU848">
        <v>107.16589999999999</v>
      </c>
      <c r="AV848">
        <v>160.88419999999999</v>
      </c>
      <c r="AW848">
        <v>108.25</v>
      </c>
      <c r="AX848">
        <v>122.6061</v>
      </c>
    </row>
    <row r="849" spans="1:50" x14ac:dyDescent="0.35">
      <c r="A849" s="75">
        <v>43678</v>
      </c>
      <c r="B849">
        <v>106.4911</v>
      </c>
      <c r="C849">
        <v>107.96559999999999</v>
      </c>
      <c r="D849">
        <v>121.3407</v>
      </c>
      <c r="E849">
        <v>108.0853</v>
      </c>
      <c r="F849">
        <v>101.50700000000001</v>
      </c>
      <c r="G849">
        <v>111.8098</v>
      </c>
      <c r="H849">
        <v>108.9</v>
      </c>
      <c r="I849">
        <v>120.4171</v>
      </c>
      <c r="J849">
        <v>106.6952</v>
      </c>
      <c r="K849">
        <v>109</v>
      </c>
      <c r="L849">
        <v>106.0177</v>
      </c>
      <c r="M849">
        <v>103.1</v>
      </c>
      <c r="N849">
        <v>105.06</v>
      </c>
      <c r="O849">
        <v>103.90470000000001</v>
      </c>
      <c r="P849">
        <v>110.6934</v>
      </c>
      <c r="Q849">
        <v>105.31</v>
      </c>
      <c r="R849">
        <v>103.5</v>
      </c>
      <c r="S849">
        <v>104.86</v>
      </c>
      <c r="T849">
        <v>112.2039</v>
      </c>
      <c r="U849">
        <v>106.807</v>
      </c>
      <c r="V849">
        <v>108.3</v>
      </c>
      <c r="W849">
        <v>99.799719999999994</v>
      </c>
      <c r="X849">
        <v>109.5485</v>
      </c>
      <c r="Y849">
        <v>115.2201</v>
      </c>
      <c r="Z849">
        <v>122.40989999999999</v>
      </c>
      <c r="AA849">
        <v>102.467</v>
      </c>
      <c r="AB849">
        <v>109.8235</v>
      </c>
      <c r="AC849">
        <v>101.5121</v>
      </c>
      <c r="AD849">
        <v>103.5</v>
      </c>
      <c r="AE849">
        <v>101.80710000000001</v>
      </c>
      <c r="AF849">
        <v>104.8113</v>
      </c>
      <c r="AG849">
        <v>109.5784</v>
      </c>
      <c r="AH849">
        <v>106.06</v>
      </c>
      <c r="AI849">
        <v>108.8734</v>
      </c>
      <c r="AJ849">
        <v>118.2711</v>
      </c>
      <c r="AK849">
        <v>107.37</v>
      </c>
      <c r="AL849">
        <v>110.6</v>
      </c>
      <c r="AM849">
        <v>108.7672</v>
      </c>
      <c r="AN849">
        <v>109.93940000000001</v>
      </c>
      <c r="AO849">
        <v>105.9829</v>
      </c>
      <c r="AP849">
        <v>102.7135</v>
      </c>
      <c r="AQ849">
        <v>119.5164</v>
      </c>
      <c r="AR849">
        <v>101.78279999999999</v>
      </c>
      <c r="AS849">
        <v>106.5715</v>
      </c>
      <c r="AT849">
        <v>105.57</v>
      </c>
      <c r="AU849">
        <v>106.71599999999999</v>
      </c>
      <c r="AV849">
        <v>162.26570000000001</v>
      </c>
      <c r="AW849">
        <v>108.24460000000001</v>
      </c>
      <c r="AX849">
        <v>122.87609999999999</v>
      </c>
    </row>
    <row r="850" spans="1:50" x14ac:dyDescent="0.35">
      <c r="A850" s="75">
        <v>43709</v>
      </c>
      <c r="B850">
        <v>106.9911</v>
      </c>
      <c r="C850">
        <v>107.4701</v>
      </c>
      <c r="D850">
        <v>121.29219999999999</v>
      </c>
      <c r="E850">
        <v>107.6113</v>
      </c>
      <c r="F850">
        <v>101.39570000000001</v>
      </c>
      <c r="G850">
        <v>111.8207</v>
      </c>
      <c r="H850">
        <v>109.8</v>
      </c>
      <c r="I850">
        <v>120.6922</v>
      </c>
      <c r="J850">
        <v>106.5909</v>
      </c>
      <c r="K850">
        <v>108.4</v>
      </c>
      <c r="L850">
        <v>106.0177</v>
      </c>
      <c r="M850">
        <v>102.9</v>
      </c>
      <c r="N850">
        <v>105.29</v>
      </c>
      <c r="O850">
        <v>103.90470000000001</v>
      </c>
      <c r="P850">
        <v>110.5395</v>
      </c>
      <c r="Q850">
        <v>105.49</v>
      </c>
      <c r="R850">
        <v>103.54</v>
      </c>
      <c r="S850">
        <v>104.5</v>
      </c>
      <c r="T850">
        <v>112.6144</v>
      </c>
      <c r="U850">
        <v>106.7962</v>
      </c>
      <c r="V850">
        <v>108.4</v>
      </c>
      <c r="W850">
        <v>101.9057</v>
      </c>
      <c r="X850">
        <v>109.6225</v>
      </c>
      <c r="Y850">
        <v>114.9046</v>
      </c>
      <c r="Z850">
        <v>123.175</v>
      </c>
      <c r="AA850">
        <v>102.2676</v>
      </c>
      <c r="AB850">
        <v>109.92149999999999</v>
      </c>
      <c r="AC850">
        <v>101.3105</v>
      </c>
      <c r="AD850">
        <v>102.9</v>
      </c>
      <c r="AE850">
        <v>101.9089</v>
      </c>
      <c r="AF850">
        <v>105.2003</v>
      </c>
      <c r="AG850">
        <v>110.58669999999999</v>
      </c>
      <c r="AH850">
        <v>105.9</v>
      </c>
      <c r="AI850">
        <v>108.9301</v>
      </c>
      <c r="AJ850">
        <v>118.5814</v>
      </c>
      <c r="AK850">
        <v>106.7</v>
      </c>
      <c r="AL850">
        <v>111.1</v>
      </c>
      <c r="AM850">
        <v>108.8335</v>
      </c>
      <c r="AN850">
        <v>109.9734</v>
      </c>
      <c r="AO850">
        <v>105.9829</v>
      </c>
      <c r="AP850">
        <v>103.84399999999999</v>
      </c>
      <c r="AQ850">
        <v>119.3252</v>
      </c>
      <c r="AR850">
        <v>102.0213</v>
      </c>
      <c r="AS850">
        <v>106.6939</v>
      </c>
      <c r="AT850">
        <v>105.37</v>
      </c>
      <c r="AU850">
        <v>107.21380000000001</v>
      </c>
      <c r="AV850">
        <v>163.87739999999999</v>
      </c>
      <c r="AW850">
        <v>108.32940000000001</v>
      </c>
      <c r="AX850">
        <v>123.2812</v>
      </c>
    </row>
    <row r="851" spans="1:50" x14ac:dyDescent="0.35">
      <c r="A851" s="75">
        <v>43739</v>
      </c>
      <c r="B851">
        <v>107.19110000000001</v>
      </c>
      <c r="C851">
        <v>107.8566</v>
      </c>
      <c r="D851">
        <v>121.4136</v>
      </c>
      <c r="E851">
        <v>107.9273</v>
      </c>
      <c r="F851">
        <v>101.1677</v>
      </c>
      <c r="G851">
        <v>112.736</v>
      </c>
      <c r="H851">
        <v>110.8</v>
      </c>
      <c r="I851">
        <v>120.8836</v>
      </c>
      <c r="J851">
        <v>106.5134</v>
      </c>
      <c r="K851">
        <v>108.9</v>
      </c>
      <c r="L851">
        <v>106.1177</v>
      </c>
      <c r="M851">
        <v>103.3</v>
      </c>
      <c r="N851">
        <v>105.44</v>
      </c>
      <c r="O851">
        <v>104.9131</v>
      </c>
      <c r="P851">
        <v>110.437</v>
      </c>
      <c r="Q851">
        <v>105.67</v>
      </c>
      <c r="R851">
        <v>103.62</v>
      </c>
      <c r="S851">
        <v>104.46</v>
      </c>
      <c r="T851">
        <v>113.1525</v>
      </c>
      <c r="U851">
        <v>106.97620000000001</v>
      </c>
      <c r="V851">
        <v>108.3</v>
      </c>
      <c r="W851">
        <v>102.038</v>
      </c>
      <c r="X851">
        <v>110.28870000000001</v>
      </c>
      <c r="Y851">
        <v>114.9295</v>
      </c>
      <c r="Z851">
        <v>124.32259999999999</v>
      </c>
      <c r="AA851">
        <v>101.9686</v>
      </c>
      <c r="AB851">
        <v>110.32</v>
      </c>
      <c r="AC851">
        <v>101.7137</v>
      </c>
      <c r="AD851">
        <v>102.8</v>
      </c>
      <c r="AE851">
        <v>102.21429999999999</v>
      </c>
      <c r="AF851">
        <v>105.4607</v>
      </c>
      <c r="AG851">
        <v>110.6717</v>
      </c>
      <c r="AH851">
        <v>105.89</v>
      </c>
      <c r="AI851">
        <v>109.3437</v>
      </c>
      <c r="AJ851">
        <v>119.2214</v>
      </c>
      <c r="AK851">
        <v>107.16</v>
      </c>
      <c r="AL851">
        <v>111.3</v>
      </c>
      <c r="AM851">
        <v>109.14960000000001</v>
      </c>
      <c r="AN851">
        <v>110.306</v>
      </c>
      <c r="AO851">
        <v>106.22709999999999</v>
      </c>
      <c r="AP851">
        <v>103.8828</v>
      </c>
      <c r="AQ851">
        <v>119.4803</v>
      </c>
      <c r="AR851">
        <v>102.0732</v>
      </c>
      <c r="AS851">
        <v>106.6327</v>
      </c>
      <c r="AT851">
        <v>105.44</v>
      </c>
      <c r="AU851">
        <v>107.24250000000001</v>
      </c>
      <c r="AV851">
        <v>167.1585</v>
      </c>
      <c r="AW851">
        <v>108.577</v>
      </c>
      <c r="AX851">
        <v>123.2812</v>
      </c>
    </row>
    <row r="852" spans="1:50" x14ac:dyDescent="0.35">
      <c r="A852" s="75">
        <v>43770</v>
      </c>
      <c r="B852">
        <v>107.39109999999999</v>
      </c>
      <c r="C852">
        <v>107.926</v>
      </c>
      <c r="D852">
        <v>122.03279999999999</v>
      </c>
      <c r="E852">
        <v>107.7693</v>
      </c>
      <c r="F852">
        <v>101.033</v>
      </c>
      <c r="G852">
        <v>112.8231</v>
      </c>
      <c r="H852">
        <v>111.2</v>
      </c>
      <c r="I852">
        <v>121.01049999999999</v>
      </c>
      <c r="J852">
        <v>106.73609999999999</v>
      </c>
      <c r="K852">
        <v>109.2</v>
      </c>
      <c r="L852">
        <v>105.3176</v>
      </c>
      <c r="M852">
        <v>103.1</v>
      </c>
      <c r="N852">
        <v>105.1</v>
      </c>
      <c r="O852">
        <v>105.0908</v>
      </c>
      <c r="P852">
        <v>110.1806</v>
      </c>
      <c r="Q852">
        <v>105.42</v>
      </c>
      <c r="R852">
        <v>103.52</v>
      </c>
      <c r="S852">
        <v>104.52</v>
      </c>
      <c r="T852">
        <v>113.4213</v>
      </c>
      <c r="U852">
        <v>106.8811</v>
      </c>
      <c r="V852">
        <v>108.5</v>
      </c>
      <c r="W852">
        <v>101.4502</v>
      </c>
      <c r="X852">
        <v>110.3627</v>
      </c>
      <c r="Y852">
        <v>115.0956</v>
      </c>
      <c r="Z852">
        <v>125.47020000000001</v>
      </c>
      <c r="AA852">
        <v>101.8689</v>
      </c>
      <c r="AB852">
        <v>110.4552</v>
      </c>
      <c r="AC852">
        <v>101.3105</v>
      </c>
      <c r="AD852">
        <v>102.6</v>
      </c>
      <c r="AE852">
        <v>102.31610000000001</v>
      </c>
      <c r="AF852">
        <v>104.8704</v>
      </c>
      <c r="AG852">
        <v>110.6553</v>
      </c>
      <c r="AH852">
        <v>105.93</v>
      </c>
      <c r="AI852">
        <v>109.0625</v>
      </c>
      <c r="AJ852">
        <v>120.1831</v>
      </c>
      <c r="AK852">
        <v>106.73</v>
      </c>
      <c r="AL852">
        <v>111.6</v>
      </c>
      <c r="AM852">
        <v>109.1168</v>
      </c>
      <c r="AN852">
        <v>110.21169999999999</v>
      </c>
      <c r="AO852">
        <v>106.3085</v>
      </c>
      <c r="AP852">
        <v>103.7296</v>
      </c>
      <c r="AQ852">
        <v>119.81480000000001</v>
      </c>
      <c r="AR852">
        <v>101.9383</v>
      </c>
      <c r="AS852">
        <v>106.755</v>
      </c>
      <c r="AT852">
        <v>105.52</v>
      </c>
      <c r="AU852">
        <v>107.3447</v>
      </c>
      <c r="AV852">
        <v>167.7955</v>
      </c>
      <c r="AW852">
        <v>108.5188</v>
      </c>
      <c r="AX852">
        <v>123.4162</v>
      </c>
    </row>
    <row r="853" spans="1:50" x14ac:dyDescent="0.35">
      <c r="A853" s="75">
        <v>43800</v>
      </c>
      <c r="B853">
        <v>108.09099999999999</v>
      </c>
      <c r="C853">
        <v>108.0647</v>
      </c>
      <c r="D853">
        <v>123.4363</v>
      </c>
      <c r="E853">
        <v>107.7693</v>
      </c>
      <c r="F853">
        <v>101.06319999999999</v>
      </c>
      <c r="G853">
        <v>112.943</v>
      </c>
      <c r="H853">
        <v>111.2</v>
      </c>
      <c r="I853">
        <v>121.3252</v>
      </c>
      <c r="J853">
        <v>106.61020000000001</v>
      </c>
      <c r="K853">
        <v>109.4</v>
      </c>
      <c r="L853">
        <v>105.8176</v>
      </c>
      <c r="M853">
        <v>102.9</v>
      </c>
      <c r="N853">
        <v>105.43</v>
      </c>
      <c r="O853">
        <v>105.01479999999999</v>
      </c>
      <c r="P853">
        <v>109.82170000000001</v>
      </c>
      <c r="Q853">
        <v>105.76</v>
      </c>
      <c r="R853">
        <v>103.65</v>
      </c>
      <c r="S853">
        <v>104.98</v>
      </c>
      <c r="T853">
        <v>113.7289</v>
      </c>
      <c r="U853">
        <v>106.9123</v>
      </c>
      <c r="V853">
        <v>108.5</v>
      </c>
      <c r="W853">
        <v>102.1203</v>
      </c>
      <c r="X853">
        <v>110.6588</v>
      </c>
      <c r="Y853">
        <v>115.4859</v>
      </c>
      <c r="Z853">
        <v>126.2353</v>
      </c>
      <c r="AA853">
        <v>102.06829999999999</v>
      </c>
      <c r="AB853">
        <v>110.58839999999999</v>
      </c>
      <c r="AC853">
        <v>101.3105</v>
      </c>
      <c r="AD853">
        <v>102.8</v>
      </c>
      <c r="AE853">
        <v>102.31610000000001</v>
      </c>
      <c r="AF853">
        <v>105.12130000000001</v>
      </c>
      <c r="AG853">
        <v>111.0177</v>
      </c>
      <c r="AH853">
        <v>106.08</v>
      </c>
      <c r="AI853">
        <v>108.81100000000001</v>
      </c>
      <c r="AJ853">
        <v>120.8539</v>
      </c>
      <c r="AK853">
        <v>106.8</v>
      </c>
      <c r="AL853">
        <v>111.3</v>
      </c>
      <c r="AM853">
        <v>109.2336</v>
      </c>
      <c r="AN853">
        <v>110.5402</v>
      </c>
      <c r="AO853">
        <v>107.1225</v>
      </c>
      <c r="AP853">
        <v>103.59220000000001</v>
      </c>
      <c r="AQ853">
        <v>120.2462</v>
      </c>
      <c r="AR853">
        <v>102.1665</v>
      </c>
      <c r="AS853">
        <v>106.6327</v>
      </c>
      <c r="AT853">
        <v>105.35</v>
      </c>
      <c r="AU853">
        <v>107.7659</v>
      </c>
      <c r="AV853">
        <v>169.0427</v>
      </c>
      <c r="AW853">
        <v>108.42010000000001</v>
      </c>
      <c r="AX853">
        <v>123.6863</v>
      </c>
    </row>
    <row r="854" spans="1:50" x14ac:dyDescent="0.35">
      <c r="A854" s="75">
        <v>43831</v>
      </c>
      <c r="B854">
        <v>107.59099999999999</v>
      </c>
      <c r="C854">
        <v>108.7089</v>
      </c>
      <c r="D854">
        <v>123.69540000000001</v>
      </c>
      <c r="E854">
        <v>108.0853</v>
      </c>
      <c r="F854">
        <v>100.8451</v>
      </c>
      <c r="G854">
        <v>113.5749</v>
      </c>
      <c r="H854">
        <v>112.8</v>
      </c>
      <c r="I854">
        <v>121.8374</v>
      </c>
      <c r="J854">
        <v>106.7286</v>
      </c>
      <c r="K854">
        <v>111</v>
      </c>
      <c r="L854">
        <v>105.2175</v>
      </c>
      <c r="M854">
        <v>103</v>
      </c>
      <c r="N854">
        <v>104.37</v>
      </c>
      <c r="O854">
        <v>103.9903</v>
      </c>
      <c r="P854">
        <v>109.41160000000001</v>
      </c>
      <c r="Q854">
        <v>105</v>
      </c>
      <c r="R854">
        <v>103.32</v>
      </c>
      <c r="S854">
        <v>104.54</v>
      </c>
      <c r="T854">
        <v>114.0806</v>
      </c>
      <c r="U854">
        <v>107.068</v>
      </c>
      <c r="V854">
        <v>108.3</v>
      </c>
      <c r="W854">
        <v>100.39919999999999</v>
      </c>
      <c r="X854">
        <v>111.69499999999999</v>
      </c>
      <c r="Y854">
        <v>115.818</v>
      </c>
      <c r="Z854">
        <v>126.2353</v>
      </c>
      <c r="AA854">
        <v>101.37050000000001</v>
      </c>
      <c r="AB854">
        <v>109.7625</v>
      </c>
      <c r="AC854">
        <v>100.90730000000001</v>
      </c>
      <c r="AD854">
        <v>102.9</v>
      </c>
      <c r="AE854">
        <v>102.31610000000001</v>
      </c>
      <c r="AF854">
        <v>105.5124</v>
      </c>
      <c r="AG854">
        <v>111.501</v>
      </c>
      <c r="AH854">
        <v>105.4</v>
      </c>
      <c r="AI854">
        <v>109.2358</v>
      </c>
      <c r="AJ854">
        <v>121.4392</v>
      </c>
      <c r="AK854">
        <v>105.97</v>
      </c>
      <c r="AL854">
        <v>111.3</v>
      </c>
      <c r="AM854">
        <v>109.40989999999999</v>
      </c>
      <c r="AN854">
        <v>110.3874</v>
      </c>
      <c r="AO854">
        <v>108.0993</v>
      </c>
      <c r="AP854">
        <v>102.7334</v>
      </c>
      <c r="AQ854">
        <v>120.72709999999999</v>
      </c>
      <c r="AR854">
        <v>102.01090000000001</v>
      </c>
      <c r="AS854">
        <v>107.8562</v>
      </c>
      <c r="AT854">
        <v>104.45</v>
      </c>
      <c r="AU854">
        <v>106.2149</v>
      </c>
      <c r="AV854">
        <v>171.32599999999999</v>
      </c>
      <c r="AW854">
        <v>108.8407</v>
      </c>
      <c r="AX854">
        <v>123.9563</v>
      </c>
    </row>
    <row r="855" spans="1:50" x14ac:dyDescent="0.35">
      <c r="A855" s="75">
        <v>43862</v>
      </c>
      <c r="B855">
        <v>107.6992</v>
      </c>
      <c r="C855">
        <v>108.7287</v>
      </c>
      <c r="D855">
        <v>124.0047</v>
      </c>
      <c r="E855">
        <v>108.5594</v>
      </c>
      <c r="F855">
        <v>100.97</v>
      </c>
      <c r="G855">
        <v>114.087</v>
      </c>
      <c r="H855">
        <v>113.7</v>
      </c>
      <c r="I855">
        <v>122.6533</v>
      </c>
      <c r="J855">
        <v>107.03400000000001</v>
      </c>
      <c r="K855">
        <v>111.3</v>
      </c>
      <c r="L855">
        <v>105.6176</v>
      </c>
      <c r="M855">
        <v>103.6</v>
      </c>
      <c r="N855">
        <v>104.56</v>
      </c>
      <c r="O855">
        <v>103.8672</v>
      </c>
      <c r="P855">
        <v>109.9243</v>
      </c>
      <c r="Q855">
        <v>105.22</v>
      </c>
      <c r="R855">
        <v>103.67</v>
      </c>
      <c r="S855">
        <v>104.53</v>
      </c>
      <c r="T855">
        <v>114.3857</v>
      </c>
      <c r="U855">
        <v>107.285</v>
      </c>
      <c r="V855">
        <v>108.6</v>
      </c>
      <c r="W855">
        <v>99.897660000000002</v>
      </c>
      <c r="X855">
        <v>112.0651</v>
      </c>
      <c r="Y855">
        <v>116.14190000000001</v>
      </c>
      <c r="Z855">
        <v>125.47020000000001</v>
      </c>
      <c r="AA855">
        <v>101.9686</v>
      </c>
      <c r="AB855">
        <v>110.7749</v>
      </c>
      <c r="AC855">
        <v>100.8064</v>
      </c>
      <c r="AD855">
        <v>102.8</v>
      </c>
      <c r="AE855">
        <v>102.1125</v>
      </c>
      <c r="AF855">
        <v>105.58620000000001</v>
      </c>
      <c r="AG855">
        <v>111.4443</v>
      </c>
      <c r="AH855">
        <v>106.73</v>
      </c>
      <c r="AI855">
        <v>109.38330000000001</v>
      </c>
      <c r="AJ855">
        <v>121.9434</v>
      </c>
      <c r="AK855">
        <v>106.64</v>
      </c>
      <c r="AL855">
        <v>111.2</v>
      </c>
      <c r="AM855">
        <v>109.64449999999999</v>
      </c>
      <c r="AN855">
        <v>110.604</v>
      </c>
      <c r="AO855">
        <v>108.8319</v>
      </c>
      <c r="AP855">
        <v>102.0795</v>
      </c>
      <c r="AQ855">
        <v>121.1255</v>
      </c>
      <c r="AR855">
        <v>102.3428</v>
      </c>
      <c r="AS855">
        <v>107.9786</v>
      </c>
      <c r="AT855">
        <v>105.14</v>
      </c>
      <c r="AU855">
        <v>106.7415</v>
      </c>
      <c r="AV855">
        <v>171.92850000000001</v>
      </c>
      <c r="AW855">
        <v>109.139</v>
      </c>
      <c r="AX855">
        <v>125.1716</v>
      </c>
    </row>
    <row r="856" spans="1:50" x14ac:dyDescent="0.35">
      <c r="A856" s="75">
        <v>43891</v>
      </c>
      <c r="B856">
        <v>108.0236</v>
      </c>
      <c r="C856">
        <v>108.55029999999999</v>
      </c>
      <c r="D856">
        <v>124.0915</v>
      </c>
      <c r="E856">
        <v>107.9273</v>
      </c>
      <c r="F856">
        <v>101.0475</v>
      </c>
      <c r="G856">
        <v>114.4683</v>
      </c>
      <c r="H856">
        <v>112.3</v>
      </c>
      <c r="I856">
        <v>123.3468</v>
      </c>
      <c r="J856">
        <v>107.0018</v>
      </c>
      <c r="K856">
        <v>111.2</v>
      </c>
      <c r="L856">
        <v>105.7176</v>
      </c>
      <c r="M856">
        <v>103.3</v>
      </c>
      <c r="N856">
        <v>105.13</v>
      </c>
      <c r="O856">
        <v>103.46899999999999</v>
      </c>
      <c r="P856">
        <v>109.15519999999999</v>
      </c>
      <c r="Q856">
        <v>105.7</v>
      </c>
      <c r="R856">
        <v>103.49</v>
      </c>
      <c r="S856">
        <v>104.59</v>
      </c>
      <c r="T856">
        <v>114.18470000000001</v>
      </c>
      <c r="U856">
        <v>107.1459</v>
      </c>
      <c r="V856">
        <v>108.6</v>
      </c>
      <c r="W856">
        <v>101.4785</v>
      </c>
      <c r="X856">
        <v>112.2872</v>
      </c>
      <c r="Y856">
        <v>116.25230000000001</v>
      </c>
      <c r="Z856">
        <v>124.7051</v>
      </c>
      <c r="AA856">
        <v>102.3673</v>
      </c>
      <c r="AB856">
        <v>111.01860000000001</v>
      </c>
      <c r="AC856">
        <v>101.2097</v>
      </c>
      <c r="AD856">
        <v>102.9</v>
      </c>
      <c r="AE856">
        <v>102.1125</v>
      </c>
      <c r="AF856">
        <v>105.35420000000001</v>
      </c>
      <c r="AG856">
        <v>111.36060000000001</v>
      </c>
      <c r="AH856">
        <v>106.04</v>
      </c>
      <c r="AI856">
        <v>109.7016</v>
      </c>
      <c r="AJ856">
        <v>121.8853</v>
      </c>
      <c r="AK856">
        <v>106.85</v>
      </c>
      <c r="AL856">
        <v>111.2</v>
      </c>
      <c r="AM856">
        <v>109.58069999999999</v>
      </c>
      <c r="AN856">
        <v>110.7316</v>
      </c>
      <c r="AO856">
        <v>109.0761</v>
      </c>
      <c r="AP856">
        <v>103.54349999999999</v>
      </c>
      <c r="AQ856">
        <v>121.79170000000001</v>
      </c>
      <c r="AR856">
        <v>102.488</v>
      </c>
      <c r="AS856">
        <v>107.9786</v>
      </c>
      <c r="AT856">
        <v>104.32</v>
      </c>
      <c r="AU856">
        <v>106.5628</v>
      </c>
      <c r="AV856">
        <v>172.9109</v>
      </c>
      <c r="AW856">
        <v>108.9015</v>
      </c>
      <c r="AX856">
        <v>125.71169999999999</v>
      </c>
    </row>
    <row r="857" spans="1:50" x14ac:dyDescent="0.35">
      <c r="A857" s="75">
        <v>43922</v>
      </c>
      <c r="B857">
        <v>108.0236</v>
      </c>
      <c r="C857">
        <v>108.55029999999999</v>
      </c>
      <c r="D857">
        <v>123.7068</v>
      </c>
      <c r="E857">
        <v>107.2162</v>
      </c>
      <c r="F857">
        <v>100.68</v>
      </c>
      <c r="G857">
        <v>114.4139</v>
      </c>
      <c r="H857">
        <v>111.3</v>
      </c>
      <c r="I857">
        <v>123.54040000000001</v>
      </c>
      <c r="J857">
        <v>106.5296</v>
      </c>
      <c r="K857">
        <v>111</v>
      </c>
      <c r="L857">
        <v>106.1177</v>
      </c>
      <c r="M857">
        <v>103.2</v>
      </c>
      <c r="N857">
        <v>105.43</v>
      </c>
      <c r="O857">
        <v>103.7816</v>
      </c>
      <c r="P857">
        <v>108.74509999999999</v>
      </c>
      <c r="Q857">
        <v>105.93</v>
      </c>
      <c r="R857">
        <v>103.14</v>
      </c>
      <c r="S857">
        <v>104.56</v>
      </c>
      <c r="T857">
        <v>113.9509</v>
      </c>
      <c r="U857">
        <v>106.73950000000001</v>
      </c>
      <c r="V857">
        <v>108.6</v>
      </c>
      <c r="W857">
        <v>101.0155</v>
      </c>
      <c r="X857">
        <v>111.621</v>
      </c>
      <c r="Y857">
        <v>116.3411</v>
      </c>
      <c r="Z857">
        <v>125.8527</v>
      </c>
      <c r="AA857">
        <v>101.9686</v>
      </c>
      <c r="AB857">
        <v>111.5684</v>
      </c>
      <c r="AC857">
        <v>100.90730000000001</v>
      </c>
      <c r="AD857">
        <v>103</v>
      </c>
      <c r="AE857">
        <v>102.0107</v>
      </c>
      <c r="AF857">
        <v>104.8904</v>
      </c>
      <c r="AG857">
        <v>111.45099999999999</v>
      </c>
      <c r="AH857">
        <v>105.98</v>
      </c>
      <c r="AI857">
        <v>109.1467</v>
      </c>
      <c r="AJ857">
        <v>120.6497</v>
      </c>
      <c r="AK857">
        <v>107.34</v>
      </c>
      <c r="AL857">
        <v>111.7</v>
      </c>
      <c r="AM857">
        <v>109.2165</v>
      </c>
      <c r="AN857">
        <v>110.8994</v>
      </c>
      <c r="AO857">
        <v>108.99469999999999</v>
      </c>
      <c r="AP857">
        <v>103.8719</v>
      </c>
      <c r="AQ857">
        <v>122.8026</v>
      </c>
      <c r="AR857">
        <v>102.3635</v>
      </c>
      <c r="AS857">
        <v>107.9786</v>
      </c>
      <c r="AT857">
        <v>103.36</v>
      </c>
      <c r="AU857">
        <v>106.24039999999999</v>
      </c>
      <c r="AV857">
        <v>174.38839999999999</v>
      </c>
      <c r="AW857">
        <v>108.1733</v>
      </c>
      <c r="AX857">
        <v>124.9015</v>
      </c>
    </row>
    <row r="858" spans="1:50" x14ac:dyDescent="0.35">
      <c r="A858" s="75">
        <v>43952</v>
      </c>
      <c r="B858">
        <v>107.37479999999999</v>
      </c>
      <c r="C858">
        <v>108.471</v>
      </c>
      <c r="D858">
        <v>123.2367</v>
      </c>
      <c r="E858">
        <v>107.53230000000001</v>
      </c>
      <c r="F858">
        <v>100.7222</v>
      </c>
      <c r="G858">
        <v>114.35939999999999</v>
      </c>
      <c r="H858">
        <v>110.4</v>
      </c>
      <c r="I858">
        <v>123.1469</v>
      </c>
      <c r="J858">
        <v>106.3747</v>
      </c>
      <c r="K858">
        <v>111.4</v>
      </c>
      <c r="L858">
        <v>106.0177</v>
      </c>
      <c r="M858">
        <v>103.1</v>
      </c>
      <c r="N858">
        <v>105.33</v>
      </c>
      <c r="O858">
        <v>103.77509999999999</v>
      </c>
      <c r="P858">
        <v>108.0273</v>
      </c>
      <c r="Q858">
        <v>105.94</v>
      </c>
      <c r="R858">
        <v>103.12</v>
      </c>
      <c r="S858">
        <v>104.71</v>
      </c>
      <c r="T858">
        <v>113.895</v>
      </c>
      <c r="U858">
        <v>106.73050000000001</v>
      </c>
      <c r="V858">
        <v>108.6</v>
      </c>
      <c r="W858">
        <v>100.19450000000001</v>
      </c>
      <c r="X858">
        <v>112.1392</v>
      </c>
      <c r="Y858">
        <v>116.4188</v>
      </c>
      <c r="Z858">
        <v>126.2353</v>
      </c>
      <c r="AA858">
        <v>101.47020000000001</v>
      </c>
      <c r="AB858">
        <v>112.1658</v>
      </c>
      <c r="AC858">
        <v>100.6048</v>
      </c>
      <c r="AD858">
        <v>102.8</v>
      </c>
      <c r="AE858">
        <v>101.9089</v>
      </c>
      <c r="AF858">
        <v>104.8272</v>
      </c>
      <c r="AG858">
        <v>110.911</v>
      </c>
      <c r="AH858">
        <v>105.82</v>
      </c>
      <c r="AI858">
        <v>108.7079</v>
      </c>
      <c r="AJ858">
        <v>121.11409999999999</v>
      </c>
      <c r="AK858">
        <v>107.18</v>
      </c>
      <c r="AL858">
        <v>111.9</v>
      </c>
      <c r="AM858">
        <v>109.2548</v>
      </c>
      <c r="AN858">
        <v>110.97499999999999</v>
      </c>
      <c r="AO858">
        <v>108.7505</v>
      </c>
      <c r="AP858">
        <v>103.4061</v>
      </c>
      <c r="AQ858">
        <v>123.13420000000001</v>
      </c>
      <c r="AR858">
        <v>102.14579999999999</v>
      </c>
      <c r="AS858">
        <v>108.22329999999999</v>
      </c>
      <c r="AT858">
        <v>104.26</v>
      </c>
      <c r="AU858">
        <v>106.8819</v>
      </c>
      <c r="AV858">
        <v>176.7638</v>
      </c>
      <c r="AW858">
        <v>108.1754</v>
      </c>
      <c r="AX858">
        <v>124.2264</v>
      </c>
    </row>
    <row r="859" spans="1:50" x14ac:dyDescent="0.35">
      <c r="A859" s="75">
        <v>43983</v>
      </c>
      <c r="B859">
        <v>107.91540000000001</v>
      </c>
      <c r="C859">
        <v>108.54040000000001</v>
      </c>
      <c r="D859">
        <v>123.55710000000001</v>
      </c>
      <c r="E859">
        <v>108.4014</v>
      </c>
      <c r="F859">
        <v>100.7431</v>
      </c>
      <c r="G859">
        <v>114.2831</v>
      </c>
      <c r="H859">
        <v>110.4</v>
      </c>
      <c r="I859">
        <v>122.6837</v>
      </c>
      <c r="J859">
        <v>106.35209999999999</v>
      </c>
      <c r="K859">
        <v>112.1</v>
      </c>
      <c r="L859">
        <v>106.6178</v>
      </c>
      <c r="M859">
        <v>103.2</v>
      </c>
      <c r="N859">
        <v>105.69</v>
      </c>
      <c r="O859">
        <v>104.25369999999999</v>
      </c>
      <c r="P859">
        <v>109.0014</v>
      </c>
      <c r="Q859">
        <v>106.31</v>
      </c>
      <c r="R859">
        <v>103.32</v>
      </c>
      <c r="S859">
        <v>104.79</v>
      </c>
      <c r="T859">
        <v>114.3107</v>
      </c>
      <c r="U859">
        <v>107.15730000000001</v>
      </c>
      <c r="V859">
        <v>108.8</v>
      </c>
      <c r="W859">
        <v>100.2388</v>
      </c>
      <c r="X859">
        <v>112.58329999999999</v>
      </c>
      <c r="Y859">
        <v>116.6298</v>
      </c>
      <c r="Z859">
        <v>127.0003</v>
      </c>
      <c r="AA859">
        <v>101.7692</v>
      </c>
      <c r="AB859">
        <v>112.6673</v>
      </c>
      <c r="AC859">
        <v>100.504</v>
      </c>
      <c r="AD859">
        <v>102.9</v>
      </c>
      <c r="AE859">
        <v>101.70529999999999</v>
      </c>
      <c r="AF859">
        <v>105.1118</v>
      </c>
      <c r="AG859">
        <v>111.477</v>
      </c>
      <c r="AH859">
        <v>106.34</v>
      </c>
      <c r="AI859">
        <v>108.91630000000001</v>
      </c>
      <c r="AJ859">
        <v>121.7769</v>
      </c>
      <c r="AK859">
        <v>107.51</v>
      </c>
      <c r="AL859">
        <v>112.1</v>
      </c>
      <c r="AM859">
        <v>109.69280000000001</v>
      </c>
      <c r="AN859">
        <v>111.40949999999999</v>
      </c>
      <c r="AO859">
        <v>109.40170000000001</v>
      </c>
      <c r="AP859">
        <v>104.3227</v>
      </c>
      <c r="AQ859">
        <v>123.4051</v>
      </c>
      <c r="AR859">
        <v>101.83459999999999</v>
      </c>
      <c r="AS859">
        <v>108.1009</v>
      </c>
      <c r="AT859">
        <v>105.6</v>
      </c>
      <c r="AU859">
        <v>107.4978</v>
      </c>
      <c r="AV859">
        <v>178.767</v>
      </c>
      <c r="AW859">
        <v>108.76730000000001</v>
      </c>
      <c r="AX859">
        <v>124.76649999999999</v>
      </c>
    </row>
    <row r="860" spans="1:50" x14ac:dyDescent="0.35">
      <c r="A860" s="75">
        <v>44013</v>
      </c>
      <c r="B860">
        <v>108.1317</v>
      </c>
      <c r="C860">
        <v>108.7783</v>
      </c>
      <c r="D860">
        <v>124.00190000000001</v>
      </c>
      <c r="E860">
        <v>108.4014</v>
      </c>
      <c r="F860">
        <v>100.5834</v>
      </c>
      <c r="G860">
        <v>114.3921</v>
      </c>
      <c r="H860">
        <v>110</v>
      </c>
      <c r="I860">
        <v>122.6854</v>
      </c>
      <c r="J860">
        <v>106.6242</v>
      </c>
      <c r="K860">
        <v>112.6</v>
      </c>
      <c r="L860">
        <v>106.1177</v>
      </c>
      <c r="M860">
        <v>104</v>
      </c>
      <c r="N860">
        <v>105.32</v>
      </c>
      <c r="O860">
        <v>103.318</v>
      </c>
      <c r="P860">
        <v>109.0014</v>
      </c>
      <c r="Q860">
        <v>106.06</v>
      </c>
      <c r="R860">
        <v>103.69</v>
      </c>
      <c r="S860">
        <v>105.19</v>
      </c>
      <c r="T860">
        <v>114.71680000000001</v>
      </c>
      <c r="U860">
        <v>107.4734</v>
      </c>
      <c r="V860">
        <v>109.2</v>
      </c>
      <c r="W860">
        <v>98.532870000000003</v>
      </c>
      <c r="X860">
        <v>113.8416</v>
      </c>
      <c r="Y860">
        <v>116.5077</v>
      </c>
      <c r="Z860">
        <v>128.53039999999999</v>
      </c>
      <c r="AA860">
        <v>101.5699</v>
      </c>
      <c r="AB860">
        <v>112.82729999999999</v>
      </c>
      <c r="AC860">
        <v>100.7056</v>
      </c>
      <c r="AD860">
        <v>102.7</v>
      </c>
      <c r="AE860">
        <v>101.80710000000001</v>
      </c>
      <c r="AF860">
        <v>105.0275</v>
      </c>
      <c r="AG860">
        <v>111.1681</v>
      </c>
      <c r="AH860">
        <v>105.82</v>
      </c>
      <c r="AI860">
        <v>109.1799</v>
      </c>
      <c r="AJ860">
        <v>122.5766</v>
      </c>
      <c r="AK860">
        <v>108.69</v>
      </c>
      <c r="AL860">
        <v>112.9</v>
      </c>
      <c r="AM860">
        <v>109.9894</v>
      </c>
      <c r="AN860">
        <v>111.4085</v>
      </c>
      <c r="AO860">
        <v>109.1575</v>
      </c>
      <c r="AP860">
        <v>102.9782</v>
      </c>
      <c r="AQ860">
        <v>123.837</v>
      </c>
      <c r="AR860">
        <v>107.8078</v>
      </c>
      <c r="AS860">
        <v>108.22329999999999</v>
      </c>
      <c r="AT860">
        <v>105.48</v>
      </c>
      <c r="AU860">
        <v>107.7308</v>
      </c>
      <c r="AV860">
        <v>179.8108</v>
      </c>
      <c r="AW860">
        <v>109.3175</v>
      </c>
      <c r="AX860">
        <v>126.5219</v>
      </c>
    </row>
    <row r="861" spans="1:50" x14ac:dyDescent="0.35">
      <c r="A861" s="75">
        <v>44044</v>
      </c>
      <c r="B861">
        <v>107.91540000000001</v>
      </c>
      <c r="C861">
        <v>108.8476</v>
      </c>
      <c r="D861">
        <v>124.2996</v>
      </c>
      <c r="E861">
        <v>108.2433</v>
      </c>
      <c r="F861">
        <v>100.6277</v>
      </c>
      <c r="G861">
        <v>114.5446</v>
      </c>
      <c r="H861">
        <v>111.5</v>
      </c>
      <c r="I861">
        <v>122.67870000000001</v>
      </c>
      <c r="J861">
        <v>106.6199</v>
      </c>
      <c r="K861">
        <v>112.6</v>
      </c>
      <c r="L861">
        <v>106.0177</v>
      </c>
      <c r="M861">
        <v>103.6</v>
      </c>
      <c r="N861">
        <v>104.88</v>
      </c>
      <c r="O861">
        <v>103.3651</v>
      </c>
      <c r="P861">
        <v>109.6679</v>
      </c>
      <c r="Q861">
        <v>105.69</v>
      </c>
      <c r="R861">
        <v>103.71</v>
      </c>
      <c r="S861">
        <v>105.09</v>
      </c>
      <c r="T861">
        <v>115.14230000000001</v>
      </c>
      <c r="U861">
        <v>107.6446</v>
      </c>
      <c r="V861">
        <v>108.8</v>
      </c>
      <c r="W861">
        <v>97.894940000000005</v>
      </c>
      <c r="X861">
        <v>113.8416</v>
      </c>
      <c r="Y861">
        <v>116.4522</v>
      </c>
      <c r="Z861">
        <v>129.2955</v>
      </c>
      <c r="AA861">
        <v>101.47020000000001</v>
      </c>
      <c r="AB861">
        <v>113.33629999999999</v>
      </c>
      <c r="AC861">
        <v>100.7056</v>
      </c>
      <c r="AD861">
        <v>103</v>
      </c>
      <c r="AE861">
        <v>101.9089</v>
      </c>
      <c r="AF861">
        <v>105.6178</v>
      </c>
      <c r="AG861">
        <v>110.9607</v>
      </c>
      <c r="AH861">
        <v>106.69</v>
      </c>
      <c r="AI861">
        <v>108.6281</v>
      </c>
      <c r="AJ861">
        <v>123.0592</v>
      </c>
      <c r="AK861">
        <v>108.13</v>
      </c>
      <c r="AL861">
        <v>112.5</v>
      </c>
      <c r="AM861">
        <v>110.16370000000001</v>
      </c>
      <c r="AN861">
        <v>111.3931</v>
      </c>
      <c r="AO861">
        <v>109.0761</v>
      </c>
      <c r="AP861">
        <v>102.7015</v>
      </c>
      <c r="AQ861">
        <v>123.78749999999999</v>
      </c>
      <c r="AR861">
        <v>108.05670000000001</v>
      </c>
      <c r="AS861">
        <v>108.1009</v>
      </c>
      <c r="AT861">
        <v>105.42</v>
      </c>
      <c r="AU861">
        <v>107.5712</v>
      </c>
      <c r="AV861">
        <v>181.36500000000001</v>
      </c>
      <c r="AW861">
        <v>109.6622</v>
      </c>
      <c r="AX861">
        <v>126.65689999999999</v>
      </c>
    </row>
    <row r="862" spans="1:50" x14ac:dyDescent="0.35">
      <c r="A862" s="75">
        <v>44075</v>
      </c>
      <c r="B862">
        <v>108.348</v>
      </c>
      <c r="C862">
        <v>108.4413</v>
      </c>
      <c r="D862">
        <v>125.0951</v>
      </c>
      <c r="E862">
        <v>108.1643</v>
      </c>
      <c r="F862">
        <v>100.58459999999999</v>
      </c>
      <c r="G862">
        <v>115.27460000000001</v>
      </c>
      <c r="H862">
        <v>111.7</v>
      </c>
      <c r="I862">
        <v>123.0668</v>
      </c>
      <c r="J862">
        <v>106.91030000000001</v>
      </c>
      <c r="K862">
        <v>111.9</v>
      </c>
      <c r="L862">
        <v>105.8176</v>
      </c>
      <c r="M862">
        <v>103.5</v>
      </c>
      <c r="N862">
        <v>104.96</v>
      </c>
      <c r="O862">
        <v>103.5204</v>
      </c>
      <c r="P862">
        <v>109.3603</v>
      </c>
      <c r="Q862">
        <v>105.73</v>
      </c>
      <c r="R862">
        <v>103.71</v>
      </c>
      <c r="S862">
        <v>104.55</v>
      </c>
      <c r="T862">
        <v>115.413</v>
      </c>
      <c r="U862">
        <v>107.6391</v>
      </c>
      <c r="V862">
        <v>109.2</v>
      </c>
      <c r="W862">
        <v>99.885800000000003</v>
      </c>
      <c r="X862">
        <v>113.39749999999999</v>
      </c>
      <c r="Y862">
        <v>116.39660000000001</v>
      </c>
      <c r="Z862">
        <v>130.11789999999999</v>
      </c>
      <c r="AA862">
        <v>101.0715</v>
      </c>
      <c r="AB862">
        <v>113.7724</v>
      </c>
      <c r="AC862">
        <v>100.6048</v>
      </c>
      <c r="AD862">
        <v>102.3</v>
      </c>
      <c r="AE862">
        <v>101.70529999999999</v>
      </c>
      <c r="AF862">
        <v>106.19759999999999</v>
      </c>
      <c r="AG862">
        <v>111.4091</v>
      </c>
      <c r="AH862">
        <v>106.62</v>
      </c>
      <c r="AI862">
        <v>108.655</v>
      </c>
      <c r="AJ862">
        <v>123.34099999999999</v>
      </c>
      <c r="AK862">
        <v>107.88</v>
      </c>
      <c r="AL862">
        <v>112.9</v>
      </c>
      <c r="AM862">
        <v>110.25239999999999</v>
      </c>
      <c r="AN862">
        <v>111.414</v>
      </c>
      <c r="AO862">
        <v>109.3203</v>
      </c>
      <c r="AP862">
        <v>103.6987</v>
      </c>
      <c r="AQ862">
        <v>123.7008</v>
      </c>
      <c r="AR862">
        <v>107.88039999999999</v>
      </c>
      <c r="AS862">
        <v>108.1621</v>
      </c>
      <c r="AT862">
        <v>105.01</v>
      </c>
      <c r="AU862">
        <v>107.63509999999999</v>
      </c>
      <c r="AV862">
        <v>183.13030000000001</v>
      </c>
      <c r="AW862">
        <v>109.81489999999999</v>
      </c>
      <c r="AX862">
        <v>126.7919</v>
      </c>
    </row>
    <row r="863" spans="1:50" x14ac:dyDescent="0.35">
      <c r="A863" s="75">
        <v>44105</v>
      </c>
      <c r="B863">
        <v>108.5642</v>
      </c>
      <c r="C863">
        <v>108.6593</v>
      </c>
      <c r="D863">
        <v>126.17100000000001</v>
      </c>
      <c r="E863">
        <v>108.6384</v>
      </c>
      <c r="F863">
        <v>100.5908</v>
      </c>
      <c r="G863">
        <v>116.0591</v>
      </c>
      <c r="H863">
        <v>111.4</v>
      </c>
      <c r="I863">
        <v>122.9969</v>
      </c>
      <c r="J863">
        <v>106.9953</v>
      </c>
      <c r="K863">
        <v>112.1</v>
      </c>
      <c r="L863">
        <v>105.9177</v>
      </c>
      <c r="M863">
        <v>103.7</v>
      </c>
      <c r="N863">
        <v>105.15</v>
      </c>
      <c r="O863">
        <v>104.0642</v>
      </c>
      <c r="P863">
        <v>108.7963</v>
      </c>
      <c r="Q863">
        <v>105.92</v>
      </c>
      <c r="R863">
        <v>103.81</v>
      </c>
      <c r="S863">
        <v>104.51</v>
      </c>
      <c r="T863">
        <v>115.7559</v>
      </c>
      <c r="U863">
        <v>107.6913</v>
      </c>
      <c r="V863">
        <v>109.2</v>
      </c>
      <c r="W863">
        <v>100.2342</v>
      </c>
      <c r="X863">
        <v>113.6195</v>
      </c>
      <c r="Y863">
        <v>116.4744</v>
      </c>
      <c r="Z863">
        <v>131.66030000000001</v>
      </c>
      <c r="AA863">
        <v>100.4735</v>
      </c>
      <c r="AB863">
        <v>114.25879999999999</v>
      </c>
      <c r="AC863">
        <v>100.90730000000001</v>
      </c>
      <c r="AD863">
        <v>102.5</v>
      </c>
      <c r="AE863">
        <v>101.6035</v>
      </c>
      <c r="AF863">
        <v>105.60720000000001</v>
      </c>
      <c r="AG863">
        <v>111.48260000000001</v>
      </c>
      <c r="AH863">
        <v>106.59</v>
      </c>
      <c r="AI863">
        <v>108.6181</v>
      </c>
      <c r="AJ863">
        <v>124.0939</v>
      </c>
      <c r="AK863">
        <v>108.47</v>
      </c>
      <c r="AL863">
        <v>113.2</v>
      </c>
      <c r="AM863">
        <v>110.4427</v>
      </c>
      <c r="AN863">
        <v>111.7621</v>
      </c>
      <c r="AO863">
        <v>109.40170000000001</v>
      </c>
      <c r="AP863">
        <v>103.8082</v>
      </c>
      <c r="AQ863">
        <v>124.23269999999999</v>
      </c>
      <c r="AR863">
        <v>107.953</v>
      </c>
      <c r="AS863">
        <v>108.28449999999999</v>
      </c>
      <c r="AT863">
        <v>105.34</v>
      </c>
      <c r="AU863">
        <v>107.5393</v>
      </c>
      <c r="AV863">
        <v>187.03299999999999</v>
      </c>
      <c r="AW863">
        <v>109.8605</v>
      </c>
      <c r="AX863">
        <v>127.3321</v>
      </c>
    </row>
    <row r="864" spans="1:50" x14ac:dyDescent="0.35">
      <c r="A864" s="75">
        <v>44136</v>
      </c>
      <c r="B864">
        <v>108.67230000000001</v>
      </c>
      <c r="C864">
        <v>108.48099999999999</v>
      </c>
      <c r="D864">
        <v>127.29389999999999</v>
      </c>
      <c r="E864">
        <v>108.79640000000001</v>
      </c>
      <c r="F864">
        <v>100.3412</v>
      </c>
      <c r="G864">
        <v>115.9066</v>
      </c>
      <c r="H864">
        <v>110.7</v>
      </c>
      <c r="I864">
        <v>122.8129</v>
      </c>
      <c r="J864">
        <v>106.99639999999999</v>
      </c>
      <c r="K864">
        <v>112.1</v>
      </c>
      <c r="L864">
        <v>105.0175</v>
      </c>
      <c r="M864">
        <v>103.6</v>
      </c>
      <c r="N864">
        <v>104.8</v>
      </c>
      <c r="O864">
        <v>104.23439999999999</v>
      </c>
      <c r="P864">
        <v>108.95010000000001</v>
      </c>
      <c r="Q864">
        <v>105.63</v>
      </c>
      <c r="R864">
        <v>103.74</v>
      </c>
      <c r="S864">
        <v>104.73</v>
      </c>
      <c r="T864">
        <v>115.77589999999999</v>
      </c>
      <c r="U864">
        <v>107.5437</v>
      </c>
      <c r="V864">
        <v>109.1</v>
      </c>
      <c r="W864">
        <v>99.355199999999996</v>
      </c>
      <c r="X864">
        <v>113.3235</v>
      </c>
      <c r="Y864">
        <v>116.7963</v>
      </c>
      <c r="Z864">
        <v>132.101</v>
      </c>
      <c r="AA864">
        <v>100.77249999999999</v>
      </c>
      <c r="AB864">
        <v>114.313</v>
      </c>
      <c r="AC864">
        <v>100.7056</v>
      </c>
      <c r="AD864">
        <v>102.4</v>
      </c>
      <c r="AE864">
        <v>101.298</v>
      </c>
      <c r="AF864">
        <v>105.5124</v>
      </c>
      <c r="AG864">
        <v>111.3244</v>
      </c>
      <c r="AH864">
        <v>106.37</v>
      </c>
      <c r="AI864">
        <v>108.3176</v>
      </c>
      <c r="AJ864">
        <v>124.1875</v>
      </c>
      <c r="AK864">
        <v>107.61</v>
      </c>
      <c r="AL864">
        <v>112.4</v>
      </c>
      <c r="AM864">
        <v>110.4008</v>
      </c>
      <c r="AN864">
        <v>111.78530000000001</v>
      </c>
      <c r="AO864">
        <v>109.48309999999999</v>
      </c>
      <c r="AP864">
        <v>103.50069999999999</v>
      </c>
      <c r="AQ864">
        <v>125.1148</v>
      </c>
      <c r="AR864">
        <v>107.8493</v>
      </c>
      <c r="AS864">
        <v>108.34569999999999</v>
      </c>
      <c r="AT864">
        <v>104.54</v>
      </c>
      <c r="AU864">
        <v>107.5489</v>
      </c>
      <c r="AV864">
        <v>191.33099999999999</v>
      </c>
      <c r="AW864">
        <v>109.79340000000001</v>
      </c>
      <c r="AX864">
        <v>127.3321</v>
      </c>
    </row>
    <row r="865" spans="1:50" x14ac:dyDescent="0.35">
      <c r="A865" s="75">
        <v>44166</v>
      </c>
      <c r="B865">
        <v>109.3211</v>
      </c>
      <c r="C865">
        <v>108.5107</v>
      </c>
      <c r="D865">
        <v>129.01240000000001</v>
      </c>
      <c r="E865">
        <v>108.5594</v>
      </c>
      <c r="F865">
        <v>100.2407</v>
      </c>
      <c r="G865">
        <v>116.2988</v>
      </c>
      <c r="H865">
        <v>111.5</v>
      </c>
      <c r="I865">
        <v>123.2791</v>
      </c>
      <c r="J865">
        <v>107.5622</v>
      </c>
      <c r="K865">
        <v>111.9</v>
      </c>
      <c r="L865">
        <v>105.5176</v>
      </c>
      <c r="M865">
        <v>103.4</v>
      </c>
      <c r="N865">
        <v>105.15</v>
      </c>
      <c r="O865">
        <v>104.456</v>
      </c>
      <c r="P865">
        <v>108.95010000000001</v>
      </c>
      <c r="Q865">
        <v>105.97</v>
      </c>
      <c r="R865">
        <v>103.89</v>
      </c>
      <c r="S865">
        <v>104.96</v>
      </c>
      <c r="T865">
        <v>116.10080000000001</v>
      </c>
      <c r="U865">
        <v>107.6662</v>
      </c>
      <c r="V865">
        <v>109.4</v>
      </c>
      <c r="W865">
        <v>99.750889999999998</v>
      </c>
      <c r="X865">
        <v>113.6936</v>
      </c>
      <c r="Y865">
        <v>117.3181</v>
      </c>
      <c r="Z865">
        <v>130.88910000000001</v>
      </c>
      <c r="AA865">
        <v>101.0715</v>
      </c>
      <c r="AB865">
        <v>114.5423</v>
      </c>
      <c r="AC865">
        <v>100.6048</v>
      </c>
      <c r="AD865">
        <v>102.6</v>
      </c>
      <c r="AE865">
        <v>101.09439999999999</v>
      </c>
      <c r="AF865">
        <v>105.7654</v>
      </c>
      <c r="AG865">
        <v>111.28919999999999</v>
      </c>
      <c r="AH865">
        <v>106.67</v>
      </c>
      <c r="AI865">
        <v>108.2719</v>
      </c>
      <c r="AJ865">
        <v>124.6609</v>
      </c>
      <c r="AK865">
        <v>107.85</v>
      </c>
      <c r="AL865">
        <v>112.9</v>
      </c>
      <c r="AM865">
        <v>110.59820000000001</v>
      </c>
      <c r="AN865">
        <v>112.1754</v>
      </c>
      <c r="AO865">
        <v>109.5645</v>
      </c>
      <c r="AP865">
        <v>103.3544</v>
      </c>
      <c r="AQ865">
        <v>126.1532</v>
      </c>
      <c r="AR865">
        <v>107.6108</v>
      </c>
      <c r="AS865">
        <v>108.28449999999999</v>
      </c>
      <c r="AT865">
        <v>104.21</v>
      </c>
      <c r="AU865">
        <v>108.2957</v>
      </c>
      <c r="AV865">
        <v>193.7218</v>
      </c>
      <c r="AW865">
        <v>109.8968</v>
      </c>
      <c r="AX865">
        <v>127.4671</v>
      </c>
    </row>
    <row r="866" spans="1:50" x14ac:dyDescent="0.35">
      <c r="A866" s="75">
        <v>44197</v>
      </c>
      <c r="B866">
        <v>108.45610000000001</v>
      </c>
      <c r="C866">
        <v>108.9864</v>
      </c>
      <c r="D866">
        <v>129.3349</v>
      </c>
      <c r="E866">
        <v>109.1915</v>
      </c>
      <c r="F866">
        <v>100.2961</v>
      </c>
      <c r="G866">
        <v>117.116</v>
      </c>
      <c r="H866">
        <v>112.55</v>
      </c>
      <c r="I866">
        <v>123.7834</v>
      </c>
      <c r="J866">
        <v>107.7525</v>
      </c>
      <c r="K866">
        <v>113.4</v>
      </c>
      <c r="L866">
        <v>106.3177</v>
      </c>
      <c r="M866">
        <v>103.6</v>
      </c>
      <c r="N866">
        <v>105.32</v>
      </c>
      <c r="O866">
        <v>104.46559999999999</v>
      </c>
      <c r="P866">
        <v>109.6679</v>
      </c>
      <c r="Q866">
        <v>106.27</v>
      </c>
      <c r="R866">
        <v>104.24</v>
      </c>
      <c r="S866">
        <v>105.12</v>
      </c>
      <c r="T866">
        <v>116.63330000000001</v>
      </c>
      <c r="U866">
        <v>108.1317</v>
      </c>
      <c r="V866">
        <v>109.3</v>
      </c>
      <c r="W866">
        <v>98.427239999999998</v>
      </c>
      <c r="X866">
        <v>114.7298</v>
      </c>
      <c r="Y866">
        <v>117.6178</v>
      </c>
      <c r="Z866">
        <v>130.22800000000001</v>
      </c>
      <c r="AA866">
        <v>101.1712</v>
      </c>
      <c r="AB866">
        <v>114.48139999999999</v>
      </c>
      <c r="AC866">
        <v>100.504</v>
      </c>
      <c r="AD866">
        <v>103.3</v>
      </c>
      <c r="AE866">
        <v>101.6035</v>
      </c>
      <c r="AF866">
        <v>106.5138</v>
      </c>
      <c r="AG866">
        <v>111.83320000000001</v>
      </c>
      <c r="AH866">
        <v>107.38</v>
      </c>
      <c r="AI866">
        <v>108.7139</v>
      </c>
      <c r="AJ866">
        <v>125.73220000000001</v>
      </c>
      <c r="AK866">
        <v>107.62</v>
      </c>
      <c r="AL866">
        <v>114.1</v>
      </c>
      <c r="AM866">
        <v>111.12220000000001</v>
      </c>
      <c r="AN866">
        <v>112.68429999999999</v>
      </c>
      <c r="AO866">
        <v>110.9483</v>
      </c>
      <c r="AP866">
        <v>103.0429</v>
      </c>
      <c r="AQ866">
        <v>126.9984</v>
      </c>
      <c r="AR866">
        <v>107.8493</v>
      </c>
      <c r="AS866">
        <v>108.6515</v>
      </c>
      <c r="AT866">
        <v>103.76</v>
      </c>
      <c r="AU866">
        <v>107.8968</v>
      </c>
      <c r="AV866">
        <v>196.97989999999999</v>
      </c>
      <c r="AW866">
        <v>110.3642</v>
      </c>
      <c r="AX866">
        <v>128.00720000000001</v>
      </c>
    </row>
    <row r="867" spans="1:50" x14ac:dyDescent="0.35">
      <c r="A867" s="75">
        <v>44228</v>
      </c>
      <c r="B867">
        <v>108.9967</v>
      </c>
      <c r="C867">
        <v>109.2243</v>
      </c>
      <c r="D867">
        <v>130.44720000000001</v>
      </c>
      <c r="E867">
        <v>109.7445</v>
      </c>
      <c r="F867">
        <v>100.461</v>
      </c>
      <c r="G867">
        <v>117.3339</v>
      </c>
      <c r="H867">
        <v>113.2193</v>
      </c>
      <c r="I867">
        <v>124.5705</v>
      </c>
      <c r="J867">
        <v>107.4772</v>
      </c>
      <c r="K867">
        <v>113.6</v>
      </c>
      <c r="L867">
        <v>107.01779999999999</v>
      </c>
      <c r="M867">
        <v>104.2</v>
      </c>
      <c r="N867">
        <v>105.54</v>
      </c>
      <c r="O867">
        <v>103.8501</v>
      </c>
      <c r="P867">
        <v>110.5908</v>
      </c>
      <c r="Q867">
        <v>106.55</v>
      </c>
      <c r="R867">
        <v>104.62</v>
      </c>
      <c r="S867">
        <v>105.12</v>
      </c>
      <c r="T867">
        <v>117.2311</v>
      </c>
      <c r="U867">
        <v>108.5765</v>
      </c>
      <c r="V867">
        <v>109.4</v>
      </c>
      <c r="W867">
        <v>98.630560000000003</v>
      </c>
      <c r="X867">
        <v>115.544</v>
      </c>
      <c r="Y867">
        <v>117.73990000000001</v>
      </c>
      <c r="Z867">
        <v>131.10939999999999</v>
      </c>
      <c r="AA867">
        <v>101.5699</v>
      </c>
      <c r="AB867">
        <v>115.2641</v>
      </c>
      <c r="AC867">
        <v>100.8064</v>
      </c>
      <c r="AD867">
        <v>103.4</v>
      </c>
      <c r="AE867">
        <v>101.6035</v>
      </c>
      <c r="AF867">
        <v>107.0831</v>
      </c>
      <c r="AG867">
        <v>112.075</v>
      </c>
      <c r="AH867">
        <v>106.64</v>
      </c>
      <c r="AI867">
        <v>109.17870000000001</v>
      </c>
      <c r="AJ867">
        <v>126.5273</v>
      </c>
      <c r="AK867">
        <v>108.57</v>
      </c>
      <c r="AL867">
        <v>114.9</v>
      </c>
      <c r="AM867">
        <v>111.5684</v>
      </c>
      <c r="AN867">
        <v>113.01909999999999</v>
      </c>
      <c r="AO867">
        <v>111.5181</v>
      </c>
      <c r="AP867">
        <v>102.5712</v>
      </c>
      <c r="AQ867">
        <v>127.989</v>
      </c>
      <c r="AR867">
        <v>107.7145</v>
      </c>
      <c r="AS867">
        <v>108.8963</v>
      </c>
      <c r="AT867">
        <v>104.06</v>
      </c>
      <c r="AU867">
        <v>108.1904</v>
      </c>
      <c r="AV867">
        <v>198.76820000000001</v>
      </c>
      <c r="AW867">
        <v>110.9684</v>
      </c>
      <c r="AX867">
        <v>128.81739999999999</v>
      </c>
    </row>
    <row r="868" spans="1:50" x14ac:dyDescent="0.35">
      <c r="A868" s="75">
        <v>44256</v>
      </c>
      <c r="B868">
        <v>110.1862</v>
      </c>
      <c r="C868">
        <v>109.52160000000001</v>
      </c>
      <c r="D868">
        <v>131.66040000000001</v>
      </c>
      <c r="E868">
        <v>110.2976</v>
      </c>
      <c r="F868">
        <v>100.7998</v>
      </c>
      <c r="G868">
        <v>117.7697</v>
      </c>
      <c r="H868">
        <v>112.6615</v>
      </c>
      <c r="I868">
        <v>125.2051</v>
      </c>
      <c r="J868">
        <v>107.5073</v>
      </c>
      <c r="K868">
        <v>113.8</v>
      </c>
      <c r="L868">
        <v>107.5179</v>
      </c>
      <c r="M868">
        <v>104.3</v>
      </c>
      <c r="N868">
        <v>106.53</v>
      </c>
      <c r="O868">
        <v>104.8574</v>
      </c>
      <c r="P868">
        <v>110.3857</v>
      </c>
      <c r="Q868">
        <v>107.46</v>
      </c>
      <c r="R868">
        <v>104.87</v>
      </c>
      <c r="S868">
        <v>105.75</v>
      </c>
      <c r="T868">
        <v>117.7972</v>
      </c>
      <c r="U868">
        <v>109.1823</v>
      </c>
      <c r="V868">
        <v>109.7</v>
      </c>
      <c r="W868">
        <v>99.817340000000002</v>
      </c>
      <c r="X868">
        <v>116.3583</v>
      </c>
      <c r="Y868">
        <v>117.8398</v>
      </c>
      <c r="Z868">
        <v>131.7705</v>
      </c>
      <c r="AA868">
        <v>102.3673</v>
      </c>
      <c r="AB868">
        <v>115.833</v>
      </c>
      <c r="AC868">
        <v>101.4113</v>
      </c>
      <c r="AD868">
        <v>103.7</v>
      </c>
      <c r="AE868">
        <v>101.70529999999999</v>
      </c>
      <c r="AF868">
        <v>107.35720000000001</v>
      </c>
      <c r="AG868">
        <v>113.1832</v>
      </c>
      <c r="AH868">
        <v>108.14</v>
      </c>
      <c r="AI868">
        <v>110.023</v>
      </c>
      <c r="AJ868">
        <v>127.5735</v>
      </c>
      <c r="AK868">
        <v>108.87</v>
      </c>
      <c r="AL868">
        <v>114.6</v>
      </c>
      <c r="AM868">
        <v>112.2115</v>
      </c>
      <c r="AN868">
        <v>113.6627</v>
      </c>
      <c r="AO868">
        <v>112.65770000000001</v>
      </c>
      <c r="AP868">
        <v>104.0142</v>
      </c>
      <c r="AQ868">
        <v>128.8338</v>
      </c>
      <c r="AR868">
        <v>107.559</v>
      </c>
      <c r="AS868">
        <v>109.4469</v>
      </c>
      <c r="AT868">
        <v>104.41</v>
      </c>
      <c r="AU868">
        <v>108.3595</v>
      </c>
      <c r="AV868">
        <v>200.9057</v>
      </c>
      <c r="AW868">
        <v>111.7544</v>
      </c>
      <c r="AX868">
        <v>129.6275</v>
      </c>
    </row>
    <row r="869" spans="1:50" x14ac:dyDescent="0.35">
      <c r="A869" s="75">
        <v>44287</v>
      </c>
      <c r="B869">
        <v>110.07810000000001</v>
      </c>
      <c r="C869">
        <v>109.8883</v>
      </c>
      <c r="D869">
        <v>132.0685</v>
      </c>
      <c r="E869">
        <v>110.8507</v>
      </c>
      <c r="F869">
        <v>101.01009999999999</v>
      </c>
      <c r="G869">
        <v>118.21639999999999</v>
      </c>
      <c r="H869">
        <v>112.32689999999999</v>
      </c>
      <c r="I869">
        <v>125.94670000000001</v>
      </c>
      <c r="J869">
        <v>107.8182</v>
      </c>
      <c r="K869">
        <v>114.4</v>
      </c>
      <c r="L869">
        <v>108.218</v>
      </c>
      <c r="M869">
        <v>104.7</v>
      </c>
      <c r="N869">
        <v>107.14</v>
      </c>
      <c r="O869">
        <v>106.095</v>
      </c>
      <c r="P869">
        <v>110.7959</v>
      </c>
      <c r="Q869">
        <v>108.08</v>
      </c>
      <c r="R869">
        <v>105.26</v>
      </c>
      <c r="S869">
        <v>105.86</v>
      </c>
      <c r="T869">
        <v>118.3177</v>
      </c>
      <c r="U869">
        <v>109.7816</v>
      </c>
      <c r="V869">
        <v>110.4</v>
      </c>
      <c r="W869">
        <v>100.7251</v>
      </c>
      <c r="X869">
        <v>117.3205</v>
      </c>
      <c r="Y869">
        <v>117.9952</v>
      </c>
      <c r="Z869">
        <v>132.32140000000001</v>
      </c>
      <c r="AA869">
        <v>103.065</v>
      </c>
      <c r="AB869">
        <v>116.6418</v>
      </c>
      <c r="AC869">
        <v>101.7137</v>
      </c>
      <c r="AD869">
        <v>104.1</v>
      </c>
      <c r="AE869">
        <v>100.8908</v>
      </c>
      <c r="AF869">
        <v>107.5048</v>
      </c>
      <c r="AG869">
        <v>114.236</v>
      </c>
      <c r="AH869">
        <v>108.19</v>
      </c>
      <c r="AI869">
        <v>110.971</v>
      </c>
      <c r="AJ869">
        <v>127.991</v>
      </c>
      <c r="AK869">
        <v>109.36</v>
      </c>
      <c r="AL869">
        <v>115</v>
      </c>
      <c r="AM869">
        <v>112.86369999999999</v>
      </c>
      <c r="AN869">
        <v>114.3882</v>
      </c>
      <c r="AO869">
        <v>113.5531</v>
      </c>
      <c r="AP869">
        <v>104.4461</v>
      </c>
      <c r="AQ869">
        <v>129.58099999999999</v>
      </c>
      <c r="AR869">
        <v>107.7456</v>
      </c>
      <c r="AS869">
        <v>109.69159999999999</v>
      </c>
      <c r="AT869">
        <v>105.5</v>
      </c>
      <c r="AU869">
        <v>108.62439999999999</v>
      </c>
      <c r="AV869">
        <v>204.27879999999999</v>
      </c>
      <c r="AW869">
        <v>112.6729</v>
      </c>
      <c r="AX869">
        <v>130.5728</v>
      </c>
    </row>
    <row r="870" spans="1:50" x14ac:dyDescent="0.35">
      <c r="A870" s="75">
        <v>44317</v>
      </c>
      <c r="B870">
        <v>110.4025</v>
      </c>
      <c r="C870">
        <v>110.05670000000001</v>
      </c>
      <c r="D870">
        <v>133.16480000000001</v>
      </c>
      <c r="E870">
        <v>111.4037</v>
      </c>
      <c r="F870">
        <v>101.2771</v>
      </c>
      <c r="G870">
        <v>118.5324</v>
      </c>
      <c r="H870">
        <v>112.2154</v>
      </c>
      <c r="I870">
        <v>127.2054</v>
      </c>
      <c r="J870">
        <v>107.80200000000001</v>
      </c>
      <c r="K870">
        <v>114.6</v>
      </c>
      <c r="L870">
        <v>108.71810000000001</v>
      </c>
      <c r="M870">
        <v>104.9</v>
      </c>
      <c r="N870">
        <v>107.42</v>
      </c>
      <c r="O870">
        <v>106.5949</v>
      </c>
      <c r="P870">
        <v>111.87260000000001</v>
      </c>
      <c r="Q870">
        <v>108.38</v>
      </c>
      <c r="R870">
        <v>105.42</v>
      </c>
      <c r="S870">
        <v>106.2</v>
      </c>
      <c r="T870">
        <v>118.857</v>
      </c>
      <c r="U870">
        <v>110.46080000000001</v>
      </c>
      <c r="V870">
        <v>111</v>
      </c>
      <c r="W870">
        <v>100.3314</v>
      </c>
      <c r="X870">
        <v>117.9127</v>
      </c>
      <c r="Y870">
        <v>118.37269999999999</v>
      </c>
      <c r="Z870">
        <v>132.8723</v>
      </c>
      <c r="AA870">
        <v>103.1647</v>
      </c>
      <c r="AB870">
        <v>117.15049999999999</v>
      </c>
      <c r="AC870">
        <v>102.1169</v>
      </c>
      <c r="AD870">
        <v>104.1</v>
      </c>
      <c r="AE870">
        <v>101.1962</v>
      </c>
      <c r="AF870">
        <v>107.57859999999999</v>
      </c>
      <c r="AG870">
        <v>114.8849</v>
      </c>
      <c r="AH870">
        <v>108.5</v>
      </c>
      <c r="AI870">
        <v>111.5428</v>
      </c>
      <c r="AJ870">
        <v>128.25229999999999</v>
      </c>
      <c r="AK870">
        <v>109.46</v>
      </c>
      <c r="AL870">
        <v>114.9</v>
      </c>
      <c r="AM870">
        <v>113.46939999999999</v>
      </c>
      <c r="AN870">
        <v>114.81659999999999</v>
      </c>
      <c r="AO870">
        <v>113.87869999999999</v>
      </c>
      <c r="AP870">
        <v>104.69289999999999</v>
      </c>
      <c r="AQ870">
        <v>130.53989999999999</v>
      </c>
      <c r="AR870">
        <v>107.9426</v>
      </c>
      <c r="AS870">
        <v>110.6092</v>
      </c>
      <c r="AT870">
        <v>106.48</v>
      </c>
      <c r="AU870">
        <v>108.8382</v>
      </c>
      <c r="AV870">
        <v>206.09399999999999</v>
      </c>
      <c r="AW870">
        <v>113.5762</v>
      </c>
      <c r="AX870">
        <v>130.70779999999999</v>
      </c>
    </row>
    <row r="871" spans="1:50" x14ac:dyDescent="0.35">
      <c r="A871" s="75">
        <v>44348</v>
      </c>
      <c r="B871">
        <v>110.9431</v>
      </c>
      <c r="C871">
        <v>110.3045</v>
      </c>
      <c r="D871">
        <v>133.87049999999999</v>
      </c>
      <c r="E871">
        <v>111.71980000000001</v>
      </c>
      <c r="F871">
        <v>101.35209999999999</v>
      </c>
      <c r="G871">
        <v>118.63039999999999</v>
      </c>
      <c r="H871">
        <v>111.7692</v>
      </c>
      <c r="I871">
        <v>127.1429</v>
      </c>
      <c r="J871">
        <v>108.3818</v>
      </c>
      <c r="K871">
        <v>115.2</v>
      </c>
      <c r="L871">
        <v>109.1182</v>
      </c>
      <c r="M871">
        <v>105</v>
      </c>
      <c r="N871">
        <v>107.7</v>
      </c>
      <c r="O871">
        <v>107.1023</v>
      </c>
      <c r="P871">
        <v>113.15430000000001</v>
      </c>
      <c r="Q871">
        <v>108.65</v>
      </c>
      <c r="R871">
        <v>105.36</v>
      </c>
      <c r="S871">
        <v>106.34</v>
      </c>
      <c r="T871">
        <v>119.4144</v>
      </c>
      <c r="U871">
        <v>111.16589999999999</v>
      </c>
      <c r="V871">
        <v>111.4</v>
      </c>
      <c r="W871">
        <v>101.2696</v>
      </c>
      <c r="X871">
        <v>118.5788</v>
      </c>
      <c r="Y871">
        <v>118.18389999999999</v>
      </c>
      <c r="Z871">
        <v>134.08420000000001</v>
      </c>
      <c r="AA871">
        <v>103.36409999999999</v>
      </c>
      <c r="AB871">
        <v>117.45140000000001</v>
      </c>
      <c r="AC871">
        <v>102.21769999999999</v>
      </c>
      <c r="AD871">
        <v>104.2</v>
      </c>
      <c r="AE871">
        <v>101.298</v>
      </c>
      <c r="AF871">
        <v>107.57859999999999</v>
      </c>
      <c r="AG871">
        <v>115.5194</v>
      </c>
      <c r="AH871">
        <v>108.68</v>
      </c>
      <c r="AI871">
        <v>111.8644</v>
      </c>
      <c r="AJ871">
        <v>128.9357</v>
      </c>
      <c r="AK871">
        <v>109.67</v>
      </c>
      <c r="AL871">
        <v>115.3</v>
      </c>
      <c r="AM871">
        <v>114.134</v>
      </c>
      <c r="AN871">
        <v>115.3124</v>
      </c>
      <c r="AO871">
        <v>113.9601</v>
      </c>
      <c r="AP871">
        <v>104.85209999999999</v>
      </c>
      <c r="AQ871">
        <v>131.44059999999999</v>
      </c>
      <c r="AR871">
        <v>108.1086</v>
      </c>
      <c r="AS871">
        <v>111.221</v>
      </c>
      <c r="AT871">
        <v>107.1</v>
      </c>
      <c r="AU871">
        <v>108.9276</v>
      </c>
      <c r="AV871">
        <v>210.09649999999999</v>
      </c>
      <c r="AW871">
        <v>114.6314</v>
      </c>
      <c r="AX871">
        <v>131.1129</v>
      </c>
    </row>
    <row r="872" spans="1:50" x14ac:dyDescent="0.35">
      <c r="A872" s="75">
        <v>44378</v>
      </c>
      <c r="B872">
        <v>111.2675</v>
      </c>
      <c r="C872">
        <v>111.246</v>
      </c>
      <c r="D872">
        <v>135.1557</v>
      </c>
      <c r="E872">
        <v>112.43089999999999</v>
      </c>
      <c r="F872">
        <v>101.2662</v>
      </c>
      <c r="G872">
        <v>119.58920000000001</v>
      </c>
      <c r="H872">
        <v>112.10380000000001</v>
      </c>
      <c r="I872">
        <v>127.5561</v>
      </c>
      <c r="J872">
        <v>108.1591</v>
      </c>
      <c r="K872">
        <v>116.4</v>
      </c>
      <c r="L872">
        <v>110.11839999999999</v>
      </c>
      <c r="M872">
        <v>105.7</v>
      </c>
      <c r="N872">
        <v>107.6</v>
      </c>
      <c r="O872">
        <v>106.29519999999999</v>
      </c>
      <c r="P872">
        <v>114.3848</v>
      </c>
      <c r="Q872">
        <v>108.68</v>
      </c>
      <c r="R872">
        <v>105.71</v>
      </c>
      <c r="S872">
        <v>106.4</v>
      </c>
      <c r="T872">
        <v>119.95350000000001</v>
      </c>
      <c r="U872">
        <v>111.6568</v>
      </c>
      <c r="V872">
        <v>111.4</v>
      </c>
      <c r="W872">
        <v>99.864140000000006</v>
      </c>
      <c r="X872">
        <v>119.17100000000001</v>
      </c>
      <c r="Y872">
        <v>118.2728</v>
      </c>
      <c r="Z872">
        <v>135.2961</v>
      </c>
      <c r="AA872">
        <v>103.7628</v>
      </c>
      <c r="AB872">
        <v>117.6369</v>
      </c>
      <c r="AC872">
        <v>102.621</v>
      </c>
      <c r="AD872">
        <v>104.7</v>
      </c>
      <c r="AE872">
        <v>101.5017</v>
      </c>
      <c r="AF872">
        <v>107.79989999999999</v>
      </c>
      <c r="AG872">
        <v>116.34010000000001</v>
      </c>
      <c r="AH872">
        <v>108.26</v>
      </c>
      <c r="AI872">
        <v>112.2728</v>
      </c>
      <c r="AJ872">
        <v>129.69319999999999</v>
      </c>
      <c r="AK872">
        <v>110.23</v>
      </c>
      <c r="AL872">
        <v>116.3</v>
      </c>
      <c r="AM872">
        <v>114.6561</v>
      </c>
      <c r="AN872">
        <v>115.81959999999999</v>
      </c>
      <c r="AO872">
        <v>114.4485</v>
      </c>
      <c r="AP872">
        <v>104.4879</v>
      </c>
      <c r="AQ872">
        <v>131.84809999999999</v>
      </c>
      <c r="AR872">
        <v>108.2745</v>
      </c>
      <c r="AS872">
        <v>111.77160000000001</v>
      </c>
      <c r="AT872">
        <v>107.54</v>
      </c>
      <c r="AU872">
        <v>109.218</v>
      </c>
      <c r="AV872">
        <v>213.88800000000001</v>
      </c>
      <c r="AW872">
        <v>115.1829</v>
      </c>
      <c r="AX872">
        <v>132.4632</v>
      </c>
    </row>
    <row r="873" spans="1:50" x14ac:dyDescent="0.35">
      <c r="A873" s="75">
        <v>44409</v>
      </c>
      <c r="B873">
        <v>111.37560000000001</v>
      </c>
      <c r="C873">
        <v>111.82080000000001</v>
      </c>
      <c r="D873">
        <v>136.33150000000001</v>
      </c>
      <c r="E873">
        <v>112.6679</v>
      </c>
      <c r="F873">
        <v>101.5149</v>
      </c>
      <c r="G873">
        <v>120.0142</v>
      </c>
      <c r="H873">
        <v>112.2154</v>
      </c>
      <c r="I873">
        <v>128.12690000000001</v>
      </c>
      <c r="J873">
        <v>108.45820000000001</v>
      </c>
      <c r="K873">
        <v>117.2</v>
      </c>
      <c r="L873">
        <v>110.11839999999999</v>
      </c>
      <c r="M873">
        <v>105.5</v>
      </c>
      <c r="N873">
        <v>107.98</v>
      </c>
      <c r="O873">
        <v>106.77800000000001</v>
      </c>
      <c r="P873">
        <v>115.2052</v>
      </c>
      <c r="Q873">
        <v>109.04</v>
      </c>
      <c r="R873">
        <v>105.96</v>
      </c>
      <c r="S873">
        <v>107.05</v>
      </c>
      <c r="T873">
        <v>120.2898</v>
      </c>
      <c r="U873">
        <v>111.91240000000001</v>
      </c>
      <c r="V873">
        <v>112.1</v>
      </c>
      <c r="W873">
        <v>99.733949999999993</v>
      </c>
      <c r="X873">
        <v>119.393</v>
      </c>
      <c r="Y873">
        <v>118.3061</v>
      </c>
      <c r="Z873">
        <v>135.51650000000001</v>
      </c>
      <c r="AA873">
        <v>104.3608</v>
      </c>
      <c r="AB873">
        <v>118.1772</v>
      </c>
      <c r="AC873">
        <v>102.9234</v>
      </c>
      <c r="AD873">
        <v>105.1</v>
      </c>
      <c r="AE873">
        <v>101.5017</v>
      </c>
      <c r="AF873">
        <v>108.3165</v>
      </c>
      <c r="AG873">
        <v>116.8061</v>
      </c>
      <c r="AH873">
        <v>109.31</v>
      </c>
      <c r="AI873">
        <v>112.6934</v>
      </c>
      <c r="AJ873">
        <v>129.9408</v>
      </c>
      <c r="AK873">
        <v>110.71</v>
      </c>
      <c r="AL873">
        <v>116.3</v>
      </c>
      <c r="AM873">
        <v>114.97069999999999</v>
      </c>
      <c r="AN873">
        <v>116.3019</v>
      </c>
      <c r="AO873">
        <v>114.7741</v>
      </c>
      <c r="AP873">
        <v>104.27889999999999</v>
      </c>
      <c r="AQ873">
        <v>132.07220000000001</v>
      </c>
      <c r="AR873">
        <v>108.3471</v>
      </c>
      <c r="AS873">
        <v>112.1998</v>
      </c>
      <c r="AT873">
        <v>107.64</v>
      </c>
      <c r="AU873">
        <v>109.77970000000001</v>
      </c>
      <c r="AV873">
        <v>216.2826</v>
      </c>
      <c r="AW873">
        <v>115.4208</v>
      </c>
      <c r="AX873">
        <v>133.0033</v>
      </c>
    </row>
    <row r="874" spans="1:50" x14ac:dyDescent="0.35">
      <c r="A874" s="75">
        <v>44440</v>
      </c>
      <c r="B874">
        <v>111.91630000000001</v>
      </c>
      <c r="C874">
        <v>111.5433</v>
      </c>
      <c r="D874">
        <v>137.91290000000001</v>
      </c>
      <c r="E874">
        <v>112.9049</v>
      </c>
      <c r="F874">
        <v>101.5325</v>
      </c>
      <c r="G874">
        <v>121.4306</v>
      </c>
      <c r="H874">
        <v>112.2154</v>
      </c>
      <c r="I874">
        <v>128.6173</v>
      </c>
      <c r="J874">
        <v>109.1401</v>
      </c>
      <c r="K874">
        <v>117.4</v>
      </c>
      <c r="L874">
        <v>110.11839999999999</v>
      </c>
      <c r="M874">
        <v>105.8</v>
      </c>
      <c r="N874">
        <v>108.49</v>
      </c>
      <c r="O874">
        <v>107.6687</v>
      </c>
      <c r="P874">
        <v>116.6407</v>
      </c>
      <c r="Q874">
        <v>109.57</v>
      </c>
      <c r="R874">
        <v>106.29</v>
      </c>
      <c r="S874">
        <v>106.81</v>
      </c>
      <c r="T874">
        <v>120.7384</v>
      </c>
      <c r="U874">
        <v>112.1383</v>
      </c>
      <c r="V874">
        <v>112.4</v>
      </c>
      <c r="W874">
        <v>102.0951</v>
      </c>
      <c r="X874">
        <v>119.5411</v>
      </c>
      <c r="Y874">
        <v>118.2617</v>
      </c>
      <c r="Z874">
        <v>135.84700000000001</v>
      </c>
      <c r="AA874">
        <v>104.8592</v>
      </c>
      <c r="AB874">
        <v>118.7229</v>
      </c>
      <c r="AC874">
        <v>103.125</v>
      </c>
      <c r="AD874">
        <v>104.9</v>
      </c>
      <c r="AE874">
        <v>101.9089</v>
      </c>
      <c r="AF874">
        <v>108.75920000000001</v>
      </c>
      <c r="AG874">
        <v>118.45140000000001</v>
      </c>
      <c r="AH874">
        <v>109.47</v>
      </c>
      <c r="AI874">
        <v>113.8805</v>
      </c>
      <c r="AJ874">
        <v>130.74160000000001</v>
      </c>
      <c r="AK874">
        <v>110.79</v>
      </c>
      <c r="AL874">
        <v>117.5</v>
      </c>
      <c r="AM874">
        <v>115.3319</v>
      </c>
      <c r="AN874">
        <v>116.6699</v>
      </c>
      <c r="AO874">
        <v>115.5881</v>
      </c>
      <c r="AP874">
        <v>105.2323</v>
      </c>
      <c r="AQ874">
        <v>132.8647</v>
      </c>
      <c r="AR874">
        <v>108.56489999999999</v>
      </c>
      <c r="AS874">
        <v>113.11750000000001</v>
      </c>
      <c r="AT874">
        <v>107.58</v>
      </c>
      <c r="AU874">
        <v>110.3382</v>
      </c>
      <c r="AV874">
        <v>218.99189999999999</v>
      </c>
      <c r="AW874">
        <v>115.7343</v>
      </c>
      <c r="AX874">
        <v>133.27330000000001</v>
      </c>
    </row>
    <row r="875" spans="1:50" x14ac:dyDescent="0.35">
      <c r="A875" s="75">
        <v>44470</v>
      </c>
      <c r="B875">
        <v>112.5651</v>
      </c>
      <c r="C875">
        <v>113.1786</v>
      </c>
      <c r="D875">
        <v>139.63669999999999</v>
      </c>
      <c r="E875">
        <v>113.69499999999999</v>
      </c>
      <c r="F875">
        <v>101.84</v>
      </c>
      <c r="G875">
        <v>123.054</v>
      </c>
      <c r="H875">
        <v>112.9962</v>
      </c>
      <c r="I875">
        <v>128.6345</v>
      </c>
      <c r="J875">
        <v>109.6747</v>
      </c>
      <c r="K875">
        <v>118.6</v>
      </c>
      <c r="L875">
        <v>110.71850000000001</v>
      </c>
      <c r="M875">
        <v>106.8</v>
      </c>
      <c r="N875">
        <v>109.41</v>
      </c>
      <c r="O875">
        <v>109.6491</v>
      </c>
      <c r="P875">
        <v>116.4357</v>
      </c>
      <c r="Q875">
        <v>110.54</v>
      </c>
      <c r="R875">
        <v>107.09</v>
      </c>
      <c r="S875">
        <v>107.25</v>
      </c>
      <c r="T875">
        <v>121.804</v>
      </c>
      <c r="U875">
        <v>112.8865</v>
      </c>
      <c r="V875">
        <v>113.4</v>
      </c>
      <c r="W875">
        <v>103.6557</v>
      </c>
      <c r="X875">
        <v>120.9474</v>
      </c>
      <c r="Y875">
        <v>118.40600000000001</v>
      </c>
      <c r="Z875">
        <v>137.60980000000001</v>
      </c>
      <c r="AA875">
        <v>105.5569</v>
      </c>
      <c r="AB875">
        <v>119.4431</v>
      </c>
      <c r="AC875">
        <v>103.22580000000001</v>
      </c>
      <c r="AD875">
        <v>105.6</v>
      </c>
      <c r="AE875">
        <v>101.70529999999999</v>
      </c>
      <c r="AF875">
        <v>108.949</v>
      </c>
      <c r="AG875">
        <v>120.41540000000001</v>
      </c>
      <c r="AH875">
        <v>110.45</v>
      </c>
      <c r="AI875">
        <v>115.1769</v>
      </c>
      <c r="AJ875">
        <v>131.83680000000001</v>
      </c>
      <c r="AK875">
        <v>112.18</v>
      </c>
      <c r="AL875">
        <v>117.2</v>
      </c>
      <c r="AM875">
        <v>116.2354</v>
      </c>
      <c r="AN875">
        <v>117.7893</v>
      </c>
      <c r="AO875">
        <v>116.8905</v>
      </c>
      <c r="AP875">
        <v>105.709</v>
      </c>
      <c r="AQ875">
        <v>134.33949999999999</v>
      </c>
      <c r="AR875">
        <v>108.83450000000001</v>
      </c>
      <c r="AS875">
        <v>113.79049999999999</v>
      </c>
      <c r="AT875">
        <v>108.55</v>
      </c>
      <c r="AU875">
        <v>110.5615</v>
      </c>
      <c r="AV875">
        <v>224.23390000000001</v>
      </c>
      <c r="AW875">
        <v>116.69580000000001</v>
      </c>
      <c r="AX875">
        <v>133.67840000000001</v>
      </c>
    </row>
    <row r="876" spans="1:50" x14ac:dyDescent="0.35">
      <c r="A876" s="75">
        <v>44501</v>
      </c>
      <c r="B876">
        <v>113.322</v>
      </c>
      <c r="C876">
        <v>114.5958</v>
      </c>
      <c r="D876">
        <v>140.96340000000001</v>
      </c>
      <c r="E876">
        <v>113.93210000000001</v>
      </c>
      <c r="F876">
        <v>101.8792</v>
      </c>
      <c r="G876">
        <v>123.6751</v>
      </c>
      <c r="H876">
        <v>113.44240000000001</v>
      </c>
      <c r="I876">
        <v>129.27160000000001</v>
      </c>
      <c r="J876">
        <v>110.57599999999999</v>
      </c>
      <c r="K876">
        <v>118.8</v>
      </c>
      <c r="L876">
        <v>110.5184</v>
      </c>
      <c r="M876">
        <v>107.1</v>
      </c>
      <c r="N876">
        <v>109.9</v>
      </c>
      <c r="O876">
        <v>109.9842</v>
      </c>
      <c r="P876">
        <v>118.589</v>
      </c>
      <c r="Q876">
        <v>111.07</v>
      </c>
      <c r="R876">
        <v>107.57</v>
      </c>
      <c r="S876">
        <v>107.64</v>
      </c>
      <c r="T876">
        <v>122.55070000000001</v>
      </c>
      <c r="U876">
        <v>113.3322</v>
      </c>
      <c r="V876">
        <v>114.1</v>
      </c>
      <c r="W876">
        <v>104.1469</v>
      </c>
      <c r="X876">
        <v>121.7617</v>
      </c>
      <c r="Y876">
        <v>118.8389</v>
      </c>
      <c r="Z876">
        <v>138.49119999999999</v>
      </c>
      <c r="AA876">
        <v>106.155</v>
      </c>
      <c r="AB876">
        <v>119.84990000000001</v>
      </c>
      <c r="AC876">
        <v>103.125</v>
      </c>
      <c r="AD876">
        <v>106.2</v>
      </c>
      <c r="AE876">
        <v>101.9089</v>
      </c>
      <c r="AF876">
        <v>109.4971</v>
      </c>
      <c r="AG876">
        <v>121.5544</v>
      </c>
      <c r="AH876">
        <v>111.18</v>
      </c>
      <c r="AI876">
        <v>116.40779999999999</v>
      </c>
      <c r="AJ876">
        <v>133.34620000000001</v>
      </c>
      <c r="AK876">
        <v>113.17</v>
      </c>
      <c r="AL876">
        <v>118.1</v>
      </c>
      <c r="AM876">
        <v>116.88290000000001</v>
      </c>
      <c r="AN876">
        <v>118.6361</v>
      </c>
      <c r="AO876">
        <v>118.0301</v>
      </c>
      <c r="AP876">
        <v>106.1747</v>
      </c>
      <c r="AQ876">
        <v>135.62909999999999</v>
      </c>
      <c r="AR876">
        <v>109.0626</v>
      </c>
      <c r="AS876">
        <v>114.40219999999999</v>
      </c>
      <c r="AT876">
        <v>109.31</v>
      </c>
      <c r="AU876">
        <v>111.069</v>
      </c>
      <c r="AV876">
        <v>232.10849999999999</v>
      </c>
      <c r="AW876">
        <v>117.2692</v>
      </c>
      <c r="AX876">
        <v>134.21850000000001</v>
      </c>
    </row>
    <row r="877" spans="1:50" x14ac:dyDescent="0.35">
      <c r="A877" s="75">
        <v>44531</v>
      </c>
      <c r="B877">
        <v>113.9708</v>
      </c>
      <c r="C877">
        <v>114.70480000000001</v>
      </c>
      <c r="D877">
        <v>141.9924</v>
      </c>
      <c r="E877">
        <v>113.774</v>
      </c>
      <c r="F877">
        <v>101.77549999999999</v>
      </c>
      <c r="G877">
        <v>124.6339</v>
      </c>
      <c r="H877">
        <v>113.10769999999999</v>
      </c>
      <c r="I877">
        <v>130.2106</v>
      </c>
      <c r="J877">
        <v>111.11060000000001</v>
      </c>
      <c r="K877">
        <v>119.3</v>
      </c>
      <c r="L877">
        <v>111.1185</v>
      </c>
      <c r="M877">
        <v>106.6</v>
      </c>
      <c r="N877">
        <v>110.37</v>
      </c>
      <c r="O877">
        <v>111.2978</v>
      </c>
      <c r="P877">
        <v>122.178</v>
      </c>
      <c r="Q877">
        <v>111.59</v>
      </c>
      <c r="R877">
        <v>107.49</v>
      </c>
      <c r="S877">
        <v>107.85</v>
      </c>
      <c r="T877">
        <v>123.23520000000001</v>
      </c>
      <c r="U877">
        <v>113.6636</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117.85250000000001</v>
      </c>
      <c r="AN877">
        <v>120.82129999999999</v>
      </c>
      <c r="AO877">
        <v>119.0883</v>
      </c>
      <c r="AP877">
        <v>106.19070000000001</v>
      </c>
      <c r="AQ877">
        <v>136.7413</v>
      </c>
      <c r="AR877">
        <v>108.9486</v>
      </c>
      <c r="AS877">
        <v>114.58580000000001</v>
      </c>
      <c r="AT877">
        <v>109.3</v>
      </c>
      <c r="AU877">
        <v>112.4859</v>
      </c>
      <c r="AV877">
        <v>263.61840000000001</v>
      </c>
      <c r="AW877">
        <v>117.62949999999999</v>
      </c>
      <c r="AX877">
        <v>135.02869999999999</v>
      </c>
    </row>
    <row r="878" spans="1:50" x14ac:dyDescent="0.35">
      <c r="A878" s="75">
        <v>44562</v>
      </c>
      <c r="B878">
        <v>113.8627</v>
      </c>
      <c r="C878">
        <v>117.2617</v>
      </c>
      <c r="D878">
        <v>142.75919999999999</v>
      </c>
      <c r="E878">
        <v>114.80119999999999</v>
      </c>
      <c r="F878">
        <v>101.9498</v>
      </c>
      <c r="G878">
        <v>126.1374</v>
      </c>
      <c r="H878">
        <v>113.66549999999999</v>
      </c>
      <c r="I878">
        <v>132.37960000000001</v>
      </c>
      <c r="J878">
        <v>111.5204</v>
      </c>
      <c r="K878">
        <v>124.6</v>
      </c>
      <c r="L878">
        <v>111.51860000000001</v>
      </c>
      <c r="M878">
        <v>108.1</v>
      </c>
      <c r="N878">
        <v>110.7</v>
      </c>
      <c r="O878">
        <v>110.8717</v>
      </c>
      <c r="P878">
        <v>122.0754</v>
      </c>
      <c r="Q878">
        <v>112.2</v>
      </c>
      <c r="R878">
        <v>108.8</v>
      </c>
      <c r="S878">
        <v>108.12</v>
      </c>
      <c r="T878">
        <v>124.1983</v>
      </c>
      <c r="U878">
        <v>114.4323</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119.1067</v>
      </c>
      <c r="AN878">
        <v>122.6537</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35">
      <c r="A879" s="75">
        <v>44593</v>
      </c>
      <c r="B879">
        <v>115.2684</v>
      </c>
      <c r="C879">
        <v>118.005</v>
      </c>
      <c r="D879">
        <v>144.2011</v>
      </c>
      <c r="E879">
        <v>115.9863</v>
      </c>
      <c r="F879">
        <v>102.62179999999999</v>
      </c>
      <c r="G879">
        <v>126.497</v>
      </c>
      <c r="H879">
        <v>114.3347</v>
      </c>
      <c r="I879">
        <v>134.54259999999999</v>
      </c>
      <c r="K879">
        <v>126.2</v>
      </c>
      <c r="L879">
        <v>112.5188</v>
      </c>
      <c r="M879">
        <v>109.2</v>
      </c>
      <c r="N879">
        <v>111.74</v>
      </c>
      <c r="O879">
        <v>111.7667</v>
      </c>
      <c r="P879">
        <v>123.8699</v>
      </c>
      <c r="Q879">
        <v>113.18</v>
      </c>
      <c r="R879">
        <v>109.36</v>
      </c>
      <c r="S879">
        <v>108.94</v>
      </c>
      <c r="T879">
        <v>125.20489999999999</v>
      </c>
      <c r="U879">
        <v>115.3946</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120.229</v>
      </c>
      <c r="AN879">
        <v>124.0848</v>
      </c>
      <c r="AO879">
        <v>121.0419</v>
      </c>
      <c r="AP879">
        <v>106.8734</v>
      </c>
      <c r="AQ879">
        <v>139.7107</v>
      </c>
      <c r="AR879">
        <v>109.4567</v>
      </c>
      <c r="AS879">
        <v>118.74590000000001</v>
      </c>
      <c r="AT879">
        <v>111.24</v>
      </c>
      <c r="AU879">
        <v>112.8338</v>
      </c>
      <c r="AV879">
        <v>306.97469999999998</v>
      </c>
      <c r="AW879">
        <v>119.7028</v>
      </c>
      <c r="AX879">
        <v>136.10890000000001</v>
      </c>
    </row>
    <row r="880" spans="1:50" x14ac:dyDescent="0.35">
      <c r="A880" s="75">
        <v>44621</v>
      </c>
      <c r="B880">
        <v>117.6473</v>
      </c>
      <c r="C880">
        <v>118.6195</v>
      </c>
      <c r="D880">
        <v>146.53720000000001</v>
      </c>
      <c r="E880">
        <v>117.6455</v>
      </c>
      <c r="F880">
        <v>103.205</v>
      </c>
      <c r="G880">
        <v>128.85040000000001</v>
      </c>
      <c r="H880">
        <v>114.3347</v>
      </c>
      <c r="I880">
        <v>135.88239999999999</v>
      </c>
      <c r="K880">
        <v>128.30000000000001</v>
      </c>
      <c r="L880">
        <v>115.3192</v>
      </c>
      <c r="M880">
        <v>109.9</v>
      </c>
      <c r="N880">
        <v>114.46</v>
      </c>
      <c r="O880">
        <v>115.1527</v>
      </c>
      <c r="P880">
        <v>127.1512</v>
      </c>
      <c r="Q880">
        <v>115.87</v>
      </c>
      <c r="R880">
        <v>110.95</v>
      </c>
      <c r="S880">
        <v>110.49</v>
      </c>
      <c r="T880">
        <v>127.10380000000001</v>
      </c>
      <c r="U880">
        <v>116.9076</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122.0607</v>
      </c>
      <c r="AN880">
        <v>126.83150000000001</v>
      </c>
      <c r="AO880">
        <v>125.0305</v>
      </c>
      <c r="AP880">
        <v>109.5594</v>
      </c>
      <c r="AQ880">
        <v>150.34700000000001</v>
      </c>
      <c r="AR880">
        <v>109.7574</v>
      </c>
      <c r="AS880">
        <v>120.8259</v>
      </c>
      <c r="AT880">
        <v>110.01</v>
      </c>
      <c r="AU880">
        <v>114.8252</v>
      </c>
      <c r="AV880">
        <v>323.74849999999998</v>
      </c>
      <c r="AW880">
        <v>121.301</v>
      </c>
      <c r="AX880">
        <v>137.5942</v>
      </c>
    </row>
    <row r="881" spans="1:50" x14ac:dyDescent="0.35">
      <c r="A881" s="75">
        <v>44652</v>
      </c>
      <c r="B881">
        <v>117.9717</v>
      </c>
      <c r="C881">
        <v>119.0159</v>
      </c>
      <c r="D881">
        <v>148.09059999999999</v>
      </c>
      <c r="E881">
        <v>118.3566</v>
      </c>
      <c r="F881">
        <v>103.5838</v>
      </c>
      <c r="G881">
        <v>130.6482</v>
      </c>
      <c r="H881">
        <v>114.7809</v>
      </c>
      <c r="I881">
        <v>137.57669999999999</v>
      </c>
      <c r="K881">
        <v>130.6</v>
      </c>
      <c r="L881">
        <v>116.21939999999999</v>
      </c>
      <c r="M881">
        <v>111.7</v>
      </c>
      <c r="N881">
        <v>115.11</v>
      </c>
      <c r="O881">
        <v>114.9483</v>
      </c>
      <c r="P881">
        <v>131.71430000000001</v>
      </c>
      <c r="Q881">
        <v>116.83</v>
      </c>
      <c r="R881">
        <v>111.3</v>
      </c>
      <c r="S881">
        <v>110.97</v>
      </c>
      <c r="T881">
        <v>128.3963</v>
      </c>
      <c r="U881">
        <v>117.63939999999999</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123.2371</v>
      </c>
      <c r="AN881">
        <v>128.80269999999999</v>
      </c>
      <c r="AO881">
        <v>127.5539</v>
      </c>
      <c r="AP881">
        <v>111.97069999999999</v>
      </c>
      <c r="AR881">
        <v>110.22410000000001</v>
      </c>
      <c r="AS881">
        <v>122.5389</v>
      </c>
      <c r="AT881">
        <v>112.83</v>
      </c>
      <c r="AU881">
        <v>115.5337</v>
      </c>
      <c r="AV881">
        <v>347.2149</v>
      </c>
      <c r="AW881">
        <v>121.9782</v>
      </c>
      <c r="AX881">
        <v>138.40440000000001</v>
      </c>
    </row>
    <row r="882" spans="1:50" x14ac:dyDescent="0.35">
      <c r="A882" s="75">
        <v>44682</v>
      </c>
      <c r="B882">
        <v>118.9449</v>
      </c>
      <c r="C882">
        <v>119.9277</v>
      </c>
      <c r="D882">
        <v>148.78659999999999</v>
      </c>
      <c r="E882">
        <v>120.0158</v>
      </c>
      <c r="F882">
        <v>104.2572</v>
      </c>
      <c r="G882">
        <v>132.21709999999999</v>
      </c>
      <c r="H882">
        <v>114.5578</v>
      </c>
      <c r="I882">
        <v>138.7389</v>
      </c>
      <c r="K882">
        <v>132.9</v>
      </c>
      <c r="L882">
        <v>117.31950000000001</v>
      </c>
      <c r="M882">
        <v>112.7</v>
      </c>
      <c r="N882">
        <v>116.07</v>
      </c>
      <c r="O882">
        <v>115.8978</v>
      </c>
      <c r="P882">
        <v>134.22659999999999</v>
      </c>
      <c r="Q882">
        <v>117.95</v>
      </c>
      <c r="R882">
        <v>112.76</v>
      </c>
      <c r="S882">
        <v>111.72</v>
      </c>
      <c r="T882">
        <v>129.38229999999999</v>
      </c>
      <c r="U882">
        <v>118.74850000000001</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124.4337</v>
      </c>
      <c r="AN882">
        <v>130.2038</v>
      </c>
      <c r="AO882">
        <v>129.7517</v>
      </c>
      <c r="AP882">
        <v>113.06740000000001</v>
      </c>
      <c r="AR882">
        <v>110.35890000000001</v>
      </c>
      <c r="AS882">
        <v>124.4966</v>
      </c>
      <c r="AT882">
        <v>115.12</v>
      </c>
      <c r="AU882">
        <v>116.74639999999999</v>
      </c>
      <c r="AV882">
        <v>357.56470000000002</v>
      </c>
      <c r="AW882">
        <v>123.3228</v>
      </c>
      <c r="AX882">
        <v>139.34960000000001</v>
      </c>
    </row>
    <row r="883" spans="1:50" x14ac:dyDescent="0.35">
      <c r="A883" s="75">
        <v>44713</v>
      </c>
      <c r="B883">
        <v>120.5668</v>
      </c>
      <c r="C883">
        <v>120.94840000000001</v>
      </c>
      <c r="D883">
        <v>149.78360000000001</v>
      </c>
      <c r="E883">
        <v>120.80589999999999</v>
      </c>
      <c r="F883">
        <v>104.78279999999999</v>
      </c>
      <c r="G883">
        <v>133.44829999999999</v>
      </c>
      <c r="H883">
        <v>114.5578</v>
      </c>
      <c r="I883">
        <v>139.4425</v>
      </c>
      <c r="K883">
        <v>135</v>
      </c>
      <c r="L883">
        <v>117.4196</v>
      </c>
      <c r="M883">
        <v>113.6</v>
      </c>
      <c r="N883">
        <v>117.01</v>
      </c>
      <c r="O883">
        <v>118.04430000000001</v>
      </c>
      <c r="P883">
        <v>137.86680000000001</v>
      </c>
      <c r="Q883">
        <v>119.03</v>
      </c>
      <c r="R883">
        <v>113.57</v>
      </c>
      <c r="S883">
        <v>112.55</v>
      </c>
      <c r="T883">
        <v>130.45949999999999</v>
      </c>
      <c r="U883">
        <v>119.9269</v>
      </c>
      <c r="V883">
        <v>120.5</v>
      </c>
      <c r="W883">
        <v>113.51690000000001</v>
      </c>
      <c r="X883">
        <v>132.4204</v>
      </c>
      <c r="Y883">
        <v>123.32380000000001</v>
      </c>
      <c r="Z883">
        <v>142.34739999999999</v>
      </c>
      <c r="AA883">
        <v>112.7336</v>
      </c>
      <c r="AB883">
        <v>127.809</v>
      </c>
      <c r="AC883">
        <v>106.754</v>
      </c>
      <c r="AD883">
        <v>112.5</v>
      </c>
      <c r="AF883">
        <v>114.08280000000001</v>
      </c>
      <c r="AG883">
        <v>139.76079999999999</v>
      </c>
      <c r="AH883">
        <v>116.75</v>
      </c>
      <c r="AI883">
        <v>133.50059999999999</v>
      </c>
      <c r="AJ883">
        <v>139.2329</v>
      </c>
      <c r="AK883">
        <v>119.05</v>
      </c>
      <c r="AL883">
        <v>122.6</v>
      </c>
      <c r="AM883">
        <v>125.85939999999999</v>
      </c>
      <c r="AN883">
        <v>131.92420000000001</v>
      </c>
      <c r="AO883">
        <v>131.70529999999999</v>
      </c>
      <c r="AP883">
        <v>114.0029</v>
      </c>
      <c r="AR883">
        <v>110.6078</v>
      </c>
      <c r="AS883">
        <v>125.9648</v>
      </c>
      <c r="AT883">
        <v>118.27</v>
      </c>
      <c r="AU883">
        <v>118.3836</v>
      </c>
      <c r="AV883">
        <v>375.27100000000002</v>
      </c>
      <c r="AW883">
        <v>125.0168</v>
      </c>
      <c r="AX883">
        <v>140.8349</v>
      </c>
    </row>
    <row r="884" spans="1:50" x14ac:dyDescent="0.35">
      <c r="A884" s="75">
        <v>44743</v>
      </c>
      <c r="B884">
        <v>121.7563</v>
      </c>
      <c r="C884">
        <v>121.9494</v>
      </c>
      <c r="D884">
        <v>148.76499999999999</v>
      </c>
      <c r="E884">
        <v>120.9639</v>
      </c>
      <c r="F884">
        <v>104.7431</v>
      </c>
      <c r="G884">
        <v>135.27879999999999</v>
      </c>
      <c r="H884">
        <v>115.1156</v>
      </c>
      <c r="I884">
        <v>140.57429999999999</v>
      </c>
      <c r="K884">
        <v>136.80000000000001</v>
      </c>
      <c r="L884">
        <v>118.41970000000001</v>
      </c>
      <c r="M884">
        <v>114.9</v>
      </c>
      <c r="N884">
        <v>117.14</v>
      </c>
      <c r="O884">
        <v>117.74339999999999</v>
      </c>
      <c r="P884">
        <v>140.53399999999999</v>
      </c>
      <c r="Q884">
        <v>119.31</v>
      </c>
      <c r="R884">
        <v>113.94</v>
      </c>
      <c r="S884">
        <v>112.87</v>
      </c>
      <c r="T884">
        <v>131.01480000000001</v>
      </c>
      <c r="U884">
        <v>120.1725</v>
      </c>
      <c r="V884">
        <v>121.2</v>
      </c>
      <c r="W884">
        <v>111.4391</v>
      </c>
      <c r="X884">
        <v>135.5292</v>
      </c>
      <c r="Y884">
        <v>124.11199999999999</v>
      </c>
      <c r="Z884">
        <v>143.11859999999999</v>
      </c>
      <c r="AA884">
        <v>113.232</v>
      </c>
      <c r="AB884">
        <v>129.31780000000001</v>
      </c>
      <c r="AC884">
        <v>107.9637</v>
      </c>
      <c r="AD884">
        <v>113</v>
      </c>
      <c r="AF884">
        <v>114.631</v>
      </c>
      <c r="AG884">
        <v>141.4896</v>
      </c>
      <c r="AH884">
        <v>115.58</v>
      </c>
      <c r="AI884">
        <v>136.4238</v>
      </c>
      <c r="AJ884">
        <v>140.26419999999999</v>
      </c>
      <c r="AK884">
        <v>121.57</v>
      </c>
      <c r="AL884">
        <v>124.2</v>
      </c>
      <c r="AM884">
        <v>126.4003</v>
      </c>
      <c r="AN884">
        <v>132.9409</v>
      </c>
      <c r="AO884">
        <v>132.35650000000001</v>
      </c>
      <c r="AP884">
        <v>113.9551</v>
      </c>
      <c r="AR884">
        <v>111.1678</v>
      </c>
      <c r="AS884">
        <v>127.0048</v>
      </c>
      <c r="AT884">
        <v>119.41</v>
      </c>
      <c r="AU884">
        <v>118.4889</v>
      </c>
      <c r="AV884">
        <v>384.1472</v>
      </c>
      <c r="AW884">
        <v>125.002</v>
      </c>
      <c r="AX884">
        <v>143.13040000000001</v>
      </c>
    </row>
    <row r="885" spans="1:50" x14ac:dyDescent="0.35">
      <c r="A885" s="75">
        <v>44774</v>
      </c>
      <c r="B885">
        <v>121.7563</v>
      </c>
      <c r="C885">
        <v>122.9405</v>
      </c>
      <c r="D885">
        <v>148.2295</v>
      </c>
      <c r="E885">
        <v>120.5689</v>
      </c>
      <c r="F885">
        <v>105.0193</v>
      </c>
      <c r="G885">
        <v>136.92400000000001</v>
      </c>
      <c r="H885">
        <v>115.004</v>
      </c>
      <c r="I885">
        <v>142.01070000000001</v>
      </c>
      <c r="K885">
        <v>137.4</v>
      </c>
      <c r="L885">
        <v>118.8198</v>
      </c>
      <c r="M885">
        <v>114.9</v>
      </c>
      <c r="N885">
        <v>117.85</v>
      </c>
      <c r="O885">
        <v>118.0421</v>
      </c>
      <c r="P885">
        <v>143.7629</v>
      </c>
      <c r="Q885">
        <v>120.1</v>
      </c>
      <c r="R885">
        <v>114.03</v>
      </c>
      <c r="S885">
        <v>113.38</v>
      </c>
      <c r="T885">
        <v>131.3629</v>
      </c>
      <c r="U885">
        <v>120.3408</v>
      </c>
      <c r="V885">
        <v>121.8</v>
      </c>
      <c r="W885">
        <v>111.1074</v>
      </c>
      <c r="X885">
        <v>137.97190000000001</v>
      </c>
      <c r="Y885">
        <v>123.8567</v>
      </c>
      <c r="Z885">
        <v>143.44919999999999</v>
      </c>
      <c r="AA885">
        <v>113.4314</v>
      </c>
      <c r="AB885">
        <v>129.68199999999999</v>
      </c>
      <c r="AC885">
        <v>107.6613</v>
      </c>
      <c r="AD885">
        <v>113.9</v>
      </c>
      <c r="AF885">
        <v>114.50449999999999</v>
      </c>
      <c r="AG885">
        <v>142.9273</v>
      </c>
      <c r="AH885">
        <v>116.7</v>
      </c>
      <c r="AI885">
        <v>136.97659999999999</v>
      </c>
      <c r="AJ885">
        <v>141.2396</v>
      </c>
      <c r="AK885">
        <v>123.95</v>
      </c>
      <c r="AL885">
        <v>123.9</v>
      </c>
      <c r="AM885">
        <v>126.76739999999999</v>
      </c>
      <c r="AN885">
        <v>133.80269999999999</v>
      </c>
      <c r="AO885">
        <v>133.41470000000001</v>
      </c>
      <c r="AP885">
        <v>113.6058</v>
      </c>
      <c r="AR885">
        <v>111.5929</v>
      </c>
      <c r="AS885">
        <v>127.9837</v>
      </c>
      <c r="AT885">
        <v>119.44</v>
      </c>
      <c r="AU885">
        <v>120.5729</v>
      </c>
      <c r="AV885">
        <v>389.7577</v>
      </c>
      <c r="AW885">
        <v>124.9577</v>
      </c>
      <c r="AX885">
        <v>143.53550000000001</v>
      </c>
    </row>
    <row r="886" spans="1:50" x14ac:dyDescent="0.35">
      <c r="A886" s="75">
        <v>44805</v>
      </c>
      <c r="B886">
        <v>123.8108</v>
      </c>
      <c r="C886">
        <v>124.1198</v>
      </c>
      <c r="D886">
        <v>147.7996</v>
      </c>
      <c r="E886">
        <v>120.64790000000001</v>
      </c>
      <c r="F886">
        <v>104.8348</v>
      </c>
      <c r="G886">
        <v>138.10069999999999</v>
      </c>
      <c r="H886">
        <v>115.3387</v>
      </c>
      <c r="I886">
        <v>143.33090000000001</v>
      </c>
      <c r="K886">
        <v>138.5</v>
      </c>
      <c r="L886">
        <v>121.1202</v>
      </c>
      <c r="M886">
        <v>116.4</v>
      </c>
      <c r="N886">
        <v>119.26</v>
      </c>
      <c r="O886">
        <v>117.221</v>
      </c>
      <c r="P886">
        <v>144.2244</v>
      </c>
      <c r="Q886">
        <v>121.56</v>
      </c>
      <c r="R886">
        <v>114.92</v>
      </c>
      <c r="S886">
        <v>112.74</v>
      </c>
      <c r="T886">
        <v>132.23849999999999</v>
      </c>
      <c r="U886">
        <v>120.7653</v>
      </c>
      <c r="V886">
        <v>122.3</v>
      </c>
      <c r="W886">
        <v>114.371</v>
      </c>
      <c r="X886">
        <v>143.59729999999999</v>
      </c>
      <c r="Y886">
        <v>125.29989999999999</v>
      </c>
      <c r="Z886">
        <v>144.6611</v>
      </c>
      <c r="AA886">
        <v>113.4314</v>
      </c>
      <c r="AB886">
        <v>129.80959999999999</v>
      </c>
      <c r="AC886">
        <v>107.8629</v>
      </c>
      <c r="AD886">
        <v>114.2</v>
      </c>
      <c r="AF886">
        <v>114.8313</v>
      </c>
      <c r="AG886">
        <v>147.0213</v>
      </c>
      <c r="AH886">
        <v>117</v>
      </c>
      <c r="AI886">
        <v>139.13220000000001</v>
      </c>
      <c r="AJ886">
        <v>142.11580000000001</v>
      </c>
      <c r="AK886">
        <v>126.89</v>
      </c>
      <c r="AL886">
        <v>125.6</v>
      </c>
      <c r="AM886">
        <v>127.4978</v>
      </c>
      <c r="AN886">
        <v>135.27019999999999</v>
      </c>
      <c r="AO886">
        <v>135.53110000000001</v>
      </c>
      <c r="AP886">
        <v>114.9991</v>
      </c>
      <c r="AR886">
        <v>111.8937</v>
      </c>
      <c r="AS886">
        <v>129.14609999999999</v>
      </c>
      <c r="AT886">
        <v>118.34</v>
      </c>
      <c r="AU886">
        <v>122.2962</v>
      </c>
      <c r="AV886">
        <v>401.74610000000001</v>
      </c>
      <c r="AW886">
        <v>125.2265</v>
      </c>
      <c r="AX886">
        <v>143.6705</v>
      </c>
    </row>
    <row r="887" spans="1:50" x14ac:dyDescent="0.35">
      <c r="A887" s="75">
        <v>44835</v>
      </c>
      <c r="B887">
        <v>125.00020000000001</v>
      </c>
      <c r="C887">
        <v>127.0633</v>
      </c>
      <c r="D887">
        <v>148.67179999999999</v>
      </c>
      <c r="E887">
        <v>121.517</v>
      </c>
      <c r="F887">
        <v>104.89109999999999</v>
      </c>
      <c r="G887">
        <v>138.81979999999999</v>
      </c>
      <c r="H887">
        <v>115.4502</v>
      </c>
      <c r="I887">
        <v>144.35589999999999</v>
      </c>
      <c r="K887">
        <v>136.5</v>
      </c>
      <c r="L887">
        <v>122.2204</v>
      </c>
      <c r="M887">
        <v>117.6</v>
      </c>
      <c r="N887">
        <v>121.03</v>
      </c>
      <c r="O887">
        <v>117.61499999999999</v>
      </c>
      <c r="P887">
        <v>142.63499999999999</v>
      </c>
      <c r="Q887">
        <v>123.26</v>
      </c>
      <c r="R887">
        <v>115.99</v>
      </c>
      <c r="S887">
        <v>113.9</v>
      </c>
      <c r="T887">
        <v>133.33009999999999</v>
      </c>
      <c r="U887">
        <v>121.6923</v>
      </c>
      <c r="V887">
        <v>124.3</v>
      </c>
      <c r="W887">
        <v>113.0521</v>
      </c>
      <c r="X887">
        <v>146.48410000000001</v>
      </c>
      <c r="Y887">
        <v>125.1666</v>
      </c>
      <c r="Z887">
        <v>145.98320000000001</v>
      </c>
      <c r="AA887">
        <v>115.2255</v>
      </c>
      <c r="AB887">
        <v>130.6771</v>
      </c>
      <c r="AC887">
        <v>108.46769999999999</v>
      </c>
      <c r="AD887">
        <v>118.1</v>
      </c>
      <c r="AF887">
        <v>115.1264</v>
      </c>
      <c r="AG887">
        <v>148.77969999999999</v>
      </c>
      <c r="AH887">
        <v>118.02</v>
      </c>
      <c r="AI887">
        <v>140.23570000000001</v>
      </c>
      <c r="AJ887">
        <v>142.92009999999999</v>
      </c>
      <c r="AK887">
        <v>128.25</v>
      </c>
      <c r="AL887">
        <v>126</v>
      </c>
      <c r="AM887">
        <v>128.64420000000001</v>
      </c>
      <c r="AN887">
        <v>137.38919999999999</v>
      </c>
      <c r="AO887">
        <v>137.97309999999999</v>
      </c>
      <c r="AP887">
        <v>116.4272</v>
      </c>
      <c r="AR887">
        <v>112.1114</v>
      </c>
      <c r="AS887">
        <v>130.73670000000001</v>
      </c>
      <c r="AT887">
        <v>119.24</v>
      </c>
      <c r="AU887">
        <v>122.5611</v>
      </c>
      <c r="AV887">
        <v>415.9871</v>
      </c>
      <c r="AW887">
        <v>125.73439999999999</v>
      </c>
      <c r="AX887">
        <v>144.07560000000001</v>
      </c>
    </row>
    <row r="888" spans="1:50" x14ac:dyDescent="0.35">
      <c r="A888" s="75">
        <v>44866</v>
      </c>
      <c r="B888">
        <v>125.3246</v>
      </c>
      <c r="C888">
        <v>126.7758</v>
      </c>
      <c r="D888">
        <v>149.28129999999999</v>
      </c>
      <c r="E888">
        <v>121.675</v>
      </c>
      <c r="F888">
        <v>104.8951</v>
      </c>
      <c r="G888">
        <v>140.17089999999999</v>
      </c>
      <c r="H888">
        <v>115.22709999999999</v>
      </c>
      <c r="I888">
        <v>145.47120000000001</v>
      </c>
      <c r="K888">
        <v>138.1</v>
      </c>
      <c r="L888">
        <v>121.6203</v>
      </c>
      <c r="M888">
        <v>116.6</v>
      </c>
      <c r="N888">
        <v>120.95</v>
      </c>
      <c r="O888">
        <v>117.47369999999999</v>
      </c>
      <c r="P888">
        <v>143.8655</v>
      </c>
      <c r="Q888">
        <v>123.4</v>
      </c>
      <c r="R888">
        <v>117.4</v>
      </c>
      <c r="S888">
        <v>114.26</v>
      </c>
      <c r="T888">
        <v>133.60429999999999</v>
      </c>
      <c r="U888">
        <v>121.6854</v>
      </c>
      <c r="V888">
        <v>124.8</v>
      </c>
      <c r="W888">
        <v>113.04040000000001</v>
      </c>
      <c r="X888">
        <v>149.14879999999999</v>
      </c>
      <c r="Y888">
        <v>125.27760000000001</v>
      </c>
      <c r="Z888">
        <v>145.98320000000001</v>
      </c>
      <c r="AA888">
        <v>115.6242</v>
      </c>
      <c r="AB888">
        <v>131.03550000000001</v>
      </c>
      <c r="AC888">
        <v>108.5686</v>
      </c>
      <c r="AD888">
        <v>118.7</v>
      </c>
      <c r="AF888">
        <v>115.01049999999999</v>
      </c>
      <c r="AG888">
        <v>149.38310000000001</v>
      </c>
      <c r="AH888">
        <v>117.78</v>
      </c>
      <c r="AI888">
        <v>141.82749999999999</v>
      </c>
      <c r="AJ888">
        <v>143.74260000000001</v>
      </c>
      <c r="AK888">
        <v>124.35</v>
      </c>
      <c r="AL888">
        <v>125.8</v>
      </c>
      <c r="AM888">
        <v>128.86859999999999</v>
      </c>
      <c r="AN888">
        <v>137.97730000000001</v>
      </c>
      <c r="AO888">
        <v>138.94990000000001</v>
      </c>
      <c r="AP888">
        <v>116.7247</v>
      </c>
      <c r="AR888">
        <v>112.25660000000001</v>
      </c>
      <c r="AS888">
        <v>131.96019999999999</v>
      </c>
      <c r="AT888">
        <v>120.27</v>
      </c>
      <c r="AU888">
        <v>123.80249999999999</v>
      </c>
      <c r="AV888">
        <v>427.98320000000001</v>
      </c>
      <c r="AW888">
        <v>125.6074</v>
      </c>
      <c r="AX888">
        <v>144.6157</v>
      </c>
    </row>
    <row r="889" spans="1:50" x14ac:dyDescent="0.35">
      <c r="A889" s="75">
        <v>44896</v>
      </c>
      <c r="B889">
        <v>125.54089999999999</v>
      </c>
      <c r="C889">
        <v>126.5776</v>
      </c>
      <c r="F889">
        <v>104.6662</v>
      </c>
      <c r="G889">
        <v>140.57400000000001</v>
      </c>
      <c r="H889">
        <v>115.1156</v>
      </c>
      <c r="I889">
        <v>147.29750000000001</v>
      </c>
      <c r="K889">
        <v>138.1</v>
      </c>
      <c r="M889">
        <v>115.9</v>
      </c>
      <c r="O889">
        <v>117.6503</v>
      </c>
      <c r="P889">
        <v>143.71170000000001</v>
      </c>
      <c r="R889">
        <v>117.32</v>
      </c>
      <c r="S889">
        <v>114.16</v>
      </c>
      <c r="W889">
        <v>112.4277</v>
      </c>
      <c r="X889">
        <v>152.03550000000001</v>
      </c>
      <c r="AA889">
        <v>115.42489999999999</v>
      </c>
      <c r="AB889">
        <v>131.90119999999999</v>
      </c>
      <c r="AC889">
        <v>108.871</v>
      </c>
      <c r="AD889">
        <v>119</v>
      </c>
      <c r="AF889">
        <v>115.2002</v>
      </c>
      <c r="AG889">
        <v>149.78790000000001</v>
      </c>
      <c r="AH889">
        <v>117.06</v>
      </c>
      <c r="AI889">
        <v>141.18219999999999</v>
      </c>
      <c r="AJ889">
        <v>144.29140000000001</v>
      </c>
      <c r="AK889">
        <v>124.94</v>
      </c>
      <c r="AL889">
        <v>125.9</v>
      </c>
      <c r="AO889">
        <v>139.11269999999999</v>
      </c>
      <c r="AP889">
        <v>116.37739999999999</v>
      </c>
      <c r="AS889">
        <v>132.20490000000001</v>
      </c>
      <c r="AU889">
        <v>126.3652</v>
      </c>
      <c r="AV889">
        <v>433.04489999999998</v>
      </c>
      <c r="AW889">
        <v>125.2218</v>
      </c>
    </row>
    <row r="890" spans="1:50" x14ac:dyDescent="0.35">
      <c r="A890" s="75">
        <v>44927</v>
      </c>
    </row>
    <row r="891" spans="1:50" x14ac:dyDescent="0.35">
      <c r="A891" s="75">
        <v>44958</v>
      </c>
    </row>
    <row r="892" spans="1:50" x14ac:dyDescent="0.35">
      <c r="A892" s="75">
        <v>44986</v>
      </c>
    </row>
    <row r="893" spans="1:50" x14ac:dyDescent="0.35">
      <c r="A893" s="75">
        <v>45017</v>
      </c>
    </row>
    <row r="894" spans="1:50" x14ac:dyDescent="0.35">
      <c r="A894" s="75">
        <v>45047</v>
      </c>
    </row>
    <row r="895" spans="1:50" x14ac:dyDescent="0.35">
      <c r="A895" s="75">
        <v>45078</v>
      </c>
    </row>
    <row r="896" spans="1:50" x14ac:dyDescent="0.35">
      <c r="A896" s="75">
        <v>45108</v>
      </c>
    </row>
    <row r="897" spans="1:1" x14ac:dyDescent="0.35">
      <c r="A897" s="75">
        <v>45139</v>
      </c>
    </row>
    <row r="898" spans="1:1" x14ac:dyDescent="0.35">
      <c r="A898" s="75">
        <v>45170</v>
      </c>
    </row>
    <row r="899" spans="1:1" x14ac:dyDescent="0.35">
      <c r="A899" s="75">
        <v>45200</v>
      </c>
    </row>
    <row r="900" spans="1:1" x14ac:dyDescent="0.35">
      <c r="A900" s="75">
        <v>45231</v>
      </c>
    </row>
    <row r="901" spans="1:1" x14ac:dyDescent="0.35">
      <c r="A901" s="75">
        <v>45261</v>
      </c>
    </row>
    <row r="902" spans="1:1" x14ac:dyDescent="0.35">
      <c r="A902" s="75">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902"/>
  <sheetViews>
    <sheetView zoomScale="120" zoomScaleNormal="120" workbookViewId="0">
      <pane xSplit="1" ySplit="1" topLeftCell="B875" activePane="bottomRight" state="frozen"/>
      <selection activeCell="T26" sqref="T26"/>
      <selection pane="topRight" activeCell="T26" sqref="T26"/>
      <selection pane="bottomLeft" activeCell="T26" sqref="T26"/>
      <selection pane="bottomRight" activeCell="T26" sqref="T26"/>
    </sheetView>
  </sheetViews>
  <sheetFormatPr defaultColWidth="9.1796875" defaultRowHeight="14.5" x14ac:dyDescent="0.35"/>
  <cols>
    <col min="1" max="1" width="11.1796875" style="72" customWidth="1"/>
    <col min="2" max="4" width="9.1796875" style="72" customWidth="1"/>
    <col min="5" max="5" width="10.6328125" style="72" bestFit="1" customWidth="1"/>
    <col min="6" max="27" width="9.1796875" style="72" customWidth="1"/>
    <col min="28"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35">
      <c r="A3" s="75">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35">
      <c r="A4" s="75">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35">
      <c r="A5" s="75">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35">
      <c r="A6" s="75">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35">
      <c r="A7" s="75">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35">
      <c r="A8" s="75">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35">
      <c r="A9" s="75">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35">
      <c r="A10" s="75">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35">
      <c r="A11" s="75">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35">
      <c r="A12" s="75">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35">
      <c r="A13" s="75">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35">
      <c r="A14" s="75">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35">
      <c r="A15" s="75">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35">
      <c r="A16" s="75">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35">
      <c r="A17" s="75">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35">
      <c r="A18" s="75">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35">
      <c r="A19" s="75">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35">
      <c r="A20" s="75">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35">
      <c r="A21" s="75">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35">
      <c r="A22" s="75">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35">
      <c r="A23" s="75">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35">
      <c r="A24" s="75">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35">
      <c r="A25" s="75">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35">
      <c r="A26" s="75">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35">
      <c r="A27" s="75">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35">
      <c r="A28" s="75">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35">
      <c r="A29" s="75">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35">
      <c r="A30" s="75">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35">
      <c r="A31" s="75">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35">
      <c r="A32" s="75">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35">
      <c r="A33" s="75">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35">
      <c r="A34" s="75">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35">
      <c r="A35" s="75">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35">
      <c r="A36" s="75">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35">
      <c r="A37" s="75">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35">
      <c r="A38" s="75">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35">
      <c r="A39" s="75">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35">
      <c r="A40" s="75">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35">
      <c r="A41" s="75">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35">
      <c r="A42" s="75">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35">
      <c r="A43" s="75">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35">
      <c r="A44" s="75">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35">
      <c r="A45" s="75">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35">
      <c r="A46" s="75">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35">
      <c r="A47" s="75">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35">
      <c r="A48" s="75">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35">
      <c r="A49" s="75">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35">
      <c r="A50" s="75">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35">
      <c r="A51" s="75">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35">
      <c r="A52" s="75">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35">
      <c r="A53" s="75">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35">
      <c r="A54" s="75">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35">
      <c r="A55" s="75">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35">
      <c r="A56" s="75">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35">
      <c r="A57" s="75">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35">
      <c r="A58" s="75">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35">
      <c r="A59" s="75">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35">
      <c r="A60" s="75">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35">
      <c r="A61" s="75">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35">
      <c r="A62" s="75">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35">
      <c r="A63" s="75">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35">
      <c r="A64" s="75">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35">
      <c r="A65" s="75">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35">
      <c r="A66" s="75">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35">
      <c r="A67" s="75">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35">
      <c r="A68" s="75">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35">
      <c r="A69" s="75">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35">
      <c r="A70" s="75">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35">
      <c r="A71" s="75">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35">
      <c r="A72" s="75">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35">
      <c r="A73" s="75">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35">
      <c r="A74" s="75">
        <v>20090</v>
      </c>
      <c r="B74"/>
      <c r="C74"/>
      <c r="D74"/>
      <c r="E74"/>
      <c r="F74">
        <v>22.09497</v>
      </c>
      <c r="G74"/>
      <c r="H74"/>
      <c r="I74"/>
      <c r="J74"/>
      <c r="K74"/>
      <c r="L74"/>
      <c r="M74"/>
      <c r="N74"/>
      <c r="O74"/>
      <c r="P74"/>
      <c r="Q74"/>
      <c r="R74">
        <v>5.4219030000000004</v>
      </c>
      <c r="S74"/>
      <c r="T74"/>
      <c r="U74"/>
      <c r="V74"/>
      <c r="W74"/>
      <c r="X74"/>
      <c r="Y74"/>
      <c r="Z74"/>
      <c r="AA74"/>
      <c r="AB74"/>
      <c r="AC74"/>
      <c r="AD74"/>
      <c r="AE74">
        <v>16.623840000000001</v>
      </c>
      <c r="AF74"/>
      <c r="AG74"/>
      <c r="AH74"/>
      <c r="AI74"/>
      <c r="AJ74"/>
      <c r="AK74"/>
      <c r="AL74"/>
      <c r="AM74"/>
      <c r="AN74"/>
      <c r="AO74"/>
      <c r="AP74"/>
      <c r="AQ74"/>
      <c r="AR74"/>
      <c r="AS74"/>
      <c r="AT74"/>
      <c r="AU74"/>
      <c r="AV74"/>
      <c r="AW74"/>
      <c r="AX74"/>
    </row>
    <row r="75" spans="1:50" x14ac:dyDescent="0.35">
      <c r="A75" s="75">
        <v>20121</v>
      </c>
      <c r="B75"/>
      <c r="C75"/>
      <c r="D75"/>
      <c r="E75"/>
      <c r="F75">
        <v>22.032820000000001</v>
      </c>
      <c r="G75"/>
      <c r="H75"/>
      <c r="I75"/>
      <c r="J75"/>
      <c r="K75"/>
      <c r="L75"/>
      <c r="M75"/>
      <c r="N75"/>
      <c r="O75"/>
      <c r="P75"/>
      <c r="Q75"/>
      <c r="R75">
        <v>5.4219030000000004</v>
      </c>
      <c r="S75"/>
      <c r="T75"/>
      <c r="U75"/>
      <c r="V75"/>
      <c r="W75"/>
      <c r="X75"/>
      <c r="Y75"/>
      <c r="Z75"/>
      <c r="AA75"/>
      <c r="AB75"/>
      <c r="AC75"/>
      <c r="AD75"/>
      <c r="AE75">
        <v>16.61139</v>
      </c>
      <c r="AF75"/>
      <c r="AG75"/>
      <c r="AH75"/>
      <c r="AI75"/>
      <c r="AJ75"/>
      <c r="AK75"/>
      <c r="AL75"/>
      <c r="AM75"/>
      <c r="AN75"/>
      <c r="AO75"/>
      <c r="AP75"/>
      <c r="AQ75"/>
      <c r="AR75"/>
      <c r="AS75"/>
      <c r="AT75"/>
      <c r="AU75"/>
      <c r="AV75"/>
      <c r="AW75"/>
      <c r="AX75"/>
    </row>
    <row r="76" spans="1:50" x14ac:dyDescent="0.35">
      <c r="A76" s="75">
        <v>20149</v>
      </c>
      <c r="B76"/>
      <c r="C76"/>
      <c r="D76"/>
      <c r="E76"/>
      <c r="F76">
        <v>22.013310000000001</v>
      </c>
      <c r="G76"/>
      <c r="H76"/>
      <c r="I76"/>
      <c r="J76"/>
      <c r="K76"/>
      <c r="L76"/>
      <c r="M76"/>
      <c r="N76"/>
      <c r="O76"/>
      <c r="P76"/>
      <c r="Q76"/>
      <c r="R76">
        <v>5.4105480000000004</v>
      </c>
      <c r="S76"/>
      <c r="T76"/>
      <c r="U76"/>
      <c r="V76"/>
      <c r="W76"/>
      <c r="X76"/>
      <c r="Y76"/>
      <c r="Z76"/>
      <c r="AA76"/>
      <c r="AB76"/>
      <c r="AC76"/>
      <c r="AD76"/>
      <c r="AE76">
        <v>16.550249999999998</v>
      </c>
      <c r="AF76"/>
      <c r="AG76"/>
      <c r="AH76"/>
      <c r="AI76"/>
      <c r="AJ76"/>
      <c r="AK76"/>
      <c r="AL76"/>
      <c r="AM76"/>
      <c r="AN76"/>
      <c r="AO76"/>
      <c r="AP76"/>
      <c r="AQ76"/>
      <c r="AR76"/>
      <c r="AS76"/>
      <c r="AT76"/>
      <c r="AU76"/>
      <c r="AV76"/>
      <c r="AW76"/>
      <c r="AX76"/>
    </row>
    <row r="77" spans="1:50" x14ac:dyDescent="0.35">
      <c r="A77" s="75">
        <v>20180</v>
      </c>
      <c r="B77"/>
      <c r="C77"/>
      <c r="D77"/>
      <c r="E77"/>
      <c r="F77">
        <v>22.023859999999999</v>
      </c>
      <c r="G77"/>
      <c r="H77"/>
      <c r="I77"/>
      <c r="J77"/>
      <c r="K77"/>
      <c r="L77"/>
      <c r="M77"/>
      <c r="N77"/>
      <c r="O77"/>
      <c r="P77"/>
      <c r="Q77"/>
      <c r="R77">
        <v>5.4707350000000003</v>
      </c>
      <c r="S77"/>
      <c r="T77"/>
      <c r="U77"/>
      <c r="V77"/>
      <c r="W77"/>
      <c r="X77"/>
      <c r="Y77"/>
      <c r="Z77"/>
      <c r="AA77"/>
      <c r="AB77"/>
      <c r="AC77"/>
      <c r="AD77"/>
      <c r="AE77">
        <v>16.690860000000001</v>
      </c>
      <c r="AF77"/>
      <c r="AG77"/>
      <c r="AH77"/>
      <c r="AI77"/>
      <c r="AJ77"/>
      <c r="AK77"/>
      <c r="AL77"/>
      <c r="AM77"/>
      <c r="AN77"/>
      <c r="AO77"/>
      <c r="AP77"/>
      <c r="AQ77"/>
      <c r="AR77"/>
      <c r="AS77"/>
      <c r="AT77"/>
      <c r="AU77"/>
      <c r="AV77"/>
      <c r="AW77"/>
      <c r="AX77"/>
    </row>
    <row r="78" spans="1:50" x14ac:dyDescent="0.35">
      <c r="A78" s="75">
        <v>20210</v>
      </c>
      <c r="B78"/>
      <c r="C78"/>
      <c r="D78"/>
      <c r="E78"/>
      <c r="F78">
        <v>22.12472</v>
      </c>
      <c r="G78"/>
      <c r="H78"/>
      <c r="I78"/>
      <c r="J78"/>
      <c r="K78"/>
      <c r="L78"/>
      <c r="M78"/>
      <c r="N78"/>
      <c r="O78"/>
      <c r="P78"/>
      <c r="Q78"/>
      <c r="R78">
        <v>5.4571249999999996</v>
      </c>
      <c r="S78"/>
      <c r="T78"/>
      <c r="U78"/>
      <c r="V78"/>
      <c r="W78"/>
      <c r="X78"/>
      <c r="Y78"/>
      <c r="Z78"/>
      <c r="AA78"/>
      <c r="AB78"/>
      <c r="AC78"/>
      <c r="AD78"/>
      <c r="AE78">
        <v>16.581679999999999</v>
      </c>
      <c r="AF78"/>
      <c r="AG78"/>
      <c r="AH78"/>
      <c r="AI78"/>
      <c r="AJ78"/>
      <c r="AK78"/>
      <c r="AL78"/>
      <c r="AM78"/>
      <c r="AN78"/>
      <c r="AO78"/>
      <c r="AP78"/>
      <c r="AQ78"/>
      <c r="AR78"/>
      <c r="AS78"/>
      <c r="AT78"/>
      <c r="AU78"/>
      <c r="AV78"/>
      <c r="AW78"/>
      <c r="AX78"/>
    </row>
    <row r="79" spans="1:50" x14ac:dyDescent="0.35">
      <c r="A79" s="75">
        <v>20241</v>
      </c>
      <c r="B79"/>
      <c r="C79"/>
      <c r="D79"/>
      <c r="E79"/>
      <c r="F79">
        <v>22.119420000000002</v>
      </c>
      <c r="G79"/>
      <c r="H79"/>
      <c r="I79"/>
      <c r="J79"/>
      <c r="K79"/>
      <c r="L79"/>
      <c r="M79"/>
      <c r="N79"/>
      <c r="O79"/>
      <c r="P79"/>
      <c r="Q79"/>
      <c r="R79">
        <v>5.4628439999999996</v>
      </c>
      <c r="S79"/>
      <c r="T79"/>
      <c r="U79"/>
      <c r="V79"/>
      <c r="W79"/>
      <c r="X79"/>
      <c r="Y79"/>
      <c r="Z79"/>
      <c r="AA79"/>
      <c r="AB79"/>
      <c r="AC79"/>
      <c r="AD79"/>
      <c r="AE79">
        <v>16.596900000000002</v>
      </c>
      <c r="AF79"/>
      <c r="AG79"/>
      <c r="AH79"/>
      <c r="AI79"/>
      <c r="AJ79"/>
      <c r="AK79"/>
      <c r="AL79"/>
      <c r="AM79"/>
      <c r="AN79"/>
      <c r="AO79"/>
      <c r="AP79"/>
      <c r="AQ79"/>
      <c r="AR79"/>
      <c r="AS79"/>
      <c r="AT79"/>
      <c r="AU79"/>
      <c r="AV79"/>
      <c r="AW79"/>
      <c r="AX79"/>
    </row>
    <row r="80" spans="1:50" x14ac:dyDescent="0.35">
      <c r="A80" s="75">
        <v>20271</v>
      </c>
      <c r="B80"/>
      <c r="C80"/>
      <c r="D80"/>
      <c r="E80"/>
      <c r="F80">
        <v>22.124680000000001</v>
      </c>
      <c r="G80"/>
      <c r="H80"/>
      <c r="I80"/>
      <c r="J80"/>
      <c r="K80"/>
      <c r="L80"/>
      <c r="M80"/>
      <c r="N80"/>
      <c r="O80"/>
      <c r="P80"/>
      <c r="Q80"/>
      <c r="R80">
        <v>5.4572089999999998</v>
      </c>
      <c r="S80"/>
      <c r="T80"/>
      <c r="U80"/>
      <c r="V80"/>
      <c r="W80"/>
      <c r="X80"/>
      <c r="Y80"/>
      <c r="Z80"/>
      <c r="AA80"/>
      <c r="AB80"/>
      <c r="AC80"/>
      <c r="AD80"/>
      <c r="AE80">
        <v>16.558949999999999</v>
      </c>
      <c r="AF80"/>
      <c r="AG80"/>
      <c r="AH80"/>
      <c r="AI80"/>
      <c r="AJ80"/>
      <c r="AK80"/>
      <c r="AL80"/>
      <c r="AM80"/>
      <c r="AN80"/>
      <c r="AO80"/>
      <c r="AP80"/>
      <c r="AQ80"/>
      <c r="AR80"/>
      <c r="AS80"/>
      <c r="AT80"/>
      <c r="AU80"/>
      <c r="AV80"/>
      <c r="AW80"/>
      <c r="AX80"/>
    </row>
    <row r="81" spans="1:50" x14ac:dyDescent="0.35">
      <c r="A81" s="75">
        <v>20302</v>
      </c>
      <c r="B81"/>
      <c r="C81"/>
      <c r="D81"/>
      <c r="E81"/>
      <c r="F81">
        <v>22.168469999999999</v>
      </c>
      <c r="G81"/>
      <c r="H81"/>
      <c r="I81"/>
      <c r="J81"/>
      <c r="K81"/>
      <c r="L81"/>
      <c r="M81"/>
      <c r="N81"/>
      <c r="O81"/>
      <c r="P81"/>
      <c r="Q81"/>
      <c r="R81">
        <v>5.5117589999999996</v>
      </c>
      <c r="S81"/>
      <c r="T81"/>
      <c r="U81"/>
      <c r="V81"/>
      <c r="W81"/>
      <c r="X81"/>
      <c r="Y81"/>
      <c r="Z81"/>
      <c r="AA81"/>
      <c r="AB81"/>
      <c r="AC81"/>
      <c r="AD81"/>
      <c r="AE81">
        <v>16.642600000000002</v>
      </c>
      <c r="AF81"/>
      <c r="AG81"/>
      <c r="AH81"/>
      <c r="AI81"/>
      <c r="AJ81"/>
      <c r="AK81"/>
      <c r="AL81"/>
      <c r="AM81"/>
      <c r="AN81"/>
      <c r="AO81"/>
      <c r="AP81"/>
      <c r="AQ81"/>
      <c r="AR81"/>
      <c r="AS81"/>
      <c r="AT81"/>
      <c r="AU81"/>
      <c r="AV81"/>
      <c r="AW81"/>
      <c r="AX81"/>
    </row>
    <row r="82" spans="1:50" x14ac:dyDescent="0.35">
      <c r="A82" s="75">
        <v>20333</v>
      </c>
      <c r="B82"/>
      <c r="C82"/>
      <c r="D82"/>
      <c r="E82"/>
      <c r="F82">
        <v>22.191600000000001</v>
      </c>
      <c r="G82"/>
      <c r="H82"/>
      <c r="I82"/>
      <c r="J82"/>
      <c r="K82"/>
      <c r="L82"/>
      <c r="M82"/>
      <c r="N82"/>
      <c r="O82"/>
      <c r="P82"/>
      <c r="Q82"/>
      <c r="R82">
        <v>5.5061239999999998</v>
      </c>
      <c r="S82"/>
      <c r="T82"/>
      <c r="U82"/>
      <c r="V82"/>
      <c r="W82"/>
      <c r="X82"/>
      <c r="Y82"/>
      <c r="Z82"/>
      <c r="AA82"/>
      <c r="AB82"/>
      <c r="AC82"/>
      <c r="AD82"/>
      <c r="AE82">
        <v>16.709879999999998</v>
      </c>
      <c r="AF82"/>
      <c r="AG82"/>
      <c r="AH82"/>
      <c r="AI82"/>
      <c r="AJ82"/>
      <c r="AK82"/>
      <c r="AL82"/>
      <c r="AM82"/>
      <c r="AN82"/>
      <c r="AO82"/>
      <c r="AP82"/>
      <c r="AQ82"/>
      <c r="AR82"/>
      <c r="AS82"/>
      <c r="AT82"/>
      <c r="AU82"/>
      <c r="AV82"/>
      <c r="AW82"/>
      <c r="AX82"/>
    </row>
    <row r="83" spans="1:50" x14ac:dyDescent="0.35">
      <c r="A83" s="75">
        <v>20363</v>
      </c>
      <c r="B83"/>
      <c r="C83"/>
      <c r="D83"/>
      <c r="E83"/>
      <c r="F83">
        <v>22.223269999999999</v>
      </c>
      <c r="G83"/>
      <c r="H83"/>
      <c r="I83"/>
      <c r="J83"/>
      <c r="K83"/>
      <c r="L83"/>
      <c r="M83"/>
      <c r="N83"/>
      <c r="O83"/>
      <c r="P83"/>
      <c r="Q83"/>
      <c r="R83">
        <v>5.5725930000000004</v>
      </c>
      <c r="S83"/>
      <c r="T83"/>
      <c r="U83"/>
      <c r="V83"/>
      <c r="W83"/>
      <c r="X83"/>
      <c r="Y83"/>
      <c r="Z83"/>
      <c r="AA83"/>
      <c r="AB83"/>
      <c r="AC83"/>
      <c r="AD83"/>
      <c r="AE83">
        <v>16.791910000000001</v>
      </c>
      <c r="AF83"/>
      <c r="AG83"/>
      <c r="AH83"/>
      <c r="AI83"/>
      <c r="AJ83"/>
      <c r="AK83"/>
      <c r="AL83"/>
      <c r="AM83"/>
      <c r="AN83"/>
      <c r="AO83"/>
      <c r="AP83"/>
      <c r="AQ83"/>
      <c r="AR83"/>
      <c r="AS83"/>
      <c r="AT83"/>
      <c r="AU83"/>
      <c r="AV83"/>
      <c r="AW83"/>
      <c r="AX83"/>
    </row>
    <row r="84" spans="1:50" x14ac:dyDescent="0.35">
      <c r="A84" s="75">
        <v>20394</v>
      </c>
      <c r="B84"/>
      <c r="C84"/>
      <c r="D84"/>
      <c r="E84"/>
      <c r="F84">
        <v>22.241689999999998</v>
      </c>
      <c r="G84"/>
      <c r="H84"/>
      <c r="I84"/>
      <c r="J84"/>
      <c r="K84"/>
      <c r="L84"/>
      <c r="M84"/>
      <c r="N84"/>
      <c r="O84"/>
      <c r="P84"/>
      <c r="Q84"/>
      <c r="R84">
        <v>5.5539110000000003</v>
      </c>
      <c r="S84"/>
      <c r="T84"/>
      <c r="U84"/>
      <c r="V84"/>
      <c r="W84"/>
      <c r="X84"/>
      <c r="Y84"/>
      <c r="Z84"/>
      <c r="AA84"/>
      <c r="AB84"/>
      <c r="AC84"/>
      <c r="AD84"/>
      <c r="AE84">
        <v>16.419029999999999</v>
      </c>
      <c r="AF84"/>
      <c r="AG84"/>
      <c r="AH84"/>
      <c r="AI84"/>
      <c r="AJ84"/>
      <c r="AK84"/>
      <c r="AL84"/>
      <c r="AM84"/>
      <c r="AN84"/>
      <c r="AO84"/>
      <c r="AP84"/>
      <c r="AQ84"/>
      <c r="AR84"/>
      <c r="AS84"/>
      <c r="AT84"/>
      <c r="AU84"/>
      <c r="AV84"/>
      <c r="AW84"/>
      <c r="AX84"/>
    </row>
    <row r="85" spans="1:50" x14ac:dyDescent="0.35">
      <c r="A85" s="75">
        <v>20424</v>
      </c>
      <c r="B85"/>
      <c r="C85"/>
      <c r="D85"/>
      <c r="E85"/>
      <c r="F85">
        <v>22.236940000000001</v>
      </c>
      <c r="G85"/>
      <c r="H85"/>
      <c r="I85"/>
      <c r="J85"/>
      <c r="K85"/>
      <c r="L85"/>
      <c r="M85"/>
      <c r="N85"/>
      <c r="O85"/>
      <c r="P85"/>
      <c r="Q85"/>
      <c r="R85">
        <v>5.5516569999999996</v>
      </c>
      <c r="S85"/>
      <c r="T85"/>
      <c r="U85"/>
      <c r="V85"/>
      <c r="W85"/>
      <c r="X85"/>
      <c r="Y85"/>
      <c r="Z85"/>
      <c r="AA85"/>
      <c r="AB85"/>
      <c r="AC85"/>
      <c r="AD85"/>
      <c r="AE85">
        <v>16.3445</v>
      </c>
      <c r="AF85"/>
      <c r="AG85"/>
      <c r="AH85"/>
      <c r="AI85"/>
      <c r="AJ85"/>
      <c r="AK85"/>
      <c r="AL85"/>
      <c r="AM85"/>
      <c r="AN85"/>
      <c r="AO85"/>
      <c r="AP85"/>
      <c r="AQ85"/>
      <c r="AR85"/>
      <c r="AS85"/>
      <c r="AT85"/>
      <c r="AU85"/>
      <c r="AV85"/>
      <c r="AW85"/>
      <c r="AX85"/>
    </row>
    <row r="86" spans="1:50" x14ac:dyDescent="0.35">
      <c r="A86" s="75">
        <v>20455</v>
      </c>
      <c r="B86"/>
      <c r="C86"/>
      <c r="D86"/>
      <c r="E86"/>
      <c r="F86">
        <v>22.134270000000001</v>
      </c>
      <c r="G86"/>
      <c r="H86"/>
      <c r="I86"/>
      <c r="J86"/>
      <c r="K86"/>
      <c r="L86"/>
      <c r="M86"/>
      <c r="N86"/>
      <c r="O86"/>
      <c r="P86"/>
      <c r="Q86"/>
      <c r="R86">
        <v>5.7301289999999998</v>
      </c>
      <c r="S86"/>
      <c r="T86"/>
      <c r="U86"/>
      <c r="V86"/>
      <c r="W86"/>
      <c r="X86"/>
      <c r="Y86"/>
      <c r="Z86"/>
      <c r="AA86"/>
      <c r="AB86"/>
      <c r="AC86"/>
      <c r="AD86"/>
      <c r="AE86">
        <v>16.436630000000001</v>
      </c>
      <c r="AF86"/>
      <c r="AG86"/>
      <c r="AH86"/>
      <c r="AI86"/>
      <c r="AJ86"/>
      <c r="AK86"/>
      <c r="AL86"/>
      <c r="AM86"/>
      <c r="AN86"/>
      <c r="AO86"/>
      <c r="AP86"/>
      <c r="AQ86"/>
      <c r="AR86"/>
      <c r="AS86"/>
      <c r="AT86"/>
      <c r="AU86"/>
      <c r="AV86"/>
      <c r="AW86"/>
      <c r="AX86"/>
    </row>
    <row r="87" spans="1:50" x14ac:dyDescent="0.35">
      <c r="A87" s="75">
        <v>20486</v>
      </c>
      <c r="B87"/>
      <c r="C87"/>
      <c r="D87"/>
      <c r="E87"/>
      <c r="F87">
        <v>22.188649999999999</v>
      </c>
      <c r="G87"/>
      <c r="H87"/>
      <c r="I87"/>
      <c r="J87"/>
      <c r="K87"/>
      <c r="L87"/>
      <c r="M87"/>
      <c r="N87"/>
      <c r="O87"/>
      <c r="P87"/>
      <c r="Q87"/>
      <c r="R87">
        <v>5.8585060000000002</v>
      </c>
      <c r="S87"/>
      <c r="T87"/>
      <c r="U87"/>
      <c r="V87"/>
      <c r="W87"/>
      <c r="X87"/>
      <c r="Y87"/>
      <c r="Z87"/>
      <c r="AA87"/>
      <c r="AB87"/>
      <c r="AC87"/>
      <c r="AD87"/>
      <c r="AE87">
        <v>16.537849999999999</v>
      </c>
      <c r="AF87"/>
      <c r="AG87"/>
      <c r="AH87"/>
      <c r="AI87"/>
      <c r="AJ87"/>
      <c r="AK87"/>
      <c r="AL87"/>
      <c r="AM87"/>
      <c r="AN87"/>
      <c r="AO87"/>
      <c r="AP87"/>
      <c r="AQ87"/>
      <c r="AR87"/>
      <c r="AS87"/>
      <c r="AT87"/>
      <c r="AU87"/>
      <c r="AV87"/>
      <c r="AW87"/>
      <c r="AX87"/>
    </row>
    <row r="88" spans="1:50" x14ac:dyDescent="0.35">
      <c r="A88" s="75">
        <v>20515</v>
      </c>
      <c r="B88"/>
      <c r="C88"/>
      <c r="D88"/>
      <c r="E88"/>
      <c r="F88">
        <v>22.232340000000001</v>
      </c>
      <c r="G88"/>
      <c r="H88"/>
      <c r="I88"/>
      <c r="J88"/>
      <c r="K88"/>
      <c r="L88"/>
      <c r="M88"/>
      <c r="N88"/>
      <c r="O88"/>
      <c r="P88"/>
      <c r="Q88"/>
      <c r="R88">
        <v>5.9158749999999998</v>
      </c>
      <c r="S88"/>
      <c r="T88"/>
      <c r="U88"/>
      <c r="V88"/>
      <c r="W88"/>
      <c r="X88"/>
      <c r="Y88"/>
      <c r="Z88"/>
      <c r="AA88"/>
      <c r="AB88"/>
      <c r="AC88"/>
      <c r="AD88"/>
      <c r="AE88">
        <v>16.59319</v>
      </c>
      <c r="AF88"/>
      <c r="AG88"/>
      <c r="AH88"/>
      <c r="AI88"/>
      <c r="AJ88"/>
      <c r="AK88"/>
      <c r="AL88"/>
      <c r="AM88"/>
      <c r="AN88"/>
      <c r="AO88"/>
      <c r="AP88"/>
      <c r="AQ88"/>
      <c r="AR88"/>
      <c r="AS88"/>
      <c r="AT88"/>
      <c r="AU88"/>
      <c r="AV88"/>
      <c r="AW88"/>
      <c r="AX88"/>
    </row>
    <row r="89" spans="1:50" x14ac:dyDescent="0.35">
      <c r="A89" s="75">
        <v>20546</v>
      </c>
      <c r="B89"/>
      <c r="C89"/>
      <c r="D89"/>
      <c r="E89"/>
      <c r="F89">
        <v>22.202860000000001</v>
      </c>
      <c r="G89"/>
      <c r="H89"/>
      <c r="I89"/>
      <c r="J89"/>
      <c r="K89"/>
      <c r="L89"/>
      <c r="M89"/>
      <c r="N89"/>
      <c r="O89"/>
      <c r="P89"/>
      <c r="Q89"/>
      <c r="R89">
        <v>5.9136199999999999</v>
      </c>
      <c r="S89"/>
      <c r="T89"/>
      <c r="U89"/>
      <c r="V89"/>
      <c r="W89"/>
      <c r="X89"/>
      <c r="Y89"/>
      <c r="Z89"/>
      <c r="AA89"/>
      <c r="AB89"/>
      <c r="AC89"/>
      <c r="AD89"/>
      <c r="AE89">
        <v>16.665410000000001</v>
      </c>
      <c r="AF89"/>
      <c r="AG89"/>
      <c r="AH89"/>
      <c r="AI89"/>
      <c r="AJ89"/>
      <c r="AK89"/>
      <c r="AL89"/>
      <c r="AM89"/>
      <c r="AN89"/>
      <c r="AO89"/>
      <c r="AP89"/>
      <c r="AQ89"/>
      <c r="AR89"/>
      <c r="AS89"/>
      <c r="AT89"/>
      <c r="AU89"/>
      <c r="AV89"/>
      <c r="AW89"/>
      <c r="AX89"/>
    </row>
    <row r="90" spans="1:50" x14ac:dyDescent="0.35">
      <c r="A90" s="75">
        <v>20576</v>
      </c>
      <c r="B90"/>
      <c r="C90"/>
      <c r="D90"/>
      <c r="E90"/>
      <c r="F90">
        <v>22.41133</v>
      </c>
      <c r="G90"/>
      <c r="H90"/>
      <c r="I90"/>
      <c r="J90"/>
      <c r="K90"/>
      <c r="L90"/>
      <c r="M90"/>
      <c r="N90"/>
      <c r="O90"/>
      <c r="P90"/>
      <c r="Q90"/>
      <c r="R90">
        <v>6.0192579999999998</v>
      </c>
      <c r="S90"/>
      <c r="T90"/>
      <c r="U90"/>
      <c r="V90"/>
      <c r="W90"/>
      <c r="X90"/>
      <c r="Y90"/>
      <c r="Z90"/>
      <c r="AA90"/>
      <c r="AB90"/>
      <c r="AC90"/>
      <c r="AD90"/>
      <c r="AE90">
        <v>16.613389999999999</v>
      </c>
      <c r="AF90"/>
      <c r="AG90"/>
      <c r="AH90"/>
      <c r="AI90"/>
      <c r="AJ90"/>
      <c r="AK90"/>
      <c r="AL90"/>
      <c r="AM90"/>
      <c r="AN90"/>
      <c r="AO90"/>
      <c r="AP90"/>
      <c r="AQ90"/>
      <c r="AR90"/>
      <c r="AS90"/>
      <c r="AT90"/>
      <c r="AU90"/>
      <c r="AV90"/>
      <c r="AW90"/>
      <c r="AX90"/>
    </row>
    <row r="91" spans="1:50" x14ac:dyDescent="0.35">
      <c r="A91" s="75">
        <v>20607</v>
      </c>
      <c r="B91"/>
      <c r="C91"/>
      <c r="D91"/>
      <c r="E91"/>
      <c r="F91">
        <v>22.451319999999999</v>
      </c>
      <c r="G91"/>
      <c r="H91"/>
      <c r="I91"/>
      <c r="J91"/>
      <c r="K91"/>
      <c r="L91"/>
      <c r="M91"/>
      <c r="N91"/>
      <c r="O91"/>
      <c r="P91"/>
      <c r="Q91"/>
      <c r="R91">
        <v>6.0136209999999997</v>
      </c>
      <c r="S91"/>
      <c r="T91"/>
      <c r="U91"/>
      <c r="V91"/>
      <c r="W91"/>
      <c r="X91"/>
      <c r="Y91"/>
      <c r="Z91"/>
      <c r="AA91"/>
      <c r="AB91"/>
      <c r="AC91"/>
      <c r="AD91"/>
      <c r="AE91">
        <v>16.904900000000001</v>
      </c>
      <c r="AF91"/>
      <c r="AG91"/>
      <c r="AH91"/>
      <c r="AI91"/>
      <c r="AJ91"/>
      <c r="AK91"/>
      <c r="AL91"/>
      <c r="AM91"/>
      <c r="AN91"/>
      <c r="AO91"/>
      <c r="AP91"/>
      <c r="AQ91"/>
      <c r="AR91"/>
      <c r="AS91"/>
      <c r="AT91"/>
      <c r="AU91"/>
      <c r="AV91"/>
      <c r="AW91"/>
      <c r="AX91"/>
    </row>
    <row r="92" spans="1:50" x14ac:dyDescent="0.35">
      <c r="A92" s="75">
        <v>20637</v>
      </c>
      <c r="B92"/>
      <c r="C92"/>
      <c r="D92"/>
      <c r="E92"/>
      <c r="F92">
        <v>22.470829999999999</v>
      </c>
      <c r="G92"/>
      <c r="H92"/>
      <c r="I92"/>
      <c r="J92"/>
      <c r="K92"/>
      <c r="L92"/>
      <c r="M92"/>
      <c r="N92"/>
      <c r="O92"/>
      <c r="P92"/>
      <c r="Q92"/>
      <c r="R92">
        <v>6.0845989999999999</v>
      </c>
      <c r="S92"/>
      <c r="T92"/>
      <c r="U92"/>
      <c r="V92"/>
      <c r="W92"/>
      <c r="X92"/>
      <c r="Y92"/>
      <c r="Z92"/>
      <c r="AA92"/>
      <c r="AB92"/>
      <c r="AC92"/>
      <c r="AD92"/>
      <c r="AE92">
        <v>16.63916</v>
      </c>
      <c r="AF92"/>
      <c r="AG92"/>
      <c r="AH92"/>
      <c r="AI92"/>
      <c r="AJ92"/>
      <c r="AK92"/>
      <c r="AL92"/>
      <c r="AM92"/>
      <c r="AN92"/>
      <c r="AO92"/>
      <c r="AP92"/>
      <c r="AQ92"/>
      <c r="AR92"/>
      <c r="AS92"/>
      <c r="AT92"/>
      <c r="AU92"/>
      <c r="AV92"/>
      <c r="AW92"/>
      <c r="AX92"/>
    </row>
    <row r="93" spans="1:50" x14ac:dyDescent="0.35">
      <c r="A93" s="75">
        <v>20668</v>
      </c>
      <c r="B93"/>
      <c r="C93"/>
      <c r="D93"/>
      <c r="E93"/>
      <c r="F93">
        <v>22.545190000000002</v>
      </c>
      <c r="G93"/>
      <c r="H93"/>
      <c r="I93"/>
      <c r="J93"/>
      <c r="K93"/>
      <c r="L93"/>
      <c r="M93"/>
      <c r="N93"/>
      <c r="O93"/>
      <c r="P93"/>
      <c r="Q93"/>
      <c r="R93">
        <v>6.140841</v>
      </c>
      <c r="S93"/>
      <c r="T93"/>
      <c r="U93"/>
      <c r="V93"/>
      <c r="W93"/>
      <c r="X93"/>
      <c r="Y93"/>
      <c r="Z93"/>
      <c r="AA93"/>
      <c r="AB93"/>
      <c r="AC93"/>
      <c r="AD93"/>
      <c r="AE93">
        <v>16.71321</v>
      </c>
      <c r="AF93"/>
      <c r="AG93"/>
      <c r="AH93"/>
      <c r="AI93"/>
      <c r="AJ93"/>
      <c r="AK93"/>
      <c r="AL93"/>
      <c r="AM93"/>
      <c r="AN93"/>
      <c r="AO93"/>
      <c r="AP93"/>
      <c r="AQ93"/>
      <c r="AR93"/>
      <c r="AS93"/>
      <c r="AT93"/>
      <c r="AU93"/>
      <c r="AV93"/>
      <c r="AW93"/>
      <c r="AX93"/>
    </row>
    <row r="94" spans="1:50" x14ac:dyDescent="0.35">
      <c r="A94" s="75">
        <v>20699</v>
      </c>
      <c r="B94"/>
      <c r="C94"/>
      <c r="D94"/>
      <c r="E94"/>
      <c r="F94">
        <v>22.569959999999998</v>
      </c>
      <c r="G94"/>
      <c r="H94"/>
      <c r="I94"/>
      <c r="J94"/>
      <c r="K94"/>
      <c r="L94"/>
      <c r="M94"/>
      <c r="N94"/>
      <c r="O94"/>
      <c r="P94"/>
      <c r="Q94"/>
      <c r="R94">
        <v>6.1829099999999997</v>
      </c>
      <c r="S94"/>
      <c r="T94"/>
      <c r="U94"/>
      <c r="V94"/>
      <c r="W94"/>
      <c r="X94"/>
      <c r="Y94"/>
      <c r="Z94"/>
      <c r="AA94"/>
      <c r="AB94"/>
      <c r="AC94"/>
      <c r="AD94"/>
      <c r="AE94">
        <v>16.865839999999999</v>
      </c>
      <c r="AF94"/>
      <c r="AG94"/>
      <c r="AH94"/>
      <c r="AI94"/>
      <c r="AJ94"/>
      <c r="AK94"/>
      <c r="AL94"/>
      <c r="AM94"/>
      <c r="AN94"/>
      <c r="AO94"/>
      <c r="AP94"/>
      <c r="AQ94"/>
      <c r="AR94"/>
      <c r="AS94"/>
      <c r="AT94"/>
      <c r="AU94"/>
      <c r="AV94"/>
      <c r="AW94"/>
      <c r="AX94"/>
    </row>
    <row r="95" spans="1:50" x14ac:dyDescent="0.35">
      <c r="A95" s="75">
        <v>20729</v>
      </c>
      <c r="B95"/>
      <c r="C95"/>
      <c r="D95"/>
      <c r="E95"/>
      <c r="F95">
        <v>22.59103</v>
      </c>
      <c r="G95"/>
      <c r="H95"/>
      <c r="I95"/>
      <c r="J95"/>
      <c r="K95"/>
      <c r="L95"/>
      <c r="M95"/>
      <c r="N95"/>
      <c r="O95"/>
      <c r="P95"/>
      <c r="Q95"/>
      <c r="R95">
        <v>6.1948290000000004</v>
      </c>
      <c r="S95"/>
      <c r="T95"/>
      <c r="U95"/>
      <c r="V95"/>
      <c r="W95"/>
      <c r="X95"/>
      <c r="Y95"/>
      <c r="Z95"/>
      <c r="AA95"/>
      <c r="AB95"/>
      <c r="AC95"/>
      <c r="AD95"/>
      <c r="AE95">
        <v>16.894870000000001</v>
      </c>
      <c r="AF95"/>
      <c r="AG95"/>
      <c r="AH95"/>
      <c r="AI95"/>
      <c r="AJ95"/>
      <c r="AK95"/>
      <c r="AL95"/>
      <c r="AM95"/>
      <c r="AN95"/>
      <c r="AO95"/>
      <c r="AP95"/>
      <c r="AQ95"/>
      <c r="AR95"/>
      <c r="AS95"/>
      <c r="AT95"/>
      <c r="AU95"/>
      <c r="AV95"/>
      <c r="AW95"/>
      <c r="AX95"/>
    </row>
    <row r="96" spans="1:50" x14ac:dyDescent="0.35">
      <c r="A96" s="75">
        <v>20760</v>
      </c>
      <c r="B96"/>
      <c r="C96"/>
      <c r="D96"/>
      <c r="E96"/>
      <c r="F96">
        <v>22.629639999999998</v>
      </c>
      <c r="G96"/>
      <c r="H96"/>
      <c r="I96"/>
      <c r="J96"/>
      <c r="K96"/>
      <c r="L96"/>
      <c r="M96"/>
      <c r="N96"/>
      <c r="O96"/>
      <c r="P96"/>
      <c r="Q96"/>
      <c r="R96">
        <v>6.4356059999999999</v>
      </c>
      <c r="S96"/>
      <c r="T96"/>
      <c r="U96"/>
      <c r="V96"/>
      <c r="W96"/>
      <c r="X96"/>
      <c r="Y96"/>
      <c r="Z96"/>
      <c r="AA96"/>
      <c r="AB96"/>
      <c r="AC96"/>
      <c r="AD96"/>
      <c r="AE96">
        <v>16.611270000000001</v>
      </c>
      <c r="AF96"/>
      <c r="AG96"/>
      <c r="AH96"/>
      <c r="AI96"/>
      <c r="AJ96"/>
      <c r="AK96"/>
      <c r="AL96"/>
      <c r="AM96"/>
      <c r="AN96"/>
      <c r="AO96"/>
      <c r="AP96"/>
      <c r="AQ96"/>
      <c r="AR96"/>
      <c r="AS96"/>
      <c r="AT96"/>
      <c r="AU96"/>
      <c r="AV96"/>
      <c r="AW96"/>
      <c r="AX96"/>
    </row>
    <row r="97" spans="1:50" x14ac:dyDescent="0.35">
      <c r="A97" s="75">
        <v>20790</v>
      </c>
      <c r="B97"/>
      <c r="C97"/>
      <c r="D97"/>
      <c r="E97"/>
      <c r="F97">
        <v>22.637180000000001</v>
      </c>
      <c r="G97"/>
      <c r="H97"/>
      <c r="I97"/>
      <c r="J97"/>
      <c r="K97"/>
      <c r="L97"/>
      <c r="M97"/>
      <c r="N97"/>
      <c r="O97"/>
      <c r="P97"/>
      <c r="Q97"/>
      <c r="R97">
        <v>6.4356059999999999</v>
      </c>
      <c r="S97"/>
      <c r="T97"/>
      <c r="U97"/>
      <c r="V97"/>
      <c r="W97"/>
      <c r="X97"/>
      <c r="Y97"/>
      <c r="Z97"/>
      <c r="AA97"/>
      <c r="AB97"/>
      <c r="AC97"/>
      <c r="AD97"/>
      <c r="AE97">
        <v>16.724</v>
      </c>
      <c r="AF97"/>
      <c r="AG97"/>
      <c r="AH97"/>
      <c r="AI97"/>
      <c r="AJ97"/>
      <c r="AK97"/>
      <c r="AL97"/>
      <c r="AM97"/>
      <c r="AN97"/>
      <c r="AO97"/>
      <c r="AP97"/>
      <c r="AQ97"/>
      <c r="AR97"/>
      <c r="AS97"/>
      <c r="AT97"/>
      <c r="AU97"/>
      <c r="AV97"/>
      <c r="AW97"/>
      <c r="AX97"/>
    </row>
    <row r="98" spans="1:50" x14ac:dyDescent="0.35">
      <c r="A98" s="75">
        <v>20821</v>
      </c>
      <c r="B98"/>
      <c r="C98"/>
      <c r="D98"/>
      <c r="E98"/>
      <c r="F98">
        <v>22.630949999999999</v>
      </c>
      <c r="G98"/>
      <c r="H98"/>
      <c r="I98"/>
      <c r="J98"/>
      <c r="K98"/>
      <c r="L98"/>
      <c r="M98"/>
      <c r="N98"/>
      <c r="O98"/>
      <c r="P98"/>
      <c r="Q98"/>
      <c r="R98">
        <v>6.5775620000000004</v>
      </c>
      <c r="S98"/>
      <c r="T98"/>
      <c r="U98"/>
      <c r="V98"/>
      <c r="W98"/>
      <c r="X98"/>
      <c r="Y98"/>
      <c r="Z98"/>
      <c r="AA98"/>
      <c r="AB98"/>
      <c r="AC98"/>
      <c r="AD98"/>
      <c r="AE98">
        <v>16.80977</v>
      </c>
      <c r="AF98"/>
      <c r="AG98"/>
      <c r="AH98"/>
      <c r="AI98"/>
      <c r="AJ98"/>
      <c r="AK98"/>
      <c r="AL98"/>
      <c r="AM98"/>
      <c r="AN98"/>
      <c r="AO98"/>
      <c r="AP98"/>
      <c r="AQ98"/>
      <c r="AR98"/>
      <c r="AS98"/>
      <c r="AT98"/>
      <c r="AU98"/>
      <c r="AV98"/>
      <c r="AW98">
        <v>11.76488</v>
      </c>
      <c r="AX98"/>
    </row>
    <row r="99" spans="1:50" x14ac:dyDescent="0.35">
      <c r="A99" s="75">
        <v>20852</v>
      </c>
      <c r="B99"/>
      <c r="C99"/>
      <c r="D99"/>
      <c r="E99"/>
      <c r="F99">
        <v>22.62848</v>
      </c>
      <c r="G99"/>
      <c r="H99"/>
      <c r="I99"/>
      <c r="J99"/>
      <c r="K99"/>
      <c r="L99"/>
      <c r="M99"/>
      <c r="N99"/>
      <c r="O99"/>
      <c r="P99"/>
      <c r="Q99"/>
      <c r="R99">
        <v>6.5781260000000001</v>
      </c>
      <c r="S99"/>
      <c r="T99"/>
      <c r="U99"/>
      <c r="V99"/>
      <c r="W99"/>
      <c r="X99"/>
      <c r="Y99"/>
      <c r="Z99"/>
      <c r="AA99"/>
      <c r="AB99"/>
      <c r="AC99"/>
      <c r="AD99"/>
      <c r="AE99">
        <v>16.744800000000001</v>
      </c>
      <c r="AF99"/>
      <c r="AG99"/>
      <c r="AH99"/>
      <c r="AI99"/>
      <c r="AJ99"/>
      <c r="AK99"/>
      <c r="AL99"/>
      <c r="AM99"/>
      <c r="AN99"/>
      <c r="AO99"/>
      <c r="AP99"/>
      <c r="AQ99"/>
      <c r="AR99"/>
      <c r="AS99"/>
      <c r="AT99"/>
      <c r="AU99"/>
      <c r="AV99"/>
      <c r="AW99">
        <v>11.76488</v>
      </c>
      <c r="AX99"/>
    </row>
    <row r="100" spans="1:50" x14ac:dyDescent="0.35">
      <c r="A100" s="75">
        <v>20880</v>
      </c>
      <c r="B100"/>
      <c r="C100"/>
      <c r="D100"/>
      <c r="E100"/>
      <c r="F100">
        <v>22.581589999999998</v>
      </c>
      <c r="G100"/>
      <c r="H100"/>
      <c r="I100"/>
      <c r="J100"/>
      <c r="K100"/>
      <c r="L100"/>
      <c r="M100"/>
      <c r="N100"/>
      <c r="O100"/>
      <c r="P100"/>
      <c r="Q100"/>
      <c r="R100">
        <v>6.5786899999999999</v>
      </c>
      <c r="S100"/>
      <c r="T100"/>
      <c r="U100"/>
      <c r="V100"/>
      <c r="W100"/>
      <c r="X100"/>
      <c r="Y100"/>
      <c r="Z100"/>
      <c r="AA100"/>
      <c r="AB100"/>
      <c r="AC100"/>
      <c r="AD100"/>
      <c r="AE100">
        <v>16.823799999999999</v>
      </c>
      <c r="AF100"/>
      <c r="AG100"/>
      <c r="AH100"/>
      <c r="AI100"/>
      <c r="AJ100"/>
      <c r="AK100"/>
      <c r="AL100"/>
      <c r="AM100"/>
      <c r="AN100"/>
      <c r="AO100"/>
      <c r="AP100"/>
      <c r="AQ100"/>
      <c r="AR100"/>
      <c r="AS100"/>
      <c r="AT100"/>
      <c r="AU100"/>
      <c r="AV100"/>
      <c r="AW100">
        <v>11.847440000000001</v>
      </c>
      <c r="AX100"/>
    </row>
    <row r="101" spans="1:50" x14ac:dyDescent="0.35">
      <c r="A101" s="75">
        <v>20911</v>
      </c>
      <c r="B101"/>
      <c r="C101"/>
      <c r="D101"/>
      <c r="E101"/>
      <c r="F101">
        <v>22.669699999999999</v>
      </c>
      <c r="G101"/>
      <c r="H101"/>
      <c r="I101"/>
      <c r="J101"/>
      <c r="K101"/>
      <c r="L101"/>
      <c r="M101"/>
      <c r="N101"/>
      <c r="O101"/>
      <c r="P101"/>
      <c r="Q101"/>
      <c r="R101">
        <v>6.6371859999999998</v>
      </c>
      <c r="S101"/>
      <c r="T101"/>
      <c r="U101"/>
      <c r="V101"/>
      <c r="W101"/>
      <c r="X101"/>
      <c r="Y101"/>
      <c r="Z101"/>
      <c r="AA101"/>
      <c r="AB101"/>
      <c r="AC101"/>
      <c r="AD101"/>
      <c r="AE101">
        <v>16.97174</v>
      </c>
      <c r="AF101"/>
      <c r="AG101"/>
      <c r="AH101"/>
      <c r="AI101"/>
      <c r="AJ101"/>
      <c r="AK101"/>
      <c r="AL101"/>
      <c r="AM101"/>
      <c r="AN101"/>
      <c r="AO101"/>
      <c r="AP101"/>
      <c r="AQ101"/>
      <c r="AR101"/>
      <c r="AS101"/>
      <c r="AT101"/>
      <c r="AU101"/>
      <c r="AV101"/>
      <c r="AW101">
        <v>11.888719999999999</v>
      </c>
      <c r="AX101"/>
    </row>
    <row r="102" spans="1:50" x14ac:dyDescent="0.35">
      <c r="A102" s="75">
        <v>20941</v>
      </c>
      <c r="B102"/>
      <c r="C102"/>
      <c r="D102"/>
      <c r="E102"/>
      <c r="F102">
        <v>22.817</v>
      </c>
      <c r="G102"/>
      <c r="H102"/>
      <c r="I102"/>
      <c r="J102"/>
      <c r="K102"/>
      <c r="L102"/>
      <c r="M102"/>
      <c r="N102"/>
      <c r="O102"/>
      <c r="P102"/>
      <c r="Q102"/>
      <c r="R102">
        <v>6.7104179999999998</v>
      </c>
      <c r="S102"/>
      <c r="T102"/>
      <c r="U102"/>
      <c r="V102"/>
      <c r="W102"/>
      <c r="X102"/>
      <c r="Y102"/>
      <c r="Z102"/>
      <c r="AA102"/>
      <c r="AB102"/>
      <c r="AC102"/>
      <c r="AD102"/>
      <c r="AE102">
        <v>17.131609999999998</v>
      </c>
      <c r="AF102"/>
      <c r="AG102"/>
      <c r="AH102"/>
      <c r="AI102"/>
      <c r="AJ102"/>
      <c r="AK102"/>
      <c r="AL102"/>
      <c r="AM102"/>
      <c r="AN102"/>
      <c r="AO102"/>
      <c r="AP102"/>
      <c r="AQ102"/>
      <c r="AR102"/>
      <c r="AS102"/>
      <c r="AT102"/>
      <c r="AU102"/>
      <c r="AV102"/>
      <c r="AW102">
        <v>11.888719999999999</v>
      </c>
      <c r="AX102"/>
    </row>
    <row r="103" spans="1:50" x14ac:dyDescent="0.35">
      <c r="A103" s="75">
        <v>20972</v>
      </c>
      <c r="B103"/>
      <c r="C103"/>
      <c r="D103"/>
      <c r="E103"/>
      <c r="F103">
        <v>22.823810000000002</v>
      </c>
      <c r="G103"/>
      <c r="H103"/>
      <c r="I103"/>
      <c r="J103"/>
      <c r="K103"/>
      <c r="L103"/>
      <c r="M103"/>
      <c r="N103"/>
      <c r="O103"/>
      <c r="P103"/>
      <c r="Q103"/>
      <c r="R103">
        <v>6.698499</v>
      </c>
      <c r="S103"/>
      <c r="T103"/>
      <c r="U103"/>
      <c r="V103"/>
      <c r="W103"/>
      <c r="X103"/>
      <c r="Y103"/>
      <c r="Z103"/>
      <c r="AA103"/>
      <c r="AB103"/>
      <c r="AC103"/>
      <c r="AD103"/>
      <c r="AE103">
        <v>17.05424</v>
      </c>
      <c r="AF103"/>
      <c r="AG103"/>
      <c r="AH103"/>
      <c r="AI103"/>
      <c r="AJ103"/>
      <c r="AK103"/>
      <c r="AL103"/>
      <c r="AM103"/>
      <c r="AN103"/>
      <c r="AO103"/>
      <c r="AP103"/>
      <c r="AQ103"/>
      <c r="AR103"/>
      <c r="AS103"/>
      <c r="AT103"/>
      <c r="AU103"/>
      <c r="AV103"/>
      <c r="AW103">
        <v>11.93</v>
      </c>
      <c r="AX103"/>
    </row>
    <row r="104" spans="1:50" x14ac:dyDescent="0.35">
      <c r="A104" s="75">
        <v>21002</v>
      </c>
      <c r="B104"/>
      <c r="C104"/>
      <c r="D104"/>
      <c r="E104"/>
      <c r="F104">
        <v>22.87604</v>
      </c>
      <c r="G104"/>
      <c r="H104"/>
      <c r="I104"/>
      <c r="J104"/>
      <c r="K104"/>
      <c r="L104"/>
      <c r="M104"/>
      <c r="N104"/>
      <c r="O104"/>
      <c r="P104"/>
      <c r="Q104"/>
      <c r="R104">
        <v>6.7950350000000004</v>
      </c>
      <c r="S104"/>
      <c r="T104"/>
      <c r="U104"/>
      <c r="V104"/>
      <c r="W104"/>
      <c r="X104"/>
      <c r="Y104"/>
      <c r="Z104"/>
      <c r="AA104"/>
      <c r="AB104"/>
      <c r="AC104"/>
      <c r="AD104"/>
      <c r="AE104">
        <v>17.2075</v>
      </c>
      <c r="AF104"/>
      <c r="AG104"/>
      <c r="AH104"/>
      <c r="AI104"/>
      <c r="AJ104"/>
      <c r="AK104"/>
      <c r="AL104"/>
      <c r="AM104"/>
      <c r="AN104"/>
      <c r="AO104"/>
      <c r="AP104"/>
      <c r="AQ104"/>
      <c r="AR104"/>
      <c r="AS104"/>
      <c r="AT104"/>
      <c r="AU104"/>
      <c r="AV104"/>
      <c r="AW104">
        <v>11.93</v>
      </c>
      <c r="AX104"/>
    </row>
    <row r="105" spans="1:50" x14ac:dyDescent="0.35">
      <c r="A105" s="75">
        <v>21033</v>
      </c>
      <c r="B105"/>
      <c r="C105"/>
      <c r="D105"/>
      <c r="E105"/>
      <c r="F105">
        <v>23.003679999999999</v>
      </c>
      <c r="G105"/>
      <c r="H105"/>
      <c r="I105"/>
      <c r="J105"/>
      <c r="K105"/>
      <c r="L105"/>
      <c r="M105"/>
      <c r="N105"/>
      <c r="O105"/>
      <c r="P105"/>
      <c r="Q105"/>
      <c r="R105">
        <v>6.8360599999999998</v>
      </c>
      <c r="S105"/>
      <c r="T105"/>
      <c r="U105"/>
      <c r="V105"/>
      <c r="W105"/>
      <c r="X105"/>
      <c r="Y105"/>
      <c r="Z105"/>
      <c r="AA105"/>
      <c r="AB105"/>
      <c r="AC105"/>
      <c r="AD105"/>
      <c r="AE105">
        <v>17.32283</v>
      </c>
      <c r="AF105"/>
      <c r="AG105"/>
      <c r="AH105"/>
      <c r="AI105"/>
      <c r="AJ105"/>
      <c r="AK105"/>
      <c r="AL105"/>
      <c r="AM105"/>
      <c r="AN105"/>
      <c r="AO105"/>
      <c r="AP105"/>
      <c r="AQ105"/>
      <c r="AR105"/>
      <c r="AS105"/>
      <c r="AT105"/>
      <c r="AU105"/>
      <c r="AV105"/>
      <c r="AW105">
        <v>11.97128</v>
      </c>
      <c r="AX105"/>
    </row>
    <row r="106" spans="1:50" x14ac:dyDescent="0.35">
      <c r="A106" s="75">
        <v>21064</v>
      </c>
      <c r="B106"/>
      <c r="C106"/>
      <c r="D106"/>
      <c r="E106"/>
      <c r="F106">
        <v>23.043209999999998</v>
      </c>
      <c r="G106"/>
      <c r="H106"/>
      <c r="I106"/>
      <c r="J106"/>
      <c r="K106"/>
      <c r="L106"/>
      <c r="M106"/>
      <c r="N106"/>
      <c r="O106"/>
      <c r="P106"/>
      <c r="Q106"/>
      <c r="R106">
        <v>6.9041370000000004</v>
      </c>
      <c r="S106"/>
      <c r="T106"/>
      <c r="U106"/>
      <c r="V106"/>
      <c r="W106"/>
      <c r="X106"/>
      <c r="Y106"/>
      <c r="Z106"/>
      <c r="AA106"/>
      <c r="AB106"/>
      <c r="AC106"/>
      <c r="AD106"/>
      <c r="AE106">
        <v>17.215009999999999</v>
      </c>
      <c r="AF106"/>
      <c r="AG106"/>
      <c r="AH106"/>
      <c r="AI106"/>
      <c r="AJ106"/>
      <c r="AK106"/>
      <c r="AL106"/>
      <c r="AM106"/>
      <c r="AN106"/>
      <c r="AO106"/>
      <c r="AP106"/>
      <c r="AQ106"/>
      <c r="AR106"/>
      <c r="AS106"/>
      <c r="AT106"/>
      <c r="AU106"/>
      <c r="AV106"/>
      <c r="AW106">
        <v>12.012560000000001</v>
      </c>
      <c r="AX106"/>
    </row>
    <row r="107" spans="1:50" x14ac:dyDescent="0.35">
      <c r="A107" s="75">
        <v>21094</v>
      </c>
      <c r="B107"/>
      <c r="C107"/>
      <c r="D107"/>
      <c r="E107"/>
      <c r="F107">
        <v>23.128730000000001</v>
      </c>
      <c r="G107"/>
      <c r="H107"/>
      <c r="I107"/>
      <c r="J107"/>
      <c r="K107"/>
      <c r="L107"/>
      <c r="M107"/>
      <c r="N107"/>
      <c r="O107"/>
      <c r="P107"/>
      <c r="Q107"/>
      <c r="R107">
        <v>6.9389620000000001</v>
      </c>
      <c r="S107"/>
      <c r="T107"/>
      <c r="U107"/>
      <c r="V107"/>
      <c r="W107"/>
      <c r="X107"/>
      <c r="Y107"/>
      <c r="Z107"/>
      <c r="AA107"/>
      <c r="AB107"/>
      <c r="AC107"/>
      <c r="AD107"/>
      <c r="AE107">
        <v>17.14283</v>
      </c>
      <c r="AF107"/>
      <c r="AG107"/>
      <c r="AH107"/>
      <c r="AI107"/>
      <c r="AJ107"/>
      <c r="AK107"/>
      <c r="AL107"/>
      <c r="AM107"/>
      <c r="AN107"/>
      <c r="AO107"/>
      <c r="AP107"/>
      <c r="AQ107"/>
      <c r="AR107"/>
      <c r="AS107"/>
      <c r="AT107"/>
      <c r="AU107"/>
      <c r="AV107"/>
      <c r="AW107">
        <v>12.053839999999999</v>
      </c>
      <c r="AX107"/>
    </row>
    <row r="108" spans="1:50" x14ac:dyDescent="0.35">
      <c r="A108" s="75">
        <v>21125</v>
      </c>
      <c r="B108"/>
      <c r="C108"/>
      <c r="D108"/>
      <c r="E108"/>
      <c r="F108">
        <v>23.177219999999998</v>
      </c>
      <c r="G108"/>
      <c r="H108"/>
      <c r="I108"/>
      <c r="J108"/>
      <c r="K108"/>
      <c r="L108"/>
      <c r="M108"/>
      <c r="N108"/>
      <c r="O108"/>
      <c r="P108"/>
      <c r="Q108"/>
      <c r="R108">
        <v>6.9508809999999999</v>
      </c>
      <c r="S108"/>
      <c r="T108"/>
      <c r="U108"/>
      <c r="V108"/>
      <c r="W108"/>
      <c r="X108"/>
      <c r="Y108"/>
      <c r="Z108"/>
      <c r="AA108"/>
      <c r="AB108"/>
      <c r="AC108"/>
      <c r="AD108"/>
      <c r="AE108">
        <v>16.922529999999998</v>
      </c>
      <c r="AF108"/>
      <c r="AG108"/>
      <c r="AH108"/>
      <c r="AI108"/>
      <c r="AJ108"/>
      <c r="AK108"/>
      <c r="AL108"/>
      <c r="AM108"/>
      <c r="AN108"/>
      <c r="AO108"/>
      <c r="AP108"/>
      <c r="AQ108"/>
      <c r="AR108"/>
      <c r="AS108"/>
      <c r="AT108"/>
      <c r="AU108"/>
      <c r="AV108"/>
      <c r="AW108">
        <v>12.1364</v>
      </c>
      <c r="AX108"/>
    </row>
    <row r="109" spans="1:50" x14ac:dyDescent="0.35">
      <c r="A109" s="75">
        <v>21155</v>
      </c>
      <c r="B109"/>
      <c r="C109"/>
      <c r="D109"/>
      <c r="E109"/>
      <c r="F109">
        <v>23.178270000000001</v>
      </c>
      <c r="G109"/>
      <c r="H109"/>
      <c r="I109"/>
      <c r="J109"/>
      <c r="K109"/>
      <c r="L109"/>
      <c r="M109"/>
      <c r="N109"/>
      <c r="O109"/>
      <c r="P109"/>
      <c r="Q109"/>
      <c r="R109">
        <v>7.0229860000000004</v>
      </c>
      <c r="S109"/>
      <c r="T109"/>
      <c r="U109"/>
      <c r="V109"/>
      <c r="W109"/>
      <c r="X109"/>
      <c r="Y109"/>
      <c r="Z109"/>
      <c r="AA109"/>
      <c r="AB109"/>
      <c r="AC109"/>
      <c r="AD109"/>
      <c r="AE109">
        <v>16.893709999999999</v>
      </c>
      <c r="AF109"/>
      <c r="AG109"/>
      <c r="AH109"/>
      <c r="AI109"/>
      <c r="AJ109"/>
      <c r="AK109"/>
      <c r="AL109"/>
      <c r="AM109"/>
      <c r="AN109"/>
      <c r="AO109"/>
      <c r="AP109"/>
      <c r="AQ109"/>
      <c r="AR109"/>
      <c r="AS109"/>
      <c r="AT109"/>
      <c r="AU109"/>
      <c r="AV109"/>
      <c r="AW109">
        <v>12.1364</v>
      </c>
      <c r="AX109"/>
    </row>
    <row r="110" spans="1:50" x14ac:dyDescent="0.35">
      <c r="A110" s="75">
        <v>21186</v>
      </c>
      <c r="B110"/>
      <c r="C110"/>
      <c r="D110"/>
      <c r="E110"/>
      <c r="F110">
        <v>23.13353</v>
      </c>
      <c r="G110"/>
      <c r="H110"/>
      <c r="I110"/>
      <c r="J110"/>
      <c r="K110"/>
      <c r="L110"/>
      <c r="M110"/>
      <c r="N110"/>
      <c r="O110"/>
      <c r="P110"/>
      <c r="Q110"/>
      <c r="R110">
        <v>7.0833810000000001</v>
      </c>
      <c r="S110"/>
      <c r="T110"/>
      <c r="U110"/>
      <c r="V110"/>
      <c r="W110"/>
      <c r="X110"/>
      <c r="Y110"/>
      <c r="Z110"/>
      <c r="AA110"/>
      <c r="AB110"/>
      <c r="AC110"/>
      <c r="AD110"/>
      <c r="AE110">
        <v>16.99126</v>
      </c>
      <c r="AF110"/>
      <c r="AG110"/>
      <c r="AH110"/>
      <c r="AI110"/>
      <c r="AJ110"/>
      <c r="AK110"/>
      <c r="AL110"/>
      <c r="AM110"/>
      <c r="AN110"/>
      <c r="AO110"/>
      <c r="AP110"/>
      <c r="AQ110"/>
      <c r="AR110"/>
      <c r="AS110"/>
      <c r="AT110"/>
      <c r="AU110"/>
      <c r="AV110"/>
      <c r="AW110">
        <v>12.1364</v>
      </c>
      <c r="AX110"/>
    </row>
    <row r="111" spans="1:50" x14ac:dyDescent="0.35">
      <c r="A111" s="75">
        <v>21217</v>
      </c>
      <c r="B111"/>
      <c r="C111"/>
      <c r="D111"/>
      <c r="E111"/>
      <c r="F111">
        <v>23.171690000000002</v>
      </c>
      <c r="G111"/>
      <c r="H111"/>
      <c r="I111"/>
      <c r="J111"/>
      <c r="K111"/>
      <c r="L111"/>
      <c r="M111"/>
      <c r="N111"/>
      <c r="O111"/>
      <c r="P111"/>
      <c r="Q111"/>
      <c r="R111">
        <v>7.0775249999999996</v>
      </c>
      <c r="S111"/>
      <c r="T111"/>
      <c r="U111"/>
      <c r="V111"/>
      <c r="W111"/>
      <c r="X111"/>
      <c r="Y111"/>
      <c r="Z111"/>
      <c r="AA111"/>
      <c r="AB111"/>
      <c r="AC111"/>
      <c r="AD111"/>
      <c r="AE111">
        <v>16.837440000000001</v>
      </c>
      <c r="AF111"/>
      <c r="AG111"/>
      <c r="AH111"/>
      <c r="AI111"/>
      <c r="AJ111"/>
      <c r="AK111"/>
      <c r="AL111"/>
      <c r="AM111"/>
      <c r="AN111"/>
      <c r="AO111"/>
      <c r="AP111"/>
      <c r="AQ111"/>
      <c r="AR111"/>
      <c r="AS111"/>
      <c r="AT111"/>
      <c r="AU111"/>
      <c r="AV111"/>
      <c r="AW111">
        <v>12.1364</v>
      </c>
      <c r="AX111"/>
    </row>
    <row r="112" spans="1:50" x14ac:dyDescent="0.35">
      <c r="A112" s="75">
        <v>21245</v>
      </c>
      <c r="B112"/>
      <c r="C112"/>
      <c r="D112"/>
      <c r="E112"/>
      <c r="F112">
        <v>23.171140000000001</v>
      </c>
      <c r="G112"/>
      <c r="H112"/>
      <c r="I112"/>
      <c r="J112"/>
      <c r="K112"/>
      <c r="L112"/>
      <c r="M112"/>
      <c r="N112"/>
      <c r="O112"/>
      <c r="P112"/>
      <c r="Q112"/>
      <c r="R112">
        <v>7.0613159999999997</v>
      </c>
      <c r="S112"/>
      <c r="T112"/>
      <c r="U112"/>
      <c r="V112"/>
      <c r="W112"/>
      <c r="X112"/>
      <c r="Y112"/>
      <c r="Z112"/>
      <c r="AA112"/>
      <c r="AB112"/>
      <c r="AC112"/>
      <c r="AD112"/>
      <c r="AE112">
        <v>16.795490000000001</v>
      </c>
      <c r="AF112"/>
      <c r="AG112"/>
      <c r="AH112"/>
      <c r="AI112"/>
      <c r="AJ112"/>
      <c r="AK112"/>
      <c r="AL112"/>
      <c r="AM112"/>
      <c r="AN112"/>
      <c r="AO112"/>
      <c r="AP112"/>
      <c r="AQ112"/>
      <c r="AR112"/>
      <c r="AS112"/>
      <c r="AT112"/>
      <c r="AU112"/>
      <c r="AV112"/>
      <c r="AW112">
        <v>12.177680000000001</v>
      </c>
      <c r="AX112"/>
    </row>
    <row r="113" spans="1:50" x14ac:dyDescent="0.35">
      <c r="A113" s="75">
        <v>21276</v>
      </c>
      <c r="B113"/>
      <c r="C113"/>
      <c r="D113"/>
      <c r="E113"/>
      <c r="F113">
        <v>23.193249999999999</v>
      </c>
      <c r="G113"/>
      <c r="H113"/>
      <c r="I113"/>
      <c r="J113"/>
      <c r="K113"/>
      <c r="L113"/>
      <c r="M113"/>
      <c r="N113"/>
      <c r="O113"/>
      <c r="P113"/>
      <c r="Q113"/>
      <c r="R113">
        <v>7.1259449999999998</v>
      </c>
      <c r="S113"/>
      <c r="T113"/>
      <c r="U113"/>
      <c r="V113"/>
      <c r="W113"/>
      <c r="X113"/>
      <c r="Y113"/>
      <c r="Z113"/>
      <c r="AA113"/>
      <c r="AB113"/>
      <c r="AC113"/>
      <c r="AD113"/>
      <c r="AE113">
        <v>16.913239999999998</v>
      </c>
      <c r="AF113"/>
      <c r="AG113"/>
      <c r="AH113"/>
      <c r="AI113"/>
      <c r="AJ113"/>
      <c r="AK113"/>
      <c r="AL113"/>
      <c r="AM113"/>
      <c r="AN113"/>
      <c r="AO113"/>
      <c r="AP113"/>
      <c r="AQ113"/>
      <c r="AR113"/>
      <c r="AS113"/>
      <c r="AT113"/>
      <c r="AU113"/>
      <c r="AV113"/>
      <c r="AW113">
        <v>12.177680000000001</v>
      </c>
      <c r="AX113"/>
    </row>
    <row r="114" spans="1:50" x14ac:dyDescent="0.35">
      <c r="A114" s="75">
        <v>21306</v>
      </c>
      <c r="B114"/>
      <c r="C114"/>
      <c r="D114"/>
      <c r="E114"/>
      <c r="F114">
        <v>23.45485</v>
      </c>
      <c r="G114"/>
      <c r="H114"/>
      <c r="I114"/>
      <c r="J114"/>
      <c r="K114"/>
      <c r="L114"/>
      <c r="M114"/>
      <c r="N114"/>
      <c r="O114"/>
      <c r="P114"/>
      <c r="Q114"/>
      <c r="R114">
        <v>7.2009270000000001</v>
      </c>
      <c r="S114"/>
      <c r="T114"/>
      <c r="U114"/>
      <c r="V114"/>
      <c r="W114"/>
      <c r="X114"/>
      <c r="Y114"/>
      <c r="Z114"/>
      <c r="AA114"/>
      <c r="AB114"/>
      <c r="AC114"/>
      <c r="AD114"/>
      <c r="AE114">
        <v>16.9346</v>
      </c>
      <c r="AF114"/>
      <c r="AG114"/>
      <c r="AH114"/>
      <c r="AI114"/>
      <c r="AJ114"/>
      <c r="AK114"/>
      <c r="AL114"/>
      <c r="AM114"/>
      <c r="AN114"/>
      <c r="AO114"/>
      <c r="AP114"/>
      <c r="AQ114"/>
      <c r="AR114"/>
      <c r="AS114"/>
      <c r="AT114"/>
      <c r="AU114"/>
      <c r="AV114"/>
      <c r="AW114">
        <v>12.177680000000001</v>
      </c>
      <c r="AX114"/>
    </row>
    <row r="115" spans="1:50" x14ac:dyDescent="0.35">
      <c r="A115" s="75">
        <v>21337</v>
      </c>
      <c r="B115"/>
      <c r="C115"/>
      <c r="D115"/>
      <c r="E115"/>
      <c r="F115">
        <v>23.46236</v>
      </c>
      <c r="G115"/>
      <c r="H115"/>
      <c r="I115"/>
      <c r="J115"/>
      <c r="K115"/>
      <c r="L115"/>
      <c r="M115"/>
      <c r="N115"/>
      <c r="O115"/>
      <c r="P115"/>
      <c r="Q115"/>
      <c r="R115">
        <v>7.2171370000000001</v>
      </c>
      <c r="S115"/>
      <c r="T115"/>
      <c r="U115"/>
      <c r="V115"/>
      <c r="W115"/>
      <c r="X115"/>
      <c r="Y115"/>
      <c r="Z115"/>
      <c r="AA115"/>
      <c r="AB115"/>
      <c r="AC115"/>
      <c r="AD115"/>
      <c r="AE115">
        <v>17.084599999999998</v>
      </c>
      <c r="AF115"/>
      <c r="AG115"/>
      <c r="AH115"/>
      <c r="AI115"/>
      <c r="AJ115"/>
      <c r="AK115"/>
      <c r="AL115"/>
      <c r="AM115"/>
      <c r="AN115"/>
      <c r="AO115"/>
      <c r="AP115"/>
      <c r="AQ115"/>
      <c r="AR115"/>
      <c r="AS115"/>
      <c r="AT115"/>
      <c r="AU115"/>
      <c r="AV115"/>
      <c r="AW115">
        <v>12.177680000000001</v>
      </c>
      <c r="AX115"/>
    </row>
    <row r="116" spans="1:50" x14ac:dyDescent="0.35">
      <c r="A116" s="75">
        <v>21367</v>
      </c>
      <c r="B116"/>
      <c r="C116"/>
      <c r="D116"/>
      <c r="E116"/>
      <c r="F116">
        <v>23.458659999999998</v>
      </c>
      <c r="G116"/>
      <c r="H116"/>
      <c r="I116"/>
      <c r="J116"/>
      <c r="K116"/>
      <c r="L116"/>
      <c r="M116"/>
      <c r="N116"/>
      <c r="O116"/>
      <c r="P116"/>
      <c r="Q116"/>
      <c r="R116">
        <v>7.1552230000000003</v>
      </c>
      <c r="S116"/>
      <c r="T116"/>
      <c r="U116"/>
      <c r="V116"/>
      <c r="W116"/>
      <c r="X116"/>
      <c r="Y116"/>
      <c r="Z116"/>
      <c r="AA116"/>
      <c r="AB116"/>
      <c r="AC116"/>
      <c r="AD116"/>
      <c r="AE116">
        <v>17.041029999999999</v>
      </c>
      <c r="AF116"/>
      <c r="AG116"/>
      <c r="AH116"/>
      <c r="AI116"/>
      <c r="AJ116"/>
      <c r="AK116"/>
      <c r="AL116"/>
      <c r="AM116"/>
      <c r="AN116"/>
      <c r="AO116"/>
      <c r="AP116"/>
      <c r="AQ116"/>
      <c r="AR116"/>
      <c r="AS116"/>
      <c r="AT116"/>
      <c r="AU116"/>
      <c r="AV116"/>
      <c r="AW116">
        <v>12.218959999999999</v>
      </c>
      <c r="AX116"/>
    </row>
    <row r="117" spans="1:50" x14ac:dyDescent="0.35">
      <c r="A117" s="75">
        <v>21398</v>
      </c>
      <c r="B117"/>
      <c r="C117"/>
      <c r="D117"/>
      <c r="E117"/>
      <c r="F117">
        <v>23.47822</v>
      </c>
      <c r="G117"/>
      <c r="H117"/>
      <c r="I117"/>
      <c r="J117"/>
      <c r="K117"/>
      <c r="L117"/>
      <c r="M117"/>
      <c r="N117"/>
      <c r="O117"/>
      <c r="P117"/>
      <c r="Q117"/>
      <c r="R117">
        <v>7.246416</v>
      </c>
      <c r="S117"/>
      <c r="T117"/>
      <c r="U117"/>
      <c r="V117"/>
      <c r="W117"/>
      <c r="X117"/>
      <c r="Y117"/>
      <c r="Z117"/>
      <c r="AA117"/>
      <c r="AB117"/>
      <c r="AC117"/>
      <c r="AD117"/>
      <c r="AE117">
        <v>17.2241</v>
      </c>
      <c r="AF117"/>
      <c r="AG117"/>
      <c r="AH117"/>
      <c r="AI117"/>
      <c r="AJ117"/>
      <c r="AK117"/>
      <c r="AL117"/>
      <c r="AM117"/>
      <c r="AN117"/>
      <c r="AO117"/>
      <c r="AP117"/>
      <c r="AQ117"/>
      <c r="AR117"/>
      <c r="AS117"/>
      <c r="AT117"/>
      <c r="AU117"/>
      <c r="AV117"/>
      <c r="AW117">
        <v>12.218959999999999</v>
      </c>
      <c r="AX117"/>
    </row>
    <row r="118" spans="1:50" x14ac:dyDescent="0.35">
      <c r="A118" s="75">
        <v>21429</v>
      </c>
      <c r="B118"/>
      <c r="C118"/>
      <c r="D118"/>
      <c r="E118"/>
      <c r="F118">
        <v>23.507210000000001</v>
      </c>
      <c r="G118"/>
      <c r="H118"/>
      <c r="I118"/>
      <c r="J118"/>
      <c r="K118"/>
      <c r="L118"/>
      <c r="M118"/>
      <c r="N118"/>
      <c r="O118"/>
      <c r="P118"/>
      <c r="Q118"/>
      <c r="R118">
        <v>7.2522710000000004</v>
      </c>
      <c r="S118"/>
      <c r="T118"/>
      <c r="U118"/>
      <c r="V118"/>
      <c r="W118"/>
      <c r="X118"/>
      <c r="Y118"/>
      <c r="Z118"/>
      <c r="AA118"/>
      <c r="AB118"/>
      <c r="AC118"/>
      <c r="AD118"/>
      <c r="AE118">
        <v>17.099820000000001</v>
      </c>
      <c r="AF118"/>
      <c r="AG118"/>
      <c r="AH118"/>
      <c r="AI118"/>
      <c r="AJ118"/>
      <c r="AK118"/>
      <c r="AL118"/>
      <c r="AM118"/>
      <c r="AN118"/>
      <c r="AO118"/>
      <c r="AP118"/>
      <c r="AQ118"/>
      <c r="AR118"/>
      <c r="AS118"/>
      <c r="AT118"/>
      <c r="AU118"/>
      <c r="AV118"/>
      <c r="AW118">
        <v>12.218959999999999</v>
      </c>
      <c r="AX118"/>
    </row>
    <row r="119" spans="1:50" x14ac:dyDescent="0.35">
      <c r="A119" s="75">
        <v>21459</v>
      </c>
      <c r="B119"/>
      <c r="C119"/>
      <c r="D119"/>
      <c r="E119"/>
      <c r="F119">
        <v>23.492999999999999</v>
      </c>
      <c r="G119"/>
      <c r="H119"/>
      <c r="I119"/>
      <c r="J119"/>
      <c r="K119"/>
      <c r="L119"/>
      <c r="M119"/>
      <c r="N119"/>
      <c r="O119"/>
      <c r="P119"/>
      <c r="Q119"/>
      <c r="R119">
        <v>7.2684810000000004</v>
      </c>
      <c r="S119"/>
      <c r="T119"/>
      <c r="U119"/>
      <c r="V119"/>
      <c r="W119"/>
      <c r="X119"/>
      <c r="Y119"/>
      <c r="Z119"/>
      <c r="AA119"/>
      <c r="AB119"/>
      <c r="AC119"/>
      <c r="AD119"/>
      <c r="AE119">
        <v>17.239999999999998</v>
      </c>
      <c r="AF119"/>
      <c r="AG119"/>
      <c r="AH119"/>
      <c r="AI119"/>
      <c r="AJ119"/>
      <c r="AK119"/>
      <c r="AL119"/>
      <c r="AM119"/>
      <c r="AN119"/>
      <c r="AO119"/>
      <c r="AP119"/>
      <c r="AQ119"/>
      <c r="AR119"/>
      <c r="AS119"/>
      <c r="AT119"/>
      <c r="AU119"/>
      <c r="AV119"/>
      <c r="AW119">
        <v>12.26024</v>
      </c>
      <c r="AX119"/>
    </row>
    <row r="120" spans="1:50" x14ac:dyDescent="0.35">
      <c r="A120" s="75">
        <v>21490</v>
      </c>
      <c r="B120"/>
      <c r="C120"/>
      <c r="D120"/>
      <c r="E120"/>
      <c r="F120">
        <v>23.504059999999999</v>
      </c>
      <c r="G120"/>
      <c r="H120"/>
      <c r="I120"/>
      <c r="J120"/>
      <c r="K120"/>
      <c r="L120"/>
      <c r="M120"/>
      <c r="N120"/>
      <c r="O120"/>
      <c r="P120"/>
      <c r="Q120"/>
      <c r="R120">
        <v>7.2360620000000004</v>
      </c>
      <c r="S120"/>
      <c r="T120"/>
      <c r="U120"/>
      <c r="V120"/>
      <c r="W120"/>
      <c r="X120"/>
      <c r="Y120"/>
      <c r="Z120"/>
      <c r="AA120"/>
      <c r="AB120"/>
      <c r="AC120"/>
      <c r="AD120"/>
      <c r="AE120">
        <v>17.045680000000001</v>
      </c>
      <c r="AF120"/>
      <c r="AG120"/>
      <c r="AH120"/>
      <c r="AI120"/>
      <c r="AJ120"/>
      <c r="AK120"/>
      <c r="AL120"/>
      <c r="AM120"/>
      <c r="AN120"/>
      <c r="AO120"/>
      <c r="AP120"/>
      <c r="AQ120"/>
      <c r="AR120"/>
      <c r="AS120"/>
      <c r="AT120"/>
      <c r="AU120"/>
      <c r="AV120"/>
      <c r="AW120">
        <v>12.3428</v>
      </c>
      <c r="AX120"/>
    </row>
    <row r="121" spans="1:50" x14ac:dyDescent="0.35">
      <c r="A121" s="75">
        <v>21520</v>
      </c>
      <c r="B121"/>
      <c r="C121"/>
      <c r="D121"/>
      <c r="E121"/>
      <c r="F121">
        <v>23.470379999999999</v>
      </c>
      <c r="G121"/>
      <c r="H121"/>
      <c r="I121"/>
      <c r="J121"/>
      <c r="K121"/>
      <c r="L121"/>
      <c r="M121"/>
      <c r="N121"/>
      <c r="O121"/>
      <c r="P121"/>
      <c r="Q121"/>
      <c r="R121">
        <v>7.2522710000000004</v>
      </c>
      <c r="S121"/>
      <c r="T121"/>
      <c r="U121"/>
      <c r="V121"/>
      <c r="W121"/>
      <c r="X121"/>
      <c r="Y121"/>
      <c r="Z121"/>
      <c r="AA121"/>
      <c r="AB121"/>
      <c r="AC121"/>
      <c r="AD121"/>
      <c r="AE121">
        <v>17.0626</v>
      </c>
      <c r="AF121"/>
      <c r="AG121"/>
      <c r="AH121"/>
      <c r="AI121"/>
      <c r="AJ121"/>
      <c r="AK121"/>
      <c r="AL121"/>
      <c r="AM121"/>
      <c r="AN121"/>
      <c r="AO121"/>
      <c r="AP121"/>
      <c r="AQ121"/>
      <c r="AR121"/>
      <c r="AS121"/>
      <c r="AT121"/>
      <c r="AU121"/>
      <c r="AV121"/>
      <c r="AW121">
        <v>12.3428</v>
      </c>
      <c r="AX121"/>
    </row>
    <row r="122" spans="1:50" x14ac:dyDescent="0.35">
      <c r="A122" s="75">
        <v>21551</v>
      </c>
      <c r="B122"/>
      <c r="C122"/>
      <c r="D122"/>
      <c r="E122"/>
      <c r="F122">
        <v>23.357479999999999</v>
      </c>
      <c r="G122"/>
      <c r="H122"/>
      <c r="I122"/>
      <c r="J122"/>
      <c r="K122"/>
      <c r="L122"/>
      <c r="M122"/>
      <c r="N122"/>
      <c r="O122"/>
      <c r="P122"/>
      <c r="Q122"/>
      <c r="R122">
        <v>7.2522710000000004</v>
      </c>
      <c r="S122"/>
      <c r="T122"/>
      <c r="U122"/>
      <c r="V122"/>
      <c r="W122"/>
      <c r="X122"/>
      <c r="Y122"/>
      <c r="Z122"/>
      <c r="AA122"/>
      <c r="AB122"/>
      <c r="AC122"/>
      <c r="AD122"/>
      <c r="AE122">
        <v>17.08183</v>
      </c>
      <c r="AF122"/>
      <c r="AG122"/>
      <c r="AH122"/>
      <c r="AI122"/>
      <c r="AJ122"/>
      <c r="AK122"/>
      <c r="AL122"/>
      <c r="AM122"/>
      <c r="AN122"/>
      <c r="AO122"/>
      <c r="AP122"/>
      <c r="AQ122"/>
      <c r="AR122"/>
      <c r="AS122"/>
      <c r="AT122"/>
      <c r="AU122"/>
      <c r="AV122"/>
      <c r="AW122">
        <v>12.3428</v>
      </c>
      <c r="AX122"/>
    </row>
    <row r="123" spans="1:50" x14ac:dyDescent="0.35">
      <c r="A123" s="75">
        <v>21582</v>
      </c>
      <c r="B123"/>
      <c r="C123"/>
      <c r="D123"/>
      <c r="E123"/>
      <c r="F123">
        <v>23.293749999999999</v>
      </c>
      <c r="G123"/>
      <c r="H123"/>
      <c r="I123"/>
      <c r="J123"/>
      <c r="K123"/>
      <c r="L123"/>
      <c r="M123"/>
      <c r="N123"/>
      <c r="O123"/>
      <c r="P123"/>
      <c r="Q123"/>
      <c r="R123">
        <v>7.2684810000000004</v>
      </c>
      <c r="S123"/>
      <c r="T123"/>
      <c r="U123"/>
      <c r="V123"/>
      <c r="W123"/>
      <c r="X123"/>
      <c r="Y123"/>
      <c r="Z123"/>
      <c r="AA123"/>
      <c r="AB123"/>
      <c r="AC123"/>
      <c r="AD123"/>
      <c r="AE123">
        <v>16.985220000000002</v>
      </c>
      <c r="AF123"/>
      <c r="AG123"/>
      <c r="AH123"/>
      <c r="AI123"/>
      <c r="AJ123"/>
      <c r="AK123"/>
      <c r="AL123"/>
      <c r="AM123"/>
      <c r="AN123"/>
      <c r="AO123"/>
      <c r="AP123"/>
      <c r="AQ123"/>
      <c r="AR123"/>
      <c r="AS123"/>
      <c r="AT123"/>
      <c r="AU123"/>
      <c r="AV123"/>
      <c r="AW123">
        <v>12.3428</v>
      </c>
      <c r="AX123"/>
    </row>
    <row r="124" spans="1:50" x14ac:dyDescent="0.35">
      <c r="A124" s="75">
        <v>21610</v>
      </c>
      <c r="B124"/>
      <c r="C124"/>
      <c r="D124"/>
      <c r="E124"/>
      <c r="F124">
        <v>23.262170000000001</v>
      </c>
      <c r="G124"/>
      <c r="H124"/>
      <c r="I124"/>
      <c r="J124"/>
      <c r="K124"/>
      <c r="L124"/>
      <c r="M124"/>
      <c r="N124"/>
      <c r="O124"/>
      <c r="P124"/>
      <c r="Q124"/>
      <c r="R124">
        <v>7.2522710000000004</v>
      </c>
      <c r="S124"/>
      <c r="T124"/>
      <c r="U124"/>
      <c r="V124"/>
      <c r="W124"/>
      <c r="X124"/>
      <c r="Y124"/>
      <c r="Z124"/>
      <c r="AA124"/>
      <c r="AB124"/>
      <c r="AC124"/>
      <c r="AD124"/>
      <c r="AE124">
        <v>17.06823</v>
      </c>
      <c r="AF124"/>
      <c r="AG124"/>
      <c r="AH124"/>
      <c r="AI124"/>
      <c r="AJ124"/>
      <c r="AK124"/>
      <c r="AL124"/>
      <c r="AM124"/>
      <c r="AN124"/>
      <c r="AO124"/>
      <c r="AP124"/>
      <c r="AQ124"/>
      <c r="AR124"/>
      <c r="AS124"/>
      <c r="AT124"/>
      <c r="AU124"/>
      <c r="AV124"/>
      <c r="AW124">
        <v>12.384080000000001</v>
      </c>
      <c r="AX124"/>
    </row>
    <row r="125" spans="1:50" x14ac:dyDescent="0.35">
      <c r="A125" s="75">
        <v>21641</v>
      </c>
      <c r="B125"/>
      <c r="C125"/>
      <c r="D125"/>
      <c r="E125"/>
      <c r="F125">
        <v>23.188289999999999</v>
      </c>
      <c r="G125"/>
      <c r="H125"/>
      <c r="I125"/>
      <c r="J125"/>
      <c r="K125"/>
      <c r="L125"/>
      <c r="M125"/>
      <c r="N125"/>
      <c r="O125"/>
      <c r="P125"/>
      <c r="Q125"/>
      <c r="R125">
        <v>7.2567690000000002</v>
      </c>
      <c r="S125"/>
      <c r="T125"/>
      <c r="U125"/>
      <c r="V125"/>
      <c r="W125"/>
      <c r="X125"/>
      <c r="Y125"/>
      <c r="Z125"/>
      <c r="AA125"/>
      <c r="AB125"/>
      <c r="AC125"/>
      <c r="AD125"/>
      <c r="AE125">
        <v>17.191310000000001</v>
      </c>
      <c r="AF125"/>
      <c r="AG125"/>
      <c r="AH125"/>
      <c r="AI125"/>
      <c r="AJ125"/>
      <c r="AK125"/>
      <c r="AL125"/>
      <c r="AM125"/>
      <c r="AN125"/>
      <c r="AO125"/>
      <c r="AP125"/>
      <c r="AQ125"/>
      <c r="AR125"/>
      <c r="AS125"/>
      <c r="AT125"/>
      <c r="AU125"/>
      <c r="AV125"/>
      <c r="AW125">
        <v>12.384080000000001</v>
      </c>
      <c r="AX125"/>
    </row>
    <row r="126" spans="1:50" x14ac:dyDescent="0.35">
      <c r="A126" s="75">
        <v>21671</v>
      </c>
      <c r="B126"/>
      <c r="C126"/>
      <c r="D126"/>
      <c r="E126"/>
      <c r="F126">
        <v>23.27647</v>
      </c>
      <c r="G126"/>
      <c r="H126"/>
      <c r="I126"/>
      <c r="J126"/>
      <c r="K126"/>
      <c r="L126"/>
      <c r="M126"/>
      <c r="N126"/>
      <c r="O126"/>
      <c r="P126"/>
      <c r="Q126"/>
      <c r="R126">
        <v>7.2567690000000002</v>
      </c>
      <c r="S126"/>
      <c r="T126"/>
      <c r="U126"/>
      <c r="V126"/>
      <c r="W126"/>
      <c r="X126"/>
      <c r="Y126"/>
      <c r="Z126"/>
      <c r="AA126"/>
      <c r="AB126"/>
      <c r="AC126"/>
      <c r="AD126"/>
      <c r="AE126">
        <v>17.144290000000002</v>
      </c>
      <c r="AF126"/>
      <c r="AG126"/>
      <c r="AH126"/>
      <c r="AI126"/>
      <c r="AJ126"/>
      <c r="AK126"/>
      <c r="AL126"/>
      <c r="AM126"/>
      <c r="AN126"/>
      <c r="AO126"/>
      <c r="AP126"/>
      <c r="AQ126"/>
      <c r="AR126"/>
      <c r="AS126"/>
      <c r="AT126"/>
      <c r="AU126"/>
      <c r="AV126"/>
      <c r="AW126">
        <v>12.42536</v>
      </c>
      <c r="AX126"/>
    </row>
    <row r="127" spans="1:50" x14ac:dyDescent="0.35">
      <c r="A127" s="75">
        <v>21702</v>
      </c>
      <c r="B127"/>
      <c r="C127"/>
      <c r="D127"/>
      <c r="E127"/>
      <c r="F127">
        <v>23.258050000000001</v>
      </c>
      <c r="G127"/>
      <c r="H127"/>
      <c r="I127"/>
      <c r="J127"/>
      <c r="K127"/>
      <c r="L127"/>
      <c r="M127"/>
      <c r="N127"/>
      <c r="O127"/>
      <c r="P127"/>
      <c r="Q127"/>
      <c r="R127">
        <v>7.2626249999999999</v>
      </c>
      <c r="S127"/>
      <c r="T127"/>
      <c r="U127"/>
      <c r="V127"/>
      <c r="W127"/>
      <c r="X127"/>
      <c r="Y127"/>
      <c r="Z127"/>
      <c r="AA127"/>
      <c r="AB127"/>
      <c r="AC127"/>
      <c r="AD127"/>
      <c r="AE127">
        <v>17.24878</v>
      </c>
      <c r="AF127"/>
      <c r="AG127"/>
      <c r="AH127"/>
      <c r="AI127"/>
      <c r="AJ127"/>
      <c r="AK127"/>
      <c r="AL127"/>
      <c r="AM127"/>
      <c r="AN127"/>
      <c r="AO127"/>
      <c r="AP127"/>
      <c r="AQ127"/>
      <c r="AR127"/>
      <c r="AS127"/>
      <c r="AT127"/>
      <c r="AU127"/>
      <c r="AV127"/>
      <c r="AW127">
        <v>12.42536</v>
      </c>
      <c r="AX127"/>
    </row>
    <row r="128" spans="1:50" x14ac:dyDescent="0.35">
      <c r="A128" s="75">
        <v>21732</v>
      </c>
      <c r="B128"/>
      <c r="C128"/>
      <c r="D128"/>
      <c r="E128"/>
      <c r="F128">
        <v>23.257000000000001</v>
      </c>
      <c r="G128"/>
      <c r="H128"/>
      <c r="I128"/>
      <c r="J128"/>
      <c r="K128"/>
      <c r="L128"/>
      <c r="M128"/>
      <c r="N128"/>
      <c r="O128"/>
      <c r="P128"/>
      <c r="Q128"/>
      <c r="R128">
        <v>7.2639829999999996</v>
      </c>
      <c r="S128"/>
      <c r="T128"/>
      <c r="U128"/>
      <c r="V128"/>
      <c r="W128"/>
      <c r="X128"/>
      <c r="Y128"/>
      <c r="Z128"/>
      <c r="AA128"/>
      <c r="AB128"/>
      <c r="AC128"/>
      <c r="AD128"/>
      <c r="AE128">
        <v>17.282080000000001</v>
      </c>
      <c r="AF128"/>
      <c r="AG128"/>
      <c r="AH128"/>
      <c r="AI128"/>
      <c r="AJ128"/>
      <c r="AK128"/>
      <c r="AL128"/>
      <c r="AM128"/>
      <c r="AN128"/>
      <c r="AO128"/>
      <c r="AP128"/>
      <c r="AQ128"/>
      <c r="AR128"/>
      <c r="AS128"/>
      <c r="AT128"/>
      <c r="AU128"/>
      <c r="AV128"/>
      <c r="AW128">
        <v>12.46664</v>
      </c>
      <c r="AX128"/>
    </row>
    <row r="129" spans="1:50" x14ac:dyDescent="0.35">
      <c r="A129" s="75">
        <v>21763</v>
      </c>
      <c r="B129"/>
      <c r="C129"/>
      <c r="D129"/>
      <c r="E129"/>
      <c r="F129">
        <v>23.312799999999999</v>
      </c>
      <c r="G129"/>
      <c r="H129"/>
      <c r="I129"/>
      <c r="J129"/>
      <c r="K129"/>
      <c r="L129"/>
      <c r="M129"/>
      <c r="N129"/>
      <c r="O129"/>
      <c r="P129"/>
      <c r="Q129"/>
      <c r="R129">
        <v>7.2639829999999996</v>
      </c>
      <c r="S129"/>
      <c r="T129"/>
      <c r="U129"/>
      <c r="V129"/>
      <c r="W129"/>
      <c r="X129"/>
      <c r="Y129"/>
      <c r="Z129"/>
      <c r="AA129"/>
      <c r="AB129"/>
      <c r="AC129"/>
      <c r="AD129"/>
      <c r="AE129">
        <v>17.536390000000001</v>
      </c>
      <c r="AF129"/>
      <c r="AG129"/>
      <c r="AH129"/>
      <c r="AI129"/>
      <c r="AJ129"/>
      <c r="AK129"/>
      <c r="AL129"/>
      <c r="AM129"/>
      <c r="AN129"/>
      <c r="AO129"/>
      <c r="AP129"/>
      <c r="AQ129"/>
      <c r="AR129"/>
      <c r="AS129"/>
      <c r="AT129"/>
      <c r="AU129"/>
      <c r="AV129"/>
      <c r="AW129">
        <v>12.46664</v>
      </c>
      <c r="AX129"/>
    </row>
    <row r="130" spans="1:50" x14ac:dyDescent="0.35">
      <c r="A130" s="75">
        <v>21794</v>
      </c>
      <c r="B130"/>
      <c r="C130"/>
      <c r="D130"/>
      <c r="E130"/>
      <c r="F130">
        <v>23.375540000000001</v>
      </c>
      <c r="G130"/>
      <c r="H130"/>
      <c r="I130"/>
      <c r="J130"/>
      <c r="K130"/>
      <c r="L130"/>
      <c r="M130"/>
      <c r="N130"/>
      <c r="O130"/>
      <c r="P130"/>
      <c r="Q130"/>
      <c r="R130">
        <v>7.3286119999999997</v>
      </c>
      <c r="S130"/>
      <c r="T130"/>
      <c r="U130"/>
      <c r="V130"/>
      <c r="W130"/>
      <c r="X130"/>
      <c r="Y130"/>
      <c r="Z130"/>
      <c r="AA130"/>
      <c r="AB130"/>
      <c r="AC130"/>
      <c r="AD130"/>
      <c r="AE130">
        <v>17.36411</v>
      </c>
      <c r="AF130"/>
      <c r="AG130"/>
      <c r="AH130"/>
      <c r="AI130"/>
      <c r="AJ130"/>
      <c r="AK130"/>
      <c r="AL130"/>
      <c r="AM130"/>
      <c r="AN130"/>
      <c r="AO130"/>
      <c r="AP130"/>
      <c r="AQ130"/>
      <c r="AR130"/>
      <c r="AS130"/>
      <c r="AT130"/>
      <c r="AU130"/>
      <c r="AV130"/>
      <c r="AW130">
        <v>12.50792</v>
      </c>
      <c r="AX130"/>
    </row>
    <row r="131" spans="1:50" x14ac:dyDescent="0.35">
      <c r="A131" s="75">
        <v>21824</v>
      </c>
      <c r="B131"/>
      <c r="C131"/>
      <c r="D131"/>
      <c r="E131"/>
      <c r="F131">
        <v>23.415620000000001</v>
      </c>
      <c r="G131"/>
      <c r="H131"/>
      <c r="I131"/>
      <c r="J131"/>
      <c r="K131"/>
      <c r="L131"/>
      <c r="M131"/>
      <c r="N131"/>
      <c r="O131"/>
      <c r="P131"/>
      <c r="Q131"/>
      <c r="R131">
        <v>7.4947869999999996</v>
      </c>
      <c r="S131"/>
      <c r="T131"/>
      <c r="U131"/>
      <c r="V131"/>
      <c r="W131"/>
      <c r="X131"/>
      <c r="Y131"/>
      <c r="Z131"/>
      <c r="AA131"/>
      <c r="AB131"/>
      <c r="AC131"/>
      <c r="AD131"/>
      <c r="AE131">
        <v>17.590789999999998</v>
      </c>
      <c r="AF131"/>
      <c r="AG131"/>
      <c r="AH131"/>
      <c r="AI131"/>
      <c r="AJ131"/>
      <c r="AK131"/>
      <c r="AL131"/>
      <c r="AM131"/>
      <c r="AN131"/>
      <c r="AO131"/>
      <c r="AP131"/>
      <c r="AQ131"/>
      <c r="AR131"/>
      <c r="AS131"/>
      <c r="AT131"/>
      <c r="AU131"/>
      <c r="AV131"/>
      <c r="AW131">
        <v>12.590479999999999</v>
      </c>
      <c r="AX131"/>
    </row>
    <row r="132" spans="1:50" x14ac:dyDescent="0.35">
      <c r="A132" s="75">
        <v>21855</v>
      </c>
      <c r="B132"/>
      <c r="C132"/>
      <c r="D132"/>
      <c r="E132"/>
      <c r="F132">
        <v>23.437740000000002</v>
      </c>
      <c r="G132"/>
      <c r="H132"/>
      <c r="I132"/>
      <c r="J132"/>
      <c r="K132"/>
      <c r="L132"/>
      <c r="M132"/>
      <c r="N132"/>
      <c r="O132"/>
      <c r="P132"/>
      <c r="Q132"/>
      <c r="R132">
        <v>7.4947869999999996</v>
      </c>
      <c r="S132"/>
      <c r="T132"/>
      <c r="U132"/>
      <c r="V132"/>
      <c r="W132"/>
      <c r="X132"/>
      <c r="Y132"/>
      <c r="Z132"/>
      <c r="AA132"/>
      <c r="AB132"/>
      <c r="AC132"/>
      <c r="AD132"/>
      <c r="AE132">
        <v>17.466090000000001</v>
      </c>
      <c r="AF132"/>
      <c r="AG132"/>
      <c r="AH132"/>
      <c r="AI132"/>
      <c r="AJ132"/>
      <c r="AK132"/>
      <c r="AL132"/>
      <c r="AM132"/>
      <c r="AN132"/>
      <c r="AO132"/>
      <c r="AP132"/>
      <c r="AQ132"/>
      <c r="AR132"/>
      <c r="AS132"/>
      <c r="AT132"/>
      <c r="AU132"/>
      <c r="AV132"/>
      <c r="AW132">
        <v>12.590479999999999</v>
      </c>
      <c r="AX132"/>
    </row>
    <row r="133" spans="1:50" x14ac:dyDescent="0.35">
      <c r="A133" s="75">
        <v>21885</v>
      </c>
      <c r="B133"/>
      <c r="C133"/>
      <c r="D133"/>
      <c r="E133"/>
      <c r="F133">
        <v>23.420390000000001</v>
      </c>
      <c r="G133"/>
      <c r="H133"/>
      <c r="I133"/>
      <c r="J133"/>
      <c r="K133"/>
      <c r="L133"/>
      <c r="M133"/>
      <c r="N133"/>
      <c r="O133"/>
      <c r="P133"/>
      <c r="Q133"/>
      <c r="R133">
        <v>7.5109959999999996</v>
      </c>
      <c r="S133"/>
      <c r="T133"/>
      <c r="U133"/>
      <c r="V133"/>
      <c r="W133"/>
      <c r="X133"/>
      <c r="Y133"/>
      <c r="Z133"/>
      <c r="AA133"/>
      <c r="AB133"/>
      <c r="AC133"/>
      <c r="AD133"/>
      <c r="AE133">
        <v>17.461649999999999</v>
      </c>
      <c r="AF133"/>
      <c r="AG133"/>
      <c r="AH133"/>
      <c r="AI133"/>
      <c r="AJ133"/>
      <c r="AK133"/>
      <c r="AL133"/>
      <c r="AM133"/>
      <c r="AN133"/>
      <c r="AO133"/>
      <c r="AP133"/>
      <c r="AQ133"/>
      <c r="AR133"/>
      <c r="AS133"/>
      <c r="AT133"/>
      <c r="AU133"/>
      <c r="AV133"/>
      <c r="AW133">
        <v>12.590479999999999</v>
      </c>
      <c r="AX133"/>
    </row>
    <row r="134" spans="1:50" x14ac:dyDescent="0.35">
      <c r="A134" s="75">
        <v>21916</v>
      </c>
      <c r="B134"/>
      <c r="C134"/>
      <c r="D134"/>
      <c r="E134"/>
      <c r="F134">
        <v>23.385149999999999</v>
      </c>
      <c r="G134"/>
      <c r="H134"/>
      <c r="I134"/>
      <c r="J134"/>
      <c r="K134"/>
      <c r="L134"/>
      <c r="M134"/>
      <c r="N134"/>
      <c r="O134"/>
      <c r="P134"/>
      <c r="Q134"/>
      <c r="R134">
        <v>7.4830759999999996</v>
      </c>
      <c r="S134"/>
      <c r="T134"/>
      <c r="U134"/>
      <c r="V134"/>
      <c r="W134"/>
      <c r="X134"/>
      <c r="Y134"/>
      <c r="Z134"/>
      <c r="AA134"/>
      <c r="AB134"/>
      <c r="AC134"/>
      <c r="AD134">
        <v>3.6834289999999998</v>
      </c>
      <c r="AE134">
        <v>17.624079999999999</v>
      </c>
      <c r="AF134"/>
      <c r="AG134"/>
      <c r="AH134"/>
      <c r="AI134"/>
      <c r="AJ134"/>
      <c r="AK134"/>
      <c r="AL134"/>
      <c r="AM134"/>
      <c r="AN134"/>
      <c r="AO134"/>
      <c r="AP134"/>
      <c r="AQ134"/>
      <c r="AR134"/>
      <c r="AS134"/>
      <c r="AT134"/>
      <c r="AU134"/>
      <c r="AV134"/>
      <c r="AW134">
        <v>12.590479999999999</v>
      </c>
      <c r="AX134"/>
    </row>
    <row r="135" spans="1:50" x14ac:dyDescent="0.35">
      <c r="A135" s="75">
        <v>21947</v>
      </c>
      <c r="B135"/>
      <c r="C135"/>
      <c r="D135"/>
      <c r="E135"/>
      <c r="F135">
        <v>23.509129999999999</v>
      </c>
      <c r="G135"/>
      <c r="H135"/>
      <c r="I135"/>
      <c r="J135"/>
      <c r="K135"/>
      <c r="L135"/>
      <c r="M135"/>
      <c r="N135"/>
      <c r="O135"/>
      <c r="P135"/>
      <c r="Q135"/>
      <c r="R135">
        <v>7.4992850000000004</v>
      </c>
      <c r="S135"/>
      <c r="T135"/>
      <c r="U135"/>
      <c r="V135"/>
      <c r="W135"/>
      <c r="X135"/>
      <c r="Y135"/>
      <c r="Z135"/>
      <c r="AA135"/>
      <c r="AB135"/>
      <c r="AC135"/>
      <c r="AD135">
        <v>3.681524</v>
      </c>
      <c r="AE135">
        <v>17.64331</v>
      </c>
      <c r="AF135"/>
      <c r="AG135"/>
      <c r="AH135"/>
      <c r="AI135"/>
      <c r="AJ135"/>
      <c r="AK135"/>
      <c r="AL135"/>
      <c r="AM135"/>
      <c r="AN135"/>
      <c r="AO135"/>
      <c r="AP135"/>
      <c r="AQ135"/>
      <c r="AR135"/>
      <c r="AS135"/>
      <c r="AT135"/>
      <c r="AU135"/>
      <c r="AV135"/>
      <c r="AW135">
        <v>12.63176</v>
      </c>
      <c r="AX135"/>
    </row>
    <row r="136" spans="1:50" x14ac:dyDescent="0.35">
      <c r="A136" s="75">
        <v>21976</v>
      </c>
      <c r="B136"/>
      <c r="C136"/>
      <c r="D136"/>
      <c r="E136"/>
      <c r="F136">
        <v>23.509129999999999</v>
      </c>
      <c r="G136"/>
      <c r="H136"/>
      <c r="I136"/>
      <c r="J136"/>
      <c r="K136"/>
      <c r="L136"/>
      <c r="M136"/>
      <c r="N136"/>
      <c r="O136"/>
      <c r="P136"/>
      <c r="Q136"/>
      <c r="R136">
        <v>7.574268</v>
      </c>
      <c r="S136"/>
      <c r="T136"/>
      <c r="U136"/>
      <c r="V136"/>
      <c r="W136"/>
      <c r="X136"/>
      <c r="Y136"/>
      <c r="Z136"/>
      <c r="AA136"/>
      <c r="AB136"/>
      <c r="AC136"/>
      <c r="AD136">
        <v>3.6773549999999999</v>
      </c>
      <c r="AE136">
        <v>17.59526</v>
      </c>
      <c r="AF136"/>
      <c r="AG136"/>
      <c r="AH136"/>
      <c r="AI136"/>
      <c r="AJ136"/>
      <c r="AK136"/>
      <c r="AL136"/>
      <c r="AM136"/>
      <c r="AN136"/>
      <c r="AO136"/>
      <c r="AP136"/>
      <c r="AQ136"/>
      <c r="AR136"/>
      <c r="AS136"/>
      <c r="AT136"/>
      <c r="AU136"/>
      <c r="AV136"/>
      <c r="AW136">
        <v>12.63176</v>
      </c>
      <c r="AX136"/>
    </row>
    <row r="137" spans="1:50" x14ac:dyDescent="0.35">
      <c r="A137" s="75">
        <v>22007</v>
      </c>
      <c r="B137"/>
      <c r="C137"/>
      <c r="D137"/>
      <c r="E137"/>
      <c r="F137">
        <v>23.556100000000001</v>
      </c>
      <c r="G137"/>
      <c r="H137"/>
      <c r="I137"/>
      <c r="J137"/>
      <c r="K137"/>
      <c r="L137"/>
      <c r="M137"/>
      <c r="N137"/>
      <c r="O137"/>
      <c r="P137"/>
      <c r="Q137"/>
      <c r="R137">
        <v>7.5580579999999999</v>
      </c>
      <c r="S137"/>
      <c r="T137"/>
      <c r="U137"/>
      <c r="V137"/>
      <c r="W137"/>
      <c r="X137"/>
      <c r="Y137"/>
      <c r="Z137"/>
      <c r="AA137"/>
      <c r="AB137"/>
      <c r="AC137"/>
      <c r="AD137">
        <v>3.6759360000000001</v>
      </c>
      <c r="AE137">
        <v>17.734760000000001</v>
      </c>
      <c r="AF137"/>
      <c r="AG137"/>
      <c r="AH137"/>
      <c r="AI137"/>
      <c r="AJ137"/>
      <c r="AK137">
        <v>14.61406</v>
      </c>
      <c r="AL137"/>
      <c r="AM137"/>
      <c r="AN137"/>
      <c r="AO137"/>
      <c r="AP137"/>
      <c r="AQ137"/>
      <c r="AR137"/>
      <c r="AS137"/>
      <c r="AT137"/>
      <c r="AU137"/>
      <c r="AV137"/>
      <c r="AW137">
        <v>12.63176</v>
      </c>
      <c r="AX137"/>
    </row>
    <row r="138" spans="1:50" x14ac:dyDescent="0.35">
      <c r="A138" s="75">
        <v>22037</v>
      </c>
      <c r="B138"/>
      <c r="C138"/>
      <c r="D138"/>
      <c r="E138"/>
      <c r="F138">
        <v>23.685829999999999</v>
      </c>
      <c r="G138"/>
      <c r="H138"/>
      <c r="I138"/>
      <c r="J138"/>
      <c r="K138"/>
      <c r="L138"/>
      <c r="M138"/>
      <c r="N138"/>
      <c r="O138"/>
      <c r="P138"/>
      <c r="Q138"/>
      <c r="R138">
        <v>7.5477049999999997</v>
      </c>
      <c r="S138"/>
      <c r="T138"/>
      <c r="U138"/>
      <c r="V138"/>
      <c r="W138"/>
      <c r="X138"/>
      <c r="Y138"/>
      <c r="Z138"/>
      <c r="AA138"/>
      <c r="AB138"/>
      <c r="AC138"/>
      <c r="AD138">
        <v>3.679967</v>
      </c>
      <c r="AE138">
        <v>17.87208</v>
      </c>
      <c r="AF138"/>
      <c r="AG138"/>
      <c r="AH138"/>
      <c r="AI138"/>
      <c r="AJ138"/>
      <c r="AK138">
        <v>14.48339</v>
      </c>
      <c r="AL138"/>
      <c r="AM138"/>
      <c r="AN138"/>
      <c r="AO138"/>
      <c r="AP138"/>
      <c r="AQ138"/>
      <c r="AR138"/>
      <c r="AS138"/>
      <c r="AT138"/>
      <c r="AU138"/>
      <c r="AV138"/>
      <c r="AW138">
        <v>12.63176</v>
      </c>
      <c r="AX138"/>
    </row>
    <row r="139" spans="1:50" x14ac:dyDescent="0.35">
      <c r="A139" s="75">
        <v>22068</v>
      </c>
      <c r="B139"/>
      <c r="C139"/>
      <c r="D139"/>
      <c r="E139"/>
      <c r="F139">
        <v>23.70478</v>
      </c>
      <c r="G139"/>
      <c r="H139"/>
      <c r="I139"/>
      <c r="J139"/>
      <c r="K139"/>
      <c r="L139"/>
      <c r="M139"/>
      <c r="N139"/>
      <c r="O139"/>
      <c r="P139"/>
      <c r="Q139"/>
      <c r="R139">
        <v>7.5314949999999996</v>
      </c>
      <c r="S139"/>
      <c r="T139"/>
      <c r="U139"/>
      <c r="V139"/>
      <c r="W139"/>
      <c r="X139"/>
      <c r="Y139"/>
      <c r="Z139"/>
      <c r="AA139"/>
      <c r="AB139"/>
      <c r="AC139"/>
      <c r="AD139">
        <v>3.6754359999999999</v>
      </c>
      <c r="AE139">
        <v>17.778289999999998</v>
      </c>
      <c r="AF139"/>
      <c r="AG139"/>
      <c r="AH139"/>
      <c r="AI139"/>
      <c r="AJ139"/>
      <c r="AK139">
        <v>14.373760000000001</v>
      </c>
      <c r="AL139"/>
      <c r="AM139"/>
      <c r="AN139"/>
      <c r="AO139"/>
      <c r="AP139"/>
      <c r="AQ139"/>
      <c r="AR139"/>
      <c r="AS139"/>
      <c r="AT139"/>
      <c r="AU139"/>
      <c r="AV139"/>
      <c r="AW139">
        <v>12.63176</v>
      </c>
      <c r="AX139"/>
    </row>
    <row r="140" spans="1:50" x14ac:dyDescent="0.35">
      <c r="A140" s="75">
        <v>22098</v>
      </c>
      <c r="B140"/>
      <c r="C140"/>
      <c r="D140"/>
      <c r="E140"/>
      <c r="F140">
        <v>23.760680000000001</v>
      </c>
      <c r="G140"/>
      <c r="H140"/>
      <c r="I140"/>
      <c r="J140"/>
      <c r="K140"/>
      <c r="L140"/>
      <c r="M140"/>
      <c r="N140"/>
      <c r="O140"/>
      <c r="P140"/>
      <c r="Q140"/>
      <c r="R140">
        <v>7.6064780000000001</v>
      </c>
      <c r="S140"/>
      <c r="T140"/>
      <c r="U140"/>
      <c r="V140"/>
      <c r="W140"/>
      <c r="X140"/>
      <c r="Y140"/>
      <c r="Z140"/>
      <c r="AA140"/>
      <c r="AB140"/>
      <c r="AC140"/>
      <c r="AD140">
        <v>3.6921119999999998</v>
      </c>
      <c r="AE140">
        <v>17.768699999999999</v>
      </c>
      <c r="AF140"/>
      <c r="AG140"/>
      <c r="AH140"/>
      <c r="AI140"/>
      <c r="AJ140"/>
      <c r="AK140">
        <v>14.3642</v>
      </c>
      <c r="AL140"/>
      <c r="AM140"/>
      <c r="AN140"/>
      <c r="AO140"/>
      <c r="AP140"/>
      <c r="AQ140"/>
      <c r="AR140"/>
      <c r="AS140"/>
      <c r="AT140"/>
      <c r="AU140"/>
      <c r="AV140"/>
      <c r="AW140">
        <v>12.63176</v>
      </c>
      <c r="AX140"/>
    </row>
    <row r="141" spans="1:50" x14ac:dyDescent="0.35">
      <c r="A141" s="75">
        <v>22129</v>
      </c>
      <c r="B141"/>
      <c r="C141"/>
      <c r="D141"/>
      <c r="E141"/>
      <c r="F141">
        <v>23.803360000000001</v>
      </c>
      <c r="G141"/>
      <c r="H141"/>
      <c r="I141"/>
      <c r="J141"/>
      <c r="K141"/>
      <c r="L141"/>
      <c r="M141"/>
      <c r="N141"/>
      <c r="O141"/>
      <c r="P141"/>
      <c r="Q141"/>
      <c r="R141">
        <v>7.622687</v>
      </c>
      <c r="S141"/>
      <c r="T141"/>
      <c r="U141"/>
      <c r="V141"/>
      <c r="W141"/>
      <c r="X141"/>
      <c r="Y141"/>
      <c r="Z141"/>
      <c r="AA141"/>
      <c r="AB141"/>
      <c r="AC141"/>
      <c r="AD141">
        <v>3.706</v>
      </c>
      <c r="AE141">
        <v>17.91451</v>
      </c>
      <c r="AF141"/>
      <c r="AG141"/>
      <c r="AH141"/>
      <c r="AI141"/>
      <c r="AJ141"/>
      <c r="AK141">
        <v>14.29476</v>
      </c>
      <c r="AL141"/>
      <c r="AM141"/>
      <c r="AN141"/>
      <c r="AO141"/>
      <c r="AP141"/>
      <c r="AQ141"/>
      <c r="AR141"/>
      <c r="AS141"/>
      <c r="AT141"/>
      <c r="AU141"/>
      <c r="AV141"/>
      <c r="AW141">
        <v>12.63176</v>
      </c>
      <c r="AX141"/>
    </row>
    <row r="142" spans="1:50" x14ac:dyDescent="0.35">
      <c r="A142" s="75">
        <v>22160</v>
      </c>
      <c r="B142"/>
      <c r="C142"/>
      <c r="D142"/>
      <c r="E142"/>
      <c r="F142">
        <v>23.851849999999999</v>
      </c>
      <c r="G142"/>
      <c r="H142"/>
      <c r="I142"/>
      <c r="J142"/>
      <c r="K142"/>
      <c r="L142"/>
      <c r="M142"/>
      <c r="N142"/>
      <c r="O142"/>
      <c r="P142"/>
      <c r="Q142"/>
      <c r="R142">
        <v>7.6168319999999996</v>
      </c>
      <c r="S142"/>
      <c r="T142"/>
      <c r="U142"/>
      <c r="V142"/>
      <c r="W142"/>
      <c r="X142"/>
      <c r="Y142"/>
      <c r="Z142"/>
      <c r="AA142"/>
      <c r="AB142"/>
      <c r="AC142"/>
      <c r="AD142">
        <v>3.707106</v>
      </c>
      <c r="AE142">
        <v>18.007280000000002</v>
      </c>
      <c r="AF142"/>
      <c r="AG142"/>
      <c r="AH142"/>
      <c r="AI142"/>
      <c r="AJ142"/>
      <c r="AK142">
        <v>14.394819999999999</v>
      </c>
      <c r="AL142"/>
      <c r="AM142"/>
      <c r="AN142"/>
      <c r="AO142"/>
      <c r="AP142"/>
      <c r="AQ142"/>
      <c r="AR142"/>
      <c r="AS142"/>
      <c r="AT142"/>
      <c r="AU142"/>
      <c r="AV142"/>
      <c r="AW142">
        <v>12.63176</v>
      </c>
      <c r="AX142"/>
    </row>
    <row r="143" spans="1:50" x14ac:dyDescent="0.35">
      <c r="A143" s="75">
        <v>22190</v>
      </c>
      <c r="B143"/>
      <c r="C143"/>
      <c r="D143"/>
      <c r="E143"/>
      <c r="F143">
        <v>23.89359</v>
      </c>
      <c r="G143"/>
      <c r="H143"/>
      <c r="I143"/>
      <c r="J143"/>
      <c r="K143"/>
      <c r="L143"/>
      <c r="M143"/>
      <c r="N143"/>
      <c r="O143"/>
      <c r="P143"/>
      <c r="Q143"/>
      <c r="R143">
        <v>7.6492509999999996</v>
      </c>
      <c r="S143"/>
      <c r="T143"/>
      <c r="U143"/>
      <c r="V143"/>
      <c r="W143"/>
      <c r="X143"/>
      <c r="Y143"/>
      <c r="Z143"/>
      <c r="AA143"/>
      <c r="AB143"/>
      <c r="AC143"/>
      <c r="AD143">
        <v>3.708437</v>
      </c>
      <c r="AE143">
        <v>18.114979999999999</v>
      </c>
      <c r="AF143"/>
      <c r="AG143"/>
      <c r="AH143"/>
      <c r="AI143"/>
      <c r="AJ143"/>
      <c r="AK143">
        <v>14.29476</v>
      </c>
      <c r="AL143"/>
      <c r="AM143"/>
      <c r="AN143"/>
      <c r="AO143"/>
      <c r="AP143"/>
      <c r="AQ143"/>
      <c r="AR143"/>
      <c r="AS143"/>
      <c r="AT143"/>
      <c r="AU143"/>
      <c r="AV143"/>
      <c r="AW143">
        <v>12.714320000000001</v>
      </c>
      <c r="AX143"/>
    </row>
    <row r="144" spans="1:50" x14ac:dyDescent="0.35">
      <c r="A144" s="75">
        <v>22221</v>
      </c>
      <c r="B144"/>
      <c r="C144"/>
      <c r="D144"/>
      <c r="E144"/>
      <c r="F144">
        <v>23.895199999999999</v>
      </c>
      <c r="G144"/>
      <c r="H144"/>
      <c r="I144"/>
      <c r="J144"/>
      <c r="K144"/>
      <c r="L144"/>
      <c r="M144"/>
      <c r="N144"/>
      <c r="O144"/>
      <c r="P144"/>
      <c r="Q144"/>
      <c r="R144">
        <v>7.6168319999999996</v>
      </c>
      <c r="S144"/>
      <c r="T144"/>
      <c r="U144"/>
      <c r="V144"/>
      <c r="W144"/>
      <c r="X144"/>
      <c r="Y144"/>
      <c r="Z144"/>
      <c r="AA144"/>
      <c r="AB144"/>
      <c r="AC144"/>
      <c r="AD144">
        <v>3.7207210000000002</v>
      </c>
      <c r="AE144">
        <v>17.857389999999999</v>
      </c>
      <c r="AF144"/>
      <c r="AG144"/>
      <c r="AH144"/>
      <c r="AI144"/>
      <c r="AJ144"/>
      <c r="AK144">
        <v>14.325390000000001</v>
      </c>
      <c r="AL144"/>
      <c r="AM144"/>
      <c r="AN144"/>
      <c r="AO144"/>
      <c r="AP144"/>
      <c r="AQ144"/>
      <c r="AR144"/>
      <c r="AS144"/>
      <c r="AT144"/>
      <c r="AU144"/>
      <c r="AV144"/>
      <c r="AW144">
        <v>12.714320000000001</v>
      </c>
      <c r="AX144"/>
    </row>
    <row r="145" spans="1:50" x14ac:dyDescent="0.35">
      <c r="A145" s="75">
        <v>22251</v>
      </c>
      <c r="B145"/>
      <c r="C145"/>
      <c r="D145"/>
      <c r="E145"/>
      <c r="F145">
        <v>23.874680000000001</v>
      </c>
      <c r="G145"/>
      <c r="H145"/>
      <c r="I145"/>
      <c r="J145"/>
      <c r="K145"/>
      <c r="L145"/>
      <c r="M145"/>
      <c r="N145"/>
      <c r="O145"/>
      <c r="P145"/>
      <c r="Q145"/>
      <c r="R145">
        <v>7.6859590000000004</v>
      </c>
      <c r="S145"/>
      <c r="T145"/>
      <c r="U145"/>
      <c r="V145"/>
      <c r="W145"/>
      <c r="X145"/>
      <c r="Y145"/>
      <c r="Z145"/>
      <c r="AA145"/>
      <c r="AB145"/>
      <c r="AC145"/>
      <c r="AD145">
        <v>3.7287469999999998</v>
      </c>
      <c r="AE145">
        <v>18.011199999999999</v>
      </c>
      <c r="AF145"/>
      <c r="AG145"/>
      <c r="AH145"/>
      <c r="AI145"/>
      <c r="AJ145"/>
      <c r="AK145">
        <v>14.325390000000001</v>
      </c>
      <c r="AL145"/>
      <c r="AM145"/>
      <c r="AN145"/>
      <c r="AO145"/>
      <c r="AP145"/>
      <c r="AQ145"/>
      <c r="AR145"/>
      <c r="AS145"/>
      <c r="AT145"/>
      <c r="AU145"/>
      <c r="AV145"/>
      <c r="AW145">
        <v>12.714320000000001</v>
      </c>
      <c r="AX145"/>
    </row>
    <row r="146" spans="1:50" x14ac:dyDescent="0.35">
      <c r="A146" s="75">
        <v>22282</v>
      </c>
      <c r="B146"/>
      <c r="C146"/>
      <c r="D146"/>
      <c r="E146">
        <v>13.208130000000001</v>
      </c>
      <c r="F146">
        <v>23.83154</v>
      </c>
      <c r="G146"/>
      <c r="H146"/>
      <c r="I146"/>
      <c r="J146"/>
      <c r="K146"/>
      <c r="L146"/>
      <c r="M146"/>
      <c r="N146"/>
      <c r="O146"/>
      <c r="P146"/>
      <c r="Q146"/>
      <c r="R146">
        <v>7.6859590000000004</v>
      </c>
      <c r="S146"/>
      <c r="T146"/>
      <c r="U146"/>
      <c r="V146"/>
      <c r="W146"/>
      <c r="X146"/>
      <c r="Y146"/>
      <c r="Z146"/>
      <c r="AA146"/>
      <c r="AB146"/>
      <c r="AC146"/>
      <c r="AD146">
        <v>3.752478</v>
      </c>
      <c r="AE146">
        <v>18.2057</v>
      </c>
      <c r="AF146"/>
      <c r="AG146"/>
      <c r="AH146"/>
      <c r="AI146"/>
      <c r="AJ146"/>
      <c r="AK146">
        <v>14.394819999999999</v>
      </c>
      <c r="AL146"/>
      <c r="AM146"/>
      <c r="AN146"/>
      <c r="AO146"/>
      <c r="AP146"/>
      <c r="AQ146"/>
      <c r="AR146"/>
      <c r="AS146"/>
      <c r="AT146"/>
      <c r="AU146"/>
      <c r="AV146"/>
      <c r="AW146">
        <v>12.714320000000001</v>
      </c>
      <c r="AX146"/>
    </row>
    <row r="147" spans="1:50" x14ac:dyDescent="0.35">
      <c r="A147" s="75">
        <v>22313</v>
      </c>
      <c r="B147"/>
      <c r="C147"/>
      <c r="D147"/>
      <c r="E147">
        <v>13.208130000000001</v>
      </c>
      <c r="F147">
        <v>23.86646</v>
      </c>
      <c r="G147"/>
      <c r="H147"/>
      <c r="I147"/>
      <c r="J147"/>
      <c r="K147"/>
      <c r="L147"/>
      <c r="M147"/>
      <c r="N147"/>
      <c r="O147"/>
      <c r="P147"/>
      <c r="Q147"/>
      <c r="R147">
        <v>7.663894</v>
      </c>
      <c r="S147"/>
      <c r="T147"/>
      <c r="U147"/>
      <c r="V147"/>
      <c r="W147"/>
      <c r="X147"/>
      <c r="Y147"/>
      <c r="Z147"/>
      <c r="AA147"/>
      <c r="AB147"/>
      <c r="AC147"/>
      <c r="AD147">
        <v>3.7543449999999998</v>
      </c>
      <c r="AE147">
        <v>18.295020000000001</v>
      </c>
      <c r="AF147"/>
      <c r="AG147"/>
      <c r="AH147"/>
      <c r="AI147"/>
      <c r="AJ147"/>
      <c r="AK147">
        <v>14.394819999999999</v>
      </c>
      <c r="AL147"/>
      <c r="AM147"/>
      <c r="AN147"/>
      <c r="AO147"/>
      <c r="AP147"/>
      <c r="AQ147"/>
      <c r="AR147"/>
      <c r="AS147"/>
      <c r="AT147"/>
      <c r="AU147"/>
      <c r="AV147"/>
      <c r="AW147">
        <v>12.714320000000001</v>
      </c>
      <c r="AX147"/>
    </row>
    <row r="148" spans="1:50" x14ac:dyDescent="0.35">
      <c r="A148" s="75">
        <v>22341</v>
      </c>
      <c r="B148"/>
      <c r="C148"/>
      <c r="D148"/>
      <c r="E148">
        <v>13.208130000000001</v>
      </c>
      <c r="F148">
        <v>23.869109999999999</v>
      </c>
      <c r="G148"/>
      <c r="H148"/>
      <c r="I148"/>
      <c r="J148"/>
      <c r="K148"/>
      <c r="L148"/>
      <c r="M148"/>
      <c r="N148"/>
      <c r="O148"/>
      <c r="P148"/>
      <c r="Q148"/>
      <c r="R148">
        <v>7.6801029999999999</v>
      </c>
      <c r="S148"/>
      <c r="T148"/>
      <c r="U148"/>
      <c r="V148"/>
      <c r="W148"/>
      <c r="X148"/>
      <c r="Y148"/>
      <c r="Z148"/>
      <c r="AA148"/>
      <c r="AB148"/>
      <c r="AC148"/>
      <c r="AD148">
        <v>3.7570960000000002</v>
      </c>
      <c r="AE148">
        <v>18.25093</v>
      </c>
      <c r="AF148"/>
      <c r="AG148"/>
      <c r="AH148"/>
      <c r="AI148"/>
      <c r="AJ148"/>
      <c r="AK148">
        <v>14.245010000000001</v>
      </c>
      <c r="AL148"/>
      <c r="AM148"/>
      <c r="AN148"/>
      <c r="AO148"/>
      <c r="AP148"/>
      <c r="AQ148"/>
      <c r="AR148"/>
      <c r="AS148"/>
      <c r="AT148"/>
      <c r="AU148"/>
      <c r="AV148"/>
      <c r="AW148">
        <v>12.714320000000001</v>
      </c>
      <c r="AX148"/>
    </row>
    <row r="149" spans="1:50" x14ac:dyDescent="0.35">
      <c r="A149" s="75">
        <v>22372</v>
      </c>
      <c r="B149"/>
      <c r="C149"/>
      <c r="D149"/>
      <c r="E149">
        <v>13.208130000000001</v>
      </c>
      <c r="F149">
        <v>23.874410000000001</v>
      </c>
      <c r="G149"/>
      <c r="H149"/>
      <c r="I149"/>
      <c r="J149"/>
      <c r="K149"/>
      <c r="L149"/>
      <c r="M149"/>
      <c r="N149"/>
      <c r="O149"/>
      <c r="P149"/>
      <c r="Q149"/>
      <c r="R149">
        <v>7.663894</v>
      </c>
      <c r="S149"/>
      <c r="T149"/>
      <c r="U149"/>
      <c r="V149"/>
      <c r="W149"/>
      <c r="X149"/>
      <c r="Y149"/>
      <c r="Z149"/>
      <c r="AA149"/>
      <c r="AB149"/>
      <c r="AC149"/>
      <c r="AD149">
        <v>3.7641879999999999</v>
      </c>
      <c r="AE149">
        <v>18.499490000000002</v>
      </c>
      <c r="AF149"/>
      <c r="AG149"/>
      <c r="AH149"/>
      <c r="AI149"/>
      <c r="AJ149"/>
      <c r="AK149">
        <v>14.46425</v>
      </c>
      <c r="AL149"/>
      <c r="AM149"/>
      <c r="AN149"/>
      <c r="AO149"/>
      <c r="AP149"/>
      <c r="AQ149"/>
      <c r="AR149"/>
      <c r="AS149"/>
      <c r="AT149"/>
      <c r="AU149"/>
      <c r="AV149"/>
      <c r="AW149">
        <v>12.755599999999999</v>
      </c>
      <c r="AX149"/>
    </row>
    <row r="150" spans="1:50" x14ac:dyDescent="0.35">
      <c r="A150" s="75">
        <v>22402</v>
      </c>
      <c r="B150"/>
      <c r="C150"/>
      <c r="D150"/>
      <c r="E150">
        <v>13.241160000000001</v>
      </c>
      <c r="F150">
        <v>24.075430000000001</v>
      </c>
      <c r="G150"/>
      <c r="H150"/>
      <c r="I150"/>
      <c r="J150"/>
      <c r="K150"/>
      <c r="L150"/>
      <c r="M150"/>
      <c r="N150"/>
      <c r="O150"/>
      <c r="P150"/>
      <c r="Q150"/>
      <c r="R150">
        <v>7.663894</v>
      </c>
      <c r="S150"/>
      <c r="T150"/>
      <c r="U150"/>
      <c r="V150"/>
      <c r="W150"/>
      <c r="X150"/>
      <c r="Y150"/>
      <c r="Z150"/>
      <c r="AA150"/>
      <c r="AB150"/>
      <c r="AC150"/>
      <c r="AD150">
        <v>3.7753619999999999</v>
      </c>
      <c r="AE150">
        <v>18.45476</v>
      </c>
      <c r="AF150"/>
      <c r="AG150"/>
      <c r="AH150"/>
      <c r="AI150"/>
      <c r="AJ150"/>
      <c r="AK150">
        <v>14.673389999999999</v>
      </c>
      <c r="AL150"/>
      <c r="AM150"/>
      <c r="AN150"/>
      <c r="AO150"/>
      <c r="AP150"/>
      <c r="AQ150"/>
      <c r="AR150"/>
      <c r="AS150"/>
      <c r="AT150"/>
      <c r="AU150"/>
      <c r="AV150"/>
      <c r="AW150">
        <v>12.755599999999999</v>
      </c>
      <c r="AX150"/>
    </row>
    <row r="151" spans="1:50" x14ac:dyDescent="0.35">
      <c r="A151" s="75">
        <v>22433</v>
      </c>
      <c r="B151"/>
      <c r="C151"/>
      <c r="D151"/>
      <c r="E151">
        <v>13.23691</v>
      </c>
      <c r="F151">
        <v>24.106010000000001</v>
      </c>
      <c r="G151"/>
      <c r="H151"/>
      <c r="I151"/>
      <c r="J151"/>
      <c r="K151"/>
      <c r="L151"/>
      <c r="M151"/>
      <c r="N151"/>
      <c r="O151"/>
      <c r="P151"/>
      <c r="Q151"/>
      <c r="R151">
        <v>7.6963119999999998</v>
      </c>
      <c r="S151"/>
      <c r="T151"/>
      <c r="U151"/>
      <c r="V151"/>
      <c r="W151"/>
      <c r="X151"/>
      <c r="Y151"/>
      <c r="Z151"/>
      <c r="AA151"/>
      <c r="AB151"/>
      <c r="AC151"/>
      <c r="AD151">
        <v>3.7723019999999998</v>
      </c>
      <c r="AE151">
        <v>18.481280000000002</v>
      </c>
      <c r="AF151"/>
      <c r="AG151"/>
      <c r="AH151"/>
      <c r="AI151"/>
      <c r="AJ151"/>
      <c r="AK151">
        <v>14.6332</v>
      </c>
      <c r="AL151"/>
      <c r="AM151"/>
      <c r="AN151"/>
      <c r="AO151"/>
      <c r="AP151"/>
      <c r="AQ151"/>
      <c r="AR151"/>
      <c r="AS151"/>
      <c r="AT151"/>
      <c r="AU151"/>
      <c r="AV151"/>
      <c r="AW151">
        <v>12.755599999999999</v>
      </c>
      <c r="AX151"/>
    </row>
    <row r="152" spans="1:50" x14ac:dyDescent="0.35">
      <c r="A152" s="75">
        <v>22463</v>
      </c>
      <c r="B152"/>
      <c r="C152"/>
      <c r="D152"/>
      <c r="E152">
        <v>13.20388</v>
      </c>
      <c r="F152">
        <v>24.150289999999998</v>
      </c>
      <c r="G152"/>
      <c r="H152"/>
      <c r="I152"/>
      <c r="J152"/>
      <c r="K152"/>
      <c r="L152"/>
      <c r="M152"/>
      <c r="N152"/>
      <c r="O152"/>
      <c r="P152"/>
      <c r="Q152"/>
      <c r="R152">
        <v>7.6801029999999999</v>
      </c>
      <c r="S152"/>
      <c r="T152"/>
      <c r="U152"/>
      <c r="V152"/>
      <c r="W152"/>
      <c r="X152"/>
      <c r="Y152"/>
      <c r="Z152"/>
      <c r="AA152"/>
      <c r="AB152"/>
      <c r="AC152"/>
      <c r="AD152">
        <v>3.7927970000000002</v>
      </c>
      <c r="AE152">
        <v>18.779669999999999</v>
      </c>
      <c r="AF152"/>
      <c r="AG152"/>
      <c r="AH152"/>
      <c r="AI152"/>
      <c r="AJ152"/>
      <c r="AK152">
        <v>14.48339</v>
      </c>
      <c r="AL152"/>
      <c r="AM152"/>
      <c r="AN152"/>
      <c r="AO152"/>
      <c r="AP152"/>
      <c r="AQ152"/>
      <c r="AR152"/>
      <c r="AS152"/>
      <c r="AT152"/>
      <c r="AU152"/>
      <c r="AV152"/>
      <c r="AW152">
        <v>12.79688</v>
      </c>
      <c r="AX152"/>
    </row>
    <row r="153" spans="1:50" x14ac:dyDescent="0.35">
      <c r="A153" s="75">
        <v>22494</v>
      </c>
      <c r="B153"/>
      <c r="C153"/>
      <c r="D153"/>
      <c r="E153">
        <v>13.1957</v>
      </c>
      <c r="F153">
        <v>24.26313</v>
      </c>
      <c r="G153"/>
      <c r="H153"/>
      <c r="I153"/>
      <c r="J153"/>
      <c r="K153"/>
      <c r="L153"/>
      <c r="M153"/>
      <c r="N153"/>
      <c r="O153"/>
      <c r="P153"/>
      <c r="Q153"/>
      <c r="R153">
        <v>7.6801029999999999</v>
      </c>
      <c r="S153"/>
      <c r="T153"/>
      <c r="U153"/>
      <c r="V153"/>
      <c r="W153"/>
      <c r="X153"/>
      <c r="Y153"/>
      <c r="Z153"/>
      <c r="AA153"/>
      <c r="AB153"/>
      <c r="AC153"/>
      <c r="AD153">
        <v>3.7977620000000001</v>
      </c>
      <c r="AE153">
        <v>18.887709999999998</v>
      </c>
      <c r="AF153"/>
      <c r="AG153"/>
      <c r="AH153"/>
      <c r="AI153"/>
      <c r="AJ153"/>
      <c r="AK153">
        <v>14.56376</v>
      </c>
      <c r="AL153"/>
      <c r="AM153"/>
      <c r="AN153"/>
      <c r="AO153"/>
      <c r="AP153"/>
      <c r="AQ153"/>
      <c r="AR153"/>
      <c r="AS153"/>
      <c r="AT153"/>
      <c r="AU153"/>
      <c r="AV153"/>
      <c r="AW153">
        <v>12.79688</v>
      </c>
      <c r="AX153"/>
    </row>
    <row r="154" spans="1:50" x14ac:dyDescent="0.35">
      <c r="A154" s="75">
        <v>22525</v>
      </c>
      <c r="B154"/>
      <c r="C154"/>
      <c r="D154"/>
      <c r="E154">
        <v>13.23298</v>
      </c>
      <c r="F154">
        <v>24.286850000000001</v>
      </c>
      <c r="G154"/>
      <c r="H154"/>
      <c r="I154"/>
      <c r="J154"/>
      <c r="K154"/>
      <c r="L154"/>
      <c r="M154"/>
      <c r="N154"/>
      <c r="O154"/>
      <c r="P154"/>
      <c r="Q154"/>
      <c r="R154">
        <v>7.6963119999999998</v>
      </c>
      <c r="S154"/>
      <c r="T154"/>
      <c r="U154"/>
      <c r="V154"/>
      <c r="W154"/>
      <c r="X154"/>
      <c r="Y154"/>
      <c r="Z154"/>
      <c r="AA154"/>
      <c r="AB154"/>
      <c r="AC154"/>
      <c r="AD154">
        <v>3.8044560000000001</v>
      </c>
      <c r="AE154">
        <v>19.00694</v>
      </c>
      <c r="AF154"/>
      <c r="AG154"/>
      <c r="AH154"/>
      <c r="AI154"/>
      <c r="AJ154"/>
      <c r="AK154">
        <v>14.504440000000001</v>
      </c>
      <c r="AL154"/>
      <c r="AM154"/>
      <c r="AN154"/>
      <c r="AO154"/>
      <c r="AP154"/>
      <c r="AQ154"/>
      <c r="AR154"/>
      <c r="AS154"/>
      <c r="AT154"/>
      <c r="AU154"/>
      <c r="AV154"/>
      <c r="AW154">
        <v>12.83816</v>
      </c>
      <c r="AX154"/>
    </row>
    <row r="155" spans="1:50" x14ac:dyDescent="0.35">
      <c r="A155" s="75">
        <v>22555</v>
      </c>
      <c r="B155"/>
      <c r="C155"/>
      <c r="D155"/>
      <c r="E155">
        <v>13.220560000000001</v>
      </c>
      <c r="F155">
        <v>24.384969999999999</v>
      </c>
      <c r="G155"/>
      <c r="H155"/>
      <c r="I155"/>
      <c r="J155"/>
      <c r="K155"/>
      <c r="L155"/>
      <c r="M155"/>
      <c r="N155"/>
      <c r="O155"/>
      <c r="P155"/>
      <c r="Q155"/>
      <c r="R155">
        <v>7.7875050000000003</v>
      </c>
      <c r="S155"/>
      <c r="T155"/>
      <c r="U155"/>
      <c r="V155"/>
      <c r="W155"/>
      <c r="X155"/>
      <c r="Y155"/>
      <c r="Z155"/>
      <c r="AA155"/>
      <c r="AB155"/>
      <c r="AC155"/>
      <c r="AD155">
        <v>3.815769</v>
      </c>
      <c r="AE155">
        <v>19.359220000000001</v>
      </c>
      <c r="AF155"/>
      <c r="AG155"/>
      <c r="AH155"/>
      <c r="AI155"/>
      <c r="AJ155"/>
      <c r="AK155">
        <v>14.54463</v>
      </c>
      <c r="AL155"/>
      <c r="AM155"/>
      <c r="AN155"/>
      <c r="AO155"/>
      <c r="AP155"/>
      <c r="AQ155"/>
      <c r="AR155"/>
      <c r="AS155"/>
      <c r="AT155"/>
      <c r="AU155"/>
      <c r="AV155"/>
      <c r="AW155">
        <v>12.879440000000001</v>
      </c>
      <c r="AX155"/>
    </row>
    <row r="156" spans="1:50" x14ac:dyDescent="0.35">
      <c r="A156" s="75">
        <v>22586</v>
      </c>
      <c r="B156"/>
      <c r="C156"/>
      <c r="D156"/>
      <c r="E156">
        <v>13.220560000000001</v>
      </c>
      <c r="F156">
        <v>24.691849999999999</v>
      </c>
      <c r="G156"/>
      <c r="H156"/>
      <c r="I156"/>
      <c r="J156"/>
      <c r="K156"/>
      <c r="L156"/>
      <c r="M156"/>
      <c r="N156"/>
      <c r="O156"/>
      <c r="P156"/>
      <c r="Q156"/>
      <c r="R156">
        <v>7.7654399999999999</v>
      </c>
      <c r="S156"/>
      <c r="T156"/>
      <c r="U156"/>
      <c r="V156"/>
      <c r="W156"/>
      <c r="X156"/>
      <c r="Y156"/>
      <c r="Z156"/>
      <c r="AA156"/>
      <c r="AB156"/>
      <c r="AC156"/>
      <c r="AD156">
        <v>3.836166</v>
      </c>
      <c r="AE156">
        <v>19.414770000000001</v>
      </c>
      <c r="AF156"/>
      <c r="AG156"/>
      <c r="AH156"/>
      <c r="AI156"/>
      <c r="AJ156"/>
      <c r="AK156">
        <v>14.54463</v>
      </c>
      <c r="AL156"/>
      <c r="AM156"/>
      <c r="AN156"/>
      <c r="AO156"/>
      <c r="AP156"/>
      <c r="AQ156"/>
      <c r="AR156"/>
      <c r="AS156"/>
      <c r="AT156"/>
      <c r="AU156"/>
      <c r="AV156"/>
      <c r="AW156">
        <v>12.879440000000001</v>
      </c>
      <c r="AX156"/>
    </row>
    <row r="157" spans="1:50" x14ac:dyDescent="0.35">
      <c r="A157" s="75">
        <v>22616</v>
      </c>
      <c r="B157"/>
      <c r="C157"/>
      <c r="D157"/>
      <c r="E157">
        <v>13.22448</v>
      </c>
      <c r="F157">
        <v>24.714569999999998</v>
      </c>
      <c r="G157"/>
      <c r="H157"/>
      <c r="I157"/>
      <c r="J157"/>
      <c r="K157"/>
      <c r="L157"/>
      <c r="M157"/>
      <c r="N157"/>
      <c r="O157"/>
      <c r="P157"/>
      <c r="Q157"/>
      <c r="R157">
        <v>7.7654399999999999</v>
      </c>
      <c r="S157"/>
      <c r="T157"/>
      <c r="U157"/>
      <c r="V157"/>
      <c r="W157"/>
      <c r="X157"/>
      <c r="Y157"/>
      <c r="Z157"/>
      <c r="AA157"/>
      <c r="AB157"/>
      <c r="AC157"/>
      <c r="AD157">
        <v>3.8443670000000001</v>
      </c>
      <c r="AE157">
        <v>19.625109999999999</v>
      </c>
      <c r="AF157"/>
      <c r="AG157"/>
      <c r="AH157"/>
      <c r="AI157"/>
      <c r="AJ157"/>
      <c r="AK157">
        <v>14.494870000000001</v>
      </c>
      <c r="AL157"/>
      <c r="AM157"/>
      <c r="AN157"/>
      <c r="AO157"/>
      <c r="AP157"/>
      <c r="AQ157"/>
      <c r="AR157"/>
      <c r="AS157"/>
      <c r="AT157"/>
      <c r="AU157"/>
      <c r="AV157"/>
      <c r="AW157">
        <v>12.879440000000001</v>
      </c>
      <c r="AX157"/>
    </row>
    <row r="158" spans="1:50" x14ac:dyDescent="0.35">
      <c r="A158" s="75">
        <v>22647</v>
      </c>
      <c r="B158"/>
      <c r="C158"/>
      <c r="D158"/>
      <c r="E158">
        <v>13.1957</v>
      </c>
      <c r="F158">
        <v>24.741489999999999</v>
      </c>
      <c r="G158"/>
      <c r="H158"/>
      <c r="I158"/>
      <c r="J158"/>
      <c r="K158"/>
      <c r="L158">
        <v>24.076409999999999</v>
      </c>
      <c r="M158"/>
      <c r="N158"/>
      <c r="O158"/>
      <c r="P158"/>
      <c r="Q158"/>
      <c r="R158">
        <v>7.8242130000000003</v>
      </c>
      <c r="S158"/>
      <c r="T158"/>
      <c r="U158"/>
      <c r="V158"/>
      <c r="W158"/>
      <c r="X158"/>
      <c r="Y158"/>
      <c r="Z158"/>
      <c r="AA158"/>
      <c r="AB158"/>
      <c r="AC158"/>
      <c r="AD158">
        <v>3.8680979999999998</v>
      </c>
      <c r="AE158">
        <v>19.721170000000001</v>
      </c>
      <c r="AF158"/>
      <c r="AG158"/>
      <c r="AH158"/>
      <c r="AI158"/>
      <c r="AJ158"/>
      <c r="AK158">
        <v>14.494870000000001</v>
      </c>
      <c r="AL158"/>
      <c r="AM158"/>
      <c r="AN158"/>
      <c r="AO158"/>
      <c r="AP158"/>
      <c r="AQ158"/>
      <c r="AR158"/>
      <c r="AS158"/>
      <c r="AT158"/>
      <c r="AU158"/>
      <c r="AV158"/>
      <c r="AW158">
        <v>12.879440000000001</v>
      </c>
      <c r="AX158"/>
    </row>
    <row r="159" spans="1:50" x14ac:dyDescent="0.35">
      <c r="A159" s="75">
        <v>22678</v>
      </c>
      <c r="B159"/>
      <c r="C159"/>
      <c r="D159"/>
      <c r="E159">
        <v>13.1957</v>
      </c>
      <c r="F159">
        <v>24.831330000000001</v>
      </c>
      <c r="G159"/>
      <c r="H159"/>
      <c r="I159"/>
      <c r="J159"/>
      <c r="K159"/>
      <c r="L159">
        <v>24.148029999999999</v>
      </c>
      <c r="M159"/>
      <c r="N159"/>
      <c r="O159"/>
      <c r="P159"/>
      <c r="Q159"/>
      <c r="R159">
        <v>7.8183569999999998</v>
      </c>
      <c r="S159"/>
      <c r="T159"/>
      <c r="U159"/>
      <c r="V159"/>
      <c r="W159"/>
      <c r="X159"/>
      <c r="Y159"/>
      <c r="Z159"/>
      <c r="AA159"/>
      <c r="AB159"/>
      <c r="AC159"/>
      <c r="AD159">
        <v>3.8974690000000001</v>
      </c>
      <c r="AE159">
        <v>19.638639999999999</v>
      </c>
      <c r="AF159"/>
      <c r="AG159"/>
      <c r="AH159"/>
      <c r="AI159"/>
      <c r="AJ159"/>
      <c r="AK159">
        <v>14.494870000000001</v>
      </c>
      <c r="AL159"/>
      <c r="AM159"/>
      <c r="AN159"/>
      <c r="AO159"/>
      <c r="AP159"/>
      <c r="AQ159"/>
      <c r="AR159"/>
      <c r="AS159"/>
      <c r="AT159"/>
      <c r="AU159"/>
      <c r="AV159"/>
      <c r="AW159">
        <v>12.879440000000001</v>
      </c>
      <c r="AX159"/>
    </row>
    <row r="160" spans="1:50" x14ac:dyDescent="0.35">
      <c r="A160" s="75">
        <v>22706</v>
      </c>
      <c r="B160"/>
      <c r="C160"/>
      <c r="D160"/>
      <c r="E160">
        <v>13.208130000000001</v>
      </c>
      <c r="F160">
        <v>24.859210000000001</v>
      </c>
      <c r="G160"/>
      <c r="H160"/>
      <c r="I160"/>
      <c r="J160"/>
      <c r="K160"/>
      <c r="L160">
        <v>24.195720000000001</v>
      </c>
      <c r="M160"/>
      <c r="N160"/>
      <c r="O160"/>
      <c r="P160"/>
      <c r="Q160"/>
      <c r="R160">
        <v>7.8933400000000002</v>
      </c>
      <c r="S160"/>
      <c r="T160"/>
      <c r="U160"/>
      <c r="V160"/>
      <c r="W160"/>
      <c r="X160"/>
      <c r="Y160"/>
      <c r="Z160"/>
      <c r="AA160"/>
      <c r="AB160"/>
      <c r="AC160"/>
      <c r="AD160">
        <v>3.9204409999999998</v>
      </c>
      <c r="AE160">
        <v>19.70242</v>
      </c>
      <c r="AF160"/>
      <c r="AG160"/>
      <c r="AH160"/>
      <c r="AI160"/>
      <c r="AJ160"/>
      <c r="AK160">
        <v>14.644679999999999</v>
      </c>
      <c r="AL160"/>
      <c r="AM160"/>
      <c r="AN160"/>
      <c r="AO160"/>
      <c r="AP160"/>
      <c r="AQ160"/>
      <c r="AR160"/>
      <c r="AS160"/>
      <c r="AT160"/>
      <c r="AU160"/>
      <c r="AV160"/>
      <c r="AW160">
        <v>12.920719999999999</v>
      </c>
      <c r="AX160"/>
    </row>
    <row r="161" spans="1:50" x14ac:dyDescent="0.35">
      <c r="A161" s="75">
        <v>22737</v>
      </c>
      <c r="B161"/>
      <c r="C161"/>
      <c r="D161"/>
      <c r="E161">
        <v>13.293760000000001</v>
      </c>
      <c r="F161">
        <v>24.968889999999998</v>
      </c>
      <c r="G161"/>
      <c r="H161"/>
      <c r="I161"/>
      <c r="J161"/>
      <c r="K161"/>
      <c r="L161">
        <v>24.246759999999998</v>
      </c>
      <c r="M161"/>
      <c r="N161"/>
      <c r="O161"/>
      <c r="P161"/>
      <c r="Q161"/>
      <c r="R161">
        <v>7.9683229999999998</v>
      </c>
      <c r="S161"/>
      <c r="T161"/>
      <c r="U161"/>
      <c r="V161"/>
      <c r="W161"/>
      <c r="X161"/>
      <c r="Y161"/>
      <c r="Z161"/>
      <c r="AA161"/>
      <c r="AB161"/>
      <c r="AC161"/>
      <c r="AD161">
        <v>3.9488639999999999</v>
      </c>
      <c r="AE161">
        <v>19.902509999999999</v>
      </c>
      <c r="AF161"/>
      <c r="AG161"/>
      <c r="AH161"/>
      <c r="AI161"/>
      <c r="AJ161"/>
      <c r="AK161">
        <v>15.04298</v>
      </c>
      <c r="AL161"/>
      <c r="AM161"/>
      <c r="AN161"/>
      <c r="AO161"/>
      <c r="AP161"/>
      <c r="AQ161"/>
      <c r="AR161"/>
      <c r="AS161"/>
      <c r="AT161"/>
      <c r="AU161"/>
      <c r="AV161"/>
      <c r="AW161">
        <v>12.920719999999999</v>
      </c>
      <c r="AX161"/>
    </row>
    <row r="162" spans="1:50" x14ac:dyDescent="0.35">
      <c r="A162" s="75">
        <v>22767</v>
      </c>
      <c r="B162"/>
      <c r="C162"/>
      <c r="D162"/>
      <c r="E162">
        <v>13.31861</v>
      </c>
      <c r="F162">
        <v>25.175180000000001</v>
      </c>
      <c r="G162"/>
      <c r="H162"/>
      <c r="I162"/>
      <c r="J162"/>
      <c r="K162"/>
      <c r="L162">
        <v>24.25187</v>
      </c>
      <c r="M162"/>
      <c r="N162"/>
      <c r="O162"/>
      <c r="P162"/>
      <c r="Q162"/>
      <c r="R162">
        <v>7.9683229999999998</v>
      </c>
      <c r="S162"/>
      <c r="T162"/>
      <c r="U162"/>
      <c r="V162"/>
      <c r="W162"/>
      <c r="X162"/>
      <c r="Y162"/>
      <c r="Z162"/>
      <c r="AA162"/>
      <c r="AB162"/>
      <c r="AC162"/>
      <c r="AD162">
        <v>3.952461</v>
      </c>
      <c r="AE162">
        <v>20.056069999999998</v>
      </c>
      <c r="AF162"/>
      <c r="AG162"/>
      <c r="AH162"/>
      <c r="AI162"/>
      <c r="AJ162"/>
      <c r="AK162">
        <v>14.88306</v>
      </c>
      <c r="AL162"/>
      <c r="AM162"/>
      <c r="AN162"/>
      <c r="AO162"/>
      <c r="AP162"/>
      <c r="AQ162"/>
      <c r="AR162"/>
      <c r="AS162"/>
      <c r="AT162"/>
      <c r="AU162"/>
      <c r="AV162"/>
      <c r="AW162">
        <v>12.962</v>
      </c>
      <c r="AX162"/>
    </row>
    <row r="163" spans="1:50" x14ac:dyDescent="0.35">
      <c r="A163" s="75">
        <v>22798</v>
      </c>
      <c r="B163"/>
      <c r="C163"/>
      <c r="D163"/>
      <c r="E163">
        <v>13.39606</v>
      </c>
      <c r="F163">
        <v>25.220970000000001</v>
      </c>
      <c r="G163"/>
      <c r="H163"/>
      <c r="I163"/>
      <c r="J163"/>
      <c r="K163"/>
      <c r="L163">
        <v>24.222840000000001</v>
      </c>
      <c r="M163"/>
      <c r="N163"/>
      <c r="O163"/>
      <c r="P163"/>
      <c r="Q163"/>
      <c r="R163">
        <v>8.0536589999999997</v>
      </c>
      <c r="S163"/>
      <c r="T163"/>
      <c r="U163"/>
      <c r="V163"/>
      <c r="W163"/>
      <c r="X163"/>
      <c r="Y163"/>
      <c r="Z163"/>
      <c r="AA163"/>
      <c r="AB163"/>
      <c r="AC163"/>
      <c r="AD163">
        <v>3.9623919999999999</v>
      </c>
      <c r="AE163">
        <v>19.994430000000001</v>
      </c>
      <c r="AF163"/>
      <c r="AG163"/>
      <c r="AH163"/>
      <c r="AI163"/>
      <c r="AJ163"/>
      <c r="AK163">
        <v>15.021929999999999</v>
      </c>
      <c r="AL163"/>
      <c r="AM163"/>
      <c r="AN163"/>
      <c r="AO163"/>
      <c r="AP163"/>
      <c r="AQ163"/>
      <c r="AR163"/>
      <c r="AS163"/>
      <c r="AT163"/>
      <c r="AU163"/>
      <c r="AV163"/>
      <c r="AW163">
        <v>12.962</v>
      </c>
      <c r="AX163"/>
    </row>
    <row r="164" spans="1:50" x14ac:dyDescent="0.35">
      <c r="A164" s="75">
        <v>22828</v>
      </c>
      <c r="B164"/>
      <c r="C164"/>
      <c r="D164"/>
      <c r="E164">
        <v>13.37121</v>
      </c>
      <c r="F164">
        <v>25.292169999999999</v>
      </c>
      <c r="G164"/>
      <c r="H164"/>
      <c r="I164"/>
      <c r="J164"/>
      <c r="K164"/>
      <c r="L164">
        <v>24.289349999999999</v>
      </c>
      <c r="M164"/>
      <c r="N164"/>
      <c r="O164"/>
      <c r="P164"/>
      <c r="Q164"/>
      <c r="R164">
        <v>8.1124320000000001</v>
      </c>
      <c r="S164"/>
      <c r="T164"/>
      <c r="U164"/>
      <c r="V164"/>
      <c r="W164"/>
      <c r="X164"/>
      <c r="Y164"/>
      <c r="Z164"/>
      <c r="AA164"/>
      <c r="AB164"/>
      <c r="AC164"/>
      <c r="AD164">
        <v>3.986783</v>
      </c>
      <c r="AE164">
        <v>20.196719999999999</v>
      </c>
      <c r="AF164"/>
      <c r="AG164"/>
      <c r="AH164"/>
      <c r="AI164"/>
      <c r="AJ164"/>
      <c r="AK164">
        <v>14.6835</v>
      </c>
      <c r="AL164"/>
      <c r="AM164"/>
      <c r="AN164"/>
      <c r="AO164"/>
      <c r="AP164"/>
      <c r="AQ164"/>
      <c r="AR164"/>
      <c r="AS164"/>
      <c r="AT164"/>
      <c r="AU164"/>
      <c r="AV164"/>
      <c r="AW164">
        <v>12.962</v>
      </c>
      <c r="AX164"/>
    </row>
    <row r="165" spans="1:50" x14ac:dyDescent="0.35">
      <c r="A165" s="75">
        <v>22859</v>
      </c>
      <c r="B165"/>
      <c r="C165"/>
      <c r="D165"/>
      <c r="E165">
        <v>13.46109</v>
      </c>
      <c r="F165">
        <v>25.406199999999998</v>
      </c>
      <c r="G165"/>
      <c r="H165"/>
      <c r="I165"/>
      <c r="J165"/>
      <c r="K165"/>
      <c r="L165">
        <v>24.224740000000001</v>
      </c>
      <c r="M165"/>
      <c r="N165"/>
      <c r="O165"/>
      <c r="P165"/>
      <c r="Q165"/>
      <c r="R165">
        <v>8.1124320000000001</v>
      </c>
      <c r="S165"/>
      <c r="T165"/>
      <c r="U165"/>
      <c r="V165"/>
      <c r="W165"/>
      <c r="X165"/>
      <c r="Y165"/>
      <c r="Z165"/>
      <c r="AA165"/>
      <c r="AB165"/>
      <c r="AC165"/>
      <c r="AD165">
        <v>3.992197</v>
      </c>
      <c r="AE165">
        <v>20.234500000000001</v>
      </c>
      <c r="AF165"/>
      <c r="AG165"/>
      <c r="AH165"/>
      <c r="AI165"/>
      <c r="AJ165"/>
      <c r="AK165">
        <v>14.763870000000001</v>
      </c>
      <c r="AL165"/>
      <c r="AM165"/>
      <c r="AN165"/>
      <c r="AO165"/>
      <c r="AP165"/>
      <c r="AQ165"/>
      <c r="AR165"/>
      <c r="AS165"/>
      <c r="AT165"/>
      <c r="AU165"/>
      <c r="AV165"/>
      <c r="AW165">
        <v>12.962</v>
      </c>
      <c r="AX165"/>
    </row>
    <row r="166" spans="1:50" x14ac:dyDescent="0.35">
      <c r="A166" s="75">
        <v>22890</v>
      </c>
      <c r="B166"/>
      <c r="C166"/>
      <c r="D166"/>
      <c r="E166">
        <v>13.38364</v>
      </c>
      <c r="F166">
        <v>25.38775</v>
      </c>
      <c r="G166"/>
      <c r="H166"/>
      <c r="I166"/>
      <c r="J166"/>
      <c r="K166"/>
      <c r="L166">
        <v>24.22139</v>
      </c>
      <c r="M166"/>
      <c r="N166"/>
      <c r="O166"/>
      <c r="P166"/>
      <c r="Q166"/>
      <c r="R166">
        <v>8.1065769999999997</v>
      </c>
      <c r="S166"/>
      <c r="T166"/>
      <c r="U166"/>
      <c r="V166"/>
      <c r="W166"/>
      <c r="X166"/>
      <c r="Y166"/>
      <c r="Z166"/>
      <c r="AA166"/>
      <c r="AB166"/>
      <c r="AC166"/>
      <c r="AD166">
        <v>4.0035970000000001</v>
      </c>
      <c r="AE166">
        <v>20.179670000000002</v>
      </c>
      <c r="AF166"/>
      <c r="AG166"/>
      <c r="AH166"/>
      <c r="AI166"/>
      <c r="AJ166"/>
      <c r="AK166">
        <v>14.93474</v>
      </c>
      <c r="AL166"/>
      <c r="AM166"/>
      <c r="AN166"/>
      <c r="AO166"/>
      <c r="AP166"/>
      <c r="AQ166"/>
      <c r="AR166"/>
      <c r="AS166"/>
      <c r="AT166"/>
      <c r="AU166"/>
      <c r="AV166"/>
      <c r="AW166">
        <v>13.00328</v>
      </c>
      <c r="AX166"/>
    </row>
    <row r="167" spans="1:50" x14ac:dyDescent="0.35">
      <c r="A167" s="75">
        <v>22920</v>
      </c>
      <c r="B167"/>
      <c r="C167"/>
      <c r="D167"/>
      <c r="E167">
        <v>13.48169</v>
      </c>
      <c r="F167">
        <v>25.366869999999999</v>
      </c>
      <c r="G167"/>
      <c r="H167"/>
      <c r="I167"/>
      <c r="J167"/>
      <c r="K167"/>
      <c r="L167">
        <v>24.289650000000002</v>
      </c>
      <c r="M167"/>
      <c r="N167"/>
      <c r="O167"/>
      <c r="P167"/>
      <c r="Q167"/>
      <c r="R167">
        <v>8.1977689999999992</v>
      </c>
      <c r="S167"/>
      <c r="T167"/>
      <c r="U167"/>
      <c r="V167"/>
      <c r="W167"/>
      <c r="X167"/>
      <c r="Y167"/>
      <c r="Z167"/>
      <c r="AA167"/>
      <c r="AB167"/>
      <c r="AC167"/>
      <c r="AD167">
        <v>4.0213450000000002</v>
      </c>
      <c r="AE167">
        <v>20.324999999999999</v>
      </c>
      <c r="AF167"/>
      <c r="AG167"/>
      <c r="AH167"/>
      <c r="AI167"/>
      <c r="AJ167"/>
      <c r="AK167">
        <v>14.865309999999999</v>
      </c>
      <c r="AL167"/>
      <c r="AM167"/>
      <c r="AN167"/>
      <c r="AO167"/>
      <c r="AP167"/>
      <c r="AQ167"/>
      <c r="AR167"/>
      <c r="AS167"/>
      <c r="AT167"/>
      <c r="AU167"/>
      <c r="AV167"/>
      <c r="AW167">
        <v>13.044560000000001</v>
      </c>
      <c r="AX167"/>
    </row>
    <row r="168" spans="1:50" x14ac:dyDescent="0.35">
      <c r="A168" s="75">
        <v>22951</v>
      </c>
      <c r="B168"/>
      <c r="C168"/>
      <c r="D168"/>
      <c r="E168">
        <v>13.48169</v>
      </c>
      <c r="F168">
        <v>25.457450000000001</v>
      </c>
      <c r="G168"/>
      <c r="H168"/>
      <c r="I168"/>
      <c r="J168"/>
      <c r="K168"/>
      <c r="L168">
        <v>24.344190000000001</v>
      </c>
      <c r="M168"/>
      <c r="N168"/>
      <c r="O168"/>
      <c r="P168"/>
      <c r="Q168"/>
      <c r="R168">
        <v>8.2727520000000005</v>
      </c>
      <c r="S168"/>
      <c r="T168"/>
      <c r="U168"/>
      <c r="V168"/>
      <c r="W168"/>
      <c r="X168"/>
      <c r="Y168"/>
      <c r="Z168"/>
      <c r="AA168"/>
      <c r="AB168"/>
      <c r="AC168"/>
      <c r="AD168">
        <v>4.043609</v>
      </c>
      <c r="AE168">
        <v>20.301880000000001</v>
      </c>
      <c r="AF168"/>
      <c r="AG168"/>
      <c r="AH168"/>
      <c r="AI168"/>
      <c r="AJ168"/>
      <c r="AK168">
        <v>14.81555</v>
      </c>
      <c r="AL168"/>
      <c r="AM168"/>
      <c r="AN168"/>
      <c r="AO168"/>
      <c r="AP168"/>
      <c r="AQ168"/>
      <c r="AR168"/>
      <c r="AS168"/>
      <c r="AT168"/>
      <c r="AU168"/>
      <c r="AV168"/>
      <c r="AW168">
        <v>13.044560000000001</v>
      </c>
      <c r="AX168"/>
    </row>
    <row r="169" spans="1:50" x14ac:dyDescent="0.35">
      <c r="A169" s="75">
        <v>22981</v>
      </c>
      <c r="B169"/>
      <c r="C169"/>
      <c r="D169"/>
      <c r="E169">
        <v>13.48169</v>
      </c>
      <c r="F169">
        <v>25.499079999999999</v>
      </c>
      <c r="G169"/>
      <c r="H169"/>
      <c r="I169"/>
      <c r="J169"/>
      <c r="K169"/>
      <c r="L169">
        <v>24.4635</v>
      </c>
      <c r="M169"/>
      <c r="N169"/>
      <c r="O169"/>
      <c r="P169"/>
      <c r="Q169"/>
      <c r="R169">
        <v>8.2668959999999991</v>
      </c>
      <c r="S169"/>
      <c r="T169"/>
      <c r="U169"/>
      <c r="V169"/>
      <c r="W169"/>
      <c r="X169"/>
      <c r="Y169"/>
      <c r="Z169"/>
      <c r="AA169"/>
      <c r="AB169"/>
      <c r="AC169"/>
      <c r="AD169">
        <v>4.103307</v>
      </c>
      <c r="AE169">
        <v>20.682310000000001</v>
      </c>
      <c r="AF169"/>
      <c r="AG169"/>
      <c r="AH169"/>
      <c r="AI169"/>
      <c r="AJ169"/>
      <c r="AK169">
        <v>14.96536</v>
      </c>
      <c r="AL169"/>
      <c r="AM169"/>
      <c r="AN169"/>
      <c r="AO169"/>
      <c r="AP169"/>
      <c r="AQ169"/>
      <c r="AR169"/>
      <c r="AS169"/>
      <c r="AT169"/>
      <c r="AU169"/>
      <c r="AV169"/>
      <c r="AW169">
        <v>13.044560000000001</v>
      </c>
      <c r="AX169"/>
    </row>
    <row r="170" spans="1:50" x14ac:dyDescent="0.35">
      <c r="A170" s="75">
        <v>23012</v>
      </c>
      <c r="B170"/>
      <c r="C170"/>
      <c r="D170"/>
      <c r="E170">
        <v>13.465009999999999</v>
      </c>
      <c r="F170">
        <v>25.570830000000001</v>
      </c>
      <c r="G170"/>
      <c r="H170"/>
      <c r="I170"/>
      <c r="J170"/>
      <c r="K170"/>
      <c r="L170">
        <v>24.804490000000001</v>
      </c>
      <c r="M170"/>
      <c r="N170"/>
      <c r="O170"/>
      <c r="P170"/>
      <c r="Q170"/>
      <c r="R170">
        <v>8.2831060000000001</v>
      </c>
      <c r="S170"/>
      <c r="T170"/>
      <c r="U170"/>
      <c r="V170"/>
      <c r="W170"/>
      <c r="X170"/>
      <c r="Y170"/>
      <c r="Z170"/>
      <c r="AA170"/>
      <c r="AB170"/>
      <c r="AC170"/>
      <c r="AD170">
        <v>4.1481969999999997</v>
      </c>
      <c r="AE170">
        <v>20.921530000000001</v>
      </c>
      <c r="AF170"/>
      <c r="AG170"/>
      <c r="AH170"/>
      <c r="AI170"/>
      <c r="AJ170"/>
      <c r="AK170">
        <v>14.98504</v>
      </c>
      <c r="AL170"/>
      <c r="AM170"/>
      <c r="AN170"/>
      <c r="AO170"/>
      <c r="AP170"/>
      <c r="AQ170"/>
      <c r="AR170"/>
      <c r="AS170"/>
      <c r="AT170"/>
      <c r="AU170"/>
      <c r="AV170"/>
      <c r="AW170">
        <v>13.00328</v>
      </c>
      <c r="AX170"/>
    </row>
    <row r="171" spans="1:50" x14ac:dyDescent="0.35">
      <c r="A171" s="75">
        <v>23043</v>
      </c>
      <c r="B171"/>
      <c r="C171"/>
      <c r="D171"/>
      <c r="E171">
        <v>13.44441</v>
      </c>
      <c r="F171">
        <v>25.719539999999999</v>
      </c>
      <c r="G171"/>
      <c r="H171"/>
      <c r="I171"/>
      <c r="J171"/>
      <c r="K171"/>
      <c r="L171">
        <v>24.951059999999998</v>
      </c>
      <c r="M171"/>
      <c r="N171"/>
      <c r="O171"/>
      <c r="P171"/>
      <c r="Q171"/>
      <c r="R171">
        <v>8.2610410000000005</v>
      </c>
      <c r="S171"/>
      <c r="T171"/>
      <c r="U171"/>
      <c r="V171"/>
      <c r="W171"/>
      <c r="X171"/>
      <c r="Y171"/>
      <c r="Z171"/>
      <c r="AA171"/>
      <c r="AB171"/>
      <c r="AC171"/>
      <c r="AD171">
        <v>4.1966200000000002</v>
      </c>
      <c r="AE171">
        <v>20.982559999999999</v>
      </c>
      <c r="AF171"/>
      <c r="AG171"/>
      <c r="AH171"/>
      <c r="AI171"/>
      <c r="AJ171"/>
      <c r="AK171">
        <v>15.24447</v>
      </c>
      <c r="AL171"/>
      <c r="AM171"/>
      <c r="AN171"/>
      <c r="AO171"/>
      <c r="AP171"/>
      <c r="AQ171"/>
      <c r="AR171"/>
      <c r="AS171"/>
      <c r="AT171"/>
      <c r="AU171"/>
      <c r="AV171"/>
      <c r="AW171">
        <v>13.00328</v>
      </c>
      <c r="AX171"/>
    </row>
    <row r="172" spans="1:50" x14ac:dyDescent="0.35">
      <c r="A172" s="75">
        <v>23071</v>
      </c>
      <c r="B172"/>
      <c r="C172"/>
      <c r="D172"/>
      <c r="E172">
        <v>13.465009999999999</v>
      </c>
      <c r="F172">
        <v>25.722190000000001</v>
      </c>
      <c r="G172"/>
      <c r="H172"/>
      <c r="I172"/>
      <c r="J172"/>
      <c r="K172"/>
      <c r="L172">
        <v>24.95617</v>
      </c>
      <c r="M172"/>
      <c r="N172"/>
      <c r="O172"/>
      <c r="P172"/>
      <c r="Q172"/>
      <c r="R172">
        <v>8.3301680000000005</v>
      </c>
      <c r="S172"/>
      <c r="T172"/>
      <c r="U172"/>
      <c r="V172"/>
      <c r="W172"/>
      <c r="X172"/>
      <c r="Y172"/>
      <c r="Z172"/>
      <c r="AA172"/>
      <c r="AB172"/>
      <c r="AC172"/>
      <c r="AD172">
        <v>4.209352</v>
      </c>
      <c r="AE172">
        <v>21.043600000000001</v>
      </c>
      <c r="AF172"/>
      <c r="AG172"/>
      <c r="AH172"/>
      <c r="AI172"/>
      <c r="AJ172"/>
      <c r="AK172">
        <v>15.294230000000001</v>
      </c>
      <c r="AL172"/>
      <c r="AM172"/>
      <c r="AN172"/>
      <c r="AO172"/>
      <c r="AP172"/>
      <c r="AQ172"/>
      <c r="AR172"/>
      <c r="AS172"/>
      <c r="AT172"/>
      <c r="AU172"/>
      <c r="AV172"/>
      <c r="AW172">
        <v>13.044560000000001</v>
      </c>
      <c r="AX172"/>
    </row>
    <row r="173" spans="1:50" x14ac:dyDescent="0.35">
      <c r="A173" s="75">
        <v>23102</v>
      </c>
      <c r="B173"/>
      <c r="C173"/>
      <c r="D173"/>
      <c r="E173">
        <v>13.45684</v>
      </c>
      <c r="F173">
        <v>25.774470000000001</v>
      </c>
      <c r="G173"/>
      <c r="H173"/>
      <c r="I173"/>
      <c r="J173"/>
      <c r="K173"/>
      <c r="L173">
        <v>25.026029999999999</v>
      </c>
      <c r="M173"/>
      <c r="N173"/>
      <c r="O173"/>
      <c r="P173"/>
      <c r="Q173"/>
      <c r="R173">
        <v>8.3889410000000009</v>
      </c>
      <c r="S173"/>
      <c r="T173"/>
      <c r="U173"/>
      <c r="V173"/>
      <c r="W173"/>
      <c r="X173"/>
      <c r="Y173"/>
      <c r="Z173"/>
      <c r="AA173"/>
      <c r="AB173"/>
      <c r="AC173"/>
      <c r="AD173">
        <v>4.2352129999999999</v>
      </c>
      <c r="AE173">
        <v>21.221969999999999</v>
      </c>
      <c r="AF173"/>
      <c r="AG173"/>
      <c r="AH173"/>
      <c r="AI173"/>
      <c r="AJ173"/>
      <c r="AK173">
        <v>15.40385</v>
      </c>
      <c r="AL173"/>
      <c r="AM173"/>
      <c r="AN173"/>
      <c r="AO173"/>
      <c r="AP173"/>
      <c r="AQ173"/>
      <c r="AR173"/>
      <c r="AS173"/>
      <c r="AT173"/>
      <c r="AU173"/>
      <c r="AV173"/>
      <c r="AW173">
        <v>13.085839999999999</v>
      </c>
      <c r="AX173"/>
    </row>
    <row r="174" spans="1:50" x14ac:dyDescent="0.35">
      <c r="A174" s="75">
        <v>23132</v>
      </c>
      <c r="B174"/>
      <c r="C174"/>
      <c r="D174"/>
      <c r="E174">
        <v>13.46926</v>
      </c>
      <c r="F174">
        <v>25.958020000000001</v>
      </c>
      <c r="G174"/>
      <c r="H174"/>
      <c r="I174"/>
      <c r="J174"/>
      <c r="K174"/>
      <c r="L174">
        <v>24.976590000000002</v>
      </c>
      <c r="M174"/>
      <c r="N174"/>
      <c r="O174"/>
      <c r="P174"/>
      <c r="Q174"/>
      <c r="R174">
        <v>8.3830849999999995</v>
      </c>
      <c r="S174"/>
      <c r="T174"/>
      <c r="U174"/>
      <c r="V174"/>
      <c r="W174"/>
      <c r="X174"/>
      <c r="Y174"/>
      <c r="Z174"/>
      <c r="AA174"/>
      <c r="AB174"/>
      <c r="AC174"/>
      <c r="AD174">
        <v>4.2380139999999997</v>
      </c>
      <c r="AE174">
        <v>21.43515</v>
      </c>
      <c r="AF174"/>
      <c r="AG174"/>
      <c r="AH174"/>
      <c r="AI174"/>
      <c r="AJ174"/>
      <c r="AK174">
        <v>15.32485</v>
      </c>
      <c r="AL174"/>
      <c r="AM174"/>
      <c r="AN174"/>
      <c r="AO174"/>
      <c r="AP174"/>
      <c r="AQ174"/>
      <c r="AR174"/>
      <c r="AS174"/>
      <c r="AT174"/>
      <c r="AU174"/>
      <c r="AV174"/>
      <c r="AW174">
        <v>13.085839999999999</v>
      </c>
      <c r="AX174"/>
    </row>
    <row r="175" spans="1:50" x14ac:dyDescent="0.35">
      <c r="A175" s="75">
        <v>23163</v>
      </c>
      <c r="B175"/>
      <c r="C175"/>
      <c r="D175"/>
      <c r="E175">
        <v>13.44441</v>
      </c>
      <c r="F175">
        <v>26.008610000000001</v>
      </c>
      <c r="G175"/>
      <c r="H175"/>
      <c r="I175"/>
      <c r="J175"/>
      <c r="K175"/>
      <c r="L175">
        <v>24.838470000000001</v>
      </c>
      <c r="M175"/>
      <c r="N175"/>
      <c r="O175"/>
      <c r="P175"/>
      <c r="Q175"/>
      <c r="R175">
        <v>8.3668759999999995</v>
      </c>
      <c r="S175"/>
      <c r="T175"/>
      <c r="U175"/>
      <c r="V175"/>
      <c r="W175"/>
      <c r="X175"/>
      <c r="Y175"/>
      <c r="Z175"/>
      <c r="AA175"/>
      <c r="AB175"/>
      <c r="AC175"/>
      <c r="AD175">
        <v>4.2480460000000004</v>
      </c>
      <c r="AE175">
        <v>21.57723</v>
      </c>
      <c r="AF175"/>
      <c r="AG175"/>
      <c r="AH175"/>
      <c r="AI175"/>
      <c r="AJ175"/>
      <c r="AK175">
        <v>15.39428</v>
      </c>
      <c r="AL175"/>
      <c r="AM175"/>
      <c r="AN175"/>
      <c r="AO175"/>
      <c r="AP175"/>
      <c r="AQ175"/>
      <c r="AR175"/>
      <c r="AS175"/>
      <c r="AT175"/>
      <c r="AU175"/>
      <c r="AV175"/>
      <c r="AW175">
        <v>13.12712</v>
      </c>
      <c r="AX175"/>
    </row>
    <row r="176" spans="1:50" x14ac:dyDescent="0.35">
      <c r="A176" s="75">
        <v>23193</v>
      </c>
      <c r="B176"/>
      <c r="C176"/>
      <c r="D176"/>
      <c r="E176">
        <v>13.63627</v>
      </c>
      <c r="F176">
        <v>26.063500000000001</v>
      </c>
      <c r="G176"/>
      <c r="H176"/>
      <c r="I176"/>
      <c r="J176"/>
      <c r="K176"/>
      <c r="L176">
        <v>24.881209999999999</v>
      </c>
      <c r="M176"/>
      <c r="N176"/>
      <c r="O176"/>
      <c r="P176"/>
      <c r="Q176"/>
      <c r="R176">
        <v>8.3830849999999995</v>
      </c>
      <c r="S176"/>
      <c r="T176"/>
      <c r="U176"/>
      <c r="V176"/>
      <c r="W176"/>
      <c r="X176"/>
      <c r="Y176"/>
      <c r="Z176"/>
      <c r="AA176"/>
      <c r="AB176"/>
      <c r="AC176"/>
      <c r="AD176">
        <v>4.2511570000000001</v>
      </c>
      <c r="AE176">
        <v>21.455739999999999</v>
      </c>
      <c r="AF176"/>
      <c r="AG176"/>
      <c r="AH176"/>
      <c r="AI176"/>
      <c r="AJ176"/>
      <c r="AK176">
        <v>15.025230000000001</v>
      </c>
      <c r="AL176"/>
      <c r="AM176"/>
      <c r="AN176"/>
      <c r="AO176"/>
      <c r="AP176"/>
      <c r="AQ176"/>
      <c r="AR176"/>
      <c r="AS176"/>
      <c r="AT176"/>
      <c r="AU176"/>
      <c r="AV176"/>
      <c r="AW176">
        <v>13.12712</v>
      </c>
      <c r="AX176"/>
    </row>
    <row r="177" spans="1:50" x14ac:dyDescent="0.35">
      <c r="A177" s="75">
        <v>23224</v>
      </c>
      <c r="B177"/>
      <c r="C177"/>
      <c r="D177"/>
      <c r="E177">
        <v>13.7098</v>
      </c>
      <c r="F177">
        <v>26.152709999999999</v>
      </c>
      <c r="G177"/>
      <c r="H177"/>
      <c r="I177"/>
      <c r="J177"/>
      <c r="K177"/>
      <c r="L177">
        <v>24.852329999999998</v>
      </c>
      <c r="M177"/>
      <c r="N177"/>
      <c r="O177"/>
      <c r="P177"/>
      <c r="Q177"/>
      <c r="R177">
        <v>8.4742770000000007</v>
      </c>
      <c r="S177"/>
      <c r="T177"/>
      <c r="U177"/>
      <c r="V177"/>
      <c r="W177"/>
      <c r="X177"/>
      <c r="Y177"/>
      <c r="Z177"/>
      <c r="AA177"/>
      <c r="AB177"/>
      <c r="AC177"/>
      <c r="AD177">
        <v>4.2697010000000004</v>
      </c>
      <c r="AE177">
        <v>21.404039999999998</v>
      </c>
      <c r="AF177"/>
      <c r="AG177"/>
      <c r="AH177"/>
      <c r="AI177"/>
      <c r="AJ177"/>
      <c r="AK177">
        <v>15.14579</v>
      </c>
      <c r="AL177"/>
      <c r="AM177"/>
      <c r="AN177"/>
      <c r="AO177"/>
      <c r="AP177"/>
      <c r="AQ177"/>
      <c r="AR177"/>
      <c r="AS177"/>
      <c r="AT177"/>
      <c r="AU177"/>
      <c r="AV177"/>
      <c r="AW177">
        <v>13.1684</v>
      </c>
      <c r="AX177"/>
    </row>
    <row r="178" spans="1:50" x14ac:dyDescent="0.35">
      <c r="A178" s="75">
        <v>23255</v>
      </c>
      <c r="B178"/>
      <c r="C178"/>
      <c r="D178"/>
      <c r="E178">
        <v>13.632350000000001</v>
      </c>
      <c r="F178">
        <v>26.21116</v>
      </c>
      <c r="G178"/>
      <c r="H178"/>
      <c r="I178"/>
      <c r="J178"/>
      <c r="K178"/>
      <c r="L178">
        <v>24.889810000000001</v>
      </c>
      <c r="M178"/>
      <c r="N178"/>
      <c r="O178"/>
      <c r="P178"/>
      <c r="Q178"/>
      <c r="R178">
        <v>8.5168420000000005</v>
      </c>
      <c r="S178"/>
      <c r="T178"/>
      <c r="U178"/>
      <c r="V178"/>
      <c r="W178"/>
      <c r="X178"/>
      <c r="Y178"/>
      <c r="Z178"/>
      <c r="AA178"/>
      <c r="AB178"/>
      <c r="AC178"/>
      <c r="AD178">
        <v>4.2947160000000002</v>
      </c>
      <c r="AE178">
        <v>21.8476</v>
      </c>
      <c r="AF178"/>
      <c r="AG178"/>
      <c r="AH178"/>
      <c r="AI178"/>
      <c r="AJ178"/>
      <c r="AK178">
        <v>15.296150000000001</v>
      </c>
      <c r="AL178"/>
      <c r="AM178"/>
      <c r="AN178"/>
      <c r="AO178"/>
      <c r="AP178"/>
      <c r="AQ178"/>
      <c r="AR178"/>
      <c r="AS178"/>
      <c r="AT178"/>
      <c r="AU178"/>
      <c r="AV178"/>
      <c r="AW178">
        <v>13.1684</v>
      </c>
      <c r="AX178"/>
    </row>
    <row r="179" spans="1:50" x14ac:dyDescent="0.35">
      <c r="A179" s="75">
        <v>23285</v>
      </c>
      <c r="B179"/>
      <c r="C179"/>
      <c r="D179"/>
      <c r="E179">
        <v>13.6572</v>
      </c>
      <c r="F179">
        <v>26.31569</v>
      </c>
      <c r="G179"/>
      <c r="H179"/>
      <c r="I179"/>
      <c r="J179"/>
      <c r="K179"/>
      <c r="L179">
        <v>25.062059999999999</v>
      </c>
      <c r="M179"/>
      <c r="N179"/>
      <c r="O179"/>
      <c r="P179"/>
      <c r="Q179"/>
      <c r="R179">
        <v>8.6771609999999999</v>
      </c>
      <c r="S179"/>
      <c r="T179"/>
      <c r="U179"/>
      <c r="V179"/>
      <c r="W179"/>
      <c r="X179"/>
      <c r="Y179"/>
      <c r="Z179"/>
      <c r="AA179"/>
      <c r="AB179"/>
      <c r="AC179"/>
      <c r="AD179">
        <v>4.3331739999999996</v>
      </c>
      <c r="AE179">
        <v>21.729109999999999</v>
      </c>
      <c r="AF179"/>
      <c r="AG179"/>
      <c r="AH179"/>
      <c r="AI179"/>
      <c r="AJ179"/>
      <c r="AK179">
        <v>15.32677</v>
      </c>
      <c r="AL179"/>
      <c r="AM179"/>
      <c r="AN179"/>
      <c r="AO179"/>
      <c r="AP179"/>
      <c r="AQ179"/>
      <c r="AR179"/>
      <c r="AS179"/>
      <c r="AT179"/>
      <c r="AU179"/>
      <c r="AV179"/>
      <c r="AW179">
        <v>13.20969</v>
      </c>
      <c r="AX179"/>
    </row>
    <row r="180" spans="1:50" x14ac:dyDescent="0.35">
      <c r="A180" s="75">
        <v>23316</v>
      </c>
      <c r="B180"/>
      <c r="C180"/>
      <c r="D180"/>
      <c r="E180">
        <v>13.74708</v>
      </c>
      <c r="F180">
        <v>26.497299999999999</v>
      </c>
      <c r="G180"/>
      <c r="H180"/>
      <c r="I180"/>
      <c r="J180"/>
      <c r="K180"/>
      <c r="L180">
        <v>25.092680000000001</v>
      </c>
      <c r="M180"/>
      <c r="N180"/>
      <c r="O180"/>
      <c r="P180"/>
      <c r="Q180"/>
      <c r="R180">
        <v>8.6771609999999999</v>
      </c>
      <c r="S180"/>
      <c r="T180"/>
      <c r="U180"/>
      <c r="V180"/>
      <c r="W180"/>
      <c r="X180"/>
      <c r="Y180"/>
      <c r="Z180"/>
      <c r="AA180"/>
      <c r="AB180"/>
      <c r="AC180"/>
      <c r="AD180">
        <v>4.3527889999999996</v>
      </c>
      <c r="AE180">
        <v>21.632680000000001</v>
      </c>
      <c r="AF180"/>
      <c r="AG180"/>
      <c r="AH180"/>
      <c r="AI180"/>
      <c r="AJ180"/>
      <c r="AK180">
        <v>15.32677</v>
      </c>
      <c r="AL180"/>
      <c r="AM180"/>
      <c r="AN180"/>
      <c r="AO180"/>
      <c r="AP180"/>
      <c r="AQ180"/>
      <c r="AR180"/>
      <c r="AS180"/>
      <c r="AT180"/>
      <c r="AU180"/>
      <c r="AV180"/>
      <c r="AW180">
        <v>13.250970000000001</v>
      </c>
      <c r="AX180"/>
    </row>
    <row r="181" spans="1:50" x14ac:dyDescent="0.35">
      <c r="A181" s="75">
        <v>23346</v>
      </c>
      <c r="B181"/>
      <c r="C181"/>
      <c r="D181"/>
      <c r="E181">
        <v>13.74708</v>
      </c>
      <c r="F181">
        <v>26.516210000000001</v>
      </c>
      <c r="G181"/>
      <c r="H181"/>
      <c r="I181"/>
      <c r="J181"/>
      <c r="K181"/>
      <c r="L181">
        <v>25.302420000000001</v>
      </c>
      <c r="M181"/>
      <c r="N181"/>
      <c r="O181"/>
      <c r="P181"/>
      <c r="Q181"/>
      <c r="R181">
        <v>8.6771609999999999</v>
      </c>
      <c r="S181"/>
      <c r="T181"/>
      <c r="U181"/>
      <c r="V181"/>
      <c r="W181"/>
      <c r="X181"/>
      <c r="Y181"/>
      <c r="Z181"/>
      <c r="AA181"/>
      <c r="AB181"/>
      <c r="AC181"/>
      <c r="AD181">
        <v>4.3778050000000004</v>
      </c>
      <c r="AE181">
        <v>21.743500000000001</v>
      </c>
      <c r="AF181"/>
      <c r="AG181"/>
      <c r="AH181"/>
      <c r="AI181"/>
      <c r="AJ181"/>
      <c r="AK181">
        <v>15.436389999999999</v>
      </c>
      <c r="AL181"/>
      <c r="AM181"/>
      <c r="AN181"/>
      <c r="AO181"/>
      <c r="AP181"/>
      <c r="AQ181"/>
      <c r="AR181"/>
      <c r="AS181"/>
      <c r="AT181"/>
      <c r="AU181"/>
      <c r="AV181"/>
      <c r="AW181">
        <v>13.250970000000001</v>
      </c>
      <c r="AX181"/>
    </row>
    <row r="182" spans="1:50" x14ac:dyDescent="0.35">
      <c r="A182" s="75">
        <v>23377</v>
      </c>
      <c r="B182"/>
      <c r="C182"/>
      <c r="D182"/>
      <c r="E182">
        <v>13.74708</v>
      </c>
      <c r="F182">
        <v>26.548490000000001</v>
      </c>
      <c r="G182"/>
      <c r="H182"/>
      <c r="I182"/>
      <c r="J182"/>
      <c r="K182"/>
      <c r="L182">
        <v>25.409759999999999</v>
      </c>
      <c r="M182"/>
      <c r="N182"/>
      <c r="O182"/>
      <c r="P182"/>
      <c r="Q182"/>
      <c r="R182">
        <v>9.0286519999999992</v>
      </c>
      <c r="S182"/>
      <c r="T182"/>
      <c r="U182"/>
      <c r="V182"/>
      <c r="W182"/>
      <c r="X182"/>
      <c r="Y182"/>
      <c r="Z182"/>
      <c r="AA182"/>
      <c r="AB182"/>
      <c r="AC182"/>
      <c r="AD182">
        <v>4.4176919999999997</v>
      </c>
      <c r="AE182">
        <v>21.797429999999999</v>
      </c>
      <c r="AF182"/>
      <c r="AG182"/>
      <c r="AH182"/>
      <c r="AI182"/>
      <c r="AJ182"/>
      <c r="AK182">
        <v>15.686260000000001</v>
      </c>
      <c r="AL182"/>
      <c r="AM182"/>
      <c r="AN182"/>
      <c r="AO182"/>
      <c r="AP182"/>
      <c r="AQ182"/>
      <c r="AR182"/>
      <c r="AS182"/>
      <c r="AT182"/>
      <c r="AU182"/>
      <c r="AV182"/>
      <c r="AW182">
        <v>13.250970000000001</v>
      </c>
      <c r="AX182"/>
    </row>
    <row r="183" spans="1:50" x14ac:dyDescent="0.35">
      <c r="A183" s="75">
        <v>23408</v>
      </c>
      <c r="B183"/>
      <c r="C183"/>
      <c r="D183"/>
      <c r="E183">
        <v>13.74708</v>
      </c>
      <c r="F183">
        <v>26.619879999999998</v>
      </c>
      <c r="G183"/>
      <c r="H183"/>
      <c r="I183"/>
      <c r="J183"/>
      <c r="K183"/>
      <c r="L183">
        <v>25.49333</v>
      </c>
      <c r="M183"/>
      <c r="N183"/>
      <c r="O183"/>
      <c r="P183"/>
      <c r="Q183"/>
      <c r="R183">
        <v>9.1036350000000006</v>
      </c>
      <c r="S183"/>
      <c r="T183"/>
      <c r="U183"/>
      <c r="V183"/>
      <c r="W183"/>
      <c r="X183"/>
      <c r="Y183"/>
      <c r="Z183"/>
      <c r="AA183"/>
      <c r="AB183"/>
      <c r="AC183"/>
      <c r="AD183">
        <v>4.4281220000000001</v>
      </c>
      <c r="AE183">
        <v>21.764389999999999</v>
      </c>
      <c r="AF183"/>
      <c r="AG183"/>
      <c r="AH183"/>
      <c r="AI183"/>
      <c r="AJ183"/>
      <c r="AK183">
        <v>15.686260000000001</v>
      </c>
      <c r="AL183"/>
      <c r="AM183"/>
      <c r="AN183"/>
      <c r="AO183"/>
      <c r="AP183"/>
      <c r="AQ183"/>
      <c r="AR183"/>
      <c r="AS183"/>
      <c r="AT183"/>
      <c r="AU183"/>
      <c r="AV183"/>
      <c r="AW183">
        <v>13.250970000000001</v>
      </c>
      <c r="AX183"/>
    </row>
    <row r="184" spans="1:50" x14ac:dyDescent="0.35">
      <c r="A184" s="75">
        <v>23437</v>
      </c>
      <c r="B184"/>
      <c r="C184"/>
      <c r="D184"/>
      <c r="E184">
        <v>13.738899999999999</v>
      </c>
      <c r="F184">
        <v>26.63409</v>
      </c>
      <c r="G184"/>
      <c r="H184"/>
      <c r="I184"/>
      <c r="J184"/>
      <c r="K184"/>
      <c r="L184">
        <v>25.498439999999999</v>
      </c>
      <c r="M184"/>
      <c r="N184"/>
      <c r="O184"/>
      <c r="P184"/>
      <c r="Q184"/>
      <c r="R184">
        <v>9.1624079999999992</v>
      </c>
      <c r="S184"/>
      <c r="T184"/>
      <c r="U184"/>
      <c r="V184"/>
      <c r="W184"/>
      <c r="X184"/>
      <c r="Y184"/>
      <c r="Z184"/>
      <c r="AA184"/>
      <c r="AB184"/>
      <c r="AC184"/>
      <c r="AD184">
        <v>4.44618</v>
      </c>
      <c r="AE184">
        <v>21.822610000000001</v>
      </c>
      <c r="AF184"/>
      <c r="AG184"/>
      <c r="AH184"/>
      <c r="AI184"/>
      <c r="AJ184"/>
      <c r="AK184">
        <v>15.836069999999999</v>
      </c>
      <c r="AL184"/>
      <c r="AM184"/>
      <c r="AN184"/>
      <c r="AO184"/>
      <c r="AP184"/>
      <c r="AQ184"/>
      <c r="AR184"/>
      <c r="AS184"/>
      <c r="AT184"/>
      <c r="AU184"/>
      <c r="AV184"/>
      <c r="AW184">
        <v>13.292249999999999</v>
      </c>
      <c r="AX184"/>
    </row>
    <row r="185" spans="1:50" x14ac:dyDescent="0.35">
      <c r="A185" s="75">
        <v>23468</v>
      </c>
      <c r="B185"/>
      <c r="C185"/>
      <c r="D185"/>
      <c r="E185">
        <v>13.84121</v>
      </c>
      <c r="F185">
        <v>26.79335</v>
      </c>
      <c r="G185"/>
      <c r="H185"/>
      <c r="I185"/>
      <c r="J185"/>
      <c r="K185"/>
      <c r="L185">
        <v>25.530819999999999</v>
      </c>
      <c r="M185"/>
      <c r="N185"/>
      <c r="O185"/>
      <c r="P185"/>
      <c r="Q185"/>
      <c r="R185">
        <v>9.215325</v>
      </c>
      <c r="S185"/>
      <c r="T185"/>
      <c r="U185"/>
      <c r="V185"/>
      <c r="W185"/>
      <c r="X185"/>
      <c r="Y185"/>
      <c r="Z185"/>
      <c r="AA185"/>
      <c r="AB185"/>
      <c r="AC185"/>
      <c r="AD185">
        <v>4.4564709999999996</v>
      </c>
      <c r="AE185">
        <v>22.175190000000001</v>
      </c>
      <c r="AF185"/>
      <c r="AG185"/>
      <c r="AH185"/>
      <c r="AI185"/>
      <c r="AJ185"/>
      <c r="AK185">
        <v>16.464559999999999</v>
      </c>
      <c r="AL185"/>
      <c r="AM185"/>
      <c r="AN185"/>
      <c r="AO185"/>
      <c r="AP185"/>
      <c r="AQ185"/>
      <c r="AR185"/>
      <c r="AS185"/>
      <c r="AT185"/>
      <c r="AU185"/>
      <c r="AV185"/>
      <c r="AW185">
        <v>13.292249999999999</v>
      </c>
      <c r="AX185"/>
    </row>
    <row r="186" spans="1:50" x14ac:dyDescent="0.35">
      <c r="A186" s="75">
        <v>23498</v>
      </c>
      <c r="B186"/>
      <c r="C186"/>
      <c r="D186"/>
      <c r="E186">
        <v>13.84121</v>
      </c>
      <c r="F186">
        <v>26.986719999999998</v>
      </c>
      <c r="G186"/>
      <c r="H186"/>
      <c r="I186"/>
      <c r="J186"/>
      <c r="K186"/>
      <c r="L186">
        <v>25.523959999999999</v>
      </c>
      <c r="M186"/>
      <c r="N186"/>
      <c r="O186"/>
      <c r="P186"/>
      <c r="Q186"/>
      <c r="R186">
        <v>9.2740989999999996</v>
      </c>
      <c r="S186"/>
      <c r="T186"/>
      <c r="U186"/>
      <c r="V186"/>
      <c r="W186"/>
      <c r="X186"/>
      <c r="Y186"/>
      <c r="Z186"/>
      <c r="AA186"/>
      <c r="AB186"/>
      <c r="AC186"/>
      <c r="AD186">
        <v>4.5017050000000003</v>
      </c>
      <c r="AE186">
        <v>22.271190000000001</v>
      </c>
      <c r="AF186"/>
      <c r="AG186"/>
      <c r="AH186"/>
      <c r="AI186"/>
      <c r="AJ186"/>
      <c r="AK186">
        <v>16.124199999999998</v>
      </c>
      <c r="AL186"/>
      <c r="AM186"/>
      <c r="AN186"/>
      <c r="AO186"/>
      <c r="AP186"/>
      <c r="AQ186"/>
      <c r="AR186"/>
      <c r="AS186"/>
      <c r="AT186"/>
      <c r="AU186"/>
      <c r="AV186"/>
      <c r="AW186">
        <v>13.292249999999999</v>
      </c>
      <c r="AX186"/>
    </row>
    <row r="187" spans="1:50" x14ac:dyDescent="0.35">
      <c r="A187" s="75">
        <v>23529</v>
      </c>
      <c r="B187"/>
      <c r="C187"/>
      <c r="D187"/>
      <c r="E187">
        <v>13.81636</v>
      </c>
      <c r="F187">
        <v>26.955639999999999</v>
      </c>
      <c r="G187"/>
      <c r="H187"/>
      <c r="I187"/>
      <c r="J187"/>
      <c r="K187"/>
      <c r="L187">
        <v>25.435279999999999</v>
      </c>
      <c r="M187"/>
      <c r="N187"/>
      <c r="O187"/>
      <c r="P187"/>
      <c r="Q187"/>
      <c r="R187">
        <v>9.3711470000000006</v>
      </c>
      <c r="S187"/>
      <c r="T187"/>
      <c r="U187"/>
      <c r="V187"/>
      <c r="W187"/>
      <c r="X187"/>
      <c r="Y187"/>
      <c r="Z187"/>
      <c r="AA187"/>
      <c r="AB187"/>
      <c r="AC187"/>
      <c r="AD187">
        <v>4.5224489999999999</v>
      </c>
      <c r="AE187">
        <v>22.237259999999999</v>
      </c>
      <c r="AF187"/>
      <c r="AG187"/>
      <c r="AH187"/>
      <c r="AI187"/>
      <c r="AJ187"/>
      <c r="AK187">
        <v>16.164390000000001</v>
      </c>
      <c r="AL187"/>
      <c r="AM187"/>
      <c r="AN187"/>
      <c r="AO187"/>
      <c r="AP187"/>
      <c r="AQ187"/>
      <c r="AR187"/>
      <c r="AS187"/>
      <c r="AT187"/>
      <c r="AU187"/>
      <c r="AV187"/>
      <c r="AW187">
        <v>13.33353</v>
      </c>
      <c r="AX187"/>
    </row>
    <row r="188" spans="1:50" x14ac:dyDescent="0.35">
      <c r="A188" s="75">
        <v>23559</v>
      </c>
      <c r="B188"/>
      <c r="C188"/>
      <c r="D188"/>
      <c r="E188">
        <v>13.86896</v>
      </c>
      <c r="F188">
        <v>26.974150000000002</v>
      </c>
      <c r="G188"/>
      <c r="H188"/>
      <c r="I188"/>
      <c r="J188"/>
      <c r="K188"/>
      <c r="L188">
        <v>25.51886</v>
      </c>
      <c r="M188"/>
      <c r="N188"/>
      <c r="O188"/>
      <c r="P188"/>
      <c r="Q188"/>
      <c r="R188">
        <v>9.3711470000000006</v>
      </c>
      <c r="S188"/>
      <c r="T188"/>
      <c r="U188"/>
      <c r="V188"/>
      <c r="W188"/>
      <c r="X188"/>
      <c r="Y188"/>
      <c r="Z188"/>
      <c r="AA188"/>
      <c r="AB188"/>
      <c r="AC188"/>
      <c r="AD188">
        <v>4.5471000000000004</v>
      </c>
      <c r="AE188">
        <v>22.146000000000001</v>
      </c>
      <c r="AF188"/>
      <c r="AG188"/>
      <c r="AH188"/>
      <c r="AI188"/>
      <c r="AJ188"/>
      <c r="AK188">
        <v>16.19501</v>
      </c>
      <c r="AL188"/>
      <c r="AM188"/>
      <c r="AN188"/>
      <c r="AO188"/>
      <c r="AP188"/>
      <c r="AQ188"/>
      <c r="AR188"/>
      <c r="AS188"/>
      <c r="AT188"/>
      <c r="AU188"/>
      <c r="AV188"/>
      <c r="AW188">
        <v>13.33353</v>
      </c>
      <c r="AX188"/>
    </row>
    <row r="189" spans="1:50" x14ac:dyDescent="0.35">
      <c r="A189" s="75">
        <v>23590</v>
      </c>
      <c r="B189"/>
      <c r="C189"/>
      <c r="D189"/>
      <c r="E189">
        <v>13.88138</v>
      </c>
      <c r="F189">
        <v>27.05865</v>
      </c>
      <c r="G189"/>
      <c r="H189"/>
      <c r="I189"/>
      <c r="J189"/>
      <c r="K189"/>
      <c r="L189">
        <v>25.54278</v>
      </c>
      <c r="M189"/>
      <c r="N189"/>
      <c r="O189"/>
      <c r="P189"/>
      <c r="Q189"/>
      <c r="R189">
        <v>9.3711470000000006</v>
      </c>
      <c r="S189"/>
      <c r="T189"/>
      <c r="U189"/>
      <c r="V189"/>
      <c r="W189"/>
      <c r="X189"/>
      <c r="Y189"/>
      <c r="Z189"/>
      <c r="AA189"/>
      <c r="AB189"/>
      <c r="AC189"/>
      <c r="AD189">
        <v>4.5668870000000004</v>
      </c>
      <c r="AE189">
        <v>22.334150000000001</v>
      </c>
      <c r="AF189"/>
      <c r="AG189"/>
      <c r="AH189"/>
      <c r="AI189"/>
      <c r="AJ189"/>
      <c r="AK189">
        <v>16.385020000000001</v>
      </c>
      <c r="AL189"/>
      <c r="AM189"/>
      <c r="AN189"/>
      <c r="AO189"/>
      <c r="AP189"/>
      <c r="AQ189"/>
      <c r="AR189"/>
      <c r="AS189"/>
      <c r="AT189"/>
      <c r="AU189"/>
      <c r="AV189"/>
      <c r="AW189">
        <v>13.292249999999999</v>
      </c>
      <c r="AX189"/>
    </row>
    <row r="190" spans="1:50" x14ac:dyDescent="0.35">
      <c r="A190" s="75">
        <v>23621</v>
      </c>
      <c r="B190"/>
      <c r="C190"/>
      <c r="D190"/>
      <c r="E190">
        <v>13.918659999999999</v>
      </c>
      <c r="F190">
        <v>27.097629999999999</v>
      </c>
      <c r="G190"/>
      <c r="H190"/>
      <c r="I190"/>
      <c r="J190"/>
      <c r="K190"/>
      <c r="L190">
        <v>25.527460000000001</v>
      </c>
      <c r="M190"/>
      <c r="N190"/>
      <c r="O190"/>
      <c r="P190"/>
      <c r="Q190"/>
      <c r="R190">
        <v>9.4240650000000006</v>
      </c>
      <c r="S190"/>
      <c r="T190"/>
      <c r="U190"/>
      <c r="V190"/>
      <c r="W190"/>
      <c r="X190"/>
      <c r="Y190"/>
      <c r="Z190"/>
      <c r="AA190"/>
      <c r="AB190"/>
      <c r="AC190"/>
      <c r="AD190">
        <v>4.5859160000000001</v>
      </c>
      <c r="AE190">
        <v>22.659490000000002</v>
      </c>
      <c r="AF190"/>
      <c r="AG190"/>
      <c r="AH190"/>
      <c r="AI190"/>
      <c r="AJ190"/>
      <c r="AK190">
        <v>16.515689999999999</v>
      </c>
      <c r="AL190"/>
      <c r="AM190"/>
      <c r="AN190"/>
      <c r="AO190"/>
      <c r="AP190"/>
      <c r="AQ190"/>
      <c r="AR190"/>
      <c r="AS190"/>
      <c r="AT190"/>
      <c r="AU190"/>
      <c r="AV190"/>
      <c r="AW190">
        <v>13.33353</v>
      </c>
      <c r="AX190"/>
    </row>
    <row r="191" spans="1:50" x14ac:dyDescent="0.35">
      <c r="A191" s="75">
        <v>23651</v>
      </c>
      <c r="B191"/>
      <c r="C191"/>
      <c r="D191"/>
      <c r="E191">
        <v>13.964119999999999</v>
      </c>
      <c r="F191">
        <v>27.187950000000001</v>
      </c>
      <c r="G191"/>
      <c r="H191"/>
      <c r="I191"/>
      <c r="J191"/>
      <c r="K191"/>
      <c r="L191">
        <v>25.629850000000001</v>
      </c>
      <c r="M191"/>
      <c r="N191"/>
      <c r="O191"/>
      <c r="P191"/>
      <c r="Q191"/>
      <c r="R191">
        <v>9.4402740000000005</v>
      </c>
      <c r="S191"/>
      <c r="T191"/>
      <c r="U191"/>
      <c r="V191"/>
      <c r="W191"/>
      <c r="X191"/>
      <c r="Y191"/>
      <c r="Z191"/>
      <c r="AA191"/>
      <c r="AB191"/>
      <c r="AC191"/>
      <c r="AD191">
        <v>4.6049439999999997</v>
      </c>
      <c r="AE191">
        <v>22.978459999999998</v>
      </c>
      <c r="AF191"/>
      <c r="AG191"/>
      <c r="AH191"/>
      <c r="AI191"/>
      <c r="AJ191"/>
      <c r="AK191">
        <v>16.365880000000001</v>
      </c>
      <c r="AL191"/>
      <c r="AM191"/>
      <c r="AN191"/>
      <c r="AO191"/>
      <c r="AP191"/>
      <c r="AQ191"/>
      <c r="AR191"/>
      <c r="AS191"/>
      <c r="AT191"/>
      <c r="AU191"/>
      <c r="AV191"/>
      <c r="AW191">
        <v>13.37481</v>
      </c>
      <c r="AX191"/>
    </row>
    <row r="192" spans="1:50" x14ac:dyDescent="0.35">
      <c r="A192" s="75">
        <v>23682</v>
      </c>
      <c r="B192"/>
      <c r="C192"/>
      <c r="D192"/>
      <c r="E192">
        <v>13.951689999999999</v>
      </c>
      <c r="F192">
        <v>27.20956</v>
      </c>
      <c r="G192"/>
      <c r="H192"/>
      <c r="I192"/>
      <c r="J192"/>
      <c r="K192"/>
      <c r="L192">
        <v>25.738949999999999</v>
      </c>
      <c r="M192"/>
      <c r="N192"/>
      <c r="O192"/>
      <c r="P192"/>
      <c r="Q192"/>
      <c r="R192">
        <v>9.5152570000000001</v>
      </c>
      <c r="S192"/>
      <c r="T192"/>
      <c r="U192"/>
      <c r="V192"/>
      <c r="W192"/>
      <c r="X192"/>
      <c r="Y192"/>
      <c r="Z192"/>
      <c r="AA192"/>
      <c r="AB192"/>
      <c r="AC192"/>
      <c r="AD192">
        <v>4.6335050000000004</v>
      </c>
      <c r="AE192">
        <v>22.842310000000001</v>
      </c>
      <c r="AF192"/>
      <c r="AG192"/>
      <c r="AH192"/>
      <c r="AI192"/>
      <c r="AJ192"/>
      <c r="AK192">
        <v>16.365880000000001</v>
      </c>
      <c r="AL192"/>
      <c r="AM192"/>
      <c r="AN192"/>
      <c r="AO192"/>
      <c r="AP192"/>
      <c r="AQ192"/>
      <c r="AR192"/>
      <c r="AS192"/>
      <c r="AT192"/>
      <c r="AU192"/>
      <c r="AV192"/>
      <c r="AW192">
        <v>13.416090000000001</v>
      </c>
      <c r="AX192"/>
    </row>
    <row r="193" spans="1:50" x14ac:dyDescent="0.35">
      <c r="A193" s="75">
        <v>23712</v>
      </c>
      <c r="B193"/>
      <c r="C193"/>
      <c r="D193"/>
      <c r="E193">
        <v>14.02914</v>
      </c>
      <c r="F193">
        <v>27.237439999999999</v>
      </c>
      <c r="G193"/>
      <c r="H193"/>
      <c r="I193"/>
      <c r="J193"/>
      <c r="K193"/>
      <c r="L193">
        <v>25.96574</v>
      </c>
      <c r="M193"/>
      <c r="N193"/>
      <c r="O193"/>
      <c r="P193"/>
      <c r="Q193"/>
      <c r="R193">
        <v>9.4990469999999991</v>
      </c>
      <c r="S193"/>
      <c r="T193"/>
      <c r="U193"/>
      <c r="V193"/>
      <c r="W193"/>
      <c r="X193"/>
      <c r="Y193"/>
      <c r="Z193"/>
      <c r="AA193"/>
      <c r="AB193"/>
      <c r="AC193"/>
      <c r="AD193">
        <v>4.6480040000000002</v>
      </c>
      <c r="AE193">
        <v>22.851949999999999</v>
      </c>
      <c r="AF193"/>
      <c r="AG193"/>
      <c r="AH193"/>
      <c r="AI193"/>
      <c r="AJ193"/>
      <c r="AK193">
        <v>16.365880000000001</v>
      </c>
      <c r="AL193"/>
      <c r="AM193"/>
      <c r="AN193"/>
      <c r="AO193"/>
      <c r="AP193"/>
      <c r="AQ193"/>
      <c r="AR193"/>
      <c r="AS193"/>
      <c r="AT193"/>
      <c r="AU193"/>
      <c r="AV193"/>
      <c r="AW193">
        <v>13.416090000000001</v>
      </c>
      <c r="AX193"/>
    </row>
    <row r="194" spans="1:50" x14ac:dyDescent="0.35">
      <c r="A194" s="75">
        <v>23743</v>
      </c>
      <c r="B194"/>
      <c r="C194"/>
      <c r="D194"/>
      <c r="E194">
        <v>14.033390000000001</v>
      </c>
      <c r="F194">
        <v>27.27497</v>
      </c>
      <c r="G194"/>
      <c r="H194"/>
      <c r="I194"/>
      <c r="J194"/>
      <c r="K194"/>
      <c r="L194">
        <v>25.987909999999999</v>
      </c>
      <c r="M194"/>
      <c r="N194"/>
      <c r="O194"/>
      <c r="P194"/>
      <c r="Q194"/>
      <c r="R194">
        <v>9.5902399999999997</v>
      </c>
      <c r="S194"/>
      <c r="T194"/>
      <c r="U194"/>
      <c r="V194"/>
      <c r="W194"/>
      <c r="X194"/>
      <c r="Y194"/>
      <c r="Z194"/>
      <c r="AA194"/>
      <c r="AB194"/>
      <c r="AC194"/>
      <c r="AD194">
        <v>4.6740370000000002</v>
      </c>
      <c r="AE194">
        <v>23.250029999999999</v>
      </c>
      <c r="AF194"/>
      <c r="AG194"/>
      <c r="AH194"/>
      <c r="AI194"/>
      <c r="AJ194"/>
      <c r="AK194">
        <v>16.379570000000001</v>
      </c>
      <c r="AL194"/>
      <c r="AM194"/>
      <c r="AN194"/>
      <c r="AO194"/>
      <c r="AP194"/>
      <c r="AQ194"/>
      <c r="AR194"/>
      <c r="AS194"/>
      <c r="AT194"/>
      <c r="AU194"/>
      <c r="AV194"/>
      <c r="AW194">
        <v>13.457369999999999</v>
      </c>
      <c r="AX194"/>
    </row>
    <row r="195" spans="1:50" x14ac:dyDescent="0.35">
      <c r="A195" s="75">
        <v>23774</v>
      </c>
      <c r="B195"/>
      <c r="C195"/>
      <c r="D195"/>
      <c r="E195">
        <v>14.02097</v>
      </c>
      <c r="F195">
        <v>27.421389999999999</v>
      </c>
      <c r="G195"/>
      <c r="H195"/>
      <c r="I195"/>
      <c r="J195"/>
      <c r="K195"/>
      <c r="L195">
        <v>26.01183</v>
      </c>
      <c r="M195"/>
      <c r="N195"/>
      <c r="O195"/>
      <c r="P195"/>
      <c r="Q195"/>
      <c r="R195">
        <v>9.5740309999999997</v>
      </c>
      <c r="S195"/>
      <c r="T195"/>
      <c r="U195"/>
      <c r="V195"/>
      <c r="W195"/>
      <c r="X195"/>
      <c r="Y195"/>
      <c r="Z195"/>
      <c r="AA195"/>
      <c r="AB195"/>
      <c r="AC195"/>
      <c r="AD195">
        <v>4.6861449999999998</v>
      </c>
      <c r="AE195">
        <v>23.206779999999998</v>
      </c>
      <c r="AF195"/>
      <c r="AG195"/>
      <c r="AH195"/>
      <c r="AI195"/>
      <c r="AJ195"/>
      <c r="AK195">
        <v>16.503229999999999</v>
      </c>
      <c r="AL195"/>
      <c r="AM195"/>
      <c r="AN195"/>
      <c r="AO195"/>
      <c r="AP195"/>
      <c r="AQ195"/>
      <c r="AR195"/>
      <c r="AS195"/>
      <c r="AT195"/>
      <c r="AU195"/>
      <c r="AV195"/>
      <c r="AW195">
        <v>13.457369999999999</v>
      </c>
      <c r="AX195"/>
    </row>
    <row r="196" spans="1:50" x14ac:dyDescent="0.35">
      <c r="A196" s="75">
        <v>23802</v>
      </c>
      <c r="B196"/>
      <c r="C196"/>
      <c r="D196"/>
      <c r="E196">
        <v>14.02914</v>
      </c>
      <c r="F196">
        <v>27.430890000000002</v>
      </c>
      <c r="G196"/>
      <c r="H196"/>
      <c r="I196"/>
      <c r="J196"/>
      <c r="K196"/>
      <c r="L196">
        <v>26.143090000000001</v>
      </c>
      <c r="M196"/>
      <c r="N196"/>
      <c r="O196"/>
      <c r="P196"/>
      <c r="Q196"/>
      <c r="R196">
        <v>9.6328040000000001</v>
      </c>
      <c r="S196"/>
      <c r="T196"/>
      <c r="U196"/>
      <c r="V196"/>
      <c r="W196"/>
      <c r="X196"/>
      <c r="Y196"/>
      <c r="Z196"/>
      <c r="AA196"/>
      <c r="AB196"/>
      <c r="AC196"/>
      <c r="AD196">
        <v>4.6963850000000003</v>
      </c>
      <c r="AE196">
        <v>23.31776</v>
      </c>
      <c r="AF196"/>
      <c r="AG196"/>
      <c r="AH196"/>
      <c r="AI196"/>
      <c r="AJ196"/>
      <c r="AK196">
        <v>16.600650000000002</v>
      </c>
      <c r="AL196"/>
      <c r="AM196"/>
      <c r="AN196"/>
      <c r="AO196"/>
      <c r="AP196"/>
      <c r="AQ196"/>
      <c r="AR196"/>
      <c r="AS196"/>
      <c r="AT196"/>
      <c r="AU196"/>
      <c r="AV196"/>
      <c r="AW196">
        <v>13.457369999999999</v>
      </c>
      <c r="AX196"/>
    </row>
    <row r="197" spans="1:50" x14ac:dyDescent="0.35">
      <c r="A197" s="75">
        <v>23833</v>
      </c>
      <c r="B197"/>
      <c r="C197"/>
      <c r="D197"/>
      <c r="E197">
        <v>14.131449999999999</v>
      </c>
      <c r="F197">
        <v>27.534310000000001</v>
      </c>
      <c r="G197"/>
      <c r="H197"/>
      <c r="I197"/>
      <c r="J197"/>
      <c r="K197"/>
      <c r="L197">
        <v>26.2026</v>
      </c>
      <c r="M197"/>
      <c r="N197"/>
      <c r="O197"/>
      <c r="P197"/>
      <c r="Q197"/>
      <c r="R197">
        <v>9.7239959999999996</v>
      </c>
      <c r="S197"/>
      <c r="T197"/>
      <c r="U197"/>
      <c r="V197"/>
      <c r="W197"/>
      <c r="X197"/>
      <c r="Y197"/>
      <c r="Z197"/>
      <c r="AA197"/>
      <c r="AB197"/>
      <c r="AC197"/>
      <c r="AD197">
        <v>4.7026820000000003</v>
      </c>
      <c r="AE197">
        <v>23.807839999999999</v>
      </c>
      <c r="AF197"/>
      <c r="AG197"/>
      <c r="AH197"/>
      <c r="AI197"/>
      <c r="AJ197"/>
      <c r="AK197">
        <v>16.728829999999999</v>
      </c>
      <c r="AL197"/>
      <c r="AM197"/>
      <c r="AN197"/>
      <c r="AO197"/>
      <c r="AP197"/>
      <c r="AQ197"/>
      <c r="AR197"/>
      <c r="AS197"/>
      <c r="AT197"/>
      <c r="AU197"/>
      <c r="AV197"/>
      <c r="AW197">
        <v>13.49865</v>
      </c>
      <c r="AX197"/>
    </row>
    <row r="198" spans="1:50" x14ac:dyDescent="0.35">
      <c r="A198" s="75">
        <v>23863</v>
      </c>
      <c r="B198"/>
      <c r="C198"/>
      <c r="D198"/>
      <c r="E198">
        <v>14.098420000000001</v>
      </c>
      <c r="F198">
        <v>27.91498</v>
      </c>
      <c r="G198"/>
      <c r="H198"/>
      <c r="I198"/>
      <c r="J198"/>
      <c r="K198"/>
      <c r="L198">
        <v>26.262250000000002</v>
      </c>
      <c r="M198"/>
      <c r="N198"/>
      <c r="O198"/>
      <c r="P198"/>
      <c r="Q198"/>
      <c r="R198">
        <v>9.7077869999999997</v>
      </c>
      <c r="S198"/>
      <c r="T198"/>
      <c r="U198"/>
      <c r="V198"/>
      <c r="W198"/>
      <c r="X198"/>
      <c r="Y198"/>
      <c r="Z198"/>
      <c r="AA198"/>
      <c r="AB198"/>
      <c r="AC198"/>
      <c r="AD198">
        <v>4.7113319999999996</v>
      </c>
      <c r="AE198">
        <v>23.758649999999999</v>
      </c>
      <c r="AF198"/>
      <c r="AG198"/>
      <c r="AH198"/>
      <c r="AI198"/>
      <c r="AJ198"/>
      <c r="AK198">
        <v>16.78538</v>
      </c>
      <c r="AL198"/>
      <c r="AM198"/>
      <c r="AN198"/>
      <c r="AO198"/>
      <c r="AP198"/>
      <c r="AQ198"/>
      <c r="AR198"/>
      <c r="AS198"/>
      <c r="AT198"/>
      <c r="AU198"/>
      <c r="AV198"/>
      <c r="AW198">
        <v>13.49865</v>
      </c>
      <c r="AX198"/>
    </row>
    <row r="199" spans="1:50" x14ac:dyDescent="0.35">
      <c r="A199" s="75">
        <v>23894</v>
      </c>
      <c r="B199"/>
      <c r="C199"/>
      <c r="D199"/>
      <c r="E199">
        <v>14.25333</v>
      </c>
      <c r="F199">
        <v>27.993459999999999</v>
      </c>
      <c r="G199"/>
      <c r="H199"/>
      <c r="I199"/>
      <c r="J199"/>
      <c r="K199"/>
      <c r="L199">
        <v>26.4361</v>
      </c>
      <c r="M199"/>
      <c r="N199"/>
      <c r="O199"/>
      <c r="P199"/>
      <c r="Q199"/>
      <c r="R199">
        <v>9.7665600000000001</v>
      </c>
      <c r="S199"/>
      <c r="T199"/>
      <c r="U199"/>
      <c r="V199"/>
      <c r="W199"/>
      <c r="X199"/>
      <c r="Y199"/>
      <c r="Z199"/>
      <c r="AA199"/>
      <c r="AB199"/>
      <c r="AC199"/>
      <c r="AD199">
        <v>4.7191349999999996</v>
      </c>
      <c r="AE199">
        <v>23.81672</v>
      </c>
      <c r="AF199"/>
      <c r="AG199"/>
      <c r="AH199"/>
      <c r="AI199"/>
      <c r="AJ199"/>
      <c r="AK199">
        <v>16.8215</v>
      </c>
      <c r="AL199"/>
      <c r="AM199"/>
      <c r="AN199"/>
      <c r="AO199"/>
      <c r="AP199"/>
      <c r="AQ199"/>
      <c r="AR199"/>
      <c r="AS199"/>
      <c r="AT199"/>
      <c r="AU199"/>
      <c r="AV199"/>
      <c r="AW199">
        <v>13.49865</v>
      </c>
      <c r="AX199"/>
    </row>
    <row r="200" spans="1:50" x14ac:dyDescent="0.35">
      <c r="A200" s="75">
        <v>23924</v>
      </c>
      <c r="B200"/>
      <c r="C200"/>
      <c r="D200"/>
      <c r="E200">
        <v>14.224220000000001</v>
      </c>
      <c r="F200">
        <v>28.058810000000001</v>
      </c>
      <c r="G200"/>
      <c r="H200"/>
      <c r="I200"/>
      <c r="J200"/>
      <c r="K200"/>
      <c r="L200">
        <v>26.466719999999999</v>
      </c>
      <c r="M200"/>
      <c r="N200"/>
      <c r="O200"/>
      <c r="P200"/>
      <c r="Q200"/>
      <c r="R200">
        <v>9.8415429999999997</v>
      </c>
      <c r="S200"/>
      <c r="T200"/>
      <c r="U200"/>
      <c r="V200"/>
      <c r="W200"/>
      <c r="X200"/>
      <c r="Y200"/>
      <c r="Z200"/>
      <c r="AA200"/>
      <c r="AB200"/>
      <c r="AC200"/>
      <c r="AD200">
        <v>4.7361950000000004</v>
      </c>
      <c r="AE200">
        <v>23.725460000000002</v>
      </c>
      <c r="AF200"/>
      <c r="AG200"/>
      <c r="AH200"/>
      <c r="AI200"/>
      <c r="AJ200"/>
      <c r="AK200">
        <v>16.72242</v>
      </c>
      <c r="AL200"/>
      <c r="AM200"/>
      <c r="AN200"/>
      <c r="AO200"/>
      <c r="AP200"/>
      <c r="AQ200"/>
      <c r="AR200"/>
      <c r="AS200"/>
      <c r="AT200"/>
      <c r="AU200"/>
      <c r="AV200"/>
      <c r="AW200">
        <v>13.49865</v>
      </c>
      <c r="AX200"/>
    </row>
    <row r="201" spans="1:50" x14ac:dyDescent="0.35">
      <c r="A201" s="75">
        <v>23955</v>
      </c>
      <c r="B201"/>
      <c r="C201"/>
      <c r="D201"/>
      <c r="E201">
        <v>14.2615</v>
      </c>
      <c r="F201">
        <v>28.225570000000001</v>
      </c>
      <c r="G201"/>
      <c r="H201"/>
      <c r="I201"/>
      <c r="J201"/>
      <c r="K201"/>
      <c r="L201">
        <v>26.509460000000001</v>
      </c>
      <c r="M201"/>
      <c r="N201"/>
      <c r="O201"/>
      <c r="P201"/>
      <c r="Q201"/>
      <c r="R201">
        <v>9.8415429999999997</v>
      </c>
      <c r="S201"/>
      <c r="T201"/>
      <c r="U201"/>
      <c r="V201"/>
      <c r="W201"/>
      <c r="X201"/>
      <c r="Y201"/>
      <c r="Z201"/>
      <c r="AA201"/>
      <c r="AB201"/>
      <c r="AC201"/>
      <c r="AD201">
        <v>4.7443590000000002</v>
      </c>
      <c r="AE201">
        <v>23.81109</v>
      </c>
      <c r="AF201"/>
      <c r="AG201"/>
      <c r="AH201"/>
      <c r="AI201"/>
      <c r="AJ201"/>
      <c r="AK201">
        <v>16.872450000000001</v>
      </c>
      <c r="AL201"/>
      <c r="AM201"/>
      <c r="AN201"/>
      <c r="AO201"/>
      <c r="AP201"/>
      <c r="AQ201"/>
      <c r="AR201"/>
      <c r="AS201"/>
      <c r="AT201"/>
      <c r="AU201"/>
      <c r="AV201"/>
      <c r="AW201">
        <v>13.49865</v>
      </c>
      <c r="AX201"/>
    </row>
    <row r="202" spans="1:50" x14ac:dyDescent="0.35">
      <c r="A202" s="75">
        <v>23986</v>
      </c>
      <c r="B202"/>
      <c r="C202"/>
      <c r="D202"/>
      <c r="E202">
        <v>14.278180000000001</v>
      </c>
      <c r="F202">
        <v>28.283519999999999</v>
      </c>
      <c r="G202"/>
      <c r="H202"/>
      <c r="I202"/>
      <c r="J202"/>
      <c r="K202"/>
      <c r="L202">
        <v>26.511209999999998</v>
      </c>
      <c r="M202"/>
      <c r="N202"/>
      <c r="O202"/>
      <c r="P202"/>
      <c r="Q202"/>
      <c r="R202">
        <v>9.7665600000000001</v>
      </c>
      <c r="S202"/>
      <c r="T202"/>
      <c r="U202"/>
      <c r="V202"/>
      <c r="W202"/>
      <c r="X202"/>
      <c r="Y202"/>
      <c r="Z202"/>
      <c r="AA202"/>
      <c r="AB202"/>
      <c r="AC202"/>
      <c r="AD202">
        <v>4.7584229999999996</v>
      </c>
      <c r="AE202">
        <v>24.111689999999999</v>
      </c>
      <c r="AF202"/>
      <c r="AG202"/>
      <c r="AH202"/>
      <c r="AI202"/>
      <c r="AJ202"/>
      <c r="AK202">
        <v>16.943239999999999</v>
      </c>
      <c r="AL202"/>
      <c r="AM202"/>
      <c r="AN202"/>
      <c r="AO202"/>
      <c r="AP202"/>
      <c r="AQ202"/>
      <c r="AR202"/>
      <c r="AS202"/>
      <c r="AT202"/>
      <c r="AU202"/>
      <c r="AV202"/>
      <c r="AW202">
        <v>13.53993</v>
      </c>
      <c r="AX202"/>
    </row>
    <row r="203" spans="1:50" x14ac:dyDescent="0.35">
      <c r="A203" s="75">
        <v>24016</v>
      </c>
      <c r="B203"/>
      <c r="C203"/>
      <c r="D203"/>
      <c r="E203">
        <v>14.2906</v>
      </c>
      <c r="F203">
        <v>28.351739999999999</v>
      </c>
      <c r="G203"/>
      <c r="H203"/>
      <c r="I203"/>
      <c r="J203"/>
      <c r="K203"/>
      <c r="L203">
        <v>26.645980000000002</v>
      </c>
      <c r="M203"/>
      <c r="N203"/>
      <c r="O203"/>
      <c r="P203"/>
      <c r="Q203"/>
      <c r="R203">
        <v>9.9327349999999992</v>
      </c>
      <c r="S203"/>
      <c r="T203"/>
      <c r="U203"/>
      <c r="V203"/>
      <c r="W203"/>
      <c r="X203"/>
      <c r="Y203"/>
      <c r="Z203"/>
      <c r="AA203"/>
      <c r="AB203"/>
      <c r="AC203"/>
      <c r="AD203">
        <v>4.7608259999999998</v>
      </c>
      <c r="AE203">
        <v>24.46725</v>
      </c>
      <c r="AF203"/>
      <c r="AG203"/>
      <c r="AH203"/>
      <c r="AI203"/>
      <c r="AJ203"/>
      <c r="AK203">
        <v>16.974830000000001</v>
      </c>
      <c r="AL203"/>
      <c r="AM203"/>
      <c r="AN203"/>
      <c r="AO203"/>
      <c r="AP203"/>
      <c r="AQ203"/>
      <c r="AR203"/>
      <c r="AS203"/>
      <c r="AT203"/>
      <c r="AU203"/>
      <c r="AV203"/>
      <c r="AW203">
        <v>13.58121</v>
      </c>
      <c r="AX203"/>
    </row>
    <row r="204" spans="1:50" x14ac:dyDescent="0.35">
      <c r="A204" s="75">
        <v>24047</v>
      </c>
      <c r="B204"/>
      <c r="C204"/>
      <c r="D204"/>
      <c r="E204">
        <v>14.35563</v>
      </c>
      <c r="F204">
        <v>28.544</v>
      </c>
      <c r="G204"/>
      <c r="H204"/>
      <c r="I204"/>
      <c r="J204"/>
      <c r="K204"/>
      <c r="L204">
        <v>26.74136</v>
      </c>
      <c r="M204"/>
      <c r="N204"/>
      <c r="O204"/>
      <c r="P204"/>
      <c r="Q204"/>
      <c r="R204">
        <v>9.9430890000000005</v>
      </c>
      <c r="S204"/>
      <c r="T204"/>
      <c r="U204"/>
      <c r="V204"/>
      <c r="W204"/>
      <c r="X204"/>
      <c r="Y204"/>
      <c r="Z204"/>
      <c r="AA204"/>
      <c r="AB204"/>
      <c r="AC204"/>
      <c r="AD204">
        <v>4.7792310000000002</v>
      </c>
      <c r="AE204">
        <v>24.28623</v>
      </c>
      <c r="AF204"/>
      <c r="AG204"/>
      <c r="AH204"/>
      <c r="AI204"/>
      <c r="AJ204"/>
      <c r="AK204">
        <v>17.043659999999999</v>
      </c>
      <c r="AL204"/>
      <c r="AM204"/>
      <c r="AN204"/>
      <c r="AO204"/>
      <c r="AP204"/>
      <c r="AQ204"/>
      <c r="AR204"/>
      <c r="AS204"/>
      <c r="AT204"/>
      <c r="AU204"/>
      <c r="AV204"/>
      <c r="AW204">
        <v>13.58121</v>
      </c>
      <c r="AX204"/>
    </row>
    <row r="205" spans="1:50" x14ac:dyDescent="0.35">
      <c r="A205" s="75">
        <v>24077</v>
      </c>
      <c r="B205"/>
      <c r="C205"/>
      <c r="D205"/>
      <c r="E205">
        <v>14.42066</v>
      </c>
      <c r="F205">
        <v>28.59299</v>
      </c>
      <c r="G205"/>
      <c r="H205"/>
      <c r="I205"/>
      <c r="J205"/>
      <c r="K205"/>
      <c r="L205">
        <v>26.879480000000001</v>
      </c>
      <c r="M205"/>
      <c r="N205"/>
      <c r="O205"/>
      <c r="P205"/>
      <c r="Q205"/>
      <c r="R205">
        <v>9.9430890000000005</v>
      </c>
      <c r="S205"/>
      <c r="T205"/>
      <c r="U205"/>
      <c r="V205"/>
      <c r="W205"/>
      <c r="X205"/>
      <c r="Y205"/>
      <c r="Z205"/>
      <c r="AA205"/>
      <c r="AB205"/>
      <c r="AC205"/>
      <c r="AD205">
        <v>4.7968770000000003</v>
      </c>
      <c r="AE205">
        <v>24.423870000000001</v>
      </c>
      <c r="AF205"/>
      <c r="AG205"/>
      <c r="AH205"/>
      <c r="AI205"/>
      <c r="AJ205"/>
      <c r="AK205">
        <v>17.0626</v>
      </c>
      <c r="AL205"/>
      <c r="AM205"/>
      <c r="AN205"/>
      <c r="AO205"/>
      <c r="AP205"/>
      <c r="AQ205"/>
      <c r="AR205"/>
      <c r="AS205"/>
      <c r="AT205"/>
      <c r="AU205"/>
      <c r="AV205"/>
      <c r="AW205">
        <v>13.622490000000001</v>
      </c>
      <c r="AX205"/>
    </row>
    <row r="206" spans="1:50" x14ac:dyDescent="0.35">
      <c r="A206" s="75">
        <v>24108</v>
      </c>
      <c r="B206">
        <v>18.34778</v>
      </c>
      <c r="C206"/>
      <c r="D206"/>
      <c r="E206">
        <v>14.42066</v>
      </c>
      <c r="F206">
        <v>28.708559999999999</v>
      </c>
      <c r="G206"/>
      <c r="H206"/>
      <c r="I206"/>
      <c r="J206"/>
      <c r="K206"/>
      <c r="L206">
        <v>27.046620000000001</v>
      </c>
      <c r="M206"/>
      <c r="N206"/>
      <c r="O206"/>
      <c r="P206"/>
      <c r="Q206"/>
      <c r="R206">
        <v>9.9430890000000005</v>
      </c>
      <c r="S206"/>
      <c r="T206"/>
      <c r="U206"/>
      <c r="V206"/>
      <c r="W206"/>
      <c r="X206"/>
      <c r="Y206"/>
      <c r="Z206"/>
      <c r="AA206"/>
      <c r="AB206"/>
      <c r="AC206"/>
      <c r="AD206">
        <v>4.809609</v>
      </c>
      <c r="AE206">
        <v>24.596229999999998</v>
      </c>
      <c r="AF206"/>
      <c r="AG206"/>
      <c r="AH206"/>
      <c r="AI206"/>
      <c r="AJ206"/>
      <c r="AK206">
        <v>17.365860000000001</v>
      </c>
      <c r="AL206"/>
      <c r="AM206"/>
      <c r="AN206"/>
      <c r="AO206"/>
      <c r="AP206"/>
      <c r="AQ206"/>
      <c r="AR206"/>
      <c r="AS206"/>
      <c r="AT206"/>
      <c r="AU206"/>
      <c r="AV206"/>
      <c r="AW206">
        <v>13.58121</v>
      </c>
      <c r="AX206"/>
    </row>
    <row r="207" spans="1:50" x14ac:dyDescent="0.35">
      <c r="A207" s="75">
        <v>24139</v>
      </c>
      <c r="B207">
        <v>18.398129999999998</v>
      </c>
      <c r="C207"/>
      <c r="D207"/>
      <c r="E207">
        <v>14.49811</v>
      </c>
      <c r="F207">
        <v>28.832599999999999</v>
      </c>
      <c r="G207"/>
      <c r="H207"/>
      <c r="I207"/>
      <c r="J207"/>
      <c r="K207"/>
      <c r="L207">
        <v>27.12509</v>
      </c>
      <c r="M207"/>
      <c r="N207"/>
      <c r="O207"/>
      <c r="P207"/>
      <c r="Q207"/>
      <c r="R207">
        <v>9.9372330000000009</v>
      </c>
      <c r="S207"/>
      <c r="T207"/>
      <c r="U207"/>
      <c r="V207"/>
      <c r="W207"/>
      <c r="X207"/>
      <c r="Y207"/>
      <c r="Z207"/>
      <c r="AA207"/>
      <c r="AB207"/>
      <c r="AC207"/>
      <c r="AD207">
        <v>4.8129470000000003</v>
      </c>
      <c r="AE207">
        <v>24.742010000000001</v>
      </c>
      <c r="AF207"/>
      <c r="AG207"/>
      <c r="AH207"/>
      <c r="AI207"/>
      <c r="AJ207"/>
      <c r="AK207">
        <v>17.635919999999999</v>
      </c>
      <c r="AL207"/>
      <c r="AM207"/>
      <c r="AN207"/>
      <c r="AO207"/>
      <c r="AP207"/>
      <c r="AQ207"/>
      <c r="AR207"/>
      <c r="AS207"/>
      <c r="AT207"/>
      <c r="AU207"/>
      <c r="AV207"/>
      <c r="AW207">
        <v>13.622490000000001</v>
      </c>
      <c r="AX207"/>
    </row>
    <row r="208" spans="1:50" x14ac:dyDescent="0.35">
      <c r="A208" s="75">
        <v>24167</v>
      </c>
      <c r="B208">
        <v>18.427720000000001</v>
      </c>
      <c r="C208"/>
      <c r="D208"/>
      <c r="E208">
        <v>14.563140000000001</v>
      </c>
      <c r="F208">
        <v>28.862660000000002</v>
      </c>
      <c r="G208"/>
      <c r="H208"/>
      <c r="I208"/>
      <c r="J208"/>
      <c r="K208"/>
      <c r="L208">
        <v>27.18985</v>
      </c>
      <c r="M208"/>
      <c r="N208"/>
      <c r="O208"/>
      <c r="P208"/>
      <c r="Q208"/>
      <c r="R208">
        <v>10.006360000000001</v>
      </c>
      <c r="S208"/>
      <c r="T208"/>
      <c r="U208"/>
      <c r="V208"/>
      <c r="W208"/>
      <c r="X208"/>
      <c r="Y208"/>
      <c r="Z208"/>
      <c r="AA208"/>
      <c r="AB208"/>
      <c r="AC208"/>
      <c r="AD208">
        <v>4.8116659999999998</v>
      </c>
      <c r="AE208">
        <v>24.924620000000001</v>
      </c>
      <c r="AF208"/>
      <c r="AG208"/>
      <c r="AH208"/>
      <c r="AI208"/>
      <c r="AJ208"/>
      <c r="AK208">
        <v>17.75253</v>
      </c>
      <c r="AL208"/>
      <c r="AM208"/>
      <c r="AN208"/>
      <c r="AO208"/>
      <c r="AP208"/>
      <c r="AQ208"/>
      <c r="AR208"/>
      <c r="AS208"/>
      <c r="AT208"/>
      <c r="AU208"/>
      <c r="AV208"/>
      <c r="AW208">
        <v>13.66377</v>
      </c>
      <c r="AX208"/>
    </row>
    <row r="209" spans="1:50" x14ac:dyDescent="0.35">
      <c r="A209" s="75">
        <v>24198</v>
      </c>
      <c r="B209">
        <v>18.43009</v>
      </c>
      <c r="C209"/>
      <c r="D209"/>
      <c r="E209">
        <v>14.65727</v>
      </c>
      <c r="F209">
        <v>28.909099999999999</v>
      </c>
      <c r="G209"/>
      <c r="H209"/>
      <c r="I209"/>
      <c r="J209"/>
      <c r="K209"/>
      <c r="L209">
        <v>27.416499999999999</v>
      </c>
      <c r="M209"/>
      <c r="N209"/>
      <c r="O209"/>
      <c r="P209"/>
      <c r="Q209"/>
      <c r="R209">
        <v>10.081340000000001</v>
      </c>
      <c r="S209"/>
      <c r="T209"/>
      <c r="U209"/>
      <c r="V209"/>
      <c r="W209"/>
      <c r="X209"/>
      <c r="Y209"/>
      <c r="Z209"/>
      <c r="AA209"/>
      <c r="AB209"/>
      <c r="AC209"/>
      <c r="AD209">
        <v>4.8257289999999999</v>
      </c>
      <c r="AE209">
        <v>25.249949999999998</v>
      </c>
      <c r="AF209"/>
      <c r="AG209"/>
      <c r="AH209"/>
      <c r="AI209"/>
      <c r="AJ209"/>
      <c r="AK209">
        <v>17.876049999999999</v>
      </c>
      <c r="AL209"/>
      <c r="AM209"/>
      <c r="AN209"/>
      <c r="AO209"/>
      <c r="AP209"/>
      <c r="AQ209"/>
      <c r="AR209"/>
      <c r="AS209"/>
      <c r="AT209"/>
      <c r="AU209"/>
      <c r="AV209"/>
      <c r="AW209">
        <v>13.74633</v>
      </c>
      <c r="AX209"/>
    </row>
    <row r="210" spans="1:50" x14ac:dyDescent="0.35">
      <c r="A210" s="75">
        <v>24228</v>
      </c>
      <c r="B210">
        <v>18.468589999999999</v>
      </c>
      <c r="C210"/>
      <c r="D210"/>
      <c r="E210">
        <v>14.65727</v>
      </c>
      <c r="F210">
        <v>29.39724</v>
      </c>
      <c r="G210"/>
      <c r="H210"/>
      <c r="I210"/>
      <c r="J210"/>
      <c r="K210"/>
      <c r="L210">
        <v>27.397680000000001</v>
      </c>
      <c r="M210"/>
      <c r="N210"/>
      <c r="O210"/>
      <c r="P210"/>
      <c r="Q210"/>
      <c r="R210">
        <v>10.12391</v>
      </c>
      <c r="S210"/>
      <c r="T210"/>
      <c r="U210"/>
      <c r="V210"/>
      <c r="W210"/>
      <c r="X210"/>
      <c r="Y210"/>
      <c r="Z210"/>
      <c r="AA210"/>
      <c r="AB210"/>
      <c r="AC210"/>
      <c r="AD210">
        <v>4.8320259999999999</v>
      </c>
      <c r="AE210">
        <v>25.190719999999999</v>
      </c>
      <c r="AF210"/>
      <c r="AG210"/>
      <c r="AH210"/>
      <c r="AI210"/>
      <c r="AJ210"/>
      <c r="AK210">
        <v>17.891210000000001</v>
      </c>
      <c r="AL210"/>
      <c r="AM210"/>
      <c r="AN210"/>
      <c r="AO210"/>
      <c r="AP210"/>
      <c r="AQ210"/>
      <c r="AR210"/>
      <c r="AS210"/>
      <c r="AT210"/>
      <c r="AU210"/>
      <c r="AV210"/>
      <c r="AW210">
        <v>13.787610000000001</v>
      </c>
      <c r="AX210"/>
    </row>
    <row r="211" spans="1:50" x14ac:dyDescent="0.35">
      <c r="A211" s="75">
        <v>24259</v>
      </c>
      <c r="B211">
        <v>18.45937</v>
      </c>
      <c r="C211"/>
      <c r="D211"/>
      <c r="E211">
        <v>14.74715</v>
      </c>
      <c r="F211">
        <v>29.36515</v>
      </c>
      <c r="G211"/>
      <c r="H211"/>
      <c r="I211"/>
      <c r="J211"/>
      <c r="K211"/>
      <c r="L211">
        <v>27.404540000000001</v>
      </c>
      <c r="M211"/>
      <c r="N211"/>
      <c r="O211"/>
      <c r="P211"/>
      <c r="Q211"/>
      <c r="R211">
        <v>10.12391</v>
      </c>
      <c r="S211"/>
      <c r="T211"/>
      <c r="U211"/>
      <c r="V211"/>
      <c r="W211"/>
      <c r="X211"/>
      <c r="Y211"/>
      <c r="Z211"/>
      <c r="AA211"/>
      <c r="AB211"/>
      <c r="AC211"/>
      <c r="AD211">
        <v>4.8341529999999997</v>
      </c>
      <c r="AE211">
        <v>25.262899999999998</v>
      </c>
      <c r="AF211"/>
      <c r="AG211"/>
      <c r="AH211"/>
      <c r="AI211"/>
      <c r="AJ211"/>
      <c r="AK211">
        <v>17.959959999999999</v>
      </c>
      <c r="AL211"/>
      <c r="AM211"/>
      <c r="AN211"/>
      <c r="AO211"/>
      <c r="AP211"/>
      <c r="AQ211"/>
      <c r="AR211"/>
      <c r="AS211"/>
      <c r="AT211"/>
      <c r="AU211"/>
      <c r="AV211"/>
      <c r="AW211">
        <v>13.828889999999999</v>
      </c>
      <c r="AX211"/>
    </row>
    <row r="212" spans="1:50" x14ac:dyDescent="0.35">
      <c r="A212" s="75">
        <v>24289</v>
      </c>
      <c r="B212">
        <v>18.503540000000001</v>
      </c>
      <c r="C212"/>
      <c r="D212"/>
      <c r="E212">
        <v>14.74715</v>
      </c>
      <c r="F212">
        <v>29.376670000000001</v>
      </c>
      <c r="G212"/>
      <c r="H212"/>
      <c r="I212"/>
      <c r="J212"/>
      <c r="K212"/>
      <c r="L212">
        <v>27.423359999999999</v>
      </c>
      <c r="M212"/>
      <c r="N212"/>
      <c r="O212"/>
      <c r="P212"/>
      <c r="Q212"/>
      <c r="R212">
        <v>10.11805</v>
      </c>
      <c r="S212"/>
      <c r="T212"/>
      <c r="U212"/>
      <c r="V212"/>
      <c r="W212"/>
      <c r="X212"/>
      <c r="Y212"/>
      <c r="Z212"/>
      <c r="AA212"/>
      <c r="AB212"/>
      <c r="AC212"/>
      <c r="AD212">
        <v>4.8376989999999997</v>
      </c>
      <c r="AE212">
        <v>25.34442</v>
      </c>
      <c r="AF212"/>
      <c r="AG212"/>
      <c r="AH212"/>
      <c r="AI212"/>
      <c r="AJ212"/>
      <c r="AK212">
        <v>17.795459999999999</v>
      </c>
      <c r="AL212"/>
      <c r="AM212"/>
      <c r="AN212"/>
      <c r="AO212"/>
      <c r="AP212"/>
      <c r="AQ212"/>
      <c r="AR212"/>
      <c r="AS212"/>
      <c r="AT212"/>
      <c r="AU212"/>
      <c r="AV212"/>
      <c r="AW212">
        <v>13.87017</v>
      </c>
      <c r="AX212"/>
    </row>
    <row r="213" spans="1:50" x14ac:dyDescent="0.35">
      <c r="A213" s="75">
        <v>24320</v>
      </c>
      <c r="B213">
        <v>18.560199999999998</v>
      </c>
      <c r="C213"/>
      <c r="D213"/>
      <c r="E213">
        <v>14.787319999999999</v>
      </c>
      <c r="F213">
        <v>29.489650000000001</v>
      </c>
      <c r="G213"/>
      <c r="H213"/>
      <c r="I213"/>
      <c r="J213"/>
      <c r="K213"/>
      <c r="L213">
        <v>27.396229999999999</v>
      </c>
      <c r="M213"/>
      <c r="N213"/>
      <c r="O213"/>
      <c r="P213"/>
      <c r="Q213"/>
      <c r="R213">
        <v>10.2151</v>
      </c>
      <c r="S213"/>
      <c r="T213"/>
      <c r="U213"/>
      <c r="V213"/>
      <c r="W213"/>
      <c r="X213"/>
      <c r="Y213"/>
      <c r="Z213"/>
      <c r="AA213"/>
      <c r="AB213"/>
      <c r="AC213"/>
      <c r="AD213">
        <v>4.851985</v>
      </c>
      <c r="AE213">
        <v>25.173069999999999</v>
      </c>
      <c r="AF213"/>
      <c r="AG213"/>
      <c r="AH213"/>
      <c r="AI213"/>
      <c r="AJ213"/>
      <c r="AK213">
        <v>17.88927</v>
      </c>
      <c r="AL213"/>
      <c r="AM213"/>
      <c r="AN213"/>
      <c r="AO213"/>
      <c r="AP213"/>
      <c r="AQ213"/>
      <c r="AR213"/>
      <c r="AS213"/>
      <c r="AT213"/>
      <c r="AU213"/>
      <c r="AV213"/>
      <c r="AW213">
        <v>13.91145</v>
      </c>
      <c r="AX213"/>
    </row>
    <row r="214" spans="1:50" x14ac:dyDescent="0.35">
      <c r="A214" s="75">
        <v>24351</v>
      </c>
      <c r="B214">
        <v>18.667999999999999</v>
      </c>
      <c r="C214"/>
      <c r="D214"/>
      <c r="E214">
        <v>14.8246</v>
      </c>
      <c r="F214">
        <v>29.502199999999998</v>
      </c>
      <c r="G214"/>
      <c r="H214"/>
      <c r="I214"/>
      <c r="J214"/>
      <c r="K214"/>
      <c r="L214">
        <v>27.386019999999998</v>
      </c>
      <c r="M214"/>
      <c r="N214"/>
      <c r="O214"/>
      <c r="P214"/>
      <c r="Q214"/>
      <c r="R214">
        <v>10.28872</v>
      </c>
      <c r="S214"/>
      <c r="T214"/>
      <c r="U214"/>
      <c r="V214"/>
      <c r="W214"/>
      <c r="X214"/>
      <c r="Y214"/>
      <c r="Z214"/>
      <c r="AA214"/>
      <c r="AB214"/>
      <c r="AC214"/>
      <c r="AD214">
        <v>4.8593869999999999</v>
      </c>
      <c r="AE214">
        <v>25.447939999999999</v>
      </c>
      <c r="AF214"/>
      <c r="AG214"/>
      <c r="AH214"/>
      <c r="AI214"/>
      <c r="AJ214"/>
      <c r="AK214">
        <v>17.934930000000001</v>
      </c>
      <c r="AL214"/>
      <c r="AM214"/>
      <c r="AN214"/>
      <c r="AO214"/>
      <c r="AP214"/>
      <c r="AQ214"/>
      <c r="AR214"/>
      <c r="AS214"/>
      <c r="AT214"/>
      <c r="AU214"/>
      <c r="AV214"/>
      <c r="AW214">
        <v>13.952730000000001</v>
      </c>
      <c r="AX214"/>
    </row>
    <row r="215" spans="1:50" x14ac:dyDescent="0.35">
      <c r="A215" s="75">
        <v>24381</v>
      </c>
      <c r="B215">
        <v>18.704820000000002</v>
      </c>
      <c r="C215"/>
      <c r="D215"/>
      <c r="E215">
        <v>14.841279999999999</v>
      </c>
      <c r="F215">
        <v>29.544910000000002</v>
      </c>
      <c r="G215"/>
      <c r="H215"/>
      <c r="I215"/>
      <c r="J215"/>
      <c r="K215"/>
      <c r="L215">
        <v>27.454280000000001</v>
      </c>
      <c r="M215"/>
      <c r="N215"/>
      <c r="O215"/>
      <c r="P215"/>
      <c r="Q215"/>
      <c r="R215">
        <v>10.287369999999999</v>
      </c>
      <c r="S215"/>
      <c r="T215"/>
      <c r="U215"/>
      <c r="V215"/>
      <c r="W215"/>
      <c r="X215"/>
      <c r="Y215"/>
      <c r="Z215"/>
      <c r="AA215"/>
      <c r="AB215"/>
      <c r="AC215"/>
      <c r="AD215">
        <v>4.8727390000000002</v>
      </c>
      <c r="AE215">
        <v>25.578289999999999</v>
      </c>
      <c r="AF215"/>
      <c r="AG215"/>
      <c r="AH215"/>
      <c r="AI215"/>
      <c r="AJ215"/>
      <c r="AK215">
        <v>17.94425</v>
      </c>
      <c r="AL215"/>
      <c r="AM215"/>
      <c r="AN215"/>
      <c r="AO215"/>
      <c r="AP215"/>
      <c r="AQ215"/>
      <c r="AR215"/>
      <c r="AS215"/>
      <c r="AT215"/>
      <c r="AU215"/>
      <c r="AV215"/>
      <c r="AW215">
        <v>14.03529</v>
      </c>
      <c r="AX215"/>
    </row>
    <row r="216" spans="1:50" x14ac:dyDescent="0.35">
      <c r="A216" s="75">
        <v>24412</v>
      </c>
      <c r="B216">
        <v>18.788049999999998</v>
      </c>
      <c r="C216"/>
      <c r="D216"/>
      <c r="E216">
        <v>14.8537</v>
      </c>
      <c r="F216">
        <v>29.875250000000001</v>
      </c>
      <c r="G216"/>
      <c r="H216"/>
      <c r="I216"/>
      <c r="J216"/>
      <c r="K216"/>
      <c r="L216">
        <v>27.735620000000001</v>
      </c>
      <c r="M216"/>
      <c r="N216"/>
      <c r="O216"/>
      <c r="P216"/>
      <c r="Q216"/>
      <c r="R216">
        <v>10.35064</v>
      </c>
      <c r="S216"/>
      <c r="T216"/>
      <c r="U216"/>
      <c r="V216"/>
      <c r="W216"/>
      <c r="X216"/>
      <c r="Y216"/>
      <c r="Z216"/>
      <c r="AA216"/>
      <c r="AB216"/>
      <c r="AC216"/>
      <c r="AD216">
        <v>4.8980139999999999</v>
      </c>
      <c r="AE216">
        <v>25.432500000000001</v>
      </c>
      <c r="AF216"/>
      <c r="AG216"/>
      <c r="AH216"/>
      <c r="AI216"/>
      <c r="AJ216"/>
      <c r="AK216">
        <v>17.96144</v>
      </c>
      <c r="AL216"/>
      <c r="AM216"/>
      <c r="AN216"/>
      <c r="AO216"/>
      <c r="AP216"/>
      <c r="AQ216"/>
      <c r="AR216"/>
      <c r="AS216"/>
      <c r="AT216"/>
      <c r="AU216"/>
      <c r="AV216"/>
      <c r="AW216">
        <v>14.07657</v>
      </c>
      <c r="AX216"/>
    </row>
    <row r="217" spans="1:50" x14ac:dyDescent="0.35">
      <c r="A217" s="75">
        <v>24442</v>
      </c>
      <c r="B217">
        <v>18.830069999999999</v>
      </c>
      <c r="C217"/>
      <c r="D217"/>
      <c r="E217">
        <v>14.956009999999999</v>
      </c>
      <c r="F217">
        <v>29.954049999999999</v>
      </c>
      <c r="G217"/>
      <c r="H217"/>
      <c r="I217"/>
      <c r="J217"/>
      <c r="K217"/>
      <c r="L217">
        <v>27.79017</v>
      </c>
      <c r="M217"/>
      <c r="N217"/>
      <c r="O217"/>
      <c r="P217"/>
      <c r="Q217"/>
      <c r="R217">
        <v>10.44183</v>
      </c>
      <c r="S217"/>
      <c r="T217"/>
      <c r="U217"/>
      <c r="V217"/>
      <c r="W217"/>
      <c r="X217"/>
      <c r="Y217"/>
      <c r="Z217"/>
      <c r="AA217"/>
      <c r="AB217"/>
      <c r="AC217"/>
      <c r="AD217">
        <v>4.9402379999999999</v>
      </c>
      <c r="AE217">
        <v>25.665009999999999</v>
      </c>
      <c r="AF217"/>
      <c r="AG217"/>
      <c r="AH217"/>
      <c r="AI217"/>
      <c r="AJ217"/>
      <c r="AK217">
        <v>17.94746</v>
      </c>
      <c r="AL217"/>
      <c r="AM217"/>
      <c r="AN217"/>
      <c r="AO217"/>
      <c r="AP217"/>
      <c r="AQ217"/>
      <c r="AR217"/>
      <c r="AS217"/>
      <c r="AT217"/>
      <c r="AU217"/>
      <c r="AV217"/>
      <c r="AW217">
        <v>14.07657</v>
      </c>
      <c r="AX217"/>
    </row>
    <row r="218" spans="1:50" x14ac:dyDescent="0.35">
      <c r="A218" s="75">
        <v>24473</v>
      </c>
      <c r="B218">
        <v>19.23047</v>
      </c>
      <c r="C218"/>
      <c r="D218"/>
      <c r="E218">
        <v>14.956009999999999</v>
      </c>
      <c r="F218">
        <v>30.03923</v>
      </c>
      <c r="G218"/>
      <c r="H218"/>
      <c r="I218"/>
      <c r="J218"/>
      <c r="K218"/>
      <c r="L218">
        <v>27.875489999999999</v>
      </c>
      <c r="M218"/>
      <c r="N218"/>
      <c r="O218"/>
      <c r="P218"/>
      <c r="Q218"/>
      <c r="R218">
        <v>10.510960000000001</v>
      </c>
      <c r="S218"/>
      <c r="T218"/>
      <c r="U218"/>
      <c r="V218"/>
      <c r="W218"/>
      <c r="X218"/>
      <c r="Y218"/>
      <c r="Z218"/>
      <c r="AA218"/>
      <c r="AB218"/>
      <c r="AC218"/>
      <c r="AD218">
        <v>5.003762</v>
      </c>
      <c r="AE218">
        <v>25.884039999999999</v>
      </c>
      <c r="AF218"/>
      <c r="AG218"/>
      <c r="AH218">
        <v>18.213010000000001</v>
      </c>
      <c r="AI218"/>
      <c r="AJ218"/>
      <c r="AK218">
        <v>18.105979999999999</v>
      </c>
      <c r="AL218"/>
      <c r="AM218"/>
      <c r="AN218"/>
      <c r="AO218"/>
      <c r="AP218"/>
      <c r="AQ218"/>
      <c r="AR218"/>
      <c r="AS218"/>
      <c r="AT218"/>
      <c r="AU218"/>
      <c r="AV218"/>
      <c r="AW218">
        <v>14.07657</v>
      </c>
      <c r="AX218"/>
    </row>
    <row r="219" spans="1:50" x14ac:dyDescent="0.35">
      <c r="A219" s="75">
        <v>24504</v>
      </c>
      <c r="B219">
        <v>19.270689999999998</v>
      </c>
      <c r="C219"/>
      <c r="D219"/>
      <c r="E219">
        <v>14.98086</v>
      </c>
      <c r="F219">
        <v>30.00009</v>
      </c>
      <c r="G219"/>
      <c r="H219"/>
      <c r="I219"/>
      <c r="J219"/>
      <c r="K219"/>
      <c r="L219">
        <v>27.887450000000001</v>
      </c>
      <c r="M219"/>
      <c r="N219"/>
      <c r="O219"/>
      <c r="P219"/>
      <c r="Q219"/>
      <c r="R219">
        <v>10.505100000000001</v>
      </c>
      <c r="S219"/>
      <c r="T219"/>
      <c r="U219"/>
      <c r="V219"/>
      <c r="W219"/>
      <c r="X219"/>
      <c r="Y219"/>
      <c r="Z219"/>
      <c r="AA219"/>
      <c r="AB219"/>
      <c r="AC219"/>
      <c r="AD219">
        <v>5.026599</v>
      </c>
      <c r="AE219">
        <v>25.951360000000001</v>
      </c>
      <c r="AF219"/>
      <c r="AG219"/>
      <c r="AH219">
        <v>18.207159999999998</v>
      </c>
      <c r="AI219"/>
      <c r="AJ219"/>
      <c r="AK219">
        <v>18.271450000000002</v>
      </c>
      <c r="AL219"/>
      <c r="AM219"/>
      <c r="AN219"/>
      <c r="AO219"/>
      <c r="AP219"/>
      <c r="AQ219"/>
      <c r="AR219"/>
      <c r="AS219"/>
      <c r="AT219"/>
      <c r="AU219"/>
      <c r="AV219"/>
      <c r="AW219">
        <v>14.117850000000001</v>
      </c>
      <c r="AX219"/>
    </row>
    <row r="220" spans="1:50" x14ac:dyDescent="0.35">
      <c r="A220" s="75">
        <v>24532</v>
      </c>
      <c r="B220">
        <v>19.30855</v>
      </c>
      <c r="C220"/>
      <c r="D220"/>
      <c r="E220">
        <v>15.08742</v>
      </c>
      <c r="F220">
        <v>30.021909999999998</v>
      </c>
      <c r="G220"/>
      <c r="H220"/>
      <c r="I220"/>
      <c r="J220"/>
      <c r="K220"/>
      <c r="L220">
        <v>27.947099999999999</v>
      </c>
      <c r="M220"/>
      <c r="N220"/>
      <c r="O220"/>
      <c r="P220"/>
      <c r="Q220"/>
      <c r="R220">
        <v>10.47401</v>
      </c>
      <c r="S220"/>
      <c r="T220"/>
      <c r="U220"/>
      <c r="V220"/>
      <c r="W220"/>
      <c r="X220"/>
      <c r="Y220"/>
      <c r="Z220"/>
      <c r="AA220"/>
      <c r="AB220"/>
      <c r="AC220"/>
      <c r="AD220">
        <v>5.0382689999999997</v>
      </c>
      <c r="AE220">
        <v>26.01341</v>
      </c>
      <c r="AF220"/>
      <c r="AG220"/>
      <c r="AH220">
        <v>18.267759999999999</v>
      </c>
      <c r="AI220"/>
      <c r="AJ220"/>
      <c r="AK220">
        <v>18.380700000000001</v>
      </c>
      <c r="AL220"/>
      <c r="AM220"/>
      <c r="AN220"/>
      <c r="AO220"/>
      <c r="AP220"/>
      <c r="AQ220"/>
      <c r="AR220"/>
      <c r="AS220"/>
      <c r="AT220"/>
      <c r="AU220"/>
      <c r="AV220"/>
      <c r="AW220">
        <v>14.159129999999999</v>
      </c>
      <c r="AX220"/>
    </row>
    <row r="221" spans="1:50" x14ac:dyDescent="0.35">
      <c r="A221" s="75">
        <v>24563</v>
      </c>
      <c r="B221">
        <v>19.31756</v>
      </c>
      <c r="C221"/>
      <c r="D221"/>
      <c r="E221">
        <v>15.1652</v>
      </c>
      <c r="F221">
        <v>30.07779</v>
      </c>
      <c r="G221"/>
      <c r="H221"/>
      <c r="I221"/>
      <c r="J221"/>
      <c r="K221"/>
      <c r="L221">
        <v>28.013470000000002</v>
      </c>
      <c r="M221"/>
      <c r="N221"/>
      <c r="O221"/>
      <c r="P221"/>
      <c r="Q221"/>
      <c r="R221">
        <v>10.47401</v>
      </c>
      <c r="S221"/>
      <c r="T221"/>
      <c r="U221"/>
      <c r="V221"/>
      <c r="W221"/>
      <c r="X221"/>
      <c r="Y221"/>
      <c r="Z221"/>
      <c r="AA221"/>
      <c r="AB221"/>
      <c r="AC221"/>
      <c r="AD221">
        <v>5.0445460000000004</v>
      </c>
      <c r="AE221">
        <v>26.186689999999999</v>
      </c>
      <c r="AF221"/>
      <c r="AG221"/>
      <c r="AH221">
        <v>18.325389999999999</v>
      </c>
      <c r="AI221"/>
      <c r="AJ221"/>
      <c r="AK221">
        <v>18.51501</v>
      </c>
      <c r="AL221"/>
      <c r="AM221"/>
      <c r="AN221"/>
      <c r="AO221"/>
      <c r="AP221"/>
      <c r="AQ221"/>
      <c r="AR221"/>
      <c r="AS221"/>
      <c r="AT221"/>
      <c r="AU221"/>
      <c r="AV221"/>
      <c r="AW221">
        <v>14.20041</v>
      </c>
      <c r="AX221"/>
    </row>
    <row r="222" spans="1:50" x14ac:dyDescent="0.35">
      <c r="A222" s="75">
        <v>24593</v>
      </c>
      <c r="B222">
        <v>19.319949999999999</v>
      </c>
      <c r="C222"/>
      <c r="D222"/>
      <c r="E222">
        <v>15.25933</v>
      </c>
      <c r="F222">
        <v>30.470279999999999</v>
      </c>
      <c r="G222"/>
      <c r="H222"/>
      <c r="I222"/>
      <c r="J222"/>
      <c r="K222"/>
      <c r="L222">
        <v>28.073119999999999</v>
      </c>
      <c r="M222"/>
      <c r="N222"/>
      <c r="O222"/>
      <c r="P222"/>
      <c r="Q222"/>
      <c r="R222">
        <v>10.61359</v>
      </c>
      <c r="S222"/>
      <c r="T222"/>
      <c r="U222"/>
      <c r="V222"/>
      <c r="W222"/>
      <c r="X222"/>
      <c r="Y222"/>
      <c r="Z222"/>
      <c r="AA222"/>
      <c r="AB222"/>
      <c r="AC222"/>
      <c r="AD222">
        <v>5.0585040000000001</v>
      </c>
      <c r="AE222">
        <v>26.103750000000002</v>
      </c>
      <c r="AF222"/>
      <c r="AG222"/>
      <c r="AH222">
        <v>18.366890000000001</v>
      </c>
      <c r="AI222"/>
      <c r="AJ222"/>
      <c r="AK222">
        <v>18.519300000000001</v>
      </c>
      <c r="AL222"/>
      <c r="AM222"/>
      <c r="AN222"/>
      <c r="AO222"/>
      <c r="AP222"/>
      <c r="AQ222"/>
      <c r="AR222"/>
      <c r="AS222"/>
      <c r="AT222"/>
      <c r="AU222"/>
      <c r="AV222"/>
      <c r="AW222">
        <v>14.24169</v>
      </c>
      <c r="AX222"/>
    </row>
    <row r="223" spans="1:50" x14ac:dyDescent="0.35">
      <c r="A223" s="75">
        <v>24624</v>
      </c>
      <c r="B223">
        <v>19.342300000000002</v>
      </c>
      <c r="C223"/>
      <c r="D223"/>
      <c r="E223">
        <v>15.336779999999999</v>
      </c>
      <c r="F223">
        <v>30.58005</v>
      </c>
      <c r="G223"/>
      <c r="H223"/>
      <c r="I223"/>
      <c r="J223"/>
      <c r="K223"/>
      <c r="L223">
        <v>28.032139999999998</v>
      </c>
      <c r="M223"/>
      <c r="N223"/>
      <c r="O223"/>
      <c r="P223"/>
      <c r="Q223"/>
      <c r="R223">
        <v>10.61359</v>
      </c>
      <c r="S223"/>
      <c r="T223"/>
      <c r="U223"/>
      <c r="V223"/>
      <c r="W223"/>
      <c r="X223"/>
      <c r="Y223"/>
      <c r="Z223"/>
      <c r="AA223"/>
      <c r="AB223"/>
      <c r="AC223"/>
      <c r="AD223">
        <v>5.0706889999999998</v>
      </c>
      <c r="AE223">
        <v>26.03321</v>
      </c>
      <c r="AF223"/>
      <c r="AG223"/>
      <c r="AH223">
        <v>18.338760000000001</v>
      </c>
      <c r="AI223"/>
      <c r="AJ223"/>
      <c r="AK223">
        <v>18.50385</v>
      </c>
      <c r="AL223"/>
      <c r="AM223"/>
      <c r="AN223"/>
      <c r="AO223"/>
      <c r="AP223"/>
      <c r="AQ223"/>
      <c r="AR223"/>
      <c r="AS223"/>
      <c r="AT223"/>
      <c r="AU223"/>
      <c r="AV223"/>
      <c r="AW223">
        <v>14.282970000000001</v>
      </c>
      <c r="AX223"/>
    </row>
    <row r="224" spans="1:50" x14ac:dyDescent="0.35">
      <c r="A224" s="75">
        <v>24654</v>
      </c>
      <c r="B224">
        <v>19.359439999999999</v>
      </c>
      <c r="C224"/>
      <c r="D224"/>
      <c r="E224">
        <v>15.376950000000001</v>
      </c>
      <c r="F224">
        <v>30.637619999999998</v>
      </c>
      <c r="G224"/>
      <c r="H224"/>
      <c r="I224"/>
      <c r="J224"/>
      <c r="K224"/>
      <c r="L224">
        <v>28.02542</v>
      </c>
      <c r="M224"/>
      <c r="N224"/>
      <c r="O224"/>
      <c r="P224"/>
      <c r="Q224"/>
      <c r="R224">
        <v>10.5825</v>
      </c>
      <c r="S224"/>
      <c r="T224"/>
      <c r="U224"/>
      <c r="V224"/>
      <c r="W224"/>
      <c r="X224"/>
      <c r="Y224"/>
      <c r="Z224"/>
      <c r="AA224"/>
      <c r="AB224"/>
      <c r="AC224"/>
      <c r="AD224">
        <v>5.0765909999999996</v>
      </c>
      <c r="AE224">
        <v>26.003219999999999</v>
      </c>
      <c r="AF224"/>
      <c r="AG224"/>
      <c r="AH224">
        <v>18.534369999999999</v>
      </c>
      <c r="AI224"/>
      <c r="AJ224"/>
      <c r="AK224">
        <v>18.596409999999999</v>
      </c>
      <c r="AL224"/>
      <c r="AM224"/>
      <c r="AN224"/>
      <c r="AO224"/>
      <c r="AP224"/>
      <c r="AQ224"/>
      <c r="AR224"/>
      <c r="AS224"/>
      <c r="AT224"/>
      <c r="AU224"/>
      <c r="AV224"/>
      <c r="AW224">
        <v>14.324249999999999</v>
      </c>
      <c r="AX224"/>
    </row>
    <row r="225" spans="1:50" x14ac:dyDescent="0.35">
      <c r="A225" s="75">
        <v>24685</v>
      </c>
      <c r="B225">
        <v>19.34169</v>
      </c>
      <c r="C225"/>
      <c r="D225"/>
      <c r="E225">
        <v>15.45016</v>
      </c>
      <c r="F225">
        <v>30.73921</v>
      </c>
      <c r="G225"/>
      <c r="H225"/>
      <c r="I225"/>
      <c r="J225"/>
      <c r="K225"/>
      <c r="L225">
        <v>27.950610000000001</v>
      </c>
      <c r="M225"/>
      <c r="N225"/>
      <c r="O225"/>
      <c r="P225"/>
      <c r="Q225"/>
      <c r="R225">
        <v>10.69685</v>
      </c>
      <c r="S225"/>
      <c r="T225"/>
      <c r="U225"/>
      <c r="V225"/>
      <c r="W225"/>
      <c r="X225"/>
      <c r="Y225"/>
      <c r="Z225"/>
      <c r="AA225"/>
      <c r="AB225"/>
      <c r="AC225"/>
      <c r="AD225">
        <v>5.0825060000000004</v>
      </c>
      <c r="AE225">
        <v>26.134630000000001</v>
      </c>
      <c r="AF225"/>
      <c r="AG225"/>
      <c r="AH225">
        <v>18.541830000000001</v>
      </c>
      <c r="AI225"/>
      <c r="AJ225"/>
      <c r="AK225">
        <v>18.712759999999999</v>
      </c>
      <c r="AL225"/>
      <c r="AM225"/>
      <c r="AN225"/>
      <c r="AO225"/>
      <c r="AP225"/>
      <c r="AQ225"/>
      <c r="AR225"/>
      <c r="AS225"/>
      <c r="AT225"/>
      <c r="AU225"/>
      <c r="AV225"/>
      <c r="AW225">
        <v>14.36553</v>
      </c>
      <c r="AX225"/>
    </row>
    <row r="226" spans="1:50" x14ac:dyDescent="0.35">
      <c r="A226" s="75">
        <v>24716</v>
      </c>
      <c r="B226">
        <v>19.69145</v>
      </c>
      <c r="C226"/>
      <c r="D226"/>
      <c r="E226">
        <v>15.49986</v>
      </c>
      <c r="F226">
        <v>30.67446</v>
      </c>
      <c r="G226"/>
      <c r="H226"/>
      <c r="I226"/>
      <c r="J226"/>
      <c r="K226"/>
      <c r="L226">
        <v>27.962569999999999</v>
      </c>
      <c r="M226"/>
      <c r="N226"/>
      <c r="O226"/>
      <c r="P226"/>
      <c r="Q226"/>
      <c r="R226">
        <v>10.785959999999999</v>
      </c>
      <c r="S226"/>
      <c r="T226"/>
      <c r="U226"/>
      <c r="V226"/>
      <c r="W226"/>
      <c r="X226"/>
      <c r="Y226"/>
      <c r="Z226"/>
      <c r="AA226"/>
      <c r="AB226"/>
      <c r="AC226"/>
      <c r="AD226">
        <v>5.1112580000000003</v>
      </c>
      <c r="AE226">
        <v>26.527290000000001</v>
      </c>
      <c r="AF226"/>
      <c r="AG226"/>
      <c r="AH226">
        <v>18.652550000000002</v>
      </c>
      <c r="AI226"/>
      <c r="AJ226"/>
      <c r="AK226">
        <v>18.793289999999999</v>
      </c>
      <c r="AL226"/>
      <c r="AM226"/>
      <c r="AN226"/>
      <c r="AO226"/>
      <c r="AP226"/>
      <c r="AQ226"/>
      <c r="AR226"/>
      <c r="AS226"/>
      <c r="AT226"/>
      <c r="AU226"/>
      <c r="AV226"/>
      <c r="AW226">
        <v>14.448090000000001</v>
      </c>
      <c r="AX226"/>
    </row>
    <row r="227" spans="1:50" x14ac:dyDescent="0.35">
      <c r="A227" s="75">
        <v>24746</v>
      </c>
      <c r="B227">
        <v>19.691479999999999</v>
      </c>
      <c r="C227"/>
      <c r="D227"/>
      <c r="E227">
        <v>15.524710000000001</v>
      </c>
      <c r="F227">
        <v>30.657150000000001</v>
      </c>
      <c r="G227"/>
      <c r="H227"/>
      <c r="I227"/>
      <c r="J227"/>
      <c r="K227"/>
      <c r="L227">
        <v>28.037690000000001</v>
      </c>
      <c r="M227"/>
      <c r="N227"/>
      <c r="O227"/>
      <c r="P227"/>
      <c r="Q227"/>
      <c r="R227">
        <v>10.785959999999999</v>
      </c>
      <c r="S227"/>
      <c r="T227"/>
      <c r="U227"/>
      <c r="V227"/>
      <c r="W227"/>
      <c r="X227"/>
      <c r="Y227"/>
      <c r="Z227"/>
      <c r="AA227"/>
      <c r="AB227"/>
      <c r="AC227"/>
      <c r="AD227">
        <v>5.1111899999999997</v>
      </c>
      <c r="AE227">
        <v>26.88205</v>
      </c>
      <c r="AF227"/>
      <c r="AG227"/>
      <c r="AH227">
        <v>18.669979999999999</v>
      </c>
      <c r="AI227"/>
      <c r="AJ227"/>
      <c r="AK227">
        <v>18.853549999999998</v>
      </c>
      <c r="AL227"/>
      <c r="AM227"/>
      <c r="AN227"/>
      <c r="AO227"/>
      <c r="AP227"/>
      <c r="AQ227"/>
      <c r="AR227"/>
      <c r="AS227"/>
      <c r="AT227"/>
      <c r="AU227"/>
      <c r="AV227"/>
      <c r="AW227">
        <v>14.53065</v>
      </c>
      <c r="AX227"/>
    </row>
    <row r="228" spans="1:50" x14ac:dyDescent="0.35">
      <c r="A228" s="75">
        <v>24777</v>
      </c>
      <c r="B228">
        <v>19.72241</v>
      </c>
      <c r="C228"/>
      <c r="D228"/>
      <c r="E228">
        <v>15.51229</v>
      </c>
      <c r="F228">
        <v>30.997669999999999</v>
      </c>
      <c r="G228"/>
      <c r="H228"/>
      <c r="I228"/>
      <c r="J228"/>
      <c r="K228"/>
      <c r="L228">
        <v>28.104189999999999</v>
      </c>
      <c r="M228"/>
      <c r="N228"/>
      <c r="O228"/>
      <c r="P228"/>
      <c r="Q228"/>
      <c r="R228">
        <v>11.117290000000001</v>
      </c>
      <c r="S228"/>
      <c r="T228"/>
      <c r="U228"/>
      <c r="V228"/>
      <c r="W228"/>
      <c r="X228"/>
      <c r="Y228"/>
      <c r="Z228"/>
      <c r="AA228"/>
      <c r="AB228"/>
      <c r="AC228"/>
      <c r="AD228">
        <v>5.1210269999999998</v>
      </c>
      <c r="AE228">
        <v>26.882339999999999</v>
      </c>
      <c r="AF228"/>
      <c r="AG228"/>
      <c r="AH228">
        <v>18.711580000000001</v>
      </c>
      <c r="AI228"/>
      <c r="AJ228"/>
      <c r="AK228">
        <v>18.858630000000002</v>
      </c>
      <c r="AL228"/>
      <c r="AM228"/>
      <c r="AN228"/>
      <c r="AO228"/>
      <c r="AP228"/>
      <c r="AQ228"/>
      <c r="AR228"/>
      <c r="AS228"/>
      <c r="AT228"/>
      <c r="AU228"/>
      <c r="AV228"/>
      <c r="AW228">
        <v>14.57193</v>
      </c>
      <c r="AX228"/>
    </row>
    <row r="229" spans="1:50" x14ac:dyDescent="0.35">
      <c r="A229" s="75">
        <v>24807</v>
      </c>
      <c r="B229">
        <v>19.736709999999999</v>
      </c>
      <c r="C229"/>
      <c r="D229"/>
      <c r="E229">
        <v>15.602169999999999</v>
      </c>
      <c r="F229">
        <v>31.044840000000001</v>
      </c>
      <c r="G229"/>
      <c r="H229"/>
      <c r="I229"/>
      <c r="J229"/>
      <c r="K229"/>
      <c r="L229">
        <v>28.10594</v>
      </c>
      <c r="M229"/>
      <c r="N229"/>
      <c r="O229"/>
      <c r="P229"/>
      <c r="Q229"/>
      <c r="R229">
        <v>11.21003</v>
      </c>
      <c r="S229"/>
      <c r="T229"/>
      <c r="U229"/>
      <c r="V229"/>
      <c r="W229"/>
      <c r="X229"/>
      <c r="Y229"/>
      <c r="Z229"/>
      <c r="AA229"/>
      <c r="AB229"/>
      <c r="AC229"/>
      <c r="AD229">
        <v>5.1232410000000002</v>
      </c>
      <c r="AE229">
        <v>27.093119999999999</v>
      </c>
      <c r="AF229"/>
      <c r="AG229"/>
      <c r="AH229">
        <v>18.73826</v>
      </c>
      <c r="AI229"/>
      <c r="AJ229"/>
      <c r="AK229">
        <v>18.84722</v>
      </c>
      <c r="AL229"/>
      <c r="AM229"/>
      <c r="AN229"/>
      <c r="AO229"/>
      <c r="AP229"/>
      <c r="AQ229"/>
      <c r="AR229"/>
      <c r="AS229"/>
      <c r="AT229"/>
      <c r="AU229"/>
      <c r="AV229"/>
      <c r="AW229">
        <v>14.61321</v>
      </c>
      <c r="AX229"/>
    </row>
    <row r="230" spans="1:50" x14ac:dyDescent="0.35">
      <c r="A230" s="75">
        <v>24838</v>
      </c>
      <c r="B230">
        <v>19.759119999999999</v>
      </c>
      <c r="C230"/>
      <c r="D230"/>
      <c r="E230">
        <v>15.65902</v>
      </c>
      <c r="F230">
        <v>31.076460000000001</v>
      </c>
      <c r="G230"/>
      <c r="H230"/>
      <c r="I230"/>
      <c r="J230"/>
      <c r="K230"/>
      <c r="L230">
        <v>28.31071</v>
      </c>
      <c r="M230"/>
      <c r="N230"/>
      <c r="O230"/>
      <c r="P230"/>
      <c r="Q230"/>
      <c r="R230">
        <v>11.409979999999999</v>
      </c>
      <c r="S230"/>
      <c r="T230"/>
      <c r="U230"/>
      <c r="V230"/>
      <c r="W230"/>
      <c r="X230"/>
      <c r="Y230"/>
      <c r="Z230"/>
      <c r="AA230"/>
      <c r="AB230"/>
      <c r="AC230"/>
      <c r="AD230">
        <v>5.1349169999999997</v>
      </c>
      <c r="AE230">
        <v>27.24213</v>
      </c>
      <c r="AF230"/>
      <c r="AG230"/>
      <c r="AH230">
        <v>18.75291</v>
      </c>
      <c r="AI230"/>
      <c r="AJ230"/>
      <c r="AK230">
        <v>18.988199999999999</v>
      </c>
      <c r="AL230"/>
      <c r="AM230"/>
      <c r="AN230"/>
      <c r="AO230"/>
      <c r="AP230"/>
      <c r="AQ230"/>
      <c r="AR230"/>
      <c r="AS230"/>
      <c r="AT230"/>
      <c r="AU230"/>
      <c r="AV230"/>
      <c r="AW230">
        <v>14.654489999999999</v>
      </c>
      <c r="AX230"/>
    </row>
    <row r="231" spans="1:50" x14ac:dyDescent="0.35">
      <c r="A231" s="75">
        <v>24869</v>
      </c>
      <c r="B231">
        <v>19.924250000000001</v>
      </c>
      <c r="C231"/>
      <c r="D231"/>
      <c r="E231">
        <v>15.67144</v>
      </c>
      <c r="F231">
        <v>31.13749</v>
      </c>
      <c r="G231"/>
      <c r="H231"/>
      <c r="I231"/>
      <c r="J231"/>
      <c r="K231"/>
      <c r="L231">
        <v>28.425059999999998</v>
      </c>
      <c r="M231"/>
      <c r="N231"/>
      <c r="O231"/>
      <c r="P231"/>
      <c r="Q231"/>
      <c r="R231">
        <v>11.472569999999999</v>
      </c>
      <c r="S231"/>
      <c r="T231"/>
      <c r="U231"/>
      <c r="V231"/>
      <c r="W231"/>
      <c r="X231"/>
      <c r="Y231"/>
      <c r="Z231"/>
      <c r="AA231"/>
      <c r="AB231"/>
      <c r="AC231"/>
      <c r="AD231">
        <v>5.1371390000000003</v>
      </c>
      <c r="AE231">
        <v>27.3125</v>
      </c>
      <c r="AF231"/>
      <c r="AG231"/>
      <c r="AH231">
        <v>18.82771</v>
      </c>
      <c r="AI231"/>
      <c r="AJ231"/>
      <c r="AK231">
        <v>19.122990000000001</v>
      </c>
      <c r="AL231"/>
      <c r="AM231"/>
      <c r="AN231"/>
      <c r="AO231"/>
      <c r="AP231"/>
      <c r="AQ231"/>
      <c r="AR231"/>
      <c r="AS231"/>
      <c r="AT231"/>
      <c r="AU231"/>
      <c r="AV231"/>
      <c r="AW231">
        <v>14.695779999999999</v>
      </c>
      <c r="AX231"/>
    </row>
    <row r="232" spans="1:50" x14ac:dyDescent="0.35">
      <c r="A232" s="75">
        <v>24898</v>
      </c>
      <c r="B232">
        <v>19.98638</v>
      </c>
      <c r="C232"/>
      <c r="D232"/>
      <c r="E232">
        <v>15.790430000000001</v>
      </c>
      <c r="F232">
        <v>31.08089</v>
      </c>
      <c r="G232"/>
      <c r="H232"/>
      <c r="I232"/>
      <c r="J232"/>
      <c r="K232"/>
      <c r="L232">
        <v>28.433520000000001</v>
      </c>
      <c r="M232"/>
      <c r="N232"/>
      <c r="O232"/>
      <c r="P232"/>
      <c r="Q232"/>
      <c r="R232">
        <v>11.58821</v>
      </c>
      <c r="S232"/>
      <c r="T232"/>
      <c r="U232"/>
      <c r="V232"/>
      <c r="W232"/>
      <c r="X232"/>
      <c r="Y232"/>
      <c r="Z232"/>
      <c r="AA232"/>
      <c r="AB232"/>
      <c r="AC232"/>
      <c r="AD232">
        <v>5.1434220000000002</v>
      </c>
      <c r="AE232">
        <v>27.378579999999999</v>
      </c>
      <c r="AF232"/>
      <c r="AG232"/>
      <c r="AH232">
        <v>18.844460000000002</v>
      </c>
      <c r="AI232"/>
      <c r="AJ232"/>
      <c r="AK232">
        <v>19.236899999999999</v>
      </c>
      <c r="AL232"/>
      <c r="AM232"/>
      <c r="AN232"/>
      <c r="AO232"/>
      <c r="AP232"/>
      <c r="AQ232"/>
      <c r="AR232"/>
      <c r="AS232"/>
      <c r="AT232"/>
      <c r="AU232"/>
      <c r="AV232"/>
      <c r="AW232">
        <v>14.77834</v>
      </c>
      <c r="AX232"/>
    </row>
    <row r="233" spans="1:50" x14ac:dyDescent="0.35">
      <c r="A233" s="75">
        <v>24929</v>
      </c>
      <c r="B233">
        <v>20.062370000000001</v>
      </c>
      <c r="C233"/>
      <c r="D233"/>
      <c r="E233">
        <v>15.757400000000001</v>
      </c>
      <c r="F233">
        <v>31.109660000000002</v>
      </c>
      <c r="G233"/>
      <c r="H233"/>
      <c r="I233"/>
      <c r="J233"/>
      <c r="K233"/>
      <c r="L233">
        <v>28.46415</v>
      </c>
      <c r="M233"/>
      <c r="N233"/>
      <c r="O233"/>
      <c r="P233"/>
      <c r="Q233"/>
      <c r="R233">
        <v>11.60754</v>
      </c>
      <c r="S233"/>
      <c r="T233"/>
      <c r="U233"/>
      <c r="V233"/>
      <c r="W233"/>
      <c r="X233"/>
      <c r="Y233"/>
      <c r="Z233"/>
      <c r="AA233"/>
      <c r="AB233"/>
      <c r="AC233"/>
      <c r="AD233">
        <v>5.1559749999999998</v>
      </c>
      <c r="AE233">
        <v>27.5488</v>
      </c>
      <c r="AF233"/>
      <c r="AG233"/>
      <c r="AH233">
        <v>18.8949</v>
      </c>
      <c r="AI233"/>
      <c r="AJ233"/>
      <c r="AK233">
        <v>19.332170000000001</v>
      </c>
      <c r="AL233"/>
      <c r="AM233"/>
      <c r="AN233"/>
      <c r="AO233"/>
      <c r="AP233"/>
      <c r="AQ233"/>
      <c r="AR233"/>
      <c r="AS233"/>
      <c r="AT233"/>
      <c r="AU233"/>
      <c r="AV233"/>
      <c r="AW233">
        <v>14.81962</v>
      </c>
      <c r="AX233"/>
    </row>
    <row r="234" spans="1:50" x14ac:dyDescent="0.35">
      <c r="A234" s="75">
        <v>24959</v>
      </c>
      <c r="B234">
        <v>20.162379999999999</v>
      </c>
      <c r="C234"/>
      <c r="D234"/>
      <c r="E234">
        <v>15.77407</v>
      </c>
      <c r="F234">
        <v>31.34122</v>
      </c>
      <c r="G234"/>
      <c r="H234"/>
      <c r="I234"/>
      <c r="J234"/>
      <c r="K234"/>
      <c r="L234">
        <v>28.48968</v>
      </c>
      <c r="M234"/>
      <c r="N234"/>
      <c r="O234"/>
      <c r="P234"/>
      <c r="Q234"/>
      <c r="R234">
        <v>11.62149</v>
      </c>
      <c r="S234"/>
      <c r="T234"/>
      <c r="U234"/>
      <c r="V234"/>
      <c r="W234"/>
      <c r="X234"/>
      <c r="Y234"/>
      <c r="Z234"/>
      <c r="AA234"/>
      <c r="AB234"/>
      <c r="AC234"/>
      <c r="AD234">
        <v>5.162687</v>
      </c>
      <c r="AE234">
        <v>27.662109999999998</v>
      </c>
      <c r="AF234"/>
      <c r="AG234"/>
      <c r="AH234">
        <v>18.89106</v>
      </c>
      <c r="AI234"/>
      <c r="AJ234"/>
      <c r="AK234">
        <v>19.375859999999999</v>
      </c>
      <c r="AL234"/>
      <c r="AM234"/>
      <c r="AN234"/>
      <c r="AO234"/>
      <c r="AP234"/>
      <c r="AQ234"/>
      <c r="AR234"/>
      <c r="AS234"/>
      <c r="AT234"/>
      <c r="AU234"/>
      <c r="AV234"/>
      <c r="AW234">
        <v>14.860900000000001</v>
      </c>
      <c r="AX234"/>
    </row>
    <row r="235" spans="1:50" x14ac:dyDescent="0.35">
      <c r="A235" s="75">
        <v>24990</v>
      </c>
      <c r="B235">
        <v>20.222999999999999</v>
      </c>
      <c r="C235"/>
      <c r="D235"/>
      <c r="E235">
        <v>15.863950000000001</v>
      </c>
      <c r="F235">
        <v>31.338789999999999</v>
      </c>
      <c r="G235"/>
      <c r="H235"/>
      <c r="I235"/>
      <c r="J235"/>
      <c r="K235"/>
      <c r="L235">
        <v>28.448689999999999</v>
      </c>
      <c r="M235"/>
      <c r="N235"/>
      <c r="O235"/>
      <c r="P235"/>
      <c r="Q235"/>
      <c r="R235">
        <v>11.69397</v>
      </c>
      <c r="S235"/>
      <c r="T235"/>
      <c r="U235"/>
      <c r="V235"/>
      <c r="W235"/>
      <c r="X235"/>
      <c r="Y235"/>
      <c r="Z235"/>
      <c r="AA235"/>
      <c r="AB235"/>
      <c r="AC235"/>
      <c r="AD235">
        <v>5.1577349999999997</v>
      </c>
      <c r="AE235">
        <v>27.512589999999999</v>
      </c>
      <c r="AF235"/>
      <c r="AG235"/>
      <c r="AH235">
        <v>18.900749999999999</v>
      </c>
      <c r="AI235"/>
      <c r="AJ235"/>
      <c r="AK235">
        <v>19.377600000000001</v>
      </c>
      <c r="AL235"/>
      <c r="AM235"/>
      <c r="AN235"/>
      <c r="AO235"/>
      <c r="AP235"/>
      <c r="AQ235"/>
      <c r="AR235"/>
      <c r="AS235"/>
      <c r="AT235"/>
      <c r="AU235"/>
      <c r="AV235"/>
      <c r="AW235">
        <v>14.94346</v>
      </c>
      <c r="AX235"/>
    </row>
    <row r="236" spans="1:50" x14ac:dyDescent="0.35">
      <c r="A236" s="75">
        <v>25020</v>
      </c>
      <c r="B236">
        <v>20.239260000000002</v>
      </c>
      <c r="C236"/>
      <c r="D236"/>
      <c r="E236">
        <v>16.031289999999998</v>
      </c>
      <c r="F236">
        <v>31.325369999999999</v>
      </c>
      <c r="G236"/>
      <c r="H236"/>
      <c r="I236"/>
      <c r="J236"/>
      <c r="K236"/>
      <c r="L236">
        <v>28.491430000000001</v>
      </c>
      <c r="M236"/>
      <c r="N236"/>
      <c r="O236"/>
      <c r="P236"/>
      <c r="Q236"/>
      <c r="R236">
        <v>11.71781</v>
      </c>
      <c r="S236"/>
      <c r="T236"/>
      <c r="U236"/>
      <c r="V236"/>
      <c r="W236"/>
      <c r="X236"/>
      <c r="Y236"/>
      <c r="Z236"/>
      <c r="AA236"/>
      <c r="AB236"/>
      <c r="AC236"/>
      <c r="AD236">
        <v>5.1518269999999999</v>
      </c>
      <c r="AE236">
        <v>27.513780000000001</v>
      </c>
      <c r="AF236"/>
      <c r="AG236"/>
      <c r="AH236">
        <v>18.920449999999999</v>
      </c>
      <c r="AI236"/>
      <c r="AJ236"/>
      <c r="AK236">
        <v>19.25855</v>
      </c>
      <c r="AL236"/>
      <c r="AM236"/>
      <c r="AN236"/>
      <c r="AO236"/>
      <c r="AP236"/>
      <c r="AQ236"/>
      <c r="AR236"/>
      <c r="AS236"/>
      <c r="AT236"/>
      <c r="AU236"/>
      <c r="AV236"/>
      <c r="AW236">
        <v>15.026020000000001</v>
      </c>
      <c r="AX236"/>
    </row>
    <row r="237" spans="1:50" x14ac:dyDescent="0.35">
      <c r="A237" s="75">
        <v>25051</v>
      </c>
      <c r="B237">
        <v>20.20919</v>
      </c>
      <c r="C237"/>
      <c r="D237"/>
      <c r="E237">
        <v>16.088139999999999</v>
      </c>
      <c r="F237">
        <v>31.426559999999998</v>
      </c>
      <c r="G237"/>
      <c r="H237"/>
      <c r="I237"/>
      <c r="J237"/>
      <c r="K237"/>
      <c r="L237">
        <v>28.440380000000001</v>
      </c>
      <c r="M237"/>
      <c r="N237"/>
      <c r="O237"/>
      <c r="P237"/>
      <c r="Q237"/>
      <c r="R237">
        <v>11.731769999999999</v>
      </c>
      <c r="S237"/>
      <c r="T237"/>
      <c r="U237"/>
      <c r="V237"/>
      <c r="W237"/>
      <c r="X237"/>
      <c r="Y237"/>
      <c r="Z237"/>
      <c r="AA237"/>
      <c r="AB237"/>
      <c r="AC237"/>
      <c r="AD237">
        <v>5.1531580000000003</v>
      </c>
      <c r="AE237">
        <v>27.701930000000001</v>
      </c>
      <c r="AF237"/>
      <c r="AG237"/>
      <c r="AH237">
        <v>18.91095</v>
      </c>
      <c r="AI237"/>
      <c r="AJ237"/>
      <c r="AK237">
        <v>19.41394</v>
      </c>
      <c r="AL237"/>
      <c r="AM237"/>
      <c r="AN237"/>
      <c r="AO237"/>
      <c r="AP237"/>
      <c r="AQ237"/>
      <c r="AR237"/>
      <c r="AS237"/>
      <c r="AT237"/>
      <c r="AU237"/>
      <c r="AV237"/>
      <c r="AW237">
        <v>15.067299999999999</v>
      </c>
      <c r="AX237"/>
    </row>
    <row r="238" spans="1:50" x14ac:dyDescent="0.35">
      <c r="A238" s="75">
        <v>25082</v>
      </c>
      <c r="B238">
        <v>20.427119999999999</v>
      </c>
      <c r="C238"/>
      <c r="D238"/>
      <c r="E238">
        <v>16.100560000000002</v>
      </c>
      <c r="F238">
        <v>31.455670000000001</v>
      </c>
      <c r="G238"/>
      <c r="H238"/>
      <c r="I238"/>
      <c r="J238"/>
      <c r="K238"/>
      <c r="L238">
        <v>28.46095</v>
      </c>
      <c r="M238"/>
      <c r="N238"/>
      <c r="O238"/>
      <c r="P238"/>
      <c r="Q238"/>
      <c r="R238">
        <v>11.738519999999999</v>
      </c>
      <c r="S238"/>
      <c r="T238"/>
      <c r="U238"/>
      <c r="V238"/>
      <c r="W238"/>
      <c r="X238"/>
      <c r="Y238"/>
      <c r="Z238"/>
      <c r="AA238"/>
      <c r="AB238"/>
      <c r="AC238"/>
      <c r="AD238">
        <v>5.1607789999999998</v>
      </c>
      <c r="AE238">
        <v>28.250889999999998</v>
      </c>
      <c r="AF238"/>
      <c r="AG238"/>
      <c r="AH238">
        <v>18.94312</v>
      </c>
      <c r="AI238"/>
      <c r="AJ238"/>
      <c r="AK238">
        <v>19.47944</v>
      </c>
      <c r="AL238"/>
      <c r="AM238"/>
      <c r="AN238"/>
      <c r="AO238"/>
      <c r="AP238"/>
      <c r="AQ238"/>
      <c r="AR238"/>
      <c r="AS238"/>
      <c r="AT238"/>
      <c r="AU238"/>
      <c r="AV238"/>
      <c r="AW238">
        <v>15.14986</v>
      </c>
      <c r="AX238"/>
    </row>
    <row r="239" spans="1:50" x14ac:dyDescent="0.35">
      <c r="A239" s="75">
        <v>25112</v>
      </c>
      <c r="B239">
        <v>20.448180000000001</v>
      </c>
      <c r="C239"/>
      <c r="D239"/>
      <c r="E239">
        <v>16.125419999999998</v>
      </c>
      <c r="F239">
        <v>31.506270000000001</v>
      </c>
      <c r="G239"/>
      <c r="H239"/>
      <c r="I239"/>
      <c r="J239"/>
      <c r="K239"/>
      <c r="L239">
        <v>28.48311</v>
      </c>
      <c r="M239"/>
      <c r="N239"/>
      <c r="O239"/>
      <c r="P239"/>
      <c r="Q239"/>
      <c r="R239">
        <v>11.775880000000001</v>
      </c>
      <c r="S239"/>
      <c r="T239"/>
      <c r="U239"/>
      <c r="V239"/>
      <c r="W239"/>
      <c r="X239"/>
      <c r="Y239"/>
      <c r="Z239"/>
      <c r="AA239"/>
      <c r="AB239"/>
      <c r="AC239"/>
      <c r="AD239">
        <v>5.1643990000000004</v>
      </c>
      <c r="AE239">
        <v>28.280190000000001</v>
      </c>
      <c r="AF239"/>
      <c r="AG239"/>
      <c r="AH239">
        <v>19.016680000000001</v>
      </c>
      <c r="AI239"/>
      <c r="AJ239"/>
      <c r="AK239">
        <v>19.577909999999999</v>
      </c>
      <c r="AL239"/>
      <c r="AM239"/>
      <c r="AN239"/>
      <c r="AO239"/>
      <c r="AP239"/>
      <c r="AQ239"/>
      <c r="AR239"/>
      <c r="AS239"/>
      <c r="AT239"/>
      <c r="AU239"/>
      <c r="AV239"/>
      <c r="AW239">
        <v>15.232419999999999</v>
      </c>
      <c r="AX239"/>
    </row>
    <row r="240" spans="1:50" x14ac:dyDescent="0.35">
      <c r="A240" s="75">
        <v>25143</v>
      </c>
      <c r="B240">
        <v>20.46585</v>
      </c>
      <c r="C240"/>
      <c r="D240"/>
      <c r="E240">
        <v>16.30518</v>
      </c>
      <c r="F240">
        <v>31.832280000000001</v>
      </c>
      <c r="G240"/>
      <c r="H240"/>
      <c r="I240"/>
      <c r="J240"/>
      <c r="K240"/>
      <c r="L240">
        <v>28.67578</v>
      </c>
      <c r="M240"/>
      <c r="N240"/>
      <c r="O240"/>
      <c r="P240"/>
      <c r="Q240"/>
      <c r="R240">
        <v>11.76192</v>
      </c>
      <c r="S240"/>
      <c r="T240"/>
      <c r="U240"/>
      <c r="V240"/>
      <c r="W240"/>
      <c r="X240"/>
      <c r="Y240"/>
      <c r="Z240"/>
      <c r="AA240"/>
      <c r="AB240"/>
      <c r="AC240"/>
      <c r="AD240">
        <v>5.1707489999999998</v>
      </c>
      <c r="AE240">
        <v>28.39809</v>
      </c>
      <c r="AF240"/>
      <c r="AG240"/>
      <c r="AH240">
        <v>19.035630000000001</v>
      </c>
      <c r="AI240"/>
      <c r="AJ240"/>
      <c r="AK240">
        <v>19.58577</v>
      </c>
      <c r="AL240"/>
      <c r="AM240"/>
      <c r="AN240"/>
      <c r="AO240"/>
      <c r="AP240"/>
      <c r="AQ240"/>
      <c r="AR240"/>
      <c r="AS240"/>
      <c r="AT240"/>
      <c r="AU240"/>
      <c r="AV240"/>
      <c r="AW240">
        <v>15.31498</v>
      </c>
      <c r="AX240"/>
    </row>
    <row r="241" spans="1:50" x14ac:dyDescent="0.35">
      <c r="A241" s="75">
        <v>25173</v>
      </c>
      <c r="B241">
        <v>20.496020000000001</v>
      </c>
      <c r="C241"/>
      <c r="D241"/>
      <c r="E241">
        <v>16.28032</v>
      </c>
      <c r="F241">
        <v>31.871459999999999</v>
      </c>
      <c r="G241"/>
      <c r="H241"/>
      <c r="I241"/>
      <c r="J241"/>
      <c r="K241"/>
      <c r="L241">
        <v>28.735430000000001</v>
      </c>
      <c r="M241"/>
      <c r="N241"/>
      <c r="O241"/>
      <c r="P241"/>
      <c r="Q241"/>
      <c r="R241">
        <v>11.76192</v>
      </c>
      <c r="S241"/>
      <c r="T241"/>
      <c r="U241"/>
      <c r="V241"/>
      <c r="W241"/>
      <c r="X241"/>
      <c r="Y241"/>
      <c r="Z241"/>
      <c r="AA241"/>
      <c r="AB241"/>
      <c r="AC241"/>
      <c r="AD241">
        <v>5.1811610000000003</v>
      </c>
      <c r="AE241">
        <v>28.348369999999999</v>
      </c>
      <c r="AF241"/>
      <c r="AG241"/>
      <c r="AH241">
        <v>19.093170000000001</v>
      </c>
      <c r="AI241"/>
      <c r="AJ241"/>
      <c r="AK241">
        <v>19.624469999999999</v>
      </c>
      <c r="AL241"/>
      <c r="AM241"/>
      <c r="AN241"/>
      <c r="AO241"/>
      <c r="AP241"/>
      <c r="AQ241"/>
      <c r="AR241"/>
      <c r="AS241"/>
      <c r="AT241"/>
      <c r="AU241"/>
      <c r="AV241"/>
      <c r="AW241">
        <v>15.356260000000001</v>
      </c>
      <c r="AX241"/>
    </row>
    <row r="242" spans="1:50" x14ac:dyDescent="0.35">
      <c r="A242" s="75">
        <v>25204</v>
      </c>
      <c r="B242">
        <v>20.601759999999999</v>
      </c>
      <c r="C242"/>
      <c r="D242"/>
      <c r="E242">
        <v>16.27215</v>
      </c>
      <c r="F242">
        <v>31.919689999999999</v>
      </c>
      <c r="G242"/>
      <c r="H242"/>
      <c r="I242"/>
      <c r="J242"/>
      <c r="K242"/>
      <c r="L242">
        <v>28.7592</v>
      </c>
      <c r="M242"/>
      <c r="N242"/>
      <c r="O242"/>
      <c r="P242"/>
      <c r="Q242"/>
      <c r="R242">
        <v>11.810549999999999</v>
      </c>
      <c r="S242"/>
      <c r="T242"/>
      <c r="U242"/>
      <c r="V242"/>
      <c r="W242"/>
      <c r="X242"/>
      <c r="Y242"/>
      <c r="Z242"/>
      <c r="AA242"/>
      <c r="AB242"/>
      <c r="AC242"/>
      <c r="AD242">
        <v>5.1946839999999996</v>
      </c>
      <c r="AE242">
        <v>28.40635</v>
      </c>
      <c r="AF242"/>
      <c r="AG242"/>
      <c r="AH242">
        <v>19.122620000000001</v>
      </c>
      <c r="AI242"/>
      <c r="AJ242"/>
      <c r="AK242">
        <v>20.340350000000001</v>
      </c>
      <c r="AL242"/>
      <c r="AM242"/>
      <c r="AN242"/>
      <c r="AO242"/>
      <c r="AP242"/>
      <c r="AQ242"/>
      <c r="AR242"/>
      <c r="AS242"/>
      <c r="AT242"/>
      <c r="AU242"/>
      <c r="AV242"/>
      <c r="AW242">
        <v>15.397539999999999</v>
      </c>
      <c r="AX242"/>
    </row>
    <row r="243" spans="1:50" x14ac:dyDescent="0.35">
      <c r="A243" s="75">
        <v>25235</v>
      </c>
      <c r="B243">
        <v>20.650010000000002</v>
      </c>
      <c r="C243"/>
      <c r="D243"/>
      <c r="E243">
        <v>16.297000000000001</v>
      </c>
      <c r="F243">
        <v>31.988309999999998</v>
      </c>
      <c r="G243"/>
      <c r="H243"/>
      <c r="I243"/>
      <c r="J243"/>
      <c r="K243"/>
      <c r="L243">
        <v>28.934799999999999</v>
      </c>
      <c r="M243"/>
      <c r="N243"/>
      <c r="O243"/>
      <c r="P243"/>
      <c r="Q243"/>
      <c r="R243">
        <v>11.810549999999999</v>
      </c>
      <c r="S243"/>
      <c r="T243"/>
      <c r="U243"/>
      <c r="V243"/>
      <c r="W243"/>
      <c r="X243"/>
      <c r="Y243"/>
      <c r="Z243"/>
      <c r="AA243"/>
      <c r="AB243"/>
      <c r="AC243"/>
      <c r="AD243">
        <v>5.2063670000000002</v>
      </c>
      <c r="AE243">
        <v>28.382650000000002</v>
      </c>
      <c r="AF243"/>
      <c r="AG243"/>
      <c r="AH243">
        <v>19.134820000000001</v>
      </c>
      <c r="AI243"/>
      <c r="AJ243"/>
      <c r="AK243">
        <v>20.577580000000001</v>
      </c>
      <c r="AL243"/>
      <c r="AM243"/>
      <c r="AN243"/>
      <c r="AO243"/>
      <c r="AP243"/>
      <c r="AQ243"/>
      <c r="AR243"/>
      <c r="AS243"/>
      <c r="AT243"/>
      <c r="AU243"/>
      <c r="AV243"/>
      <c r="AW243">
        <v>15.4801</v>
      </c>
      <c r="AX243"/>
    </row>
    <row r="244" spans="1:50" x14ac:dyDescent="0.35">
      <c r="A244" s="75">
        <v>25263</v>
      </c>
      <c r="B244">
        <v>20.66226</v>
      </c>
      <c r="C244"/>
      <c r="D244"/>
      <c r="E244">
        <v>16.39931</v>
      </c>
      <c r="F244">
        <v>31.995529999999999</v>
      </c>
      <c r="G244"/>
      <c r="H244"/>
      <c r="I244"/>
      <c r="J244"/>
      <c r="K244"/>
      <c r="L244">
        <v>28.982500000000002</v>
      </c>
      <c r="M244"/>
      <c r="N244"/>
      <c r="O244"/>
      <c r="P244"/>
      <c r="Q244"/>
      <c r="R244">
        <v>11.791219999999999</v>
      </c>
      <c r="S244"/>
      <c r="T244"/>
      <c r="U244"/>
      <c r="V244"/>
      <c r="W244"/>
      <c r="X244"/>
      <c r="Y244"/>
      <c r="Z244"/>
      <c r="AA244"/>
      <c r="AB244"/>
      <c r="AC244"/>
      <c r="AD244">
        <v>5.2314920000000003</v>
      </c>
      <c r="AE244">
        <v>28.59252</v>
      </c>
      <c r="AF244"/>
      <c r="AG244"/>
      <c r="AH244">
        <v>19.171240000000001</v>
      </c>
      <c r="AI244"/>
      <c r="AJ244"/>
      <c r="AK244">
        <v>20.7592</v>
      </c>
      <c r="AL244"/>
      <c r="AM244"/>
      <c r="AN244"/>
      <c r="AO244"/>
      <c r="AP244"/>
      <c r="AQ244"/>
      <c r="AR244"/>
      <c r="AS244"/>
      <c r="AT244"/>
      <c r="AU244"/>
      <c r="AV244"/>
      <c r="AW244">
        <v>15.60394</v>
      </c>
      <c r="AX244"/>
    </row>
    <row r="245" spans="1:50" x14ac:dyDescent="0.35">
      <c r="A245" s="75">
        <v>25294</v>
      </c>
      <c r="B245">
        <v>20.69359</v>
      </c>
      <c r="C245"/>
      <c r="D245"/>
      <c r="E245">
        <v>16.681370000000001</v>
      </c>
      <c r="F245">
        <v>31.983640000000001</v>
      </c>
      <c r="G245"/>
      <c r="H245"/>
      <c r="I245"/>
      <c r="J245"/>
      <c r="K245"/>
      <c r="L245">
        <v>28.9892</v>
      </c>
      <c r="M245"/>
      <c r="N245"/>
      <c r="O245"/>
      <c r="P245"/>
      <c r="Q245"/>
      <c r="R245">
        <v>11.84835</v>
      </c>
      <c r="S245"/>
      <c r="T245"/>
      <c r="U245"/>
      <c r="V245"/>
      <c r="W245"/>
      <c r="X245"/>
      <c r="Y245"/>
      <c r="Z245"/>
      <c r="AA245"/>
      <c r="AB245"/>
      <c r="AC245"/>
      <c r="AD245">
        <v>5.2477450000000001</v>
      </c>
      <c r="AE245">
        <v>28.965260000000001</v>
      </c>
      <c r="AF245"/>
      <c r="AG245"/>
      <c r="AH245">
        <v>19.21772</v>
      </c>
      <c r="AI245"/>
      <c r="AJ245"/>
      <c r="AK245">
        <v>20.980899999999998</v>
      </c>
      <c r="AL245"/>
      <c r="AM245"/>
      <c r="AN245"/>
      <c r="AO245"/>
      <c r="AP245"/>
      <c r="AQ245"/>
      <c r="AR245"/>
      <c r="AS245"/>
      <c r="AT245"/>
      <c r="AU245"/>
      <c r="AV245"/>
      <c r="AW245">
        <v>15.727779999999999</v>
      </c>
      <c r="AX245"/>
    </row>
    <row r="246" spans="1:50" x14ac:dyDescent="0.35">
      <c r="A246" s="75">
        <v>25324</v>
      </c>
      <c r="B246">
        <v>20.765920000000001</v>
      </c>
      <c r="C246"/>
      <c r="D246"/>
      <c r="E246">
        <v>16.681370000000001</v>
      </c>
      <c r="F246">
        <v>32.196620000000003</v>
      </c>
      <c r="G246"/>
      <c r="H246"/>
      <c r="I246"/>
      <c r="J246"/>
      <c r="K246"/>
      <c r="L246">
        <v>29.04025</v>
      </c>
      <c r="M246"/>
      <c r="N246"/>
      <c r="O246"/>
      <c r="P246"/>
      <c r="Q246"/>
      <c r="R246">
        <v>11.88754</v>
      </c>
      <c r="S246"/>
      <c r="T246"/>
      <c r="U246"/>
      <c r="V246"/>
      <c r="W246"/>
      <c r="X246"/>
      <c r="Y246"/>
      <c r="Z246"/>
      <c r="AA246"/>
      <c r="AB246"/>
      <c r="AC246"/>
      <c r="AD246">
        <v>5.2555069999999997</v>
      </c>
      <c r="AE246">
        <v>29.07246</v>
      </c>
      <c r="AF246"/>
      <c r="AG246"/>
      <c r="AH246">
        <v>19.291260000000001</v>
      </c>
      <c r="AI246"/>
      <c r="AJ246"/>
      <c r="AK246">
        <v>20.96106</v>
      </c>
      <c r="AL246"/>
      <c r="AM246"/>
      <c r="AN246"/>
      <c r="AO246"/>
      <c r="AP246"/>
      <c r="AQ246"/>
      <c r="AR246"/>
      <c r="AS246"/>
      <c r="AT246"/>
      <c r="AU246"/>
      <c r="AV246"/>
      <c r="AW246">
        <v>15.76906</v>
      </c>
      <c r="AX246"/>
    </row>
    <row r="247" spans="1:50" x14ac:dyDescent="0.35">
      <c r="A247" s="75">
        <v>25355</v>
      </c>
      <c r="B247">
        <v>20.746939999999999</v>
      </c>
      <c r="C247"/>
      <c r="D247"/>
      <c r="E247">
        <v>16.721540000000001</v>
      </c>
      <c r="F247">
        <v>32.299520000000001</v>
      </c>
      <c r="G247"/>
      <c r="H247"/>
      <c r="I247"/>
      <c r="J247"/>
      <c r="K247"/>
      <c r="L247">
        <v>29.045349999999999</v>
      </c>
      <c r="M247"/>
      <c r="N247"/>
      <c r="O247"/>
      <c r="P247"/>
      <c r="Q247"/>
      <c r="R247">
        <v>11.89743</v>
      </c>
      <c r="S247"/>
      <c r="T247"/>
      <c r="U247"/>
      <c r="V247"/>
      <c r="W247"/>
      <c r="X247"/>
      <c r="Y247"/>
      <c r="Z247"/>
      <c r="AA247"/>
      <c r="AB247"/>
      <c r="AC247"/>
      <c r="AD247">
        <v>5.2633419999999997</v>
      </c>
      <c r="AE247">
        <v>29.09113</v>
      </c>
      <c r="AF247"/>
      <c r="AG247"/>
      <c r="AH247">
        <v>19.274159999999998</v>
      </c>
      <c r="AI247"/>
      <c r="AJ247"/>
      <c r="AK247">
        <v>20.947140000000001</v>
      </c>
      <c r="AL247"/>
      <c r="AM247"/>
      <c r="AN247"/>
      <c r="AO247"/>
      <c r="AP247"/>
      <c r="AQ247"/>
      <c r="AR247"/>
      <c r="AS247"/>
      <c r="AT247"/>
      <c r="AU247"/>
      <c r="AV247"/>
      <c r="AW247">
        <v>15.81034</v>
      </c>
      <c r="AX247"/>
    </row>
    <row r="248" spans="1:50" x14ac:dyDescent="0.35">
      <c r="A248" s="75">
        <v>25385</v>
      </c>
      <c r="B248">
        <v>20.756440000000001</v>
      </c>
      <c r="C248"/>
      <c r="D248"/>
      <c r="E248">
        <v>16.82385</v>
      </c>
      <c r="F248">
        <v>32.287019999999998</v>
      </c>
      <c r="G248"/>
      <c r="H248"/>
      <c r="I248"/>
      <c r="J248"/>
      <c r="K248"/>
      <c r="L248">
        <v>29.057320000000001</v>
      </c>
      <c r="M248"/>
      <c r="N248"/>
      <c r="O248"/>
      <c r="P248"/>
      <c r="Q248"/>
      <c r="R248">
        <v>11.932539999999999</v>
      </c>
      <c r="S248"/>
      <c r="T248"/>
      <c r="U248"/>
      <c r="V248"/>
      <c r="W248"/>
      <c r="X248"/>
      <c r="Y248"/>
      <c r="Z248"/>
      <c r="AA248"/>
      <c r="AB248"/>
      <c r="AC248"/>
      <c r="AD248">
        <v>5.2921680000000002</v>
      </c>
      <c r="AE248">
        <v>29.39706</v>
      </c>
      <c r="AF248"/>
      <c r="AG248"/>
      <c r="AH248">
        <v>19.30762</v>
      </c>
      <c r="AI248"/>
      <c r="AJ248"/>
      <c r="AK248">
        <v>20.726479999999999</v>
      </c>
      <c r="AL248"/>
      <c r="AM248"/>
      <c r="AN248"/>
      <c r="AO248"/>
      <c r="AP248"/>
      <c r="AQ248"/>
      <c r="AR248"/>
      <c r="AS248"/>
      <c r="AT248"/>
      <c r="AU248"/>
      <c r="AV248"/>
      <c r="AW248">
        <v>15.892899999999999</v>
      </c>
      <c r="AX248"/>
    </row>
    <row r="249" spans="1:50" x14ac:dyDescent="0.35">
      <c r="A249" s="75">
        <v>25416</v>
      </c>
      <c r="B249">
        <v>20.787759999999999</v>
      </c>
      <c r="C249"/>
      <c r="D249"/>
      <c r="E249">
        <v>16.868269999999999</v>
      </c>
      <c r="F249">
        <v>32.276020000000003</v>
      </c>
      <c r="G249"/>
      <c r="H249"/>
      <c r="I249"/>
      <c r="J249"/>
      <c r="K249"/>
      <c r="L249">
        <v>29.02844</v>
      </c>
      <c r="M249"/>
      <c r="N249"/>
      <c r="O249"/>
      <c r="P249"/>
      <c r="Q249"/>
      <c r="R249">
        <v>11.92127</v>
      </c>
      <c r="S249"/>
      <c r="T249"/>
      <c r="U249"/>
      <c r="V249"/>
      <c r="W249"/>
      <c r="X249"/>
      <c r="Y249"/>
      <c r="Z249"/>
      <c r="AA249"/>
      <c r="AB249"/>
      <c r="AC249"/>
      <c r="AD249">
        <v>5.3074770000000004</v>
      </c>
      <c r="AE249">
        <v>29.61825</v>
      </c>
      <c r="AF249"/>
      <c r="AG249"/>
      <c r="AH249">
        <v>19.28584</v>
      </c>
      <c r="AI249"/>
      <c r="AJ249"/>
      <c r="AK249">
        <v>20.860779999999998</v>
      </c>
      <c r="AL249"/>
      <c r="AM249"/>
      <c r="AN249"/>
      <c r="AO249"/>
      <c r="AP249"/>
      <c r="AQ249"/>
      <c r="AR249"/>
      <c r="AS249"/>
      <c r="AT249"/>
      <c r="AU249"/>
      <c r="AV249"/>
      <c r="AW249">
        <v>15.93418</v>
      </c>
      <c r="AX249"/>
    </row>
    <row r="250" spans="1:50" x14ac:dyDescent="0.35">
      <c r="A250" s="75">
        <v>25447</v>
      </c>
      <c r="B250">
        <v>20.86158</v>
      </c>
      <c r="C250"/>
      <c r="D250"/>
      <c r="E250">
        <v>16.909800000000001</v>
      </c>
      <c r="F250">
        <v>32.312019999999997</v>
      </c>
      <c r="G250"/>
      <c r="H250"/>
      <c r="I250"/>
      <c r="J250"/>
      <c r="K250"/>
      <c r="L250">
        <v>29.049009999999999</v>
      </c>
      <c r="M250"/>
      <c r="N250"/>
      <c r="O250"/>
      <c r="P250"/>
      <c r="Q250"/>
      <c r="R250">
        <v>11.92802</v>
      </c>
      <c r="S250"/>
      <c r="T250"/>
      <c r="U250"/>
      <c r="V250"/>
      <c r="W250"/>
      <c r="X250"/>
      <c r="Y250"/>
      <c r="Z250"/>
      <c r="AA250"/>
      <c r="AB250"/>
      <c r="AC250"/>
      <c r="AD250">
        <v>5.3209390000000001</v>
      </c>
      <c r="AE250">
        <v>29.841419999999999</v>
      </c>
      <c r="AF250"/>
      <c r="AG250"/>
      <c r="AH250">
        <v>19.318439999999999</v>
      </c>
      <c r="AI250"/>
      <c r="AJ250"/>
      <c r="AK250">
        <v>20.990490000000001</v>
      </c>
      <c r="AL250"/>
      <c r="AM250"/>
      <c r="AN250"/>
      <c r="AO250"/>
      <c r="AP250"/>
      <c r="AQ250"/>
      <c r="AR250"/>
      <c r="AS250"/>
      <c r="AT250"/>
      <c r="AU250"/>
      <c r="AV250"/>
      <c r="AW250">
        <v>16.058019999999999</v>
      </c>
      <c r="AX250"/>
    </row>
    <row r="251" spans="1:50" x14ac:dyDescent="0.35">
      <c r="A251" s="75">
        <v>25477</v>
      </c>
      <c r="B251">
        <v>20.944269999999999</v>
      </c>
      <c r="C251"/>
      <c r="D251"/>
      <c r="E251">
        <v>16.934660000000001</v>
      </c>
      <c r="F251">
        <v>32.361330000000002</v>
      </c>
      <c r="G251"/>
      <c r="H251"/>
      <c r="I251"/>
      <c r="J251"/>
      <c r="K251"/>
      <c r="L251">
        <v>29.1037</v>
      </c>
      <c r="M251"/>
      <c r="N251"/>
      <c r="O251"/>
      <c r="P251"/>
      <c r="Q251"/>
      <c r="R251">
        <v>11.97397</v>
      </c>
      <c r="S251"/>
      <c r="T251"/>
      <c r="U251"/>
      <c r="V251"/>
      <c r="W251"/>
      <c r="X251"/>
      <c r="Y251"/>
      <c r="Z251"/>
      <c r="AA251"/>
      <c r="AB251"/>
      <c r="AC251"/>
      <c r="AD251">
        <v>5.3384689999999999</v>
      </c>
      <c r="AE251">
        <v>30.033539999999999</v>
      </c>
      <c r="AF251"/>
      <c r="AG251"/>
      <c r="AH251">
        <v>19.342610000000001</v>
      </c>
      <c r="AI251"/>
      <c r="AJ251"/>
      <c r="AK251">
        <v>21.097670000000001</v>
      </c>
      <c r="AL251"/>
      <c r="AM251"/>
      <c r="AN251"/>
      <c r="AO251"/>
      <c r="AP251"/>
      <c r="AQ251"/>
      <c r="AR251"/>
      <c r="AS251"/>
      <c r="AT251"/>
      <c r="AU251"/>
      <c r="AV251"/>
      <c r="AW251">
        <v>16.14058</v>
      </c>
      <c r="AX251"/>
    </row>
    <row r="252" spans="1:50" x14ac:dyDescent="0.35">
      <c r="A252" s="75">
        <v>25508</v>
      </c>
      <c r="B252">
        <v>21.047750000000001</v>
      </c>
      <c r="C252"/>
      <c r="D252"/>
      <c r="E252">
        <v>16.909800000000001</v>
      </c>
      <c r="F252">
        <v>32.59807</v>
      </c>
      <c r="G252"/>
      <c r="H252"/>
      <c r="I252"/>
      <c r="J252"/>
      <c r="K252"/>
      <c r="L252">
        <v>29.165099999999999</v>
      </c>
      <c r="M252"/>
      <c r="N252"/>
      <c r="O252"/>
      <c r="P252"/>
      <c r="Q252"/>
      <c r="R252">
        <v>11.98748</v>
      </c>
      <c r="S252"/>
      <c r="T252"/>
      <c r="U252"/>
      <c r="V252"/>
      <c r="W252"/>
      <c r="X252"/>
      <c r="Y252"/>
      <c r="Z252"/>
      <c r="AA252"/>
      <c r="AB252"/>
      <c r="AC252"/>
      <c r="AD252">
        <v>5.3717309999999996</v>
      </c>
      <c r="AE252">
        <v>30.004470000000001</v>
      </c>
      <c r="AF252"/>
      <c r="AG252"/>
      <c r="AH252">
        <v>19.36927</v>
      </c>
      <c r="AI252"/>
      <c r="AJ252"/>
      <c r="AK252">
        <v>21.055869999999999</v>
      </c>
      <c r="AL252"/>
      <c r="AM252"/>
      <c r="AN252"/>
      <c r="AO252"/>
      <c r="AP252"/>
      <c r="AQ252"/>
      <c r="AR252"/>
      <c r="AS252"/>
      <c r="AT252"/>
      <c r="AU252"/>
      <c r="AV252"/>
      <c r="AW252">
        <v>16.223140000000001</v>
      </c>
      <c r="AX252"/>
    </row>
    <row r="253" spans="1:50" x14ac:dyDescent="0.35">
      <c r="A253" s="75">
        <v>25538</v>
      </c>
      <c r="B253">
        <v>21.103359999999999</v>
      </c>
      <c r="C253"/>
      <c r="D253"/>
      <c r="E253">
        <v>17.101990000000001</v>
      </c>
      <c r="F253">
        <v>32.661450000000002</v>
      </c>
      <c r="G253"/>
      <c r="H253"/>
      <c r="I253"/>
      <c r="J253"/>
      <c r="K253"/>
      <c r="L253">
        <v>29.357769999999999</v>
      </c>
      <c r="M253"/>
      <c r="N253"/>
      <c r="O253"/>
      <c r="P253"/>
      <c r="Q253"/>
      <c r="R253">
        <v>11.98028</v>
      </c>
      <c r="S253"/>
      <c r="T253"/>
      <c r="U253"/>
      <c r="V253"/>
      <c r="W253"/>
      <c r="X253"/>
      <c r="Y253"/>
      <c r="Z253"/>
      <c r="AA253"/>
      <c r="AB253"/>
      <c r="AC253"/>
      <c r="AD253">
        <v>5.3844440000000002</v>
      </c>
      <c r="AE253">
        <v>30.215250000000001</v>
      </c>
      <c r="AF253"/>
      <c r="AG253"/>
      <c r="AH253">
        <v>19.542729999999999</v>
      </c>
      <c r="AI253"/>
      <c r="AJ253"/>
      <c r="AK253">
        <v>21.020029999999998</v>
      </c>
      <c r="AL253"/>
      <c r="AM253"/>
      <c r="AN253"/>
      <c r="AO253"/>
      <c r="AP253"/>
      <c r="AQ253"/>
      <c r="AR253"/>
      <c r="AS253"/>
      <c r="AT253"/>
      <c r="AU253"/>
      <c r="AV253"/>
      <c r="AW253">
        <v>16.305710000000001</v>
      </c>
      <c r="AX253"/>
    </row>
    <row r="254" spans="1:50" x14ac:dyDescent="0.35">
      <c r="A254" s="75">
        <v>25569</v>
      </c>
      <c r="B254">
        <v>21.133209999999998</v>
      </c>
      <c r="C254"/>
      <c r="D254"/>
      <c r="E254">
        <v>17.20429</v>
      </c>
      <c r="F254">
        <v>32.717930000000003</v>
      </c>
      <c r="G254"/>
      <c r="H254"/>
      <c r="I254"/>
      <c r="J254"/>
      <c r="K254"/>
      <c r="L254">
        <v>29.693660000000001</v>
      </c>
      <c r="M254">
        <v>13.817539999999999</v>
      </c>
      <c r="N254"/>
      <c r="O254"/>
      <c r="P254"/>
      <c r="Q254"/>
      <c r="R254">
        <v>12.08573</v>
      </c>
      <c r="S254">
        <v>15.017799999999999</v>
      </c>
      <c r="T254"/>
      <c r="U254">
        <v>16.47776</v>
      </c>
      <c r="V254">
        <v>8.9152149999999999</v>
      </c>
      <c r="W254">
        <v>1.406606</v>
      </c>
      <c r="X254"/>
      <c r="Y254"/>
      <c r="Z254"/>
      <c r="AA254"/>
      <c r="AB254"/>
      <c r="AC254">
        <v>1.4704729999999999E-3</v>
      </c>
      <c r="AD254">
        <v>5.4034529999999998</v>
      </c>
      <c r="AE254">
        <v>30.962949999999999</v>
      </c>
      <c r="AF254"/>
      <c r="AG254"/>
      <c r="AH254">
        <v>19.702909999999999</v>
      </c>
      <c r="AI254"/>
      <c r="AJ254"/>
      <c r="AK254">
        <v>21.00085</v>
      </c>
      <c r="AL254"/>
      <c r="AM254">
        <v>7.2973759999999999</v>
      </c>
      <c r="AN254">
        <v>5.3068580000000001</v>
      </c>
      <c r="AO254"/>
      <c r="AP254">
        <v>1.5384100000000001</v>
      </c>
      <c r="AQ254"/>
      <c r="AR254"/>
      <c r="AS254"/>
      <c r="AT254"/>
      <c r="AU254">
        <v>14.10826</v>
      </c>
      <c r="AV254"/>
      <c r="AW254">
        <v>16.346979999999999</v>
      </c>
      <c r="AX254"/>
    </row>
    <row r="255" spans="1:50" x14ac:dyDescent="0.35">
      <c r="A255" s="75">
        <v>25600</v>
      </c>
      <c r="B255">
        <v>21.199200000000001</v>
      </c>
      <c r="C255"/>
      <c r="D255"/>
      <c r="E255">
        <v>17.167020000000001</v>
      </c>
      <c r="F255">
        <v>32.737360000000002</v>
      </c>
      <c r="G255"/>
      <c r="H255"/>
      <c r="I255"/>
      <c r="J255"/>
      <c r="K255"/>
      <c r="L255">
        <v>29.741350000000001</v>
      </c>
      <c r="M255">
        <v>13.890879999999999</v>
      </c>
      <c r="N255"/>
      <c r="O255"/>
      <c r="P255"/>
      <c r="Q255"/>
      <c r="R255">
        <v>12.11753</v>
      </c>
      <c r="S255">
        <v>15.06156</v>
      </c>
      <c r="T255"/>
      <c r="U255">
        <v>16.535509999999999</v>
      </c>
      <c r="V255">
        <v>8.9528949999999998</v>
      </c>
      <c r="W255">
        <v>1.406606</v>
      </c>
      <c r="X255"/>
      <c r="Y255"/>
      <c r="Z255"/>
      <c r="AA255"/>
      <c r="AB255"/>
      <c r="AC255">
        <v>1.4733529999999999E-3</v>
      </c>
      <c r="AD255">
        <v>5.4559990000000003</v>
      </c>
      <c r="AE255">
        <v>30.870329999999999</v>
      </c>
      <c r="AF255"/>
      <c r="AG255"/>
      <c r="AH255">
        <v>19.808810000000001</v>
      </c>
      <c r="AI255"/>
      <c r="AJ255"/>
      <c r="AK255">
        <v>21.172039999999999</v>
      </c>
      <c r="AL255"/>
      <c r="AM255">
        <v>7.3231950000000001</v>
      </c>
      <c r="AN255">
        <v>5.3314370000000002</v>
      </c>
      <c r="AO255"/>
      <c r="AP255">
        <v>1.5151969999999999</v>
      </c>
      <c r="AQ255"/>
      <c r="AR255"/>
      <c r="AS255"/>
      <c r="AT255"/>
      <c r="AU255">
        <v>14.31235</v>
      </c>
      <c r="AV255"/>
      <c r="AW255">
        <v>16.429549999999999</v>
      </c>
      <c r="AX255"/>
    </row>
    <row r="256" spans="1:50" x14ac:dyDescent="0.35">
      <c r="A256" s="75">
        <v>25628</v>
      </c>
      <c r="B256">
        <v>21.29401</v>
      </c>
      <c r="C256"/>
      <c r="D256"/>
      <c r="E256">
        <v>17.167339999999999</v>
      </c>
      <c r="F256">
        <v>32.845489999999998</v>
      </c>
      <c r="G256"/>
      <c r="H256"/>
      <c r="I256"/>
      <c r="J256"/>
      <c r="K256"/>
      <c r="L256">
        <v>29.87772</v>
      </c>
      <c r="M256">
        <v>13.973710000000001</v>
      </c>
      <c r="N256"/>
      <c r="O256"/>
      <c r="P256"/>
      <c r="Q256"/>
      <c r="R256">
        <v>12.14931</v>
      </c>
      <c r="S256">
        <v>15.1043</v>
      </c>
      <c r="T256"/>
      <c r="U256">
        <v>16.643439999999998</v>
      </c>
      <c r="V256">
        <v>9.0056740000000008</v>
      </c>
      <c r="W256">
        <v>1.4318470000000001</v>
      </c>
      <c r="X256"/>
      <c r="Y256"/>
      <c r="Z256"/>
      <c r="AA256"/>
      <c r="AB256"/>
      <c r="AC256">
        <v>1.481972E-3</v>
      </c>
      <c r="AD256">
        <v>5.4700439999999997</v>
      </c>
      <c r="AE256">
        <v>31.151409999999998</v>
      </c>
      <c r="AF256"/>
      <c r="AG256"/>
      <c r="AH256">
        <v>19.85444</v>
      </c>
      <c r="AI256"/>
      <c r="AJ256"/>
      <c r="AK256">
        <v>21.362220000000001</v>
      </c>
      <c r="AL256"/>
      <c r="AM256">
        <v>7.3703519999999996</v>
      </c>
      <c r="AN256">
        <v>5.3540159999999997</v>
      </c>
      <c r="AO256"/>
      <c r="AP256">
        <v>1.545093</v>
      </c>
      <c r="AQ256"/>
      <c r="AR256"/>
      <c r="AS256"/>
      <c r="AT256"/>
      <c r="AU256">
        <v>14.395210000000001</v>
      </c>
      <c r="AV256"/>
      <c r="AW256">
        <v>16.55339</v>
      </c>
      <c r="AX256"/>
    </row>
    <row r="257" spans="1:50" x14ac:dyDescent="0.35">
      <c r="A257" s="75">
        <v>25659</v>
      </c>
      <c r="B257">
        <v>21.389189999999999</v>
      </c>
      <c r="C257"/>
      <c r="D257"/>
      <c r="E257">
        <v>17.23237</v>
      </c>
      <c r="F257">
        <v>32.861060000000002</v>
      </c>
      <c r="G257"/>
      <c r="H257"/>
      <c r="I257"/>
      <c r="J257"/>
      <c r="K257"/>
      <c r="L257">
        <v>30.048220000000001</v>
      </c>
      <c r="M257">
        <v>14.026300000000001</v>
      </c>
      <c r="N257"/>
      <c r="O257"/>
      <c r="P257"/>
      <c r="Q257"/>
      <c r="R257">
        <v>12.155150000000001</v>
      </c>
      <c r="S257">
        <v>15.180059999999999</v>
      </c>
      <c r="T257"/>
      <c r="U257">
        <v>16.739239999999999</v>
      </c>
      <c r="V257">
        <v>9.1619489999999999</v>
      </c>
      <c r="W257">
        <v>1.4540299999999999</v>
      </c>
      <c r="X257"/>
      <c r="Y257"/>
      <c r="Z257"/>
      <c r="AA257"/>
      <c r="AB257"/>
      <c r="AC257">
        <v>1.5006609999999999E-3</v>
      </c>
      <c r="AD257">
        <v>5.4899170000000002</v>
      </c>
      <c r="AE257">
        <v>31.492149999999999</v>
      </c>
      <c r="AF257"/>
      <c r="AG257"/>
      <c r="AH257">
        <v>19.9481</v>
      </c>
      <c r="AI257"/>
      <c r="AJ257"/>
      <c r="AK257">
        <v>21.495059999999999</v>
      </c>
      <c r="AL257"/>
      <c r="AM257">
        <v>7.4121360000000003</v>
      </c>
      <c r="AN257">
        <v>5.3787719999999997</v>
      </c>
      <c r="AO257"/>
      <c r="AP257">
        <v>1.540006</v>
      </c>
      <c r="AQ257"/>
      <c r="AR257"/>
      <c r="AS257"/>
      <c r="AT257"/>
      <c r="AU257">
        <v>14.41994</v>
      </c>
      <c r="AV257"/>
      <c r="AW257">
        <v>16.635950000000001</v>
      </c>
      <c r="AX257"/>
    </row>
    <row r="258" spans="1:50" x14ac:dyDescent="0.35">
      <c r="A258" s="75">
        <v>25689</v>
      </c>
      <c r="B258">
        <v>21.455629999999999</v>
      </c>
      <c r="C258"/>
      <c r="D258"/>
      <c r="E258">
        <v>17.282070000000001</v>
      </c>
      <c r="F258">
        <v>33.221760000000003</v>
      </c>
      <c r="G258"/>
      <c r="H258"/>
      <c r="I258"/>
      <c r="J258"/>
      <c r="K258"/>
      <c r="L258">
        <v>30.041360000000001</v>
      </c>
      <c r="M258">
        <v>14.16499</v>
      </c>
      <c r="N258"/>
      <c r="O258"/>
      <c r="P258"/>
      <c r="Q258"/>
      <c r="R258">
        <v>12.163069999999999</v>
      </c>
      <c r="S258">
        <v>15.24492</v>
      </c>
      <c r="T258"/>
      <c r="U258">
        <v>16.802340000000001</v>
      </c>
      <c r="V258">
        <v>9.2076720000000005</v>
      </c>
      <c r="W258">
        <v>1.4431480000000001</v>
      </c>
      <c r="X258"/>
      <c r="Y258"/>
      <c r="Z258"/>
      <c r="AA258"/>
      <c r="AB258"/>
      <c r="AC258">
        <v>1.522219E-3</v>
      </c>
      <c r="AD258">
        <v>5.5128950000000003</v>
      </c>
      <c r="AE258">
        <v>31.590260000000001</v>
      </c>
      <c r="AF258"/>
      <c r="AG258"/>
      <c r="AH258">
        <v>20.069959999999998</v>
      </c>
      <c r="AI258"/>
      <c r="AJ258"/>
      <c r="AK258">
        <v>21.527360000000002</v>
      </c>
      <c r="AL258"/>
      <c r="AM258">
        <v>7.4403189999999997</v>
      </c>
      <c r="AN258">
        <v>5.3903879999999997</v>
      </c>
      <c r="AO258"/>
      <c r="AP258">
        <v>1.5261659999999999</v>
      </c>
      <c r="AQ258"/>
      <c r="AR258"/>
      <c r="AS258"/>
      <c r="AT258"/>
      <c r="AU258">
        <v>14.467040000000001</v>
      </c>
      <c r="AV258"/>
      <c r="AW258">
        <v>16.718509999999998</v>
      </c>
      <c r="AX258"/>
    </row>
    <row r="259" spans="1:50" x14ac:dyDescent="0.35">
      <c r="A259" s="75">
        <v>25720</v>
      </c>
      <c r="B259">
        <v>21.480530000000002</v>
      </c>
      <c r="C259"/>
      <c r="D259"/>
      <c r="E259">
        <v>17.25722</v>
      </c>
      <c r="F259">
        <v>33.29909</v>
      </c>
      <c r="G259"/>
      <c r="H259"/>
      <c r="I259"/>
      <c r="J259"/>
      <c r="K259"/>
      <c r="L259">
        <v>30.090810000000001</v>
      </c>
      <c r="M259">
        <v>14.192970000000001</v>
      </c>
      <c r="N259"/>
      <c r="O259"/>
      <c r="P259"/>
      <c r="Q259"/>
      <c r="R259">
        <v>12.21387</v>
      </c>
      <c r="S259">
        <v>15.31317</v>
      </c>
      <c r="T259"/>
      <c r="U259">
        <v>16.887440000000002</v>
      </c>
      <c r="V259">
        <v>9.2352380000000007</v>
      </c>
      <c r="W259">
        <v>1.435324</v>
      </c>
      <c r="X259"/>
      <c r="Y259"/>
      <c r="Z259"/>
      <c r="AA259"/>
      <c r="AB259"/>
      <c r="AC259">
        <v>1.5294079999999999E-3</v>
      </c>
      <c r="AD259">
        <v>5.5245709999999999</v>
      </c>
      <c r="AE259">
        <v>31.68683</v>
      </c>
      <c r="AF259"/>
      <c r="AG259"/>
      <c r="AH259">
        <v>20.136230000000001</v>
      </c>
      <c r="AI259"/>
      <c r="AJ259"/>
      <c r="AK259">
        <v>21.567219999999999</v>
      </c>
      <c r="AL259"/>
      <c r="AM259">
        <v>7.4763970000000004</v>
      </c>
      <c r="AN259">
        <v>5.4005549999999998</v>
      </c>
      <c r="AO259"/>
      <c r="AP259">
        <v>1.5540909999999999</v>
      </c>
      <c r="AQ259"/>
      <c r="AR259"/>
      <c r="AS259"/>
      <c r="AT259"/>
      <c r="AU259">
        <v>14.51742</v>
      </c>
      <c r="AV259"/>
      <c r="AW259">
        <v>16.84235</v>
      </c>
      <c r="AX259"/>
    </row>
    <row r="260" spans="1:50" x14ac:dyDescent="0.35">
      <c r="A260" s="75">
        <v>25750</v>
      </c>
      <c r="B260">
        <v>21.536650000000002</v>
      </c>
      <c r="C260"/>
      <c r="D260"/>
      <c r="E260">
        <v>17.449400000000001</v>
      </c>
      <c r="F260">
        <v>33.362220000000001</v>
      </c>
      <c r="G260"/>
      <c r="H260"/>
      <c r="I260"/>
      <c r="J260"/>
      <c r="K260"/>
      <c r="L260">
        <v>30.10962</v>
      </c>
      <c r="M260">
        <v>14.442600000000001</v>
      </c>
      <c r="N260"/>
      <c r="O260"/>
      <c r="P260"/>
      <c r="Q260"/>
      <c r="R260">
        <v>12.22087</v>
      </c>
      <c r="S260">
        <v>15.334479999999999</v>
      </c>
      <c r="T260"/>
      <c r="U260">
        <v>16.926290000000002</v>
      </c>
      <c r="V260">
        <v>9.3133590000000002</v>
      </c>
      <c r="W260">
        <v>1.4257299999999999</v>
      </c>
      <c r="X260"/>
      <c r="Y260"/>
      <c r="Z260"/>
      <c r="AA260"/>
      <c r="AB260"/>
      <c r="AC260">
        <v>1.530848E-3</v>
      </c>
      <c r="AD260">
        <v>5.5291480000000002</v>
      </c>
      <c r="AE260">
        <v>31.73874</v>
      </c>
      <c r="AF260"/>
      <c r="AG260"/>
      <c r="AH260">
        <v>20.20815</v>
      </c>
      <c r="AI260"/>
      <c r="AJ260"/>
      <c r="AK260">
        <v>21.6127</v>
      </c>
      <c r="AL260"/>
      <c r="AM260">
        <v>7.494186</v>
      </c>
      <c r="AN260">
        <v>5.4059119999999998</v>
      </c>
      <c r="AO260"/>
      <c r="AP260">
        <v>1.5696049999999999</v>
      </c>
      <c r="AQ260"/>
      <c r="AR260"/>
      <c r="AS260"/>
      <c r="AT260"/>
      <c r="AU260">
        <v>14.59829</v>
      </c>
      <c r="AV260"/>
      <c r="AW260">
        <v>16.88363</v>
      </c>
      <c r="AX260"/>
    </row>
    <row r="261" spans="1:50" x14ac:dyDescent="0.35">
      <c r="A261" s="75">
        <v>25781</v>
      </c>
      <c r="B261">
        <v>21.684290000000001</v>
      </c>
      <c r="C261"/>
      <c r="D261"/>
      <c r="E261">
        <v>17.436979999999998</v>
      </c>
      <c r="F261">
        <v>33.422750000000001</v>
      </c>
      <c r="G261"/>
      <c r="H261"/>
      <c r="I261"/>
      <c r="J261"/>
      <c r="K261"/>
      <c r="L261">
        <v>30.097809999999999</v>
      </c>
      <c r="M261">
        <v>14.46743</v>
      </c>
      <c r="N261"/>
      <c r="O261"/>
      <c r="P261"/>
      <c r="Q261"/>
      <c r="R261">
        <v>12.236789999999999</v>
      </c>
      <c r="S261">
        <v>15.385249999999999</v>
      </c>
      <c r="T261"/>
      <c r="U261">
        <v>16.94828</v>
      </c>
      <c r="V261">
        <v>9.3406230000000008</v>
      </c>
      <c r="W261">
        <v>1.4035470000000001</v>
      </c>
      <c r="X261"/>
      <c r="Y261"/>
      <c r="Z261"/>
      <c r="AA261"/>
      <c r="AB261"/>
      <c r="AC261">
        <v>1.5294079999999999E-3</v>
      </c>
      <c r="AD261">
        <v>5.5403950000000002</v>
      </c>
      <c r="AE261">
        <v>31.692329999999998</v>
      </c>
      <c r="AF261"/>
      <c r="AG261"/>
      <c r="AH261">
        <v>20.168579999999999</v>
      </c>
      <c r="AI261"/>
      <c r="AJ261"/>
      <c r="AK261">
        <v>21.750489999999999</v>
      </c>
      <c r="AL261"/>
      <c r="AM261">
        <v>7.5053770000000002</v>
      </c>
      <c r="AN261">
        <v>5.4135720000000003</v>
      </c>
      <c r="AO261"/>
      <c r="AP261">
        <v>1.586203</v>
      </c>
      <c r="AQ261"/>
      <c r="AR261"/>
      <c r="AS261"/>
      <c r="AT261"/>
      <c r="AU261">
        <v>14.65879</v>
      </c>
      <c r="AV261"/>
      <c r="AW261">
        <v>16.924910000000001</v>
      </c>
      <c r="AX261"/>
    </row>
    <row r="262" spans="1:50" x14ac:dyDescent="0.35">
      <c r="A262" s="75">
        <v>25812</v>
      </c>
      <c r="B262">
        <v>21.796420000000001</v>
      </c>
      <c r="C262"/>
      <c r="D262"/>
      <c r="E262">
        <v>17.396799999999999</v>
      </c>
      <c r="F262">
        <v>33.600470000000001</v>
      </c>
      <c r="G262"/>
      <c r="H262"/>
      <c r="I262"/>
      <c r="J262"/>
      <c r="K262"/>
      <c r="L262">
        <v>30.149149999999999</v>
      </c>
      <c r="M262">
        <v>14.55968</v>
      </c>
      <c r="N262"/>
      <c r="O262"/>
      <c r="P262"/>
      <c r="Q262"/>
      <c r="R262">
        <v>12.229139999999999</v>
      </c>
      <c r="S262">
        <v>15.43754</v>
      </c>
      <c r="T262"/>
      <c r="U262">
        <v>17.06514</v>
      </c>
      <c r="V262">
        <v>9.3825749999999992</v>
      </c>
      <c r="W262">
        <v>1.4318470000000001</v>
      </c>
      <c r="X262"/>
      <c r="Y262"/>
      <c r="Z262"/>
      <c r="AA262"/>
      <c r="AB262"/>
      <c r="AC262">
        <v>1.589783E-3</v>
      </c>
      <c r="AD262">
        <v>5.5834859999999997</v>
      </c>
      <c r="AE262">
        <v>32.099789999999999</v>
      </c>
      <c r="AF262"/>
      <c r="AG262"/>
      <c r="AH262">
        <v>20.300529999999998</v>
      </c>
      <c r="AI262"/>
      <c r="AJ262"/>
      <c r="AK262">
        <v>21.968630000000001</v>
      </c>
      <c r="AL262"/>
      <c r="AM262">
        <v>7.5567149999999996</v>
      </c>
      <c r="AN262">
        <v>5.4386010000000002</v>
      </c>
      <c r="AO262"/>
      <c r="AP262">
        <v>1.60782</v>
      </c>
      <c r="AQ262"/>
      <c r="AR262"/>
      <c r="AS262"/>
      <c r="AT262"/>
      <c r="AU262">
        <v>14.700240000000001</v>
      </c>
      <c r="AV262"/>
      <c r="AW262">
        <v>17.048749999999998</v>
      </c>
      <c r="AX262"/>
    </row>
    <row r="263" spans="1:50" x14ac:dyDescent="0.35">
      <c r="A263" s="75">
        <v>25842</v>
      </c>
      <c r="B263">
        <v>21.865189999999998</v>
      </c>
      <c r="C263"/>
      <c r="D263"/>
      <c r="E263">
        <v>17.421659999999999</v>
      </c>
      <c r="F263">
        <v>33.705289999999998</v>
      </c>
      <c r="G263"/>
      <c r="H263"/>
      <c r="I263"/>
      <c r="J263"/>
      <c r="K263"/>
      <c r="L263">
        <v>30.290769999999998</v>
      </c>
      <c r="M263">
        <v>14.602790000000001</v>
      </c>
      <c r="N263"/>
      <c r="O263"/>
      <c r="P263"/>
      <c r="Q263"/>
      <c r="R263">
        <v>12.252039999999999</v>
      </c>
      <c r="S263">
        <v>15.495430000000001</v>
      </c>
      <c r="T263"/>
      <c r="U263">
        <v>17.189710000000002</v>
      </c>
      <c r="V263">
        <v>9.4631690000000006</v>
      </c>
      <c r="W263">
        <v>1.4540299999999999</v>
      </c>
      <c r="X263"/>
      <c r="Y263"/>
      <c r="Z263"/>
      <c r="AA263"/>
      <c r="AB263"/>
      <c r="AC263">
        <v>1.62284E-3</v>
      </c>
      <c r="AD263">
        <v>5.6131279999999997</v>
      </c>
      <c r="AE263">
        <v>32.524030000000003</v>
      </c>
      <c r="AF263"/>
      <c r="AG263"/>
      <c r="AH263">
        <v>20.336490000000001</v>
      </c>
      <c r="AI263"/>
      <c r="AJ263"/>
      <c r="AK263">
        <v>22.096509999999999</v>
      </c>
      <c r="AL263"/>
      <c r="AM263">
        <v>7.6119339999999998</v>
      </c>
      <c r="AN263">
        <v>5.4644240000000002</v>
      </c>
      <c r="AO263"/>
      <c r="AP263">
        <v>1.6119479999999999</v>
      </c>
      <c r="AQ263"/>
      <c r="AR263"/>
      <c r="AS263"/>
      <c r="AT263"/>
      <c r="AU263">
        <v>14.78758</v>
      </c>
      <c r="AV263"/>
      <c r="AW263">
        <v>17.17259</v>
      </c>
      <c r="AX263"/>
    </row>
    <row r="264" spans="1:50" x14ac:dyDescent="0.35">
      <c r="A264" s="75">
        <v>25873</v>
      </c>
      <c r="B264">
        <v>21.945270000000001</v>
      </c>
      <c r="C264"/>
      <c r="D264"/>
      <c r="E264">
        <v>17.450759999999999</v>
      </c>
      <c r="F264">
        <v>34.138019999999997</v>
      </c>
      <c r="G264"/>
      <c r="H264"/>
      <c r="I264"/>
      <c r="J264"/>
      <c r="K264"/>
      <c r="L264">
        <v>30.40672</v>
      </c>
      <c r="M264">
        <v>14.698079999999999</v>
      </c>
      <c r="N264"/>
      <c r="O264"/>
      <c r="P264"/>
      <c r="Q264"/>
      <c r="R264">
        <v>12.26942</v>
      </c>
      <c r="S264">
        <v>15.56012</v>
      </c>
      <c r="T264"/>
      <c r="U264">
        <v>17.290859999999999</v>
      </c>
      <c r="V264">
        <v>9.5322469999999999</v>
      </c>
      <c r="W264">
        <v>1.4587939999999999</v>
      </c>
      <c r="X264"/>
      <c r="Y264"/>
      <c r="Z264"/>
      <c r="AA264"/>
      <c r="AB264"/>
      <c r="AC264">
        <v>1.644398E-3</v>
      </c>
      <c r="AD264">
        <v>5.6616790000000004</v>
      </c>
      <c r="AE264">
        <v>32.5929</v>
      </c>
      <c r="AF264"/>
      <c r="AG264"/>
      <c r="AH264">
        <v>20.378350000000001</v>
      </c>
      <c r="AI264"/>
      <c r="AJ264"/>
      <c r="AK264">
        <v>22.162500000000001</v>
      </c>
      <c r="AL264"/>
      <c r="AM264">
        <v>7.6564750000000004</v>
      </c>
      <c r="AN264">
        <v>5.4958200000000001</v>
      </c>
      <c r="AO264"/>
      <c r="AP264">
        <v>1.6237600000000001</v>
      </c>
      <c r="AQ264"/>
      <c r="AR264"/>
      <c r="AS264"/>
      <c r="AT264"/>
      <c r="AU264">
        <v>14.86018</v>
      </c>
      <c r="AV264"/>
      <c r="AW264">
        <v>17.296430000000001</v>
      </c>
      <c r="AX264"/>
    </row>
    <row r="265" spans="1:50" x14ac:dyDescent="0.35">
      <c r="A265" s="75">
        <v>25903</v>
      </c>
      <c r="B265">
        <v>22.038489999999999</v>
      </c>
      <c r="C265"/>
      <c r="D265"/>
      <c r="E265">
        <v>17.37331</v>
      </c>
      <c r="F265">
        <v>34.25526</v>
      </c>
      <c r="G265"/>
      <c r="H265"/>
      <c r="I265"/>
      <c r="J265"/>
      <c r="K265"/>
      <c r="L265">
        <v>30.62331</v>
      </c>
      <c r="M265">
        <v>14.68256</v>
      </c>
      <c r="N265"/>
      <c r="O265"/>
      <c r="P265"/>
      <c r="Q265"/>
      <c r="R265">
        <v>12.306010000000001</v>
      </c>
      <c r="S265">
        <v>15.60388</v>
      </c>
      <c r="T265"/>
      <c r="U265">
        <v>17.374009999999998</v>
      </c>
      <c r="V265">
        <v>9.5978169999999992</v>
      </c>
      <c r="W265">
        <v>1.4683889999999999</v>
      </c>
      <c r="X265"/>
      <c r="Y265"/>
      <c r="Z265"/>
      <c r="AA265"/>
      <c r="AB265"/>
      <c r="AC265">
        <v>1.648718E-3</v>
      </c>
      <c r="AD265">
        <v>5.6774849999999999</v>
      </c>
      <c r="AE265">
        <v>32.81194</v>
      </c>
      <c r="AF265"/>
      <c r="AG265"/>
      <c r="AH265">
        <v>20.435590000000001</v>
      </c>
      <c r="AI265"/>
      <c r="AJ265"/>
      <c r="AK265">
        <v>22.21791</v>
      </c>
      <c r="AL265"/>
      <c r="AM265">
        <v>7.6922879999999996</v>
      </c>
      <c r="AN265">
        <v>5.5229609999999996</v>
      </c>
      <c r="AO265"/>
      <c r="AP265">
        <v>1.6341950000000001</v>
      </c>
      <c r="AQ265"/>
      <c r="AR265"/>
      <c r="AS265"/>
      <c r="AT265"/>
      <c r="AU265">
        <v>14.982519999999999</v>
      </c>
      <c r="AV265"/>
      <c r="AW265">
        <v>17.378990000000002</v>
      </c>
      <c r="AX265"/>
    </row>
    <row r="266" spans="1:50" x14ac:dyDescent="0.35">
      <c r="A266" s="75">
        <v>25934</v>
      </c>
      <c r="B266">
        <v>22.055540000000001</v>
      </c>
      <c r="C266"/>
      <c r="D266"/>
      <c r="E266">
        <v>17.455010000000001</v>
      </c>
      <c r="F266">
        <v>34.387659999999997</v>
      </c>
      <c r="G266"/>
      <c r="H266"/>
      <c r="I266"/>
      <c r="J266"/>
      <c r="K266"/>
      <c r="L266">
        <v>30.94388</v>
      </c>
      <c r="M266">
        <v>14.68256</v>
      </c>
      <c r="N266"/>
      <c r="O266"/>
      <c r="P266"/>
      <c r="Q266"/>
      <c r="R266">
        <v>12.43441</v>
      </c>
      <c r="S266">
        <v>15.705159999999999</v>
      </c>
      <c r="T266"/>
      <c r="U266">
        <v>17.452909999999999</v>
      </c>
      <c r="V266">
        <v>9.7106980000000007</v>
      </c>
      <c r="W266">
        <v>1.472936</v>
      </c>
      <c r="X266"/>
      <c r="Y266"/>
      <c r="Z266"/>
      <c r="AA266"/>
      <c r="AB266"/>
      <c r="AC266">
        <v>1.661647E-3</v>
      </c>
      <c r="AD266">
        <v>5.7362900000000003</v>
      </c>
      <c r="AE266">
        <v>33.047139999999999</v>
      </c>
      <c r="AF266"/>
      <c r="AG266"/>
      <c r="AH266">
        <v>20.559280000000001</v>
      </c>
      <c r="AI266"/>
      <c r="AJ266"/>
      <c r="AK266">
        <v>22.471360000000001</v>
      </c>
      <c r="AL266"/>
      <c r="AM266">
        <v>7.73698</v>
      </c>
      <c r="AN266">
        <v>5.5747210000000003</v>
      </c>
      <c r="AO266"/>
      <c r="AP266">
        <v>1.6659280000000001</v>
      </c>
      <c r="AQ266"/>
      <c r="AR266"/>
      <c r="AS266"/>
      <c r="AT266"/>
      <c r="AU266">
        <v>15.400069999999999</v>
      </c>
      <c r="AV266"/>
      <c r="AW266">
        <v>17.378990000000002</v>
      </c>
      <c r="AX266"/>
    </row>
    <row r="267" spans="1:50" x14ac:dyDescent="0.35">
      <c r="A267" s="75">
        <v>25965</v>
      </c>
      <c r="B267">
        <v>22.20607</v>
      </c>
      <c r="C267"/>
      <c r="D267"/>
      <c r="E267">
        <v>17.536709999999999</v>
      </c>
      <c r="F267">
        <v>34.524990000000003</v>
      </c>
      <c r="G267"/>
      <c r="H267"/>
      <c r="I267"/>
      <c r="J267"/>
      <c r="K267"/>
      <c r="L267">
        <v>31.19284</v>
      </c>
      <c r="M267">
        <v>14.68572</v>
      </c>
      <c r="N267"/>
      <c r="O267"/>
      <c r="P267"/>
      <c r="Q267"/>
      <c r="R267">
        <v>12.526160000000001</v>
      </c>
      <c r="S267">
        <v>15.772600000000001</v>
      </c>
      <c r="T267"/>
      <c r="U267">
        <v>17.490600000000001</v>
      </c>
      <c r="V267">
        <v>9.7588039999999996</v>
      </c>
      <c r="W267">
        <v>1.4400120000000001</v>
      </c>
      <c r="X267"/>
      <c r="Y267"/>
      <c r="Z267"/>
      <c r="AA267"/>
      <c r="AB267"/>
      <c r="AC267">
        <v>1.6515880000000001E-3</v>
      </c>
      <c r="AD267">
        <v>5.7633070000000002</v>
      </c>
      <c r="AE267">
        <v>33.016080000000002</v>
      </c>
      <c r="AF267"/>
      <c r="AG267"/>
      <c r="AH267">
        <v>20.693079999999998</v>
      </c>
      <c r="AI267"/>
      <c r="AJ267"/>
      <c r="AK267">
        <v>22.842120000000001</v>
      </c>
      <c r="AL267"/>
      <c r="AM267">
        <v>7.7603289999999996</v>
      </c>
      <c r="AN267">
        <v>5.609286</v>
      </c>
      <c r="AO267"/>
      <c r="AP267">
        <v>1.6911350000000001</v>
      </c>
      <c r="AQ267"/>
      <c r="AR267"/>
      <c r="AS267"/>
      <c r="AT267"/>
      <c r="AU267">
        <v>15.414709999999999</v>
      </c>
      <c r="AV267"/>
      <c r="AW267">
        <v>17.378990000000002</v>
      </c>
      <c r="AX267"/>
    </row>
    <row r="268" spans="1:50" x14ac:dyDescent="0.35">
      <c r="A268" s="75">
        <v>25993</v>
      </c>
      <c r="B268">
        <v>22.281749999999999</v>
      </c>
      <c r="C268"/>
      <c r="D268"/>
      <c r="E268">
        <v>17.524290000000001</v>
      </c>
      <c r="F268">
        <v>34.752850000000002</v>
      </c>
      <c r="G268"/>
      <c r="H268"/>
      <c r="I268"/>
      <c r="J268"/>
      <c r="K268"/>
      <c r="L268">
        <v>31.324110000000001</v>
      </c>
      <c r="M268">
        <v>14.698079999999999</v>
      </c>
      <c r="N268"/>
      <c r="O268"/>
      <c r="P268"/>
      <c r="Q268"/>
      <c r="R268">
        <v>12.570270000000001</v>
      </c>
      <c r="S268">
        <v>15.82541</v>
      </c>
      <c r="T268"/>
      <c r="U268">
        <v>17.54964</v>
      </c>
      <c r="V268">
        <v>9.8169450000000005</v>
      </c>
      <c r="W268">
        <v>1.4683889999999999</v>
      </c>
      <c r="X268"/>
      <c r="Y268"/>
      <c r="Z268"/>
      <c r="AA268"/>
      <c r="AB268"/>
      <c r="AC268">
        <v>1.661647E-3</v>
      </c>
      <c r="AD268">
        <v>5.788176</v>
      </c>
      <c r="AE268">
        <v>33.200920000000004</v>
      </c>
      <c r="AF268"/>
      <c r="AG268"/>
      <c r="AH268">
        <v>20.876329999999999</v>
      </c>
      <c r="AI268"/>
      <c r="AJ268"/>
      <c r="AK268">
        <v>22.995100000000001</v>
      </c>
      <c r="AL268"/>
      <c r="AM268">
        <v>7.7914979999999998</v>
      </c>
      <c r="AN268">
        <v>5.6396449999999998</v>
      </c>
      <c r="AO268"/>
      <c r="AP268">
        <v>1.7295199999999999</v>
      </c>
      <c r="AQ268"/>
      <c r="AR268"/>
      <c r="AS268"/>
      <c r="AT268"/>
      <c r="AU268">
        <v>15.44994</v>
      </c>
      <c r="AV268"/>
      <c r="AW268">
        <v>17.420269999999999</v>
      </c>
      <c r="AX268"/>
    </row>
    <row r="269" spans="1:50" x14ac:dyDescent="0.35">
      <c r="A269" s="75">
        <v>26024</v>
      </c>
      <c r="B269">
        <v>22.435680000000001</v>
      </c>
      <c r="C269"/>
      <c r="D269"/>
      <c r="E269">
        <v>17.658919999999998</v>
      </c>
      <c r="F269">
        <v>34.808300000000003</v>
      </c>
      <c r="G269"/>
      <c r="H269"/>
      <c r="I269"/>
      <c r="J269"/>
      <c r="K269"/>
      <c r="L269">
        <v>31.54055</v>
      </c>
      <c r="M269">
        <v>14.846080000000001</v>
      </c>
      <c r="N269"/>
      <c r="O269"/>
      <c r="P269"/>
      <c r="Q269"/>
      <c r="R269">
        <v>12.68337</v>
      </c>
      <c r="S269">
        <v>15.918699999999999</v>
      </c>
      <c r="T269"/>
      <c r="U269">
        <v>17.66272</v>
      </c>
      <c r="V269">
        <v>10.0288</v>
      </c>
      <c r="W269">
        <v>1.482939</v>
      </c>
      <c r="X269"/>
      <c r="Y269"/>
      <c r="Z269"/>
      <c r="AA269"/>
      <c r="AB269"/>
      <c r="AC269">
        <v>1.6832150000000001E-3</v>
      </c>
      <c r="AD269">
        <v>5.8022539999999996</v>
      </c>
      <c r="AE269">
        <v>33.707790000000003</v>
      </c>
      <c r="AF269"/>
      <c r="AG269"/>
      <c r="AH269">
        <v>20.904330000000002</v>
      </c>
      <c r="AI269"/>
      <c r="AJ269"/>
      <c r="AK269">
        <v>23.320419999999999</v>
      </c>
      <c r="AL269"/>
      <c r="AM269">
        <v>7.846279</v>
      </c>
      <c r="AN269">
        <v>5.6930170000000002</v>
      </c>
      <c r="AO269"/>
      <c r="AP269">
        <v>1.7660229999999999</v>
      </c>
      <c r="AQ269"/>
      <c r="AR269"/>
      <c r="AS269"/>
      <c r="AT269"/>
      <c r="AU269">
        <v>15.4154</v>
      </c>
      <c r="AV269"/>
      <c r="AW269">
        <v>17.461549999999999</v>
      </c>
      <c r="AX269"/>
    </row>
    <row r="270" spans="1:50" x14ac:dyDescent="0.35">
      <c r="A270" s="75">
        <v>26054</v>
      </c>
      <c r="B270">
        <v>22.533919999999998</v>
      </c>
      <c r="C270"/>
      <c r="D270"/>
      <c r="E270">
        <v>17.64649</v>
      </c>
      <c r="F270">
        <v>35.310250000000003</v>
      </c>
      <c r="G270"/>
      <c r="H270"/>
      <c r="I270"/>
      <c r="J270"/>
      <c r="K270"/>
      <c r="L270">
        <v>31.60866</v>
      </c>
      <c r="M270">
        <v>15.083119999999999</v>
      </c>
      <c r="N270"/>
      <c r="O270"/>
      <c r="P270"/>
      <c r="Q270"/>
      <c r="R270">
        <v>12.714689999999999</v>
      </c>
      <c r="S270">
        <v>16.012560000000001</v>
      </c>
      <c r="T270"/>
      <c r="U270">
        <v>17.767109999999999</v>
      </c>
      <c r="V270">
        <v>10.0875</v>
      </c>
      <c r="W270">
        <v>1.4974890000000001</v>
      </c>
      <c r="X270"/>
      <c r="Y270"/>
      <c r="Z270"/>
      <c r="AA270"/>
      <c r="AB270"/>
      <c r="AC270">
        <v>1.690404E-3</v>
      </c>
      <c r="AD270">
        <v>5.8417880000000002</v>
      </c>
      <c r="AE270">
        <v>33.933039999999998</v>
      </c>
      <c r="AF270"/>
      <c r="AG270"/>
      <c r="AH270">
        <v>21.047160000000002</v>
      </c>
      <c r="AI270"/>
      <c r="AJ270"/>
      <c r="AK270">
        <v>23.42821</v>
      </c>
      <c r="AL270"/>
      <c r="AM270">
        <v>7.8922689999999998</v>
      </c>
      <c r="AN270">
        <v>5.7272080000000001</v>
      </c>
      <c r="AO270"/>
      <c r="AP270">
        <v>1.780675</v>
      </c>
      <c r="AQ270"/>
      <c r="AR270"/>
      <c r="AS270"/>
      <c r="AT270"/>
      <c r="AU270">
        <v>15.368790000000001</v>
      </c>
      <c r="AV270"/>
      <c r="AW270">
        <v>17.58539</v>
      </c>
      <c r="AX270"/>
    </row>
    <row r="271" spans="1:50" x14ac:dyDescent="0.35">
      <c r="A271" s="75">
        <v>26085</v>
      </c>
      <c r="B271">
        <v>22.67521</v>
      </c>
      <c r="C271"/>
      <c r="D271"/>
      <c r="E271">
        <v>17.748799999999999</v>
      </c>
      <c r="F271">
        <v>35.35107</v>
      </c>
      <c r="G271"/>
      <c r="H271"/>
      <c r="I271"/>
      <c r="J271"/>
      <c r="K271"/>
      <c r="L271">
        <v>31.756989999999998</v>
      </c>
      <c r="M271">
        <v>15.12612</v>
      </c>
      <c r="N271"/>
      <c r="O271"/>
      <c r="P271"/>
      <c r="Q271"/>
      <c r="R271">
        <v>13.00761</v>
      </c>
      <c r="S271">
        <v>16.0657</v>
      </c>
      <c r="T271"/>
      <c r="U271">
        <v>17.84122</v>
      </c>
      <c r="V271">
        <v>10.145250000000001</v>
      </c>
      <c r="W271">
        <v>1.4691129999999999</v>
      </c>
      <c r="X271"/>
      <c r="Y271"/>
      <c r="Z271"/>
      <c r="AA271"/>
      <c r="AB271"/>
      <c r="AC271">
        <v>1.706213E-3</v>
      </c>
      <c r="AD271">
        <v>5.8443779999999999</v>
      </c>
      <c r="AE271">
        <v>34.033149999999999</v>
      </c>
      <c r="AF271"/>
      <c r="AG271"/>
      <c r="AH271">
        <v>21.105609999999999</v>
      </c>
      <c r="AI271"/>
      <c r="AJ271"/>
      <c r="AK271">
        <v>23.458629999999999</v>
      </c>
      <c r="AL271"/>
      <c r="AM271">
        <v>7.9232170000000002</v>
      </c>
      <c r="AN271">
        <v>5.746556</v>
      </c>
      <c r="AO271"/>
      <c r="AP271">
        <v>1.7986930000000001</v>
      </c>
      <c r="AQ271"/>
      <c r="AR271"/>
      <c r="AS271"/>
      <c r="AT271"/>
      <c r="AU271">
        <v>15.41699</v>
      </c>
      <c r="AV271"/>
      <c r="AW271">
        <v>17.667950000000001</v>
      </c>
      <c r="AX271"/>
    </row>
    <row r="272" spans="1:50" x14ac:dyDescent="0.35">
      <c r="A272" s="75">
        <v>26115</v>
      </c>
      <c r="B272">
        <v>22.807120000000001</v>
      </c>
      <c r="C272"/>
      <c r="D272"/>
      <c r="E272">
        <v>17.891279999999998</v>
      </c>
      <c r="F272">
        <v>35.563499999999998</v>
      </c>
      <c r="G272"/>
      <c r="H272"/>
      <c r="I272"/>
      <c r="J272"/>
      <c r="K272"/>
      <c r="L272">
        <v>31.912179999999999</v>
      </c>
      <c r="M272">
        <v>15.148070000000001</v>
      </c>
      <c r="N272"/>
      <c r="O272"/>
      <c r="P272"/>
      <c r="Q272"/>
      <c r="R272">
        <v>13.064679999999999</v>
      </c>
      <c r="S272">
        <v>16.14367</v>
      </c>
      <c r="T272"/>
      <c r="U272">
        <v>17.903839999999999</v>
      </c>
      <c r="V272">
        <v>10.20599</v>
      </c>
      <c r="W272">
        <v>1.4698420000000001</v>
      </c>
      <c r="X272"/>
      <c r="Y272"/>
      <c r="Z272"/>
      <c r="AA272"/>
      <c r="AB272"/>
      <c r="AC272">
        <v>1.7105219999999999E-3</v>
      </c>
      <c r="AD272">
        <v>5.8661880000000002</v>
      </c>
      <c r="AE272">
        <v>34.125929999999997</v>
      </c>
      <c r="AF272"/>
      <c r="AG272"/>
      <c r="AH272">
        <v>21.122990000000001</v>
      </c>
      <c r="AI272"/>
      <c r="AJ272"/>
      <c r="AK272">
        <v>23.475249999999999</v>
      </c>
      <c r="AL272"/>
      <c r="AM272">
        <v>7.9664910000000004</v>
      </c>
      <c r="AN272">
        <v>5.7907489999999999</v>
      </c>
      <c r="AO272"/>
      <c r="AP272">
        <v>1.80063</v>
      </c>
      <c r="AQ272"/>
      <c r="AR272"/>
      <c r="AS272"/>
      <c r="AT272"/>
      <c r="AU272">
        <v>15.47099</v>
      </c>
      <c r="AV272"/>
      <c r="AW272">
        <v>17.709230000000002</v>
      </c>
      <c r="AX272"/>
    </row>
    <row r="273" spans="1:50" x14ac:dyDescent="0.35">
      <c r="A273" s="75">
        <v>26146</v>
      </c>
      <c r="B273">
        <v>22.88297</v>
      </c>
      <c r="C273"/>
      <c r="D273"/>
      <c r="E273">
        <v>18.033760000000001</v>
      </c>
      <c r="F273">
        <v>35.643990000000002</v>
      </c>
      <c r="G273"/>
      <c r="H273"/>
      <c r="I273"/>
      <c r="J273"/>
      <c r="K273"/>
      <c r="L273">
        <v>31.97533</v>
      </c>
      <c r="M273">
        <v>15.18464</v>
      </c>
      <c r="N273"/>
      <c r="O273"/>
      <c r="P273"/>
      <c r="Q273"/>
      <c r="R273">
        <v>13.18867</v>
      </c>
      <c r="S273">
        <v>16.197839999999999</v>
      </c>
      <c r="T273"/>
      <c r="U273">
        <v>17.92088</v>
      </c>
      <c r="V273">
        <v>10.222390000000001</v>
      </c>
      <c r="W273">
        <v>1.4400120000000001</v>
      </c>
      <c r="X273"/>
      <c r="Y273"/>
      <c r="Z273"/>
      <c r="AA273"/>
      <c r="AB273"/>
      <c r="AC273">
        <v>1.7148319999999999E-3</v>
      </c>
      <c r="AD273">
        <v>5.8734710000000003</v>
      </c>
      <c r="AE273">
        <v>34.102919999999997</v>
      </c>
      <c r="AF273"/>
      <c r="AG273"/>
      <c r="AH273">
        <v>21.150469999999999</v>
      </c>
      <c r="AI273"/>
      <c r="AJ273"/>
      <c r="AK273">
        <v>23.646439999999998</v>
      </c>
      <c r="AL273"/>
      <c r="AM273">
        <v>7.9852030000000003</v>
      </c>
      <c r="AN273">
        <v>5.8133980000000003</v>
      </c>
      <c r="AO273"/>
      <c r="AP273">
        <v>1.803698</v>
      </c>
      <c r="AQ273"/>
      <c r="AR273"/>
      <c r="AS273"/>
      <c r="AT273"/>
      <c r="AU273">
        <v>15.64955</v>
      </c>
      <c r="AV273"/>
      <c r="AW273">
        <v>17.709230000000002</v>
      </c>
      <c r="AX273"/>
    </row>
    <row r="274" spans="1:50" x14ac:dyDescent="0.35">
      <c r="A274" s="75">
        <v>26177</v>
      </c>
      <c r="B274">
        <v>23.014620000000001</v>
      </c>
      <c r="C274"/>
      <c r="D274"/>
      <c r="E274">
        <v>17.981159999999999</v>
      </c>
      <c r="F274">
        <v>35.939019999999999</v>
      </c>
      <c r="G274"/>
      <c r="H274"/>
      <c r="I274"/>
      <c r="J274"/>
      <c r="K274"/>
      <c r="L274">
        <v>32.038490000000003</v>
      </c>
      <c r="M274">
        <v>15.261039999999999</v>
      </c>
      <c r="N274"/>
      <c r="O274"/>
      <c r="P274"/>
      <c r="Q274"/>
      <c r="R274">
        <v>13.26482</v>
      </c>
      <c r="S274">
        <v>16.27224</v>
      </c>
      <c r="T274"/>
      <c r="U274">
        <v>18.007809999999999</v>
      </c>
      <c r="V274">
        <v>10.24788</v>
      </c>
      <c r="W274">
        <v>1.4683889999999999</v>
      </c>
      <c r="X274"/>
      <c r="Y274"/>
      <c r="Z274"/>
      <c r="AA274"/>
      <c r="AB274"/>
      <c r="AC274">
        <v>1.7507689999999999E-3</v>
      </c>
      <c r="AD274">
        <v>5.9083769999999998</v>
      </c>
      <c r="AE274">
        <v>34.519190000000002</v>
      </c>
      <c r="AF274"/>
      <c r="AG274"/>
      <c r="AH274">
        <v>21.25526</v>
      </c>
      <c r="AI274"/>
      <c r="AJ274"/>
      <c r="AK274">
        <v>23.863240000000001</v>
      </c>
      <c r="AL274"/>
      <c r="AM274">
        <v>8.0293980000000005</v>
      </c>
      <c r="AN274">
        <v>5.8465249999999997</v>
      </c>
      <c r="AO274"/>
      <c r="AP274">
        <v>1.8679950000000001</v>
      </c>
      <c r="AQ274"/>
      <c r="AR274"/>
      <c r="AS274"/>
      <c r="AT274"/>
      <c r="AU274">
        <v>15.647729999999999</v>
      </c>
      <c r="AV274"/>
      <c r="AW274">
        <v>17.791789999999999</v>
      </c>
      <c r="AX274"/>
    </row>
    <row r="275" spans="1:50" x14ac:dyDescent="0.35">
      <c r="A275" s="75">
        <v>26207</v>
      </c>
      <c r="B275">
        <v>23.073239999999998</v>
      </c>
      <c r="C275"/>
      <c r="D275"/>
      <c r="E275">
        <v>18.095890000000001</v>
      </c>
      <c r="F275">
        <v>36.065579999999997</v>
      </c>
      <c r="G275"/>
      <c r="H275"/>
      <c r="I275"/>
      <c r="J275"/>
      <c r="K275"/>
      <c r="L275">
        <v>32.210740000000001</v>
      </c>
      <c r="M275">
        <v>15.34754</v>
      </c>
      <c r="N275"/>
      <c r="O275"/>
      <c r="P275"/>
      <c r="Q275"/>
      <c r="R275">
        <v>13.310040000000001</v>
      </c>
      <c r="S275">
        <v>16.358740000000001</v>
      </c>
      <c r="T275"/>
      <c r="U275">
        <v>18.076509999999999</v>
      </c>
      <c r="V275">
        <v>10.292389999999999</v>
      </c>
      <c r="W275">
        <v>1.4652959999999999</v>
      </c>
      <c r="X275"/>
      <c r="Y275"/>
      <c r="Z275"/>
      <c r="AA275"/>
      <c r="AB275"/>
      <c r="AC275">
        <v>1.7910160000000001E-3</v>
      </c>
      <c r="AD275">
        <v>5.935276</v>
      </c>
      <c r="AE275">
        <v>34.71208</v>
      </c>
      <c r="AF275"/>
      <c r="AG275"/>
      <c r="AH275">
        <v>21.406400000000001</v>
      </c>
      <c r="AI275"/>
      <c r="AJ275"/>
      <c r="AK275">
        <v>24.051780000000001</v>
      </c>
      <c r="AL275"/>
      <c r="AM275">
        <v>8.0682930000000006</v>
      </c>
      <c r="AN275">
        <v>5.8848339999999997</v>
      </c>
      <c r="AO275"/>
      <c r="AP275">
        <v>1.9013500000000001</v>
      </c>
      <c r="AQ275"/>
      <c r="AR275"/>
      <c r="AS275"/>
      <c r="AT275"/>
      <c r="AU275">
        <v>15.843220000000001</v>
      </c>
      <c r="AV275"/>
      <c r="AW275">
        <v>17.833069999999999</v>
      </c>
      <c r="AX275"/>
    </row>
    <row r="276" spans="1:50" x14ac:dyDescent="0.35">
      <c r="A276" s="75">
        <v>26238</v>
      </c>
      <c r="B276">
        <v>23.13822</v>
      </c>
      <c r="C276"/>
      <c r="D276"/>
      <c r="E276">
        <v>18.087710000000001</v>
      </c>
      <c r="F276">
        <v>36.61936</v>
      </c>
      <c r="G276"/>
      <c r="H276"/>
      <c r="I276"/>
      <c r="J276"/>
      <c r="K276"/>
      <c r="L276">
        <v>32.249969999999998</v>
      </c>
      <c r="M276">
        <v>15.477320000000001</v>
      </c>
      <c r="N276"/>
      <c r="O276"/>
      <c r="P276"/>
      <c r="Q276"/>
      <c r="R276">
        <v>13.381270000000001</v>
      </c>
      <c r="S276">
        <v>16.422409999999999</v>
      </c>
      <c r="T276"/>
      <c r="U276">
        <v>18.116910000000001</v>
      </c>
      <c r="V276">
        <v>10.34188</v>
      </c>
      <c r="W276">
        <v>1.498219</v>
      </c>
      <c r="X276"/>
      <c r="Y276"/>
      <c r="Z276"/>
      <c r="AA276"/>
      <c r="AB276"/>
      <c r="AC276">
        <v>1.834142E-3</v>
      </c>
      <c r="AD276">
        <v>5.9656079999999996</v>
      </c>
      <c r="AE276">
        <v>34.68468</v>
      </c>
      <c r="AF276"/>
      <c r="AG276"/>
      <c r="AH276">
        <v>21.491720000000001</v>
      </c>
      <c r="AI276"/>
      <c r="AJ276"/>
      <c r="AK276">
        <v>24.138349999999999</v>
      </c>
      <c r="AL276"/>
      <c r="AM276">
        <v>8.0946709999999999</v>
      </c>
      <c r="AN276">
        <v>5.9170790000000002</v>
      </c>
      <c r="AO276"/>
      <c r="AP276">
        <v>1.9598990000000001</v>
      </c>
      <c r="AQ276"/>
      <c r="AR276"/>
      <c r="AS276"/>
      <c r="AT276"/>
      <c r="AU276">
        <v>15.816409999999999</v>
      </c>
      <c r="AV276"/>
      <c r="AW276">
        <v>17.874359999999999</v>
      </c>
      <c r="AX276"/>
    </row>
    <row r="277" spans="1:50" x14ac:dyDescent="0.35">
      <c r="A277" s="75">
        <v>26268</v>
      </c>
      <c r="B277">
        <v>23.147790000000001</v>
      </c>
      <c r="C277"/>
      <c r="D277"/>
      <c r="E277">
        <v>18.152740000000001</v>
      </c>
      <c r="F277">
        <v>36.833370000000002</v>
      </c>
      <c r="G277"/>
      <c r="H277"/>
      <c r="I277"/>
      <c r="J277"/>
      <c r="K277"/>
      <c r="L277">
        <v>32.360810000000001</v>
      </c>
      <c r="M277">
        <v>15.507960000000001</v>
      </c>
      <c r="N277"/>
      <c r="O277"/>
      <c r="P277"/>
      <c r="Q277"/>
      <c r="R277">
        <v>13.41883</v>
      </c>
      <c r="S277">
        <v>16.494779999999999</v>
      </c>
      <c r="T277"/>
      <c r="U277">
        <v>18.165089999999999</v>
      </c>
      <c r="V277">
        <v>10.371930000000001</v>
      </c>
      <c r="W277">
        <v>1.5127699999999999</v>
      </c>
      <c r="X277"/>
      <c r="Y277"/>
      <c r="Z277"/>
      <c r="AA277"/>
      <c r="AB277"/>
      <c r="AC277">
        <v>1.85283E-3</v>
      </c>
      <c r="AD277">
        <v>5.9918079999999998</v>
      </c>
      <c r="AE277">
        <v>34.703380000000003</v>
      </c>
      <c r="AF277"/>
      <c r="AG277"/>
      <c r="AH277">
        <v>21.571159999999999</v>
      </c>
      <c r="AI277"/>
      <c r="AJ277"/>
      <c r="AK277">
        <v>24.236339999999998</v>
      </c>
      <c r="AL277"/>
      <c r="AM277">
        <v>8.1172620000000002</v>
      </c>
      <c r="AN277">
        <v>5.9370909999999997</v>
      </c>
      <c r="AO277"/>
      <c r="AP277">
        <v>1.908075</v>
      </c>
      <c r="AQ277"/>
      <c r="AR277"/>
      <c r="AS277"/>
      <c r="AT277"/>
      <c r="AU277">
        <v>15.98739</v>
      </c>
      <c r="AV277"/>
      <c r="AW277">
        <v>17.91564</v>
      </c>
      <c r="AX277"/>
    </row>
    <row r="278" spans="1:50" x14ac:dyDescent="0.35">
      <c r="A278" s="75">
        <v>26299</v>
      </c>
      <c r="B278">
        <v>23.35697</v>
      </c>
      <c r="C278"/>
      <c r="D278"/>
      <c r="E278">
        <v>18.222020000000001</v>
      </c>
      <c r="F278">
        <v>36.99239</v>
      </c>
      <c r="G278"/>
      <c r="H278"/>
      <c r="I278"/>
      <c r="J278"/>
      <c r="K278"/>
      <c r="L278">
        <v>32.730829999999997</v>
      </c>
      <c r="M278">
        <v>15.53267</v>
      </c>
      <c r="N278"/>
      <c r="O278"/>
      <c r="P278"/>
      <c r="Q278"/>
      <c r="R278">
        <v>13.24485</v>
      </c>
      <c r="S278">
        <v>16.537520000000001</v>
      </c>
      <c r="T278"/>
      <c r="U278">
        <v>18.21311</v>
      </c>
      <c r="V278">
        <v>10.43472</v>
      </c>
      <c r="W278">
        <v>1.509679</v>
      </c>
      <c r="X278"/>
      <c r="Y278"/>
      <c r="Z278"/>
      <c r="AA278"/>
      <c r="AB278"/>
      <c r="AC278">
        <v>1.8729479999999999E-3</v>
      </c>
      <c r="AD278">
        <v>6.0167229999999998</v>
      </c>
      <c r="AE278">
        <v>34.722619999999999</v>
      </c>
      <c r="AF278"/>
      <c r="AG278"/>
      <c r="AH278">
        <v>21.682829999999999</v>
      </c>
      <c r="AI278"/>
      <c r="AJ278"/>
      <c r="AK278">
        <v>24.454920000000001</v>
      </c>
      <c r="AL278"/>
      <c r="AM278">
        <v>8.1437849999999994</v>
      </c>
      <c r="AN278">
        <v>5.9719569999999997</v>
      </c>
      <c r="AO278"/>
      <c r="AP278">
        <v>1.9283360000000001</v>
      </c>
      <c r="AQ278"/>
      <c r="AR278"/>
      <c r="AS278"/>
      <c r="AT278"/>
      <c r="AU278">
        <v>16.114339999999999</v>
      </c>
      <c r="AV278"/>
      <c r="AW278">
        <v>17.91564</v>
      </c>
      <c r="AX278"/>
    </row>
    <row r="279" spans="1:50" x14ac:dyDescent="0.35">
      <c r="A279" s="75">
        <v>26330</v>
      </c>
      <c r="B279">
        <v>23.559889999999999</v>
      </c>
      <c r="C279"/>
      <c r="D279"/>
      <c r="E279">
        <v>18.299469999999999</v>
      </c>
      <c r="F279">
        <v>37.180210000000002</v>
      </c>
      <c r="G279"/>
      <c r="H279"/>
      <c r="I279"/>
      <c r="J279"/>
      <c r="K279"/>
      <c r="L279">
        <v>32.853630000000003</v>
      </c>
      <c r="M279">
        <v>15.60355</v>
      </c>
      <c r="N279"/>
      <c r="O279"/>
      <c r="P279"/>
      <c r="Q279"/>
      <c r="R279">
        <v>13.32615</v>
      </c>
      <c r="S279">
        <v>16.634709999999998</v>
      </c>
      <c r="T279"/>
      <c r="U279">
        <v>18.284579999999998</v>
      </c>
      <c r="V279">
        <v>10.484400000000001</v>
      </c>
      <c r="W279">
        <v>1.4767729999999999</v>
      </c>
      <c r="X279"/>
      <c r="Y279"/>
      <c r="Z279"/>
      <c r="AA279"/>
      <c r="AB279"/>
      <c r="AC279">
        <v>1.870079E-3</v>
      </c>
      <c r="AD279">
        <v>6.0552279999999996</v>
      </c>
      <c r="AE279">
        <v>34.972380000000001</v>
      </c>
      <c r="AF279"/>
      <c r="AG279"/>
      <c r="AH279">
        <v>21.745259999999998</v>
      </c>
      <c r="AI279"/>
      <c r="AJ279"/>
      <c r="AK279">
        <v>24.681529999999999</v>
      </c>
      <c r="AL279"/>
      <c r="AM279">
        <v>8.1766009999999998</v>
      </c>
      <c r="AN279">
        <v>5.999676</v>
      </c>
      <c r="AO279"/>
      <c r="AP279">
        <v>1.9702120000000001</v>
      </c>
      <c r="AQ279"/>
      <c r="AR279"/>
      <c r="AS279"/>
      <c r="AT279"/>
      <c r="AU279">
        <v>16.169170000000001</v>
      </c>
      <c r="AV279"/>
      <c r="AW279">
        <v>17.956910000000001</v>
      </c>
      <c r="AX279"/>
    </row>
    <row r="280" spans="1:50" x14ac:dyDescent="0.35">
      <c r="A280" s="75">
        <v>26359</v>
      </c>
      <c r="B280">
        <v>23.804659999999998</v>
      </c>
      <c r="C280"/>
      <c r="D280"/>
      <c r="E280">
        <v>18.41845</v>
      </c>
      <c r="F280">
        <v>37.347270000000002</v>
      </c>
      <c r="G280"/>
      <c r="H280"/>
      <c r="I280"/>
      <c r="J280"/>
      <c r="K280"/>
      <c r="L280">
        <v>33.085529999999999</v>
      </c>
      <c r="M280">
        <v>15.698729999999999</v>
      </c>
      <c r="N280"/>
      <c r="O280"/>
      <c r="P280"/>
      <c r="Q280"/>
      <c r="R280">
        <v>13.394539999999999</v>
      </c>
      <c r="S280">
        <v>16.711659999999998</v>
      </c>
      <c r="T280"/>
      <c r="U280">
        <v>18.353480000000001</v>
      </c>
      <c r="V280">
        <v>10.506130000000001</v>
      </c>
      <c r="W280">
        <v>1.505144</v>
      </c>
      <c r="X280"/>
      <c r="Y280"/>
      <c r="Z280"/>
      <c r="AA280"/>
      <c r="AB280"/>
      <c r="AC280">
        <v>1.8945170000000001E-3</v>
      </c>
      <c r="AD280">
        <v>6.0693060000000001</v>
      </c>
      <c r="AE280">
        <v>35.209940000000003</v>
      </c>
      <c r="AF280"/>
      <c r="AG280"/>
      <c r="AH280">
        <v>21.787320000000001</v>
      </c>
      <c r="AI280"/>
      <c r="AJ280"/>
      <c r="AK280">
        <v>24.93807</v>
      </c>
      <c r="AL280"/>
      <c r="AM280">
        <v>8.2138039999999997</v>
      </c>
      <c r="AN280">
        <v>6.0337259999999997</v>
      </c>
      <c r="AO280"/>
      <c r="AP280">
        <v>1.973101</v>
      </c>
      <c r="AQ280"/>
      <c r="AR280"/>
      <c r="AS280"/>
      <c r="AT280"/>
      <c r="AU280">
        <v>16.232620000000001</v>
      </c>
      <c r="AV280"/>
      <c r="AW280">
        <v>17.998200000000001</v>
      </c>
      <c r="AX280"/>
    </row>
    <row r="281" spans="1:50" x14ac:dyDescent="0.35">
      <c r="A281" s="75">
        <v>26390</v>
      </c>
      <c r="B281">
        <v>23.863849999999999</v>
      </c>
      <c r="C281"/>
      <c r="D281"/>
      <c r="E281">
        <v>18.495899999999999</v>
      </c>
      <c r="F281">
        <v>37.410829999999997</v>
      </c>
      <c r="G281"/>
      <c r="H281"/>
      <c r="I281"/>
      <c r="J281"/>
      <c r="K281"/>
      <c r="L281">
        <v>33.22701</v>
      </c>
      <c r="M281">
        <v>15.81587</v>
      </c>
      <c r="N281"/>
      <c r="O281"/>
      <c r="P281"/>
      <c r="Q281"/>
      <c r="R281">
        <v>13.598369999999999</v>
      </c>
      <c r="S281">
        <v>16.777699999999999</v>
      </c>
      <c r="T281"/>
      <c r="U281">
        <v>18.438559999999999</v>
      </c>
      <c r="V281">
        <v>10.644640000000001</v>
      </c>
      <c r="W281">
        <v>1.5602419999999999</v>
      </c>
      <c r="X281"/>
      <c r="Y281"/>
      <c r="Z281"/>
      <c r="AA281"/>
      <c r="AB281"/>
      <c r="AC281">
        <v>1.9304439999999999E-3</v>
      </c>
      <c r="AD281">
        <v>6.0797660000000002</v>
      </c>
      <c r="AE281">
        <v>35.614060000000002</v>
      </c>
      <c r="AF281"/>
      <c r="AG281"/>
      <c r="AH281">
        <v>21.837620000000001</v>
      </c>
      <c r="AI281"/>
      <c r="AJ281"/>
      <c r="AK281">
        <v>25.33587</v>
      </c>
      <c r="AL281"/>
      <c r="AM281">
        <v>8.2565570000000008</v>
      </c>
      <c r="AN281">
        <v>6.0694419999999996</v>
      </c>
      <c r="AO281"/>
      <c r="AP281">
        <v>1.972262</v>
      </c>
      <c r="AQ281"/>
      <c r="AR281"/>
      <c r="AS281"/>
      <c r="AT281"/>
      <c r="AU281">
        <v>16.269259999999999</v>
      </c>
      <c r="AV281"/>
      <c r="AW281">
        <v>18.039480000000001</v>
      </c>
      <c r="AX281"/>
    </row>
    <row r="282" spans="1:50" x14ac:dyDescent="0.35">
      <c r="A282" s="75">
        <v>26420</v>
      </c>
      <c r="B282">
        <v>24.007899999999999</v>
      </c>
      <c r="C282"/>
      <c r="D282"/>
      <c r="E282">
        <v>18.520759999999999</v>
      </c>
      <c r="F282">
        <v>37.850729999999999</v>
      </c>
      <c r="G282"/>
      <c r="H282"/>
      <c r="I282"/>
      <c r="J282"/>
      <c r="K282"/>
      <c r="L282">
        <v>33.191130000000001</v>
      </c>
      <c r="M282">
        <v>15.9948</v>
      </c>
      <c r="N282"/>
      <c r="O282"/>
      <c r="P282"/>
      <c r="Q282"/>
      <c r="R282">
        <v>13.7156</v>
      </c>
      <c r="S282">
        <v>16.865220000000001</v>
      </c>
      <c r="T282"/>
      <c r="U282">
        <v>18.516089999999998</v>
      </c>
      <c r="V282">
        <v>10.69069</v>
      </c>
      <c r="W282">
        <v>1.5464370000000001</v>
      </c>
      <c r="X282"/>
      <c r="Y282"/>
      <c r="Z282"/>
      <c r="AA282"/>
      <c r="AB282"/>
      <c r="AC282">
        <v>1.956321E-3</v>
      </c>
      <c r="AD282">
        <v>6.1319280000000003</v>
      </c>
      <c r="AE282">
        <v>35.817700000000002</v>
      </c>
      <c r="AF282"/>
      <c r="AG282"/>
      <c r="AH282">
        <v>21.921309999999998</v>
      </c>
      <c r="AI282"/>
      <c r="AJ282"/>
      <c r="AK282">
        <v>25.383769999999998</v>
      </c>
      <c r="AL282"/>
      <c r="AM282">
        <v>8.2926719999999996</v>
      </c>
      <c r="AN282">
        <v>6.097099</v>
      </c>
      <c r="AO282"/>
      <c r="AP282">
        <v>2.0095329999999998</v>
      </c>
      <c r="AQ282"/>
      <c r="AR282"/>
      <c r="AS282"/>
      <c r="AT282"/>
      <c r="AU282">
        <v>16.363330000000001</v>
      </c>
      <c r="AV282"/>
      <c r="AW282">
        <v>18.122039999999998</v>
      </c>
      <c r="AX282"/>
    </row>
    <row r="283" spans="1:50" x14ac:dyDescent="0.35">
      <c r="A283" s="75">
        <v>26451</v>
      </c>
      <c r="B283">
        <v>24.126950000000001</v>
      </c>
      <c r="C283"/>
      <c r="D283"/>
      <c r="E283">
        <v>18.520759999999999</v>
      </c>
      <c r="F283">
        <v>37.986150000000002</v>
      </c>
      <c r="G283"/>
      <c r="H283"/>
      <c r="I283"/>
      <c r="J283"/>
      <c r="K283"/>
      <c r="L283">
        <v>33.308680000000003</v>
      </c>
      <c r="M283">
        <v>16.033619999999999</v>
      </c>
      <c r="N283"/>
      <c r="O283"/>
      <c r="P283"/>
      <c r="Q283"/>
      <c r="R283">
        <v>13.76488</v>
      </c>
      <c r="S283">
        <v>16.956299999999999</v>
      </c>
      <c r="T283"/>
      <c r="U283">
        <v>18.572040000000001</v>
      </c>
      <c r="V283">
        <v>10.7415</v>
      </c>
      <c r="W283">
        <v>1.5464370000000001</v>
      </c>
      <c r="X283"/>
      <c r="Y283"/>
      <c r="Z283"/>
      <c r="AA283"/>
      <c r="AB283"/>
      <c r="AC283">
        <v>1.9678199999999999E-3</v>
      </c>
      <c r="AD283">
        <v>6.1587079999999998</v>
      </c>
      <c r="AE283">
        <v>35.922730000000001</v>
      </c>
      <c r="AF283"/>
      <c r="AG283"/>
      <c r="AH283">
        <v>22.11572</v>
      </c>
      <c r="AI283"/>
      <c r="AJ283"/>
      <c r="AK283">
        <v>25.4373</v>
      </c>
      <c r="AL283"/>
      <c r="AM283">
        <v>8.3262199999999993</v>
      </c>
      <c r="AN283">
        <v>6.134309</v>
      </c>
      <c r="AO283"/>
      <c r="AP283">
        <v>1.9842470000000001</v>
      </c>
      <c r="AQ283"/>
      <c r="AR283"/>
      <c r="AS283"/>
      <c r="AT283"/>
      <c r="AU283">
        <v>16.445399999999999</v>
      </c>
      <c r="AV283"/>
      <c r="AW283">
        <v>18.163319999999999</v>
      </c>
      <c r="AX283"/>
    </row>
    <row r="284" spans="1:50" x14ac:dyDescent="0.35">
      <c r="A284" s="75">
        <v>26481</v>
      </c>
      <c r="B284">
        <v>24.12133</v>
      </c>
      <c r="C284"/>
      <c r="D284"/>
      <c r="E284">
        <v>18.71584</v>
      </c>
      <c r="F284">
        <v>38.013930000000002</v>
      </c>
      <c r="G284"/>
      <c r="H284"/>
      <c r="I284"/>
      <c r="J284"/>
      <c r="K284"/>
      <c r="L284">
        <v>33.601979999999998</v>
      </c>
      <c r="M284">
        <v>16.06793</v>
      </c>
      <c r="N284"/>
      <c r="O284"/>
      <c r="P284"/>
      <c r="Q284"/>
      <c r="R284">
        <v>13.892200000000001</v>
      </c>
      <c r="S284">
        <v>17.107109999999999</v>
      </c>
      <c r="T284"/>
      <c r="U284">
        <v>18.650079999999999</v>
      </c>
      <c r="V284">
        <v>10.788500000000001</v>
      </c>
      <c r="W284">
        <v>1.54403</v>
      </c>
      <c r="X284"/>
      <c r="Y284"/>
      <c r="Z284"/>
      <c r="AA284"/>
      <c r="AB284"/>
      <c r="AC284">
        <v>1.989378E-3</v>
      </c>
      <c r="AD284">
        <v>6.1777360000000003</v>
      </c>
      <c r="AE284">
        <v>36.018129999999999</v>
      </c>
      <c r="AF284"/>
      <c r="AG284"/>
      <c r="AH284">
        <v>22.302340000000001</v>
      </c>
      <c r="AI284"/>
      <c r="AJ284"/>
      <c r="AK284">
        <v>25.308330000000002</v>
      </c>
      <c r="AL284"/>
      <c r="AM284">
        <v>8.3675010000000007</v>
      </c>
      <c r="AN284">
        <v>6.1750910000000001</v>
      </c>
      <c r="AO284"/>
      <c r="AP284">
        <v>2.0218759999999998</v>
      </c>
      <c r="AQ284"/>
      <c r="AR284"/>
      <c r="AS284"/>
      <c r="AT284"/>
      <c r="AU284">
        <v>16.518360000000001</v>
      </c>
      <c r="AV284"/>
      <c r="AW284">
        <v>18.204599999999999</v>
      </c>
      <c r="AX284"/>
    </row>
    <row r="285" spans="1:50" x14ac:dyDescent="0.35">
      <c r="A285" s="75">
        <v>26512</v>
      </c>
      <c r="B285">
        <v>24.247330000000002</v>
      </c>
      <c r="C285"/>
      <c r="D285"/>
      <c r="E285">
        <v>18.845890000000001</v>
      </c>
      <c r="F285">
        <v>38.136490000000002</v>
      </c>
      <c r="G285"/>
      <c r="H285"/>
      <c r="I285"/>
      <c r="J285"/>
      <c r="K285"/>
      <c r="L285">
        <v>33.632759999999998</v>
      </c>
      <c r="M285">
        <v>16.123280000000001</v>
      </c>
      <c r="N285"/>
      <c r="O285"/>
      <c r="P285"/>
      <c r="Q285"/>
      <c r="R285">
        <v>13.91376</v>
      </c>
      <c r="S285">
        <v>17.186150000000001</v>
      </c>
      <c r="T285"/>
      <c r="U285">
        <v>18.725650000000002</v>
      </c>
      <c r="V285">
        <v>10.855449999999999</v>
      </c>
      <c r="W285">
        <v>1.5218389999999999</v>
      </c>
      <c r="X285"/>
      <c r="Y285"/>
      <c r="Z285"/>
      <c r="AA285"/>
      <c r="AB285"/>
      <c r="AC285">
        <v>1.9936979999999999E-3</v>
      </c>
      <c r="AD285">
        <v>6.209511</v>
      </c>
      <c r="AE285">
        <v>36.09299</v>
      </c>
      <c r="AF285"/>
      <c r="AG285"/>
      <c r="AH285">
        <v>22.368469999999999</v>
      </c>
      <c r="AI285"/>
      <c r="AJ285"/>
      <c r="AK285">
        <v>25.52355</v>
      </c>
      <c r="AL285"/>
      <c r="AM285">
        <v>8.4000219999999999</v>
      </c>
      <c r="AN285">
        <v>6.1947340000000004</v>
      </c>
      <c r="AO285"/>
      <c r="AP285">
        <v>2.0144139999999999</v>
      </c>
      <c r="AQ285"/>
      <c r="AR285"/>
      <c r="AS285"/>
      <c r="AT285"/>
      <c r="AU285">
        <v>16.567679999999999</v>
      </c>
      <c r="AV285"/>
      <c r="AW285">
        <v>18.28716</v>
      </c>
      <c r="AX285"/>
    </row>
    <row r="286" spans="1:50" x14ac:dyDescent="0.35">
      <c r="A286" s="75">
        <v>26543</v>
      </c>
      <c r="B286">
        <v>24.408380000000001</v>
      </c>
      <c r="C286"/>
      <c r="D286"/>
      <c r="E286">
        <v>18.9482</v>
      </c>
      <c r="F286">
        <v>38.48057</v>
      </c>
      <c r="G286"/>
      <c r="H286"/>
      <c r="I286"/>
      <c r="J286"/>
      <c r="K286"/>
      <c r="L286">
        <v>33.903739999999999</v>
      </c>
      <c r="M286">
        <v>16.22663</v>
      </c>
      <c r="N286"/>
      <c r="O286"/>
      <c r="P286"/>
      <c r="Q286"/>
      <c r="R286">
        <v>13.98936</v>
      </c>
      <c r="S286">
        <v>17.284739999999999</v>
      </c>
      <c r="T286"/>
      <c r="U286">
        <v>18.792100000000001</v>
      </c>
      <c r="V286">
        <v>10.930859999999999</v>
      </c>
      <c r="W286">
        <v>1.550211</v>
      </c>
      <c r="X286"/>
      <c r="Y286"/>
      <c r="Z286"/>
      <c r="AA286"/>
      <c r="AB286"/>
      <c r="AC286">
        <v>2.0138159999999999E-3</v>
      </c>
      <c r="AD286">
        <v>6.2579079999999996</v>
      </c>
      <c r="AE286">
        <v>36.309480000000001</v>
      </c>
      <c r="AF286"/>
      <c r="AG286"/>
      <c r="AH286">
        <v>22.476590000000002</v>
      </c>
      <c r="AI286"/>
      <c r="AJ286"/>
      <c r="AK286">
        <v>25.761220000000002</v>
      </c>
      <c r="AL286"/>
      <c r="AM286">
        <v>8.4353350000000002</v>
      </c>
      <c r="AN286">
        <v>6.2411209999999997</v>
      </c>
      <c r="AO286"/>
      <c r="AP286">
        <v>2.06162</v>
      </c>
      <c r="AQ286"/>
      <c r="AR286"/>
      <c r="AS286"/>
      <c r="AT286"/>
      <c r="AU286">
        <v>16.621960000000001</v>
      </c>
      <c r="AV286"/>
      <c r="AW286">
        <v>18.28716</v>
      </c>
      <c r="AX286"/>
    </row>
    <row r="287" spans="1:50" x14ac:dyDescent="0.35">
      <c r="A287" s="75">
        <v>26573</v>
      </c>
      <c r="B287">
        <v>24.50731</v>
      </c>
      <c r="C287"/>
      <c r="D287"/>
      <c r="E287">
        <v>18.973050000000001</v>
      </c>
      <c r="F287">
        <v>38.775190000000002</v>
      </c>
      <c r="G287"/>
      <c r="H287"/>
      <c r="I287"/>
      <c r="J287"/>
      <c r="K287"/>
      <c r="L287">
        <v>34.02319</v>
      </c>
      <c r="M287">
        <v>16.368600000000001</v>
      </c>
      <c r="N287"/>
      <c r="O287"/>
      <c r="P287"/>
      <c r="Q287"/>
      <c r="R287">
        <v>14.048690000000001</v>
      </c>
      <c r="S287">
        <v>17.435079999999999</v>
      </c>
      <c r="T287"/>
      <c r="U287">
        <v>18.90887</v>
      </c>
      <c r="V287">
        <v>11.10834</v>
      </c>
      <c r="W287">
        <v>1.5724020000000001</v>
      </c>
      <c r="X287"/>
      <c r="Y287"/>
      <c r="Z287"/>
      <c r="AA287"/>
      <c r="AB287"/>
      <c r="AC287">
        <v>2.0569429999999999E-3</v>
      </c>
      <c r="AD287">
        <v>6.3317420000000002</v>
      </c>
      <c r="AE287">
        <v>36.517719999999997</v>
      </c>
      <c r="AF287"/>
      <c r="AG287"/>
      <c r="AH287">
        <v>22.594819999999999</v>
      </c>
      <c r="AI287"/>
      <c r="AJ287"/>
      <c r="AK287">
        <v>26.106480000000001</v>
      </c>
      <c r="AL287"/>
      <c r="AM287">
        <v>8.4875910000000001</v>
      </c>
      <c r="AN287">
        <v>6.2952079999999997</v>
      </c>
      <c r="AO287"/>
      <c r="AP287">
        <v>2.0710769999999998</v>
      </c>
      <c r="AQ287"/>
      <c r="AR287"/>
      <c r="AS287"/>
      <c r="AT287"/>
      <c r="AU287">
        <v>16.683720000000001</v>
      </c>
      <c r="AV287"/>
      <c r="AW287">
        <v>18.369720000000001</v>
      </c>
      <c r="AX287"/>
    </row>
    <row r="288" spans="1:50" x14ac:dyDescent="0.35">
      <c r="A288" s="75">
        <v>26604</v>
      </c>
      <c r="B288">
        <v>24.699459999999998</v>
      </c>
      <c r="C288"/>
      <c r="D288"/>
      <c r="E288">
        <v>18.973050000000001</v>
      </c>
      <c r="F288">
        <v>39.153689999999997</v>
      </c>
      <c r="G288"/>
      <c r="H288"/>
      <c r="I288"/>
      <c r="J288"/>
      <c r="K288"/>
      <c r="L288">
        <v>34.210749999999997</v>
      </c>
      <c r="M288">
        <v>16.519649999999999</v>
      </c>
      <c r="N288"/>
      <c r="O288"/>
      <c r="P288"/>
      <c r="Q288"/>
      <c r="R288">
        <v>14.150090000000001</v>
      </c>
      <c r="S288">
        <v>17.550650000000001</v>
      </c>
      <c r="T288"/>
      <c r="U288">
        <v>18.972460000000002</v>
      </c>
      <c r="V288">
        <v>11.139659999999999</v>
      </c>
      <c r="W288">
        <v>1.5540620000000001</v>
      </c>
      <c r="X288"/>
      <c r="Y288"/>
      <c r="Z288"/>
      <c r="AA288"/>
      <c r="AB288"/>
      <c r="AC288">
        <v>2.0842500000000002E-3</v>
      </c>
      <c r="AD288">
        <v>6.389138</v>
      </c>
      <c r="AE288">
        <v>36.558770000000003</v>
      </c>
      <c r="AF288"/>
      <c r="AG288"/>
      <c r="AH288">
        <v>22.728059999999999</v>
      </c>
      <c r="AI288"/>
      <c r="AJ288"/>
      <c r="AK288">
        <v>26.18468</v>
      </c>
      <c r="AL288"/>
      <c r="AM288">
        <v>8.5164170000000006</v>
      </c>
      <c r="AN288">
        <v>6.3305449999999999</v>
      </c>
      <c r="AO288"/>
      <c r="AP288">
        <v>2.0988739999999999</v>
      </c>
      <c r="AQ288"/>
      <c r="AR288"/>
      <c r="AS288"/>
      <c r="AT288"/>
      <c r="AU288">
        <v>16.698229999999999</v>
      </c>
      <c r="AV288"/>
      <c r="AW288">
        <v>18.411000000000001</v>
      </c>
      <c r="AX288"/>
    </row>
    <row r="289" spans="1:50" x14ac:dyDescent="0.35">
      <c r="A289" s="75">
        <v>26634</v>
      </c>
      <c r="B289">
        <v>24.889009999999999</v>
      </c>
      <c r="C289"/>
      <c r="D289"/>
      <c r="E289">
        <v>19.0505</v>
      </c>
      <c r="F289">
        <v>39.334580000000003</v>
      </c>
      <c r="G289"/>
      <c r="H289"/>
      <c r="I289"/>
      <c r="J289"/>
      <c r="K289"/>
      <c r="L289">
        <v>34.282359999999997</v>
      </c>
      <c r="M289">
        <v>16.571840000000002</v>
      </c>
      <c r="N289"/>
      <c r="O289"/>
      <c r="P289"/>
      <c r="Q289"/>
      <c r="R289">
        <v>14.17925</v>
      </c>
      <c r="S289">
        <v>17.648530000000001</v>
      </c>
      <c r="T289"/>
      <c r="U289">
        <v>19.041899999999998</v>
      </c>
      <c r="V289">
        <v>11.18078</v>
      </c>
      <c r="W289">
        <v>1.6046240000000001</v>
      </c>
      <c r="X289"/>
      <c r="Y289"/>
      <c r="Z289"/>
      <c r="AA289"/>
      <c r="AB289"/>
      <c r="AC289">
        <v>2.1086880000000001E-3</v>
      </c>
      <c r="AD289">
        <v>6.4137219999999999</v>
      </c>
      <c r="AE289">
        <v>36.904110000000003</v>
      </c>
      <c r="AF289"/>
      <c r="AG289"/>
      <c r="AH289">
        <v>22.812989999999999</v>
      </c>
      <c r="AI289"/>
      <c r="AJ289"/>
      <c r="AK289">
        <v>26.20524</v>
      </c>
      <c r="AL289"/>
      <c r="AM289">
        <v>8.5503649999999993</v>
      </c>
      <c r="AN289">
        <v>6.3597229999999998</v>
      </c>
      <c r="AO289"/>
      <c r="AP289">
        <v>2.1178560000000002</v>
      </c>
      <c r="AQ289"/>
      <c r="AR289"/>
      <c r="AS289"/>
      <c r="AT289"/>
      <c r="AU289">
        <v>16.962209999999999</v>
      </c>
      <c r="AV289"/>
      <c r="AW289">
        <v>18.452279999999998</v>
      </c>
      <c r="AX289"/>
    </row>
    <row r="290" spans="1:50" x14ac:dyDescent="0.35">
      <c r="A290" s="75">
        <v>26665</v>
      </c>
      <c r="B290">
        <v>25.23593</v>
      </c>
      <c r="C290"/>
      <c r="D290"/>
      <c r="E290">
        <v>19.16028</v>
      </c>
      <c r="F290">
        <v>39.767159999999997</v>
      </c>
      <c r="G290"/>
      <c r="H290"/>
      <c r="I290"/>
      <c r="J290"/>
      <c r="K290"/>
      <c r="L290">
        <v>34.671190000000003</v>
      </c>
      <c r="M290">
        <v>16.60575</v>
      </c>
      <c r="N290"/>
      <c r="O290"/>
      <c r="P290"/>
      <c r="Q290"/>
      <c r="R290">
        <v>14.34098</v>
      </c>
      <c r="S290">
        <v>17.641739999999999</v>
      </c>
      <c r="T290"/>
      <c r="U290">
        <v>19.087050000000001</v>
      </c>
      <c r="V290">
        <v>11.223599999999999</v>
      </c>
      <c r="W290">
        <v>1.590741</v>
      </c>
      <c r="X290"/>
      <c r="Y290"/>
      <c r="Z290"/>
      <c r="AA290"/>
      <c r="AB290"/>
      <c r="AC290">
        <v>2.1431850000000001E-3</v>
      </c>
      <c r="AD290">
        <v>6.4870419999999998</v>
      </c>
      <c r="AE290">
        <v>37.108359999999998</v>
      </c>
      <c r="AF290"/>
      <c r="AG290"/>
      <c r="AH290">
        <v>22.900950000000002</v>
      </c>
      <c r="AI290"/>
      <c r="AJ290"/>
      <c r="AK290">
        <v>26.436610000000002</v>
      </c>
      <c r="AL290"/>
      <c r="AM290">
        <v>8.5825510000000005</v>
      </c>
      <c r="AN290">
        <v>6.4033040000000003</v>
      </c>
      <c r="AO290"/>
      <c r="AP290">
        <v>2.1601140000000001</v>
      </c>
      <c r="AQ290"/>
      <c r="AR290"/>
      <c r="AS290"/>
      <c r="AT290"/>
      <c r="AU290">
        <v>17.02928</v>
      </c>
      <c r="AV290"/>
      <c r="AW290">
        <v>18.411000000000001</v>
      </c>
      <c r="AX290"/>
    </row>
    <row r="291" spans="1:50" x14ac:dyDescent="0.35">
      <c r="A291" s="75">
        <v>26696</v>
      </c>
      <c r="B291">
        <v>25.386769999999999</v>
      </c>
      <c r="C291"/>
      <c r="D291"/>
      <c r="E291">
        <v>19.298829999999999</v>
      </c>
      <c r="F291">
        <v>40.0503</v>
      </c>
      <c r="G291"/>
      <c r="H291"/>
      <c r="I291"/>
      <c r="J291"/>
      <c r="K291"/>
      <c r="L291">
        <v>34.84169</v>
      </c>
      <c r="M291">
        <v>16.700030000000002</v>
      </c>
      <c r="N291"/>
      <c r="O291"/>
      <c r="P291"/>
      <c r="Q291"/>
      <c r="R291">
        <v>14.42755</v>
      </c>
      <c r="S291">
        <v>17.669699999999999</v>
      </c>
      <c r="T291"/>
      <c r="U291">
        <v>19.16628</v>
      </c>
      <c r="V291">
        <v>11.27182</v>
      </c>
      <c r="W291">
        <v>1.5755170000000001</v>
      </c>
      <c r="X291"/>
      <c r="Y291"/>
      <c r="Z291"/>
      <c r="AA291"/>
      <c r="AB291"/>
      <c r="AC291">
        <v>2.158994E-3</v>
      </c>
      <c r="AD291">
        <v>6.5678089999999996</v>
      </c>
      <c r="AE291">
        <v>37.338749999999997</v>
      </c>
      <c r="AF291"/>
      <c r="AG291"/>
      <c r="AH291">
        <v>22.996770000000001</v>
      </c>
      <c r="AI291"/>
      <c r="AJ291"/>
      <c r="AK291">
        <v>26.57283</v>
      </c>
      <c r="AL291"/>
      <c r="AM291">
        <v>8.6208310000000008</v>
      </c>
      <c r="AN291">
        <v>6.4409789999999996</v>
      </c>
      <c r="AO291"/>
      <c r="AP291">
        <v>2.246251</v>
      </c>
      <c r="AQ291"/>
      <c r="AR291"/>
      <c r="AS291"/>
      <c r="AT291"/>
      <c r="AU291">
        <v>17.165759999999999</v>
      </c>
      <c r="AV291"/>
      <c r="AW291">
        <v>18.452279999999998</v>
      </c>
      <c r="AX291"/>
    </row>
    <row r="292" spans="1:50" x14ac:dyDescent="0.35">
      <c r="A292" s="75">
        <v>26724</v>
      </c>
      <c r="B292">
        <v>25.55349</v>
      </c>
      <c r="C292"/>
      <c r="D292"/>
      <c r="E292">
        <v>19.298829999999999</v>
      </c>
      <c r="F292">
        <v>40.449779999999997</v>
      </c>
      <c r="G292"/>
      <c r="H292"/>
      <c r="I292"/>
      <c r="J292"/>
      <c r="K292"/>
      <c r="L292">
        <v>35.129890000000003</v>
      </c>
      <c r="M292">
        <v>16.801649999999999</v>
      </c>
      <c r="N292"/>
      <c r="O292"/>
      <c r="P292"/>
      <c r="Q292"/>
      <c r="R292">
        <v>14.467079999999999</v>
      </c>
      <c r="S292">
        <v>17.757390000000001</v>
      </c>
      <c r="T292"/>
      <c r="U292">
        <v>19.30217</v>
      </c>
      <c r="V292">
        <v>11.308960000000001</v>
      </c>
      <c r="W292">
        <v>1.63378</v>
      </c>
      <c r="X292"/>
      <c r="Y292"/>
      <c r="Z292"/>
      <c r="AA292"/>
      <c r="AB292"/>
      <c r="AC292">
        <v>2.20068E-3</v>
      </c>
      <c r="AD292">
        <v>6.6386960000000004</v>
      </c>
      <c r="AE292">
        <v>38.074460000000002</v>
      </c>
      <c r="AF292"/>
      <c r="AG292"/>
      <c r="AH292">
        <v>23.102540000000001</v>
      </c>
      <c r="AI292"/>
      <c r="AJ292"/>
      <c r="AK292">
        <v>26.89659</v>
      </c>
      <c r="AL292"/>
      <c r="AM292">
        <v>8.6793750000000003</v>
      </c>
      <c r="AN292">
        <v>6.4845090000000001</v>
      </c>
      <c r="AO292"/>
      <c r="AP292">
        <v>2.200142</v>
      </c>
      <c r="AQ292"/>
      <c r="AR292"/>
      <c r="AS292"/>
      <c r="AT292"/>
      <c r="AU292">
        <v>17.23874</v>
      </c>
      <c r="AV292"/>
      <c r="AW292">
        <v>18.534839999999999</v>
      </c>
      <c r="AX292"/>
    </row>
    <row r="293" spans="1:50" x14ac:dyDescent="0.35">
      <c r="A293" s="75">
        <v>26755</v>
      </c>
      <c r="B293">
        <v>25.663519999999998</v>
      </c>
      <c r="C293"/>
      <c r="D293"/>
      <c r="E293">
        <v>19.531189999999999</v>
      </c>
      <c r="F293">
        <v>40.577840000000002</v>
      </c>
      <c r="G293"/>
      <c r="H293"/>
      <c r="I293"/>
      <c r="J293"/>
      <c r="K293"/>
      <c r="L293">
        <v>35.30359</v>
      </c>
      <c r="M293">
        <v>17.007549999999998</v>
      </c>
      <c r="N293"/>
      <c r="O293"/>
      <c r="P293"/>
      <c r="Q293"/>
      <c r="R293">
        <v>14.68336</v>
      </c>
      <c r="S293">
        <v>17.875889999999998</v>
      </c>
      <c r="T293"/>
      <c r="U293">
        <v>19.471810000000001</v>
      </c>
      <c r="V293">
        <v>11.572340000000001</v>
      </c>
      <c r="W293">
        <v>1.6452230000000001</v>
      </c>
      <c r="X293"/>
      <c r="Y293"/>
      <c r="Z293"/>
      <c r="AA293"/>
      <c r="AB293"/>
      <c r="AC293">
        <v>2.2969919999999999E-3</v>
      </c>
      <c r="AD293">
        <v>6.6942380000000004</v>
      </c>
      <c r="AE293">
        <v>38.877360000000003</v>
      </c>
      <c r="AF293"/>
      <c r="AG293"/>
      <c r="AH293">
        <v>23.321380000000001</v>
      </c>
      <c r="AI293"/>
      <c r="AJ293"/>
      <c r="AK293">
        <v>27.410160000000001</v>
      </c>
      <c r="AL293"/>
      <c r="AM293">
        <v>8.7576920000000005</v>
      </c>
      <c r="AN293">
        <v>6.5395409999999998</v>
      </c>
      <c r="AO293"/>
      <c r="AP293">
        <v>2.21705</v>
      </c>
      <c r="AQ293"/>
      <c r="AR293"/>
      <c r="AS293"/>
      <c r="AT293"/>
      <c r="AU293">
        <v>17.343610000000002</v>
      </c>
      <c r="AV293"/>
      <c r="AW293">
        <v>18.6174</v>
      </c>
      <c r="AX293"/>
    </row>
    <row r="294" spans="1:50" x14ac:dyDescent="0.35">
      <c r="A294" s="75">
        <v>26785</v>
      </c>
      <c r="B294">
        <v>25.72672</v>
      </c>
      <c r="C294"/>
      <c r="D294"/>
      <c r="E294">
        <v>19.592289999999998</v>
      </c>
      <c r="F294">
        <v>40.964280000000002</v>
      </c>
      <c r="G294"/>
      <c r="H294"/>
      <c r="I294"/>
      <c r="J294"/>
      <c r="K294"/>
      <c r="L294">
        <v>35.537239999999997</v>
      </c>
      <c r="M294">
        <v>17.214359999999999</v>
      </c>
      <c r="N294"/>
      <c r="O294"/>
      <c r="P294"/>
      <c r="Q294"/>
      <c r="R294">
        <v>14.85266</v>
      </c>
      <c r="S294">
        <v>18.050719999999998</v>
      </c>
      <c r="T294"/>
      <c r="U294">
        <v>19.618510000000001</v>
      </c>
      <c r="V294">
        <v>11.63625</v>
      </c>
      <c r="W294">
        <v>1.685127</v>
      </c>
      <c r="X294"/>
      <c r="Y294"/>
      <c r="Z294"/>
      <c r="AA294"/>
      <c r="AB294"/>
      <c r="AC294">
        <v>2.3372390000000001E-3</v>
      </c>
      <c r="AD294">
        <v>6.7942169999999997</v>
      </c>
      <c r="AE294">
        <v>39.53651</v>
      </c>
      <c r="AF294"/>
      <c r="AG294"/>
      <c r="AH294">
        <v>23.610479999999999</v>
      </c>
      <c r="AI294"/>
      <c r="AJ294"/>
      <c r="AK294">
        <v>27.524470000000001</v>
      </c>
      <c r="AL294"/>
      <c r="AM294">
        <v>8.8268609999999992</v>
      </c>
      <c r="AN294">
        <v>6.6029640000000001</v>
      </c>
      <c r="AO294"/>
      <c r="AP294">
        <v>2.2858559999999999</v>
      </c>
      <c r="AQ294"/>
      <c r="AR294"/>
      <c r="AS294"/>
      <c r="AT294"/>
      <c r="AU294">
        <v>17.405460000000001</v>
      </c>
      <c r="AV294"/>
      <c r="AW294">
        <v>18.699960000000001</v>
      </c>
      <c r="AX294"/>
    </row>
    <row r="295" spans="1:50" x14ac:dyDescent="0.35">
      <c r="A295" s="75">
        <v>26816</v>
      </c>
      <c r="B295">
        <v>25.733070000000001</v>
      </c>
      <c r="C295"/>
      <c r="D295"/>
      <c r="E295">
        <v>19.718419999999998</v>
      </c>
      <c r="F295">
        <v>41.215400000000002</v>
      </c>
      <c r="G295"/>
      <c r="H295"/>
      <c r="I295"/>
      <c r="J295"/>
      <c r="K295"/>
      <c r="L295">
        <v>35.678849999999997</v>
      </c>
      <c r="M295">
        <v>17.322310000000002</v>
      </c>
      <c r="N295"/>
      <c r="O295"/>
      <c r="P295"/>
      <c r="Q295"/>
      <c r="R295">
        <v>14.975630000000001</v>
      </c>
      <c r="S295">
        <v>18.16112</v>
      </c>
      <c r="T295"/>
      <c r="U295">
        <v>19.7119</v>
      </c>
      <c r="V295">
        <v>11.704129999999999</v>
      </c>
      <c r="W295">
        <v>1.714283</v>
      </c>
      <c r="X295"/>
      <c r="Y295"/>
      <c r="Z295"/>
      <c r="AA295"/>
      <c r="AB295"/>
      <c r="AC295">
        <v>2.365986E-3</v>
      </c>
      <c r="AD295">
        <v>6.8534959999999998</v>
      </c>
      <c r="AE295">
        <v>39.960549999999998</v>
      </c>
      <c r="AF295"/>
      <c r="AG295"/>
      <c r="AH295">
        <v>23.648679999999999</v>
      </c>
      <c r="AI295"/>
      <c r="AJ295"/>
      <c r="AK295">
        <v>27.562090000000001</v>
      </c>
      <c r="AL295"/>
      <c r="AM295">
        <v>8.8773929999999996</v>
      </c>
      <c r="AN295">
        <v>6.6547689999999999</v>
      </c>
      <c r="AO295"/>
      <c r="AP295">
        <v>2.3083849999999999</v>
      </c>
      <c r="AQ295"/>
      <c r="AR295"/>
      <c r="AS295"/>
      <c r="AT295"/>
      <c r="AU295">
        <v>17.52028</v>
      </c>
      <c r="AV295"/>
      <c r="AW295">
        <v>18.741240000000001</v>
      </c>
      <c r="AX295"/>
    </row>
    <row r="296" spans="1:50" x14ac:dyDescent="0.35">
      <c r="A296" s="75">
        <v>26846</v>
      </c>
      <c r="B296">
        <v>25.876300000000001</v>
      </c>
      <c r="C296"/>
      <c r="D296"/>
      <c r="E296">
        <v>19.946860000000001</v>
      </c>
      <c r="F296">
        <v>41.25376</v>
      </c>
      <c r="G296"/>
      <c r="H296"/>
      <c r="I296"/>
      <c r="J296"/>
      <c r="K296"/>
      <c r="L296">
        <v>35.830829999999999</v>
      </c>
      <c r="M296">
        <v>17.38635</v>
      </c>
      <c r="N296"/>
      <c r="O296"/>
      <c r="P296"/>
      <c r="Q296"/>
      <c r="R296">
        <v>15.42395</v>
      </c>
      <c r="S296">
        <v>18.322659999999999</v>
      </c>
      <c r="T296"/>
      <c r="U296">
        <v>19.8017</v>
      </c>
      <c r="V296">
        <v>11.773630000000001</v>
      </c>
      <c r="W296">
        <v>1.6954229999999999</v>
      </c>
      <c r="X296"/>
      <c r="Y296"/>
      <c r="Z296"/>
      <c r="AA296"/>
      <c r="AB296"/>
      <c r="AC296">
        <v>2.4105419999999999E-3</v>
      </c>
      <c r="AD296">
        <v>6.8887239999999998</v>
      </c>
      <c r="AE296">
        <v>40.270060000000001</v>
      </c>
      <c r="AF296"/>
      <c r="AG296"/>
      <c r="AH296">
        <v>23.631139999999998</v>
      </c>
      <c r="AI296"/>
      <c r="AJ296"/>
      <c r="AK296">
        <v>27.474240000000002</v>
      </c>
      <c r="AL296"/>
      <c r="AM296">
        <v>8.9222040000000007</v>
      </c>
      <c r="AN296">
        <v>6.6843159999999999</v>
      </c>
      <c r="AO296"/>
      <c r="AP296">
        <v>2.3108949999999999</v>
      </c>
      <c r="AQ296"/>
      <c r="AR296"/>
      <c r="AS296"/>
      <c r="AT296"/>
      <c r="AU296">
        <v>17.566569999999999</v>
      </c>
      <c r="AV296"/>
      <c r="AW296">
        <v>18.782520000000002</v>
      </c>
      <c r="AX296"/>
    </row>
    <row r="297" spans="1:50" x14ac:dyDescent="0.35">
      <c r="A297" s="75">
        <v>26877</v>
      </c>
      <c r="B297">
        <v>25.947030000000002</v>
      </c>
      <c r="C297"/>
      <c r="D297"/>
      <c r="E297">
        <v>20.121659999999999</v>
      </c>
      <c r="F297">
        <v>41.388800000000003</v>
      </c>
      <c r="G297"/>
      <c r="H297"/>
      <c r="I297"/>
      <c r="J297"/>
      <c r="K297"/>
      <c r="L297">
        <v>35.907699999999998</v>
      </c>
      <c r="M297">
        <v>17.485330000000001</v>
      </c>
      <c r="N297"/>
      <c r="O297"/>
      <c r="P297"/>
      <c r="Q297"/>
      <c r="R297">
        <v>15.644019999999999</v>
      </c>
      <c r="S297">
        <v>18.423179999999999</v>
      </c>
      <c r="T297"/>
      <c r="U297">
        <v>19.890560000000001</v>
      </c>
      <c r="V297">
        <v>11.823980000000001</v>
      </c>
      <c r="W297">
        <v>1.7194069999999999</v>
      </c>
      <c r="X297"/>
      <c r="Y297"/>
      <c r="Z297"/>
      <c r="AA297"/>
      <c r="AB297"/>
      <c r="AC297">
        <v>2.4206010000000001E-3</v>
      </c>
      <c r="AD297">
        <v>6.9306089999999996</v>
      </c>
      <c r="AE297">
        <v>40.447360000000003</v>
      </c>
      <c r="AF297"/>
      <c r="AG297"/>
      <c r="AH297">
        <v>23.661020000000001</v>
      </c>
      <c r="AI297"/>
      <c r="AJ297"/>
      <c r="AK297">
        <v>27.62837</v>
      </c>
      <c r="AL297"/>
      <c r="AM297">
        <v>8.9708190000000005</v>
      </c>
      <c r="AN297">
        <v>6.7227569999999996</v>
      </c>
      <c r="AO297"/>
      <c r="AP297">
        <v>2.340525</v>
      </c>
      <c r="AQ297"/>
      <c r="AR297"/>
      <c r="AS297"/>
      <c r="AT297"/>
      <c r="AU297">
        <v>17.60089</v>
      </c>
      <c r="AV297"/>
      <c r="AW297">
        <v>18.865079999999999</v>
      </c>
      <c r="AX297"/>
    </row>
    <row r="298" spans="1:50" x14ac:dyDescent="0.35">
      <c r="A298" s="75">
        <v>26908</v>
      </c>
      <c r="B298">
        <v>26.069489999999998</v>
      </c>
      <c r="C298"/>
      <c r="D298"/>
      <c r="E298">
        <v>20.20337</v>
      </c>
      <c r="F298">
        <v>41.802549999999997</v>
      </c>
      <c r="G298"/>
      <c r="H298"/>
      <c r="I298"/>
      <c r="J298"/>
      <c r="K298"/>
      <c r="L298">
        <v>35.904490000000003</v>
      </c>
      <c r="M298">
        <v>17.657419999999998</v>
      </c>
      <c r="N298"/>
      <c r="O298"/>
      <c r="P298"/>
      <c r="Q298"/>
      <c r="R298">
        <v>15.753550000000001</v>
      </c>
      <c r="S298">
        <v>18.58662</v>
      </c>
      <c r="T298"/>
      <c r="U298">
        <v>20.046279999999999</v>
      </c>
      <c r="V298">
        <v>11.905810000000001</v>
      </c>
      <c r="W298">
        <v>1.969819</v>
      </c>
      <c r="X298"/>
      <c r="Y298"/>
      <c r="Z298"/>
      <c r="AA298"/>
      <c r="AB298"/>
      <c r="AC298">
        <v>2.462288E-3</v>
      </c>
      <c r="AD298">
        <v>6.9709329999999996</v>
      </c>
      <c r="AE298">
        <v>41.36092</v>
      </c>
      <c r="AF298"/>
      <c r="AG298"/>
      <c r="AH298">
        <v>23.743320000000001</v>
      </c>
      <c r="AI298"/>
      <c r="AJ298"/>
      <c r="AK298">
        <v>27.922409999999999</v>
      </c>
      <c r="AL298"/>
      <c r="AM298">
        <v>9.0679660000000002</v>
      </c>
      <c r="AN298">
        <v>6.8050430000000004</v>
      </c>
      <c r="AO298"/>
      <c r="AP298">
        <v>2.4032650000000002</v>
      </c>
      <c r="AQ298"/>
      <c r="AR298"/>
      <c r="AS298"/>
      <c r="AT298"/>
      <c r="AU298">
        <v>17.66142</v>
      </c>
      <c r="AV298"/>
      <c r="AW298">
        <v>18.98892</v>
      </c>
      <c r="AX298"/>
    </row>
    <row r="299" spans="1:50" x14ac:dyDescent="0.35">
      <c r="A299" s="75">
        <v>26938</v>
      </c>
      <c r="B299">
        <v>26.378219999999999</v>
      </c>
      <c r="C299"/>
      <c r="D299"/>
      <c r="E299">
        <v>20.301749999999998</v>
      </c>
      <c r="F299">
        <v>42.439419999999998</v>
      </c>
      <c r="G299"/>
      <c r="H299"/>
      <c r="I299"/>
      <c r="J299"/>
      <c r="K299"/>
      <c r="L299">
        <v>36.104149999999997</v>
      </c>
      <c r="M299">
        <v>17.84066</v>
      </c>
      <c r="N299"/>
      <c r="O299"/>
      <c r="P299"/>
      <c r="Q299"/>
      <c r="R299">
        <v>15.880319999999999</v>
      </c>
      <c r="S299">
        <v>18.772400000000001</v>
      </c>
      <c r="T299"/>
      <c r="U299">
        <v>20.215890000000002</v>
      </c>
      <c r="V299">
        <v>12.077909999999999</v>
      </c>
      <c r="W299">
        <v>2.0585800000000001</v>
      </c>
      <c r="X299"/>
      <c r="Y299"/>
      <c r="Z299"/>
      <c r="AA299"/>
      <c r="AB299"/>
      <c r="AC299">
        <v>2.4953549999999999E-3</v>
      </c>
      <c r="AD299">
        <v>7.0022060000000002</v>
      </c>
      <c r="AE299">
        <v>41.75018</v>
      </c>
      <c r="AF299"/>
      <c r="AG299"/>
      <c r="AH299">
        <v>23.91958</v>
      </c>
      <c r="AI299"/>
      <c r="AJ299"/>
      <c r="AK299">
        <v>28.240400000000001</v>
      </c>
      <c r="AL299"/>
      <c r="AM299">
        <v>9.1596890000000002</v>
      </c>
      <c r="AN299">
        <v>6.8794420000000001</v>
      </c>
      <c r="AO299"/>
      <c r="AP299">
        <v>2.4635349999999998</v>
      </c>
      <c r="AQ299"/>
      <c r="AR299"/>
      <c r="AS299"/>
      <c r="AT299"/>
      <c r="AU299">
        <v>17.802600000000002</v>
      </c>
      <c r="AV299"/>
      <c r="AW299">
        <v>19.154039999999998</v>
      </c>
      <c r="AX299"/>
    </row>
    <row r="300" spans="1:50" x14ac:dyDescent="0.35">
      <c r="A300" s="75">
        <v>26969</v>
      </c>
      <c r="B300">
        <v>26.63608</v>
      </c>
      <c r="C300"/>
      <c r="D300"/>
      <c r="E300">
        <v>20.465150000000001</v>
      </c>
      <c r="F300">
        <v>43.240870000000001</v>
      </c>
      <c r="G300"/>
      <c r="H300"/>
      <c r="I300"/>
      <c r="J300"/>
      <c r="K300"/>
      <c r="L300">
        <v>36.338369999999998</v>
      </c>
      <c r="M300">
        <v>18.130710000000001</v>
      </c>
      <c r="N300"/>
      <c r="O300"/>
      <c r="P300"/>
      <c r="Q300"/>
      <c r="R300">
        <v>16.000389999999999</v>
      </c>
      <c r="S300">
        <v>18.888179999999998</v>
      </c>
      <c r="T300"/>
      <c r="U300">
        <v>20.344709999999999</v>
      </c>
      <c r="V300">
        <v>12.15863</v>
      </c>
      <c r="W300">
        <v>1.9975860000000001</v>
      </c>
      <c r="X300"/>
      <c r="Y300"/>
      <c r="Z300"/>
      <c r="AA300"/>
      <c r="AB300"/>
      <c r="AC300">
        <v>2.5830369999999998E-3</v>
      </c>
      <c r="AD300">
        <v>7.0921019999999997</v>
      </c>
      <c r="AE300">
        <v>42.140050000000002</v>
      </c>
      <c r="AF300"/>
      <c r="AG300"/>
      <c r="AH300">
        <v>24.062329999999999</v>
      </c>
      <c r="AI300"/>
      <c r="AJ300"/>
      <c r="AK300">
        <v>28.31174</v>
      </c>
      <c r="AL300"/>
      <c r="AM300">
        <v>9.2203780000000002</v>
      </c>
      <c r="AN300">
        <v>6.9321950000000001</v>
      </c>
      <c r="AO300"/>
      <c r="AP300">
        <v>2.4735309999999999</v>
      </c>
      <c r="AQ300"/>
      <c r="AR300"/>
      <c r="AS300"/>
      <c r="AT300"/>
      <c r="AU300">
        <v>17.953420000000001</v>
      </c>
      <c r="AV300"/>
      <c r="AW300">
        <v>19.236599999999999</v>
      </c>
      <c r="AX300"/>
    </row>
    <row r="301" spans="1:50" x14ac:dyDescent="0.35">
      <c r="A301" s="75">
        <v>26999</v>
      </c>
      <c r="B301">
        <v>26.758780000000002</v>
      </c>
      <c r="C301"/>
      <c r="D301"/>
      <c r="E301">
        <v>20.526579999999999</v>
      </c>
      <c r="F301">
        <v>43.741579999999999</v>
      </c>
      <c r="G301"/>
      <c r="H301"/>
      <c r="I301"/>
      <c r="J301"/>
      <c r="K301"/>
      <c r="L301">
        <v>36.502429999999997</v>
      </c>
      <c r="M301">
        <v>18.365780000000001</v>
      </c>
      <c r="N301"/>
      <c r="O301"/>
      <c r="P301"/>
      <c r="Q301"/>
      <c r="R301">
        <v>16.123860000000001</v>
      </c>
      <c r="S301">
        <v>19.023499999999999</v>
      </c>
      <c r="T301"/>
      <c r="U301">
        <v>20.491050000000001</v>
      </c>
      <c r="V301">
        <v>12.212619999999999</v>
      </c>
      <c r="W301">
        <v>2.057887</v>
      </c>
      <c r="X301"/>
      <c r="Y301"/>
      <c r="Z301"/>
      <c r="AA301"/>
      <c r="AB301"/>
      <c r="AC301">
        <v>2.652031E-3</v>
      </c>
      <c r="AD301">
        <v>7.1596880000000001</v>
      </c>
      <c r="AE301">
        <v>43.056519999999999</v>
      </c>
      <c r="AF301"/>
      <c r="AG301"/>
      <c r="AH301">
        <v>24.206769999999999</v>
      </c>
      <c r="AI301"/>
      <c r="AJ301"/>
      <c r="AK301">
        <v>28.437370000000001</v>
      </c>
      <c r="AL301"/>
      <c r="AM301">
        <v>9.3108210000000007</v>
      </c>
      <c r="AN301">
        <v>6.997109</v>
      </c>
      <c r="AO301"/>
      <c r="AP301">
        <v>2.5888399999999998</v>
      </c>
      <c r="AQ301"/>
      <c r="AR301"/>
      <c r="AS301"/>
      <c r="AT301"/>
      <c r="AU301">
        <v>18.083320000000001</v>
      </c>
      <c r="AV301"/>
      <c r="AW301">
        <v>19.31916</v>
      </c>
      <c r="AX301"/>
    </row>
    <row r="302" spans="1:50" x14ac:dyDescent="0.35">
      <c r="A302" s="75">
        <v>27030</v>
      </c>
      <c r="B302">
        <v>27.131430000000002</v>
      </c>
      <c r="C302"/>
      <c r="D302"/>
      <c r="E302">
        <v>20.68149</v>
      </c>
      <c r="F302">
        <v>43.947369999999999</v>
      </c>
      <c r="G302"/>
      <c r="H302"/>
      <c r="I302"/>
      <c r="J302"/>
      <c r="K302"/>
      <c r="L302">
        <v>36.890839999999997</v>
      </c>
      <c r="M302">
        <v>18.558029999999999</v>
      </c>
      <c r="N302"/>
      <c r="O302"/>
      <c r="P302"/>
      <c r="Q302"/>
      <c r="R302">
        <v>16.266919999999999</v>
      </c>
      <c r="S302">
        <v>19.184229999999999</v>
      </c>
      <c r="T302"/>
      <c r="U302">
        <v>20.66094</v>
      </c>
      <c r="V302">
        <v>12.3681</v>
      </c>
      <c r="W302">
        <v>2.1061489999999998</v>
      </c>
      <c r="X302"/>
      <c r="Y302"/>
      <c r="Z302"/>
      <c r="AA302"/>
      <c r="AB302"/>
      <c r="AC302">
        <v>2.7210250000000002E-3</v>
      </c>
      <c r="AD302">
        <v>7.254416</v>
      </c>
      <c r="AE302">
        <v>44.442689999999999</v>
      </c>
      <c r="AF302"/>
      <c r="AG302"/>
      <c r="AH302">
        <v>24.410679999999999</v>
      </c>
      <c r="AI302"/>
      <c r="AJ302"/>
      <c r="AK302">
        <v>28.51211</v>
      </c>
      <c r="AL302"/>
      <c r="AM302">
        <v>9.3995960000000007</v>
      </c>
      <c r="AN302">
        <v>7.0693510000000002</v>
      </c>
      <c r="AO302"/>
      <c r="AP302">
        <v>2.6142690000000002</v>
      </c>
      <c r="AQ302"/>
      <c r="AR302"/>
      <c r="AS302"/>
      <c r="AT302"/>
      <c r="AU302">
        <v>18.282550000000001</v>
      </c>
      <c r="AV302"/>
      <c r="AW302">
        <v>19.31916</v>
      </c>
      <c r="AX302"/>
    </row>
    <row r="303" spans="1:50" x14ac:dyDescent="0.35">
      <c r="A303" s="75">
        <v>27061</v>
      </c>
      <c r="B303">
        <v>27.360859999999999</v>
      </c>
      <c r="C303"/>
      <c r="D303"/>
      <c r="E303">
        <v>20.811540000000001</v>
      </c>
      <c r="F303">
        <v>43.760809999999999</v>
      </c>
      <c r="G303"/>
      <c r="H303"/>
      <c r="I303"/>
      <c r="J303"/>
      <c r="K303"/>
      <c r="L303">
        <v>37.238840000000003</v>
      </c>
      <c r="M303">
        <v>18.604520000000001</v>
      </c>
      <c r="N303"/>
      <c r="O303"/>
      <c r="P303"/>
      <c r="Q303"/>
      <c r="R303">
        <v>16.54373</v>
      </c>
      <c r="S303">
        <v>19.377359999999999</v>
      </c>
      <c r="T303"/>
      <c r="U303">
        <v>20.89386</v>
      </c>
      <c r="V303">
        <v>12.46571</v>
      </c>
      <c r="W303">
        <v>2.060746</v>
      </c>
      <c r="X303"/>
      <c r="Y303"/>
      <c r="Z303"/>
      <c r="AA303"/>
      <c r="AB303"/>
      <c r="AC303">
        <v>2.8360159999999998E-3</v>
      </c>
      <c r="AD303">
        <v>7.4033889999999998</v>
      </c>
      <c r="AE303">
        <v>45.766959999999997</v>
      </c>
      <c r="AF303"/>
      <c r="AG303"/>
      <c r="AH303">
        <v>24.845400000000001</v>
      </c>
      <c r="AI303"/>
      <c r="AJ303"/>
      <c r="AK303">
        <v>28.88448</v>
      </c>
      <c r="AL303"/>
      <c r="AM303">
        <v>9.5049299999999999</v>
      </c>
      <c r="AN303">
        <v>7.1432739999999999</v>
      </c>
      <c r="AO303"/>
      <c r="AP303">
        <v>2.7718989999999999</v>
      </c>
      <c r="AQ303"/>
      <c r="AR303"/>
      <c r="AS303"/>
      <c r="AT303"/>
      <c r="AU303">
        <v>18.588940000000001</v>
      </c>
      <c r="AV303"/>
      <c r="AW303">
        <v>19.443000000000001</v>
      </c>
      <c r="AX303"/>
    </row>
    <row r="304" spans="1:50" x14ac:dyDescent="0.35">
      <c r="A304" s="75">
        <v>27089</v>
      </c>
      <c r="B304">
        <v>27.679169999999999</v>
      </c>
      <c r="C304"/>
      <c r="D304"/>
      <c r="E304">
        <v>21.068750000000001</v>
      </c>
      <c r="F304">
        <v>43.960459999999998</v>
      </c>
      <c r="G304"/>
      <c r="H304"/>
      <c r="I304"/>
      <c r="J304"/>
      <c r="K304"/>
      <c r="L304">
        <v>37.388629999999999</v>
      </c>
      <c r="M304">
        <v>18.799949999999999</v>
      </c>
      <c r="N304"/>
      <c r="O304"/>
      <c r="P304"/>
      <c r="Q304"/>
      <c r="R304">
        <v>16.751270000000002</v>
      </c>
      <c r="S304">
        <v>19.58549</v>
      </c>
      <c r="T304"/>
      <c r="U304">
        <v>21.078410000000002</v>
      </c>
      <c r="V304">
        <v>12.580399999999999</v>
      </c>
      <c r="W304">
        <v>2.1535890000000002</v>
      </c>
      <c r="X304"/>
      <c r="Y304"/>
      <c r="Z304"/>
      <c r="AA304"/>
      <c r="AB304"/>
      <c r="AC304">
        <v>2.9351970000000001E-3</v>
      </c>
      <c r="AD304">
        <v>7.5192490000000003</v>
      </c>
      <c r="AE304">
        <v>46.142949999999999</v>
      </c>
      <c r="AF304"/>
      <c r="AG304"/>
      <c r="AH304">
        <v>25.069769999999998</v>
      </c>
      <c r="AI304"/>
      <c r="AJ304"/>
      <c r="AK304">
        <v>29.340530000000001</v>
      </c>
      <c r="AL304"/>
      <c r="AM304">
        <v>9.6113920000000004</v>
      </c>
      <c r="AN304">
        <v>7.2473229999999997</v>
      </c>
      <c r="AO304"/>
      <c r="AP304">
        <v>2.890587</v>
      </c>
      <c r="AQ304"/>
      <c r="AR304"/>
      <c r="AS304"/>
      <c r="AT304"/>
      <c r="AU304">
        <v>18.736139999999999</v>
      </c>
      <c r="AV304"/>
      <c r="AW304">
        <v>19.608129999999999</v>
      </c>
      <c r="AX304"/>
    </row>
    <row r="305" spans="1:50" x14ac:dyDescent="0.35">
      <c r="A305" s="75">
        <v>27120</v>
      </c>
      <c r="B305">
        <v>28.1646</v>
      </c>
      <c r="C305"/>
      <c r="D305"/>
      <c r="E305">
        <v>21.27336</v>
      </c>
      <c r="F305">
        <v>43.788170000000001</v>
      </c>
      <c r="G305"/>
      <c r="H305"/>
      <c r="I305"/>
      <c r="J305"/>
      <c r="K305"/>
      <c r="L305">
        <v>37.780540000000002</v>
      </c>
      <c r="M305">
        <v>19.077169999999999</v>
      </c>
      <c r="N305"/>
      <c r="O305"/>
      <c r="P305"/>
      <c r="Q305"/>
      <c r="R305">
        <v>17.033909999999999</v>
      </c>
      <c r="S305">
        <v>19.897590000000001</v>
      </c>
      <c r="T305"/>
      <c r="U305">
        <v>21.35304</v>
      </c>
      <c r="V305">
        <v>13.077719999999999</v>
      </c>
      <c r="W305">
        <v>2.1696019999999998</v>
      </c>
      <c r="X305"/>
      <c r="Y305"/>
      <c r="Z305"/>
      <c r="AA305"/>
      <c r="AB305"/>
      <c r="AC305">
        <v>3.0573760000000001E-3</v>
      </c>
      <c r="AD305">
        <v>7.599558</v>
      </c>
      <c r="AE305">
        <v>46.944789999999998</v>
      </c>
      <c r="AF305"/>
      <c r="AG305"/>
      <c r="AH305">
        <v>25.40192</v>
      </c>
      <c r="AI305"/>
      <c r="AJ305"/>
      <c r="AK305">
        <v>29.831600000000002</v>
      </c>
      <c r="AL305"/>
      <c r="AM305">
        <v>9.7390570000000007</v>
      </c>
      <c r="AN305">
        <v>7.3581649999999996</v>
      </c>
      <c r="AO305"/>
      <c r="AP305">
        <v>2.7796509999999999</v>
      </c>
      <c r="AQ305"/>
      <c r="AR305"/>
      <c r="AS305"/>
      <c r="AT305"/>
      <c r="AU305">
        <v>18.709040000000002</v>
      </c>
      <c r="AV305"/>
      <c r="AW305">
        <v>19.773250000000001</v>
      </c>
      <c r="AX305"/>
    </row>
    <row r="306" spans="1:50" x14ac:dyDescent="0.35">
      <c r="A306" s="75">
        <v>27150</v>
      </c>
      <c r="B306">
        <v>28.36805</v>
      </c>
      <c r="C306"/>
      <c r="D306"/>
      <c r="E306">
        <v>21.603729999999999</v>
      </c>
      <c r="F306">
        <v>44.523609999999998</v>
      </c>
      <c r="G306"/>
      <c r="H306"/>
      <c r="I306"/>
      <c r="J306"/>
      <c r="K306"/>
      <c r="L306">
        <v>37.933959999999999</v>
      </c>
      <c r="M306">
        <v>19.38598</v>
      </c>
      <c r="N306"/>
      <c r="O306"/>
      <c r="P306"/>
      <c r="Q306"/>
      <c r="R306">
        <v>17.200299999999999</v>
      </c>
      <c r="S306">
        <v>20.15718</v>
      </c>
      <c r="T306"/>
      <c r="U306">
        <v>21.59938</v>
      </c>
      <c r="V306">
        <v>13.26248</v>
      </c>
      <c r="W306">
        <v>2.2030669999999999</v>
      </c>
      <c r="X306"/>
      <c r="Y306"/>
      <c r="Z306"/>
      <c r="AA306"/>
      <c r="AB306"/>
      <c r="AC306">
        <v>3.1436290000000002E-3</v>
      </c>
      <c r="AD306">
        <v>7.7263529999999996</v>
      </c>
      <c r="AE306">
        <v>47.685250000000003</v>
      </c>
      <c r="AF306"/>
      <c r="AG306"/>
      <c r="AH306">
        <v>25.649550000000001</v>
      </c>
      <c r="AI306"/>
      <c r="AJ306"/>
      <c r="AK306">
        <v>29.985420000000001</v>
      </c>
      <c r="AL306"/>
      <c r="AM306">
        <v>9.8460599999999996</v>
      </c>
      <c r="AN306">
        <v>7.4396139999999997</v>
      </c>
      <c r="AO306"/>
      <c r="AP306">
        <v>2.8179880000000002</v>
      </c>
      <c r="AQ306"/>
      <c r="AR306"/>
      <c r="AS306"/>
      <c r="AT306"/>
      <c r="AU306">
        <v>18.700220000000002</v>
      </c>
      <c r="AV306"/>
      <c r="AW306">
        <v>19.979649999999999</v>
      </c>
      <c r="AX306"/>
    </row>
    <row r="307" spans="1:50" x14ac:dyDescent="0.35">
      <c r="A307" s="75">
        <v>27181</v>
      </c>
      <c r="B307">
        <v>28.43214</v>
      </c>
      <c r="C307"/>
      <c r="D307"/>
      <c r="E307">
        <v>21.730180000000001</v>
      </c>
      <c r="F307">
        <v>44.703339999999997</v>
      </c>
      <c r="G307"/>
      <c r="H307"/>
      <c r="I307"/>
      <c r="J307"/>
      <c r="K307"/>
      <c r="L307">
        <v>38.077190000000002</v>
      </c>
      <c r="M307">
        <v>19.793369999999999</v>
      </c>
      <c r="N307"/>
      <c r="O307"/>
      <c r="P307"/>
      <c r="Q307"/>
      <c r="R307">
        <v>17.334610000000001</v>
      </c>
      <c r="S307">
        <v>20.40333</v>
      </c>
      <c r="T307"/>
      <c r="U307">
        <v>21.814640000000001</v>
      </c>
      <c r="V307">
        <v>13.36636</v>
      </c>
      <c r="W307">
        <v>2.222162</v>
      </c>
      <c r="X307"/>
      <c r="Y307"/>
      <c r="Z307"/>
      <c r="AA307"/>
      <c r="AB307"/>
      <c r="AC307">
        <v>3.1881850000000001E-3</v>
      </c>
      <c r="AD307">
        <v>7.8438439999999998</v>
      </c>
      <c r="AE307">
        <v>47.926540000000003</v>
      </c>
      <c r="AF307"/>
      <c r="AG307"/>
      <c r="AH307">
        <v>25.735579999999999</v>
      </c>
      <c r="AI307"/>
      <c r="AJ307"/>
      <c r="AK307">
        <v>30.060169999999999</v>
      </c>
      <c r="AL307"/>
      <c r="AM307">
        <v>9.9415200000000006</v>
      </c>
      <c r="AN307">
        <v>7.512505</v>
      </c>
      <c r="AO307"/>
      <c r="AP307">
        <v>2.8333330000000001</v>
      </c>
      <c r="AQ307"/>
      <c r="AR307"/>
      <c r="AS307"/>
      <c r="AT307"/>
      <c r="AU307">
        <v>18.864409999999999</v>
      </c>
      <c r="AV307"/>
      <c r="AW307">
        <v>20.227329999999998</v>
      </c>
      <c r="AX307"/>
    </row>
    <row r="308" spans="1:50" x14ac:dyDescent="0.35">
      <c r="A308" s="75">
        <v>27211</v>
      </c>
      <c r="B308">
        <v>28.54175</v>
      </c>
      <c r="C308"/>
      <c r="D308"/>
      <c r="E308">
        <v>21.89751</v>
      </c>
      <c r="F308">
        <v>44.831470000000003</v>
      </c>
      <c r="G308"/>
      <c r="H308"/>
      <c r="I308"/>
      <c r="J308"/>
      <c r="K308"/>
      <c r="L308">
        <v>38.251339999999999</v>
      </c>
      <c r="M308">
        <v>20.026959999999999</v>
      </c>
      <c r="N308"/>
      <c r="O308"/>
      <c r="P308"/>
      <c r="Q308"/>
      <c r="R308">
        <v>17.730689999999999</v>
      </c>
      <c r="S308">
        <v>20.65212</v>
      </c>
      <c r="T308"/>
      <c r="U308">
        <v>22.04541</v>
      </c>
      <c r="V308">
        <v>13.509740000000001</v>
      </c>
      <c r="W308">
        <v>2.2330559999999999</v>
      </c>
      <c r="X308"/>
      <c r="Y308"/>
      <c r="Z308"/>
      <c r="AA308"/>
      <c r="AB308"/>
      <c r="AC308">
        <v>3.2658079999999998E-3</v>
      </c>
      <c r="AD308">
        <v>7.9442870000000001</v>
      </c>
      <c r="AE308">
        <v>48.689019999999999</v>
      </c>
      <c r="AF308"/>
      <c r="AG308"/>
      <c r="AH308">
        <v>26.0197</v>
      </c>
      <c r="AI308"/>
      <c r="AJ308"/>
      <c r="AK308">
        <v>30.150130000000001</v>
      </c>
      <c r="AL308"/>
      <c r="AM308">
        <v>10.055020000000001</v>
      </c>
      <c r="AN308">
        <v>7.5780669999999999</v>
      </c>
      <c r="AO308"/>
      <c r="AP308">
        <v>2.8215150000000002</v>
      </c>
      <c r="AQ308"/>
      <c r="AR308"/>
      <c r="AS308"/>
      <c r="AT308"/>
      <c r="AU308">
        <v>18.91948</v>
      </c>
      <c r="AV308"/>
      <c r="AW308">
        <v>20.433730000000001</v>
      </c>
      <c r="AX308"/>
    </row>
    <row r="309" spans="1:50" x14ac:dyDescent="0.35">
      <c r="A309" s="75">
        <v>27242</v>
      </c>
      <c r="B309">
        <v>28.6191</v>
      </c>
      <c r="C309"/>
      <c r="D309"/>
      <c r="E309">
        <v>22.154720000000001</v>
      </c>
      <c r="F309">
        <v>45.234659999999998</v>
      </c>
      <c r="G309"/>
      <c r="H309"/>
      <c r="I309"/>
      <c r="J309"/>
      <c r="K309"/>
      <c r="L309">
        <v>38.36233</v>
      </c>
      <c r="M309">
        <v>20.146750000000001</v>
      </c>
      <c r="N309"/>
      <c r="O309"/>
      <c r="P309"/>
      <c r="Q309"/>
      <c r="R309">
        <v>17.722079999999998</v>
      </c>
      <c r="S309">
        <v>20.81457</v>
      </c>
      <c r="T309"/>
      <c r="U309">
        <v>22.249580000000002</v>
      </c>
      <c r="V309">
        <v>13.494059999999999</v>
      </c>
      <c r="W309">
        <v>2.1572710000000002</v>
      </c>
      <c r="X309"/>
      <c r="Y309"/>
      <c r="Z309"/>
      <c r="AA309"/>
      <c r="AB309"/>
      <c r="AC309">
        <v>3.306055E-3</v>
      </c>
      <c r="AD309">
        <v>8.1134000000000004</v>
      </c>
      <c r="AE309">
        <v>48.879100000000001</v>
      </c>
      <c r="AF309"/>
      <c r="AG309"/>
      <c r="AH309">
        <v>26.088090000000001</v>
      </c>
      <c r="AI309"/>
      <c r="AJ309"/>
      <c r="AK309">
        <v>30.395250000000001</v>
      </c>
      <c r="AL309"/>
      <c r="AM309">
        <v>10.14574</v>
      </c>
      <c r="AN309">
        <v>7.6335459999999999</v>
      </c>
      <c r="AO309"/>
      <c r="AP309">
        <v>2.9632170000000002</v>
      </c>
      <c r="AQ309"/>
      <c r="AR309"/>
      <c r="AS309"/>
      <c r="AT309"/>
      <c r="AU309">
        <v>19.094139999999999</v>
      </c>
      <c r="AV309"/>
      <c r="AW309">
        <v>20.68141</v>
      </c>
      <c r="AX309"/>
    </row>
    <row r="310" spans="1:50" x14ac:dyDescent="0.35">
      <c r="A310" s="75">
        <v>27273</v>
      </c>
      <c r="B310">
        <v>28.771660000000001</v>
      </c>
      <c r="C310"/>
      <c r="D310"/>
      <c r="E310">
        <v>22.35933</v>
      </c>
      <c r="F310">
        <v>45.881210000000003</v>
      </c>
      <c r="G310"/>
      <c r="H310"/>
      <c r="I310"/>
      <c r="J310"/>
      <c r="K310"/>
      <c r="L310">
        <v>38.415280000000003</v>
      </c>
      <c r="M310">
        <v>20.475809999999999</v>
      </c>
      <c r="N310"/>
      <c r="O310"/>
      <c r="P310"/>
      <c r="Q310"/>
      <c r="R310">
        <v>17.977150000000002</v>
      </c>
      <c r="S310">
        <v>21.0731</v>
      </c>
      <c r="T310"/>
      <c r="U310">
        <v>22.5108</v>
      </c>
      <c r="V310">
        <v>13.6584</v>
      </c>
      <c r="W310">
        <v>2.2562790000000001</v>
      </c>
      <c r="X310"/>
      <c r="Y310"/>
      <c r="Z310"/>
      <c r="AA310"/>
      <c r="AB310"/>
      <c r="AC310">
        <v>3.3678599999999999E-3</v>
      </c>
      <c r="AD310">
        <v>8.3397889999999997</v>
      </c>
      <c r="AE310">
        <v>49.397320000000001</v>
      </c>
      <c r="AF310"/>
      <c r="AG310"/>
      <c r="AH310">
        <v>26.293939999999999</v>
      </c>
      <c r="AI310"/>
      <c r="AJ310"/>
      <c r="AK310">
        <v>30.916540000000001</v>
      </c>
      <c r="AL310"/>
      <c r="AM310">
        <v>10.271850000000001</v>
      </c>
      <c r="AN310">
        <v>7.7395589999999999</v>
      </c>
      <c r="AO310"/>
      <c r="AP310">
        <v>3.0126240000000002</v>
      </c>
      <c r="AQ310"/>
      <c r="AR310"/>
      <c r="AS310"/>
      <c r="AT310"/>
      <c r="AU310">
        <v>19.286709999999999</v>
      </c>
      <c r="AV310"/>
      <c r="AW310">
        <v>20.929089999999999</v>
      </c>
      <c r="AX310"/>
    </row>
    <row r="311" spans="1:50" x14ac:dyDescent="0.35">
      <c r="A311" s="75">
        <v>27303</v>
      </c>
      <c r="B311">
        <v>29.18571</v>
      </c>
      <c r="C311"/>
      <c r="D311"/>
      <c r="E311">
        <v>22.616540000000001</v>
      </c>
      <c r="F311">
        <v>46.084870000000002</v>
      </c>
      <c r="G311"/>
      <c r="H311"/>
      <c r="I311"/>
      <c r="J311"/>
      <c r="K311"/>
      <c r="L311">
        <v>38.674590000000002</v>
      </c>
      <c r="M311">
        <v>20.740960000000001</v>
      </c>
      <c r="N311"/>
      <c r="O311"/>
      <c r="P311"/>
      <c r="Q311"/>
      <c r="R311">
        <v>18.28284</v>
      </c>
      <c r="S311">
        <v>21.34666</v>
      </c>
      <c r="T311"/>
      <c r="U311">
        <v>22.83324</v>
      </c>
      <c r="V311">
        <v>13.947380000000001</v>
      </c>
      <c r="W311">
        <v>2.2722929999999999</v>
      </c>
      <c r="X311"/>
      <c r="Y311"/>
      <c r="Z311"/>
      <c r="AA311"/>
      <c r="AB311"/>
      <c r="AC311">
        <v>3.4311039999999999E-3</v>
      </c>
      <c r="AD311">
        <v>8.4936109999999996</v>
      </c>
      <c r="AE311">
        <v>50.638300000000001</v>
      </c>
      <c r="AF311"/>
      <c r="AG311"/>
      <c r="AH311">
        <v>26.551659999999998</v>
      </c>
      <c r="AI311"/>
      <c r="AJ311"/>
      <c r="AK311">
        <v>31.33248</v>
      </c>
      <c r="AL311"/>
      <c r="AM311">
        <v>10.42231</v>
      </c>
      <c r="AN311">
        <v>7.8413930000000001</v>
      </c>
      <c r="AO311"/>
      <c r="AP311">
        <v>2.8827060000000002</v>
      </c>
      <c r="AQ311"/>
      <c r="AR311"/>
      <c r="AS311"/>
      <c r="AT311"/>
      <c r="AU311">
        <v>19.92859</v>
      </c>
      <c r="AV311"/>
      <c r="AW311">
        <v>21.176780000000001</v>
      </c>
      <c r="AX311"/>
    </row>
    <row r="312" spans="1:50" x14ac:dyDescent="0.35">
      <c r="A312" s="75">
        <v>27334</v>
      </c>
      <c r="B312">
        <v>29.52618</v>
      </c>
      <c r="C312"/>
      <c r="D312"/>
      <c r="E312">
        <v>22.78388</v>
      </c>
      <c r="F312">
        <v>46.843910000000001</v>
      </c>
      <c r="G312"/>
      <c r="H312"/>
      <c r="I312"/>
      <c r="J312"/>
      <c r="K312"/>
      <c r="L312">
        <v>38.932009999999998</v>
      </c>
      <c r="M312">
        <v>21.045809999999999</v>
      </c>
      <c r="N312"/>
      <c r="O312"/>
      <c r="P312"/>
      <c r="Q312"/>
      <c r="R312">
        <v>18.472719999999999</v>
      </c>
      <c r="S312">
        <v>21.55791</v>
      </c>
      <c r="T312"/>
      <c r="U312">
        <v>23.069579999999998</v>
      </c>
      <c r="V312">
        <v>14.14631</v>
      </c>
      <c r="W312">
        <v>2.3197329999999998</v>
      </c>
      <c r="X312"/>
      <c r="Y312"/>
      <c r="Z312"/>
      <c r="AA312"/>
      <c r="AB312"/>
      <c r="AC312">
        <v>3.6955909999999998E-3</v>
      </c>
      <c r="AD312">
        <v>8.6764709999999994</v>
      </c>
      <c r="AE312">
        <v>51.032389999999999</v>
      </c>
      <c r="AF312"/>
      <c r="AG312"/>
      <c r="AH312">
        <v>26.83501</v>
      </c>
      <c r="AI312"/>
      <c r="AJ312"/>
      <c r="AK312">
        <v>31.540400000000002</v>
      </c>
      <c r="AL312"/>
      <c r="AM312">
        <v>10.541589999999999</v>
      </c>
      <c r="AN312">
        <v>7.9416180000000001</v>
      </c>
      <c r="AO312"/>
      <c r="AP312">
        <v>2.827102</v>
      </c>
      <c r="AQ312"/>
      <c r="AR312"/>
      <c r="AS312"/>
      <c r="AT312"/>
      <c r="AU312">
        <v>20.107420000000001</v>
      </c>
      <c r="AV312"/>
      <c r="AW312">
        <v>21.383179999999999</v>
      </c>
      <c r="AX312"/>
    </row>
    <row r="313" spans="1:50" x14ac:dyDescent="0.35">
      <c r="A313" s="75">
        <v>27364</v>
      </c>
      <c r="B313">
        <v>29.78979</v>
      </c>
      <c r="C313"/>
      <c r="D313"/>
      <c r="E313">
        <v>23.020489999999999</v>
      </c>
      <c r="F313">
        <v>46.998370000000001</v>
      </c>
      <c r="G313"/>
      <c r="H313"/>
      <c r="I313"/>
      <c r="J313"/>
      <c r="K313"/>
      <c r="L313">
        <v>38.984810000000003</v>
      </c>
      <c r="M313">
        <v>21.15296</v>
      </c>
      <c r="N313"/>
      <c r="O313"/>
      <c r="P313"/>
      <c r="Q313"/>
      <c r="R313">
        <v>18.512689999999999</v>
      </c>
      <c r="S313">
        <v>21.757059999999999</v>
      </c>
      <c r="T313"/>
      <c r="U313">
        <v>23.173629999999999</v>
      </c>
      <c r="V313">
        <v>14.24438</v>
      </c>
      <c r="W313">
        <v>2.3248530000000001</v>
      </c>
      <c r="X313"/>
      <c r="Y313"/>
      <c r="Z313"/>
      <c r="AA313"/>
      <c r="AB313"/>
      <c r="AC313">
        <v>3.94714E-3</v>
      </c>
      <c r="AD313">
        <v>8.7432250000000007</v>
      </c>
      <c r="AE313">
        <v>51.123809999999999</v>
      </c>
      <c r="AF313"/>
      <c r="AG313"/>
      <c r="AH313">
        <v>26.953029999999998</v>
      </c>
      <c r="AI313"/>
      <c r="AJ313"/>
      <c r="AK313">
        <v>31.642199999999999</v>
      </c>
      <c r="AL313"/>
      <c r="AM313">
        <v>10.60435</v>
      </c>
      <c r="AN313">
        <v>8.0071010000000005</v>
      </c>
      <c r="AO313"/>
      <c r="AP313">
        <v>2.8320720000000001</v>
      </c>
      <c r="AQ313"/>
      <c r="AR313"/>
      <c r="AS313"/>
      <c r="AT313"/>
      <c r="AU313">
        <v>20.186689999999999</v>
      </c>
      <c r="AV313"/>
      <c r="AW313">
        <v>21.46574</v>
      </c>
      <c r="AX313"/>
    </row>
    <row r="314" spans="1:50" x14ac:dyDescent="0.35">
      <c r="A314" s="75">
        <v>27395</v>
      </c>
      <c r="B314">
        <v>30.098590000000002</v>
      </c>
      <c r="C314"/>
      <c r="D314"/>
      <c r="E314">
        <v>22.99596</v>
      </c>
      <c r="F314">
        <v>47.251080000000002</v>
      </c>
      <c r="G314"/>
      <c r="H314"/>
      <c r="I314"/>
      <c r="J314"/>
      <c r="K314"/>
      <c r="L314">
        <v>39.324339999999999</v>
      </c>
      <c r="M314">
        <v>21.1494</v>
      </c>
      <c r="N314"/>
      <c r="O314"/>
      <c r="P314"/>
      <c r="Q314"/>
      <c r="R314">
        <v>19.147639999999999</v>
      </c>
      <c r="S314">
        <v>21.977460000000001</v>
      </c>
      <c r="T314"/>
      <c r="U314">
        <v>23.341660000000001</v>
      </c>
      <c r="V314">
        <v>14.43135</v>
      </c>
      <c r="W314">
        <v>2.379302</v>
      </c>
      <c r="X314"/>
      <c r="Y314"/>
      <c r="Z314"/>
      <c r="AA314"/>
      <c r="AB314"/>
      <c r="AC314">
        <v>4.0161329999999999E-3</v>
      </c>
      <c r="AD314">
        <v>8.8644820000000006</v>
      </c>
      <c r="AE314">
        <v>51.74277</v>
      </c>
      <c r="AF314"/>
      <c r="AG314"/>
      <c r="AH314">
        <v>27.147670000000002</v>
      </c>
      <c r="AI314"/>
      <c r="AJ314"/>
      <c r="AK314">
        <v>31.84188</v>
      </c>
      <c r="AL314"/>
      <c r="AM314">
        <v>10.706429999999999</v>
      </c>
      <c r="AN314">
        <v>8.1027489999999993</v>
      </c>
      <c r="AO314"/>
      <c r="AP314">
        <v>3.060816</v>
      </c>
      <c r="AQ314"/>
      <c r="AR314"/>
      <c r="AS314"/>
      <c r="AT314"/>
      <c r="AU314">
        <v>20.06447</v>
      </c>
      <c r="AV314"/>
      <c r="AW314">
        <v>21.548300000000001</v>
      </c>
      <c r="AX314"/>
    </row>
    <row r="315" spans="1:50" x14ac:dyDescent="0.35">
      <c r="A315" s="75">
        <v>27426</v>
      </c>
      <c r="B315">
        <v>30.47485</v>
      </c>
      <c r="C315"/>
      <c r="D315"/>
      <c r="E315">
        <v>23.265599999999999</v>
      </c>
      <c r="F315">
        <v>47.403260000000003</v>
      </c>
      <c r="G315"/>
      <c r="H315"/>
      <c r="I315"/>
      <c r="J315"/>
      <c r="K315"/>
      <c r="L315">
        <v>39.554499999999997</v>
      </c>
      <c r="M315">
        <v>21.226479999999999</v>
      </c>
      <c r="N315"/>
      <c r="O315"/>
      <c r="P315"/>
      <c r="Q315"/>
      <c r="R315">
        <v>19.39057</v>
      </c>
      <c r="S315">
        <v>22.145330000000001</v>
      </c>
      <c r="T315"/>
      <c r="U315">
        <v>23.529779999999999</v>
      </c>
      <c r="V315">
        <v>14.64594</v>
      </c>
      <c r="W315">
        <v>2.3520490000000001</v>
      </c>
      <c r="X315"/>
      <c r="Y315"/>
      <c r="Z315"/>
      <c r="AA315"/>
      <c r="AB315"/>
      <c r="AC315">
        <v>4.0535099999999998E-3</v>
      </c>
      <c r="AD315">
        <v>9.0211220000000001</v>
      </c>
      <c r="AE315">
        <v>51.780549999999998</v>
      </c>
      <c r="AF315"/>
      <c r="AG315"/>
      <c r="AH315">
        <v>27.469760000000001</v>
      </c>
      <c r="AI315"/>
      <c r="AJ315"/>
      <c r="AK315">
        <v>31.969609999999999</v>
      </c>
      <c r="AL315"/>
      <c r="AM315">
        <v>10.78762</v>
      </c>
      <c r="AN315">
        <v>8.1756879999999992</v>
      </c>
      <c r="AO315"/>
      <c r="AP315">
        <v>2.910148</v>
      </c>
      <c r="AQ315"/>
      <c r="AR315"/>
      <c r="AS315"/>
      <c r="AT315"/>
      <c r="AU315">
        <v>20.294409999999999</v>
      </c>
      <c r="AV315"/>
      <c r="AW315">
        <v>21.713419999999999</v>
      </c>
      <c r="AX315"/>
    </row>
    <row r="316" spans="1:50" x14ac:dyDescent="0.35">
      <c r="A316" s="75">
        <v>27454</v>
      </c>
      <c r="B316">
        <v>30.739920000000001</v>
      </c>
      <c r="C316"/>
      <c r="D316"/>
      <c r="E316">
        <v>23.347629999999999</v>
      </c>
      <c r="F316">
        <v>47.71414</v>
      </c>
      <c r="G316"/>
      <c r="H316"/>
      <c r="I316"/>
      <c r="J316"/>
      <c r="K316"/>
      <c r="L316">
        <v>39.757370000000002</v>
      </c>
      <c r="M316">
        <v>21.416730000000001</v>
      </c>
      <c r="N316"/>
      <c r="O316"/>
      <c r="P316"/>
      <c r="Q316"/>
      <c r="R316">
        <v>19.63128</v>
      </c>
      <c r="S316">
        <v>22.327500000000001</v>
      </c>
      <c r="T316"/>
      <c r="U316">
        <v>23.663730000000001</v>
      </c>
      <c r="V316">
        <v>14.87252</v>
      </c>
      <c r="W316">
        <v>2.4669750000000001</v>
      </c>
      <c r="X316"/>
      <c r="Y316"/>
      <c r="Z316"/>
      <c r="AA316"/>
      <c r="AB316"/>
      <c r="AC316">
        <v>4.1526920000000004E-3</v>
      </c>
      <c r="AD316">
        <v>9.0134100000000004</v>
      </c>
      <c r="AE316">
        <v>51.96546</v>
      </c>
      <c r="AF316"/>
      <c r="AG316"/>
      <c r="AH316">
        <v>27.69286</v>
      </c>
      <c r="AI316"/>
      <c r="AJ316"/>
      <c r="AK316">
        <v>32.555259999999997</v>
      </c>
      <c r="AL316"/>
      <c r="AM316">
        <v>10.86598</v>
      </c>
      <c r="AN316">
        <v>8.2561129999999991</v>
      </c>
      <c r="AO316"/>
      <c r="AP316">
        <v>3.0959439999999998</v>
      </c>
      <c r="AQ316"/>
      <c r="AR316"/>
      <c r="AS316"/>
      <c r="AT316"/>
      <c r="AU316">
        <v>20.409099999999999</v>
      </c>
      <c r="AV316"/>
      <c r="AW316">
        <v>21.837260000000001</v>
      </c>
      <c r="AX316"/>
    </row>
    <row r="317" spans="1:50" x14ac:dyDescent="0.35">
      <c r="A317" s="75">
        <v>27485</v>
      </c>
      <c r="B317">
        <v>30.970369999999999</v>
      </c>
      <c r="C317"/>
      <c r="D317"/>
      <c r="E317">
        <v>23.531639999999999</v>
      </c>
      <c r="F317">
        <v>47.855609999999999</v>
      </c>
      <c r="G317"/>
      <c r="H317"/>
      <c r="I317"/>
      <c r="J317"/>
      <c r="K317"/>
      <c r="L317">
        <v>40.047170000000001</v>
      </c>
      <c r="M317">
        <v>21.475359999999998</v>
      </c>
      <c r="N317"/>
      <c r="O317"/>
      <c r="P317"/>
      <c r="Q317"/>
      <c r="R317">
        <v>19.991150000000001</v>
      </c>
      <c r="S317">
        <v>22.540600000000001</v>
      </c>
      <c r="T317"/>
      <c r="U317">
        <v>23.965260000000001</v>
      </c>
      <c r="V317">
        <v>15.489000000000001</v>
      </c>
      <c r="W317">
        <v>2.473039</v>
      </c>
      <c r="X317"/>
      <c r="Y317"/>
      <c r="Z317"/>
      <c r="AA317"/>
      <c r="AB317"/>
      <c r="AC317">
        <v>4.2374939999999996E-3</v>
      </c>
      <c r="AD317">
        <v>9.1412510000000005</v>
      </c>
      <c r="AE317">
        <v>53.151519999999998</v>
      </c>
      <c r="AF317"/>
      <c r="AG317"/>
      <c r="AH317">
        <v>28.031130000000001</v>
      </c>
      <c r="AI317"/>
      <c r="AJ317"/>
      <c r="AK317">
        <v>32.99539</v>
      </c>
      <c r="AL317"/>
      <c r="AM317">
        <v>11.002179999999999</v>
      </c>
      <c r="AN317">
        <v>8.3667470000000002</v>
      </c>
      <c r="AO317"/>
      <c r="AP317">
        <v>2.9977659999999999</v>
      </c>
      <c r="AQ317"/>
      <c r="AR317"/>
      <c r="AS317"/>
      <c r="AT317"/>
      <c r="AU317">
        <v>20.458400000000001</v>
      </c>
      <c r="AV317"/>
      <c r="AW317">
        <v>22.002379999999999</v>
      </c>
      <c r="AX317"/>
    </row>
    <row r="318" spans="1:50" x14ac:dyDescent="0.35">
      <c r="A318" s="75">
        <v>27515</v>
      </c>
      <c r="B318">
        <v>31.080739999999999</v>
      </c>
      <c r="C318"/>
      <c r="D318"/>
      <c r="E318">
        <v>23.793099999999999</v>
      </c>
      <c r="F318">
        <v>48.396059999999999</v>
      </c>
      <c r="G318"/>
      <c r="H318"/>
      <c r="I318"/>
      <c r="J318"/>
      <c r="K318"/>
      <c r="L318">
        <v>40.231229999999996</v>
      </c>
      <c r="M318">
        <v>21.752130000000001</v>
      </c>
      <c r="N318"/>
      <c r="O318"/>
      <c r="P318"/>
      <c r="Q318"/>
      <c r="R318">
        <v>20.217359999999999</v>
      </c>
      <c r="S318">
        <v>22.713049999999999</v>
      </c>
      <c r="T318"/>
      <c r="U318">
        <v>24.187760000000001</v>
      </c>
      <c r="V318">
        <v>16.29626</v>
      </c>
      <c r="W318">
        <v>2.4700250000000001</v>
      </c>
      <c r="X318"/>
      <c r="Y318"/>
      <c r="Z318"/>
      <c r="AA318"/>
      <c r="AB318"/>
      <c r="AC318">
        <v>4.2705620000000003E-3</v>
      </c>
      <c r="AD318">
        <v>9.2274650000000005</v>
      </c>
      <c r="AE318">
        <v>53.582790000000003</v>
      </c>
      <c r="AF318"/>
      <c r="AG318"/>
      <c r="AH318">
        <v>28.198119999999999</v>
      </c>
      <c r="AI318"/>
      <c r="AJ318"/>
      <c r="AK318">
        <v>33.139290000000003</v>
      </c>
      <c r="AL318"/>
      <c r="AM318">
        <v>11.10121</v>
      </c>
      <c r="AN318">
        <v>8.4801739999999999</v>
      </c>
      <c r="AO318"/>
      <c r="AP318">
        <v>3.0369090000000001</v>
      </c>
      <c r="AQ318"/>
      <c r="AR318"/>
      <c r="AS318"/>
      <c r="AT318"/>
      <c r="AU318">
        <v>20.820270000000001</v>
      </c>
      <c r="AV318"/>
      <c r="AW318">
        <v>22.08494</v>
      </c>
      <c r="AX318"/>
    </row>
    <row r="319" spans="1:50" x14ac:dyDescent="0.35">
      <c r="A319" s="75">
        <v>27546</v>
      </c>
      <c r="B319">
        <v>31.027850000000001</v>
      </c>
      <c r="C319"/>
      <c r="D319"/>
      <c r="E319">
        <v>23.950900000000001</v>
      </c>
      <c r="F319">
        <v>48.510590000000001</v>
      </c>
      <c r="G319"/>
      <c r="H319"/>
      <c r="I319"/>
      <c r="J319"/>
      <c r="K319"/>
      <c r="L319">
        <v>40.451160000000002</v>
      </c>
      <c r="M319">
        <v>21.88766</v>
      </c>
      <c r="N319"/>
      <c r="O319"/>
      <c r="P319"/>
      <c r="Q319"/>
      <c r="R319">
        <v>20.317270000000001</v>
      </c>
      <c r="S319">
        <v>22.889399999999998</v>
      </c>
      <c r="T319"/>
      <c r="U319">
        <v>24.325279999999999</v>
      </c>
      <c r="V319">
        <v>16.553940000000001</v>
      </c>
      <c r="W319">
        <v>2.509369</v>
      </c>
      <c r="X319"/>
      <c r="Y319"/>
      <c r="Z319"/>
      <c r="AA319"/>
      <c r="AB319"/>
      <c r="AC319">
        <v>4.3108080000000002E-3</v>
      </c>
      <c r="AD319">
        <v>9.3008310000000005</v>
      </c>
      <c r="AE319">
        <v>53.774349999999998</v>
      </c>
      <c r="AF319"/>
      <c r="AG319"/>
      <c r="AH319">
        <v>28.36178</v>
      </c>
      <c r="AI319"/>
      <c r="AJ319"/>
      <c r="AK319">
        <v>33.156019999999998</v>
      </c>
      <c r="AL319"/>
      <c r="AM319">
        <v>11.17188</v>
      </c>
      <c r="AN319">
        <v>8.5542669999999994</v>
      </c>
      <c r="AO319"/>
      <c r="AP319">
        <v>3.1683180000000002</v>
      </c>
      <c r="AQ319"/>
      <c r="AR319"/>
      <c r="AS319"/>
      <c r="AT319"/>
      <c r="AU319">
        <v>20.938279999999999</v>
      </c>
      <c r="AV319"/>
      <c r="AW319">
        <v>22.1675</v>
      </c>
      <c r="AX319"/>
    </row>
    <row r="320" spans="1:50" x14ac:dyDescent="0.35">
      <c r="A320" s="75">
        <v>27576</v>
      </c>
      <c r="B320">
        <v>31.08643</v>
      </c>
      <c r="C320"/>
      <c r="D320"/>
      <c r="E320">
        <v>24.154430000000001</v>
      </c>
      <c r="F320">
        <v>48.443170000000002</v>
      </c>
      <c r="G320"/>
      <c r="H320"/>
      <c r="I320"/>
      <c r="J320"/>
      <c r="K320"/>
      <c r="L320">
        <v>40.451309999999999</v>
      </c>
      <c r="M320">
        <v>21.950489999999999</v>
      </c>
      <c r="N320"/>
      <c r="O320"/>
      <c r="P320"/>
      <c r="Q320"/>
      <c r="R320">
        <v>20.666930000000001</v>
      </c>
      <c r="S320">
        <v>23.076789999999999</v>
      </c>
      <c r="T320"/>
      <c r="U320">
        <v>24.45656</v>
      </c>
      <c r="V320">
        <v>16.746860000000002</v>
      </c>
      <c r="W320">
        <v>2.516537</v>
      </c>
      <c r="X320"/>
      <c r="Y320"/>
      <c r="Z320"/>
      <c r="AA320"/>
      <c r="AB320"/>
      <c r="AC320">
        <v>4.3568039999999997E-3</v>
      </c>
      <c r="AD320">
        <v>9.3374179999999996</v>
      </c>
      <c r="AE320">
        <v>53.986159999999998</v>
      </c>
      <c r="AF320"/>
      <c r="AG320"/>
      <c r="AH320">
        <v>28.557939999999999</v>
      </c>
      <c r="AI320"/>
      <c r="AJ320"/>
      <c r="AK320">
        <v>33.370780000000003</v>
      </c>
      <c r="AL320"/>
      <c r="AM320">
        <v>11.23746</v>
      </c>
      <c r="AN320">
        <v>8.6032919999999997</v>
      </c>
      <c r="AO320"/>
      <c r="AP320">
        <v>3.2123200000000001</v>
      </c>
      <c r="AQ320"/>
      <c r="AR320"/>
      <c r="AS320"/>
      <c r="AT320"/>
      <c r="AU320">
        <v>21.075949999999999</v>
      </c>
      <c r="AV320"/>
      <c r="AW320">
        <v>22.291340000000002</v>
      </c>
      <c r="AX320"/>
    </row>
    <row r="321" spans="1:50" x14ac:dyDescent="0.35">
      <c r="A321" s="75">
        <v>27607</v>
      </c>
      <c r="B321">
        <v>31.289159999999999</v>
      </c>
      <c r="C321"/>
      <c r="D321"/>
      <c r="E321">
        <v>24.399539999999998</v>
      </c>
      <c r="F321">
        <v>48.570720000000001</v>
      </c>
      <c r="G321"/>
      <c r="H321"/>
      <c r="I321"/>
      <c r="J321"/>
      <c r="K321"/>
      <c r="L321">
        <v>40.432789999999997</v>
      </c>
      <c r="M321">
        <v>21.993310000000001</v>
      </c>
      <c r="N321"/>
      <c r="O321"/>
      <c r="P321"/>
      <c r="Q321"/>
      <c r="R321">
        <v>20.868210000000001</v>
      </c>
      <c r="S321">
        <v>23.221520000000002</v>
      </c>
      <c r="T321"/>
      <c r="U321">
        <v>24.53248</v>
      </c>
      <c r="V321">
        <v>16.889810000000001</v>
      </c>
      <c r="W321">
        <v>2.4550130000000001</v>
      </c>
      <c r="X321"/>
      <c r="Y321"/>
      <c r="Z321"/>
      <c r="AA321"/>
      <c r="AB321"/>
      <c r="AC321">
        <v>4.3812419999999996E-3</v>
      </c>
      <c r="AD321">
        <v>9.3999469999999992</v>
      </c>
      <c r="AE321">
        <v>53.671469999999999</v>
      </c>
      <c r="AF321"/>
      <c r="AG321"/>
      <c r="AH321">
        <v>28.65521</v>
      </c>
      <c r="AI321"/>
      <c r="AJ321"/>
      <c r="AK321">
        <v>33.755980000000001</v>
      </c>
      <c r="AL321"/>
      <c r="AM321">
        <v>11.27675</v>
      </c>
      <c r="AN321">
        <v>8.6381320000000006</v>
      </c>
      <c r="AO321"/>
      <c r="AP321">
        <v>3.059196</v>
      </c>
      <c r="AQ321"/>
      <c r="AR321"/>
      <c r="AS321"/>
      <c r="AT321"/>
      <c r="AU321">
        <v>21.31634</v>
      </c>
      <c r="AV321"/>
      <c r="AW321">
        <v>22.373909999999999</v>
      </c>
      <c r="AX321"/>
    </row>
    <row r="322" spans="1:50" x14ac:dyDescent="0.35">
      <c r="A322" s="75">
        <v>27638</v>
      </c>
      <c r="B322">
        <v>31.496700000000001</v>
      </c>
      <c r="C322"/>
      <c r="D322"/>
      <c r="E322">
        <v>24.506419999999999</v>
      </c>
      <c r="F322">
        <v>48.771180000000001</v>
      </c>
      <c r="G322"/>
      <c r="H322"/>
      <c r="I322"/>
      <c r="J322"/>
      <c r="K322"/>
      <c r="L322">
        <v>40.572940000000003</v>
      </c>
      <c r="M322">
        <v>22.184200000000001</v>
      </c>
      <c r="N322"/>
      <c r="O322"/>
      <c r="P322"/>
      <c r="Q322"/>
      <c r="R322">
        <v>21.135480000000001</v>
      </c>
      <c r="S322">
        <v>23.40493</v>
      </c>
      <c r="T322"/>
      <c r="U322">
        <v>24.740559999999999</v>
      </c>
      <c r="V322">
        <v>17.06221</v>
      </c>
      <c r="W322">
        <v>2.5940850000000002</v>
      </c>
      <c r="X322"/>
      <c r="Y322"/>
      <c r="Z322"/>
      <c r="AA322"/>
      <c r="AB322"/>
      <c r="AC322">
        <v>4.4617349999999997E-3</v>
      </c>
      <c r="AD322">
        <v>9.4678400000000007</v>
      </c>
      <c r="AE322">
        <v>54.680219999999998</v>
      </c>
      <c r="AF322"/>
      <c r="AG322"/>
      <c r="AH322">
        <v>28.809159999999999</v>
      </c>
      <c r="AI322"/>
      <c r="AJ322"/>
      <c r="AK322">
        <v>34.159730000000003</v>
      </c>
      <c r="AL322"/>
      <c r="AM322">
        <v>11.383850000000001</v>
      </c>
      <c r="AN322">
        <v>8.7204829999999998</v>
      </c>
      <c r="AO322"/>
      <c r="AP322">
        <v>3.275576</v>
      </c>
      <c r="AQ322"/>
      <c r="AR322"/>
      <c r="AS322"/>
      <c r="AT322"/>
      <c r="AU322">
        <v>21.377739999999999</v>
      </c>
      <c r="AV322"/>
      <c r="AW322">
        <v>22.53903</v>
      </c>
      <c r="AX322"/>
    </row>
    <row r="323" spans="1:50" x14ac:dyDescent="0.35">
      <c r="A323" s="75">
        <v>27668</v>
      </c>
      <c r="B323">
        <v>31.662459999999999</v>
      </c>
      <c r="C323"/>
      <c r="D323"/>
      <c r="E323">
        <v>24.698609999999999</v>
      </c>
      <c r="F323">
        <v>48.817999999999998</v>
      </c>
      <c r="G323"/>
      <c r="H323"/>
      <c r="I323"/>
      <c r="J323"/>
      <c r="K323"/>
      <c r="L323">
        <v>40.603720000000003</v>
      </c>
      <c r="M323">
        <v>21.628019999999999</v>
      </c>
      <c r="N323"/>
      <c r="O323"/>
      <c r="P323"/>
      <c r="Q323"/>
      <c r="R323">
        <v>21.532579999999999</v>
      </c>
      <c r="S323">
        <v>23.587779999999999</v>
      </c>
      <c r="T323"/>
      <c r="U323">
        <v>24.913350000000001</v>
      </c>
      <c r="V323">
        <v>17.339040000000001</v>
      </c>
      <c r="W323">
        <v>2.6475230000000001</v>
      </c>
      <c r="X323"/>
      <c r="Y323"/>
      <c r="Z323"/>
      <c r="AA323"/>
      <c r="AB323"/>
      <c r="AC323">
        <v>4.7161529999999998E-3</v>
      </c>
      <c r="AD323">
        <v>9.5777009999999994</v>
      </c>
      <c r="AE323">
        <v>55.148060000000001</v>
      </c>
      <c r="AF323"/>
      <c r="AG323"/>
      <c r="AH323">
        <v>29.240680000000001</v>
      </c>
      <c r="AI323"/>
      <c r="AJ323"/>
      <c r="AK323">
        <v>34.431139999999999</v>
      </c>
      <c r="AL323"/>
      <c r="AM323">
        <v>11.479900000000001</v>
      </c>
      <c r="AN323">
        <v>8.7930279999999996</v>
      </c>
      <c r="AO323"/>
      <c r="AP323">
        <v>3.244262</v>
      </c>
      <c r="AQ323"/>
      <c r="AR323"/>
      <c r="AS323"/>
      <c r="AT323"/>
      <c r="AU323">
        <v>21.557829999999999</v>
      </c>
      <c r="AV323"/>
      <c r="AW323">
        <v>22.662870000000002</v>
      </c>
      <c r="AX323"/>
    </row>
    <row r="324" spans="1:50" x14ac:dyDescent="0.35">
      <c r="A324" s="75">
        <v>27699</v>
      </c>
      <c r="B324">
        <v>31.756219999999999</v>
      </c>
      <c r="C324"/>
      <c r="D324"/>
      <c r="E324">
        <v>24.947970000000002</v>
      </c>
      <c r="F324">
        <v>49.038359999999997</v>
      </c>
      <c r="G324"/>
      <c r="H324"/>
      <c r="I324"/>
      <c r="J324"/>
      <c r="K324"/>
      <c r="L324">
        <v>40.775970000000001</v>
      </c>
      <c r="M324">
        <v>22.013860000000001</v>
      </c>
      <c r="N324"/>
      <c r="O324"/>
      <c r="P324"/>
      <c r="Q324"/>
      <c r="R324">
        <v>21.75141</v>
      </c>
      <c r="S324">
        <v>23.7517</v>
      </c>
      <c r="T324"/>
      <c r="U324">
        <v>25.087630000000001</v>
      </c>
      <c r="V324">
        <v>17.50001</v>
      </c>
      <c r="W324">
        <v>2.681794</v>
      </c>
      <c r="X324"/>
      <c r="Y324"/>
      <c r="Z324"/>
      <c r="AA324">
        <v>13.7499</v>
      </c>
      <c r="AB324"/>
      <c r="AC324">
        <v>4.861331E-3</v>
      </c>
      <c r="AD324">
        <v>9.6970209999999994</v>
      </c>
      <c r="AE324">
        <v>55.288049999999998</v>
      </c>
      <c r="AF324"/>
      <c r="AG324"/>
      <c r="AH324">
        <v>29.43826</v>
      </c>
      <c r="AI324"/>
      <c r="AJ324"/>
      <c r="AK324">
        <v>34.503869999999999</v>
      </c>
      <c r="AL324"/>
      <c r="AM324">
        <v>11.557869999999999</v>
      </c>
      <c r="AN324">
        <v>8.8604789999999998</v>
      </c>
      <c r="AO324"/>
      <c r="AP324">
        <v>3.174836</v>
      </c>
      <c r="AQ324"/>
      <c r="AR324"/>
      <c r="AS324"/>
      <c r="AT324"/>
      <c r="AU324">
        <v>21.770910000000001</v>
      </c>
      <c r="AV324"/>
      <c r="AW324">
        <v>22.82799</v>
      </c>
      <c r="AX324"/>
    </row>
    <row r="325" spans="1:50" x14ac:dyDescent="0.35">
      <c r="A325" s="75">
        <v>27729</v>
      </c>
      <c r="B325">
        <v>31.83212</v>
      </c>
      <c r="C325"/>
      <c r="D325"/>
      <c r="E325">
        <v>25.063030000000001</v>
      </c>
      <c r="F325">
        <v>48.995199999999997</v>
      </c>
      <c r="G325"/>
      <c r="H325"/>
      <c r="I325"/>
      <c r="J325"/>
      <c r="K325"/>
      <c r="L325">
        <v>40.886670000000002</v>
      </c>
      <c r="M325">
        <v>22.03876</v>
      </c>
      <c r="N325"/>
      <c r="O325"/>
      <c r="P325"/>
      <c r="Q325"/>
      <c r="R325">
        <v>21.893219999999999</v>
      </c>
      <c r="S325">
        <v>23.854299999999999</v>
      </c>
      <c r="T325"/>
      <c r="U325">
        <v>25.18281</v>
      </c>
      <c r="V325">
        <v>17.60718</v>
      </c>
      <c r="W325">
        <v>2.7120039999999999</v>
      </c>
      <c r="X325"/>
      <c r="Y325"/>
      <c r="Z325"/>
      <c r="AA325">
        <v>13.7499</v>
      </c>
      <c r="AB325"/>
      <c r="AC325">
        <v>5.1373169999999998E-3</v>
      </c>
      <c r="AD325">
        <v>9.7480340000000005</v>
      </c>
      <c r="AE325">
        <v>55.418750000000003</v>
      </c>
      <c r="AF325"/>
      <c r="AG325"/>
      <c r="AH325">
        <v>29.614100000000001</v>
      </c>
      <c r="AI325"/>
      <c r="AJ325"/>
      <c r="AK325">
        <v>34.56326</v>
      </c>
      <c r="AL325"/>
      <c r="AM325">
        <v>11.61835</v>
      </c>
      <c r="AN325">
        <v>8.9232849999999999</v>
      </c>
      <c r="AO325"/>
      <c r="AP325">
        <v>3.4286720000000002</v>
      </c>
      <c r="AQ325"/>
      <c r="AR325"/>
      <c r="AS325"/>
      <c r="AT325"/>
      <c r="AU325">
        <v>21.85493</v>
      </c>
      <c r="AV325"/>
      <c r="AW325">
        <v>22.910550000000001</v>
      </c>
      <c r="AX325"/>
    </row>
    <row r="326" spans="1:50" x14ac:dyDescent="0.35">
      <c r="A326" s="75">
        <v>27760</v>
      </c>
      <c r="B326">
        <v>33.337679999999999</v>
      </c>
      <c r="C326"/>
      <c r="D326"/>
      <c r="E326">
        <v>25.145060000000001</v>
      </c>
      <c r="F326">
        <v>49.295850000000002</v>
      </c>
      <c r="G326"/>
      <c r="H326"/>
      <c r="I326"/>
      <c r="J326"/>
      <c r="K326"/>
      <c r="L326">
        <v>41.185070000000003</v>
      </c>
      <c r="M326">
        <v>22.12425</v>
      </c>
      <c r="N326"/>
      <c r="O326">
        <v>8.5252990000000004</v>
      </c>
      <c r="P326"/>
      <c r="Q326"/>
      <c r="R326">
        <v>22.55958</v>
      </c>
      <c r="S326">
        <v>24.155899999999999</v>
      </c>
      <c r="T326"/>
      <c r="U326">
        <v>25.390160000000002</v>
      </c>
      <c r="V326">
        <v>17.761690000000002</v>
      </c>
      <c r="W326">
        <v>2.6987390000000002</v>
      </c>
      <c r="X326"/>
      <c r="Y326"/>
      <c r="Z326"/>
      <c r="AA326">
        <v>14.8248</v>
      </c>
      <c r="AB326"/>
      <c r="AC326">
        <v>5.0079479999999999E-3</v>
      </c>
      <c r="AD326">
        <v>9.9501830000000009</v>
      </c>
      <c r="AE326">
        <v>56.391939999999998</v>
      </c>
      <c r="AF326"/>
      <c r="AG326"/>
      <c r="AH326">
        <v>30.046140000000001</v>
      </c>
      <c r="AI326"/>
      <c r="AJ326"/>
      <c r="AK326">
        <v>34.836599999999997</v>
      </c>
      <c r="AL326"/>
      <c r="AM326">
        <v>11.72087</v>
      </c>
      <c r="AN326">
        <v>9.005903</v>
      </c>
      <c r="AO326"/>
      <c r="AP326">
        <v>3.6276670000000002</v>
      </c>
      <c r="AQ326"/>
      <c r="AR326"/>
      <c r="AS326"/>
      <c r="AT326"/>
      <c r="AU326">
        <v>22.079609999999999</v>
      </c>
      <c r="AV326"/>
      <c r="AW326">
        <v>22.993110000000001</v>
      </c>
      <c r="AX326"/>
    </row>
    <row r="327" spans="1:50" x14ac:dyDescent="0.35">
      <c r="A327" s="75">
        <v>27791</v>
      </c>
      <c r="B327">
        <v>33.68732</v>
      </c>
      <c r="C327"/>
      <c r="D327"/>
      <c r="E327">
        <v>25.358170000000001</v>
      </c>
      <c r="F327">
        <v>49.3095</v>
      </c>
      <c r="G327"/>
      <c r="H327"/>
      <c r="I327"/>
      <c r="J327"/>
      <c r="K327"/>
      <c r="L327">
        <v>41.418570000000003</v>
      </c>
      <c r="M327">
        <v>22.23518</v>
      </c>
      <c r="N327"/>
      <c r="O327">
        <v>8.6446050000000003</v>
      </c>
      <c r="P327"/>
      <c r="Q327"/>
      <c r="R327">
        <v>22.890329999999999</v>
      </c>
      <c r="S327">
        <v>24.262799999999999</v>
      </c>
      <c r="T327"/>
      <c r="U327">
        <v>25.576160000000002</v>
      </c>
      <c r="V327">
        <v>17.9801</v>
      </c>
      <c r="W327">
        <v>2.6700550000000001</v>
      </c>
      <c r="X327"/>
      <c r="Y327"/>
      <c r="Z327"/>
      <c r="AA327">
        <v>14.8248</v>
      </c>
      <c r="AB327"/>
      <c r="AC327">
        <v>5.0410150000000003E-3</v>
      </c>
      <c r="AD327">
        <v>10.174340000000001</v>
      </c>
      <c r="AE327">
        <v>56.70111</v>
      </c>
      <c r="AF327"/>
      <c r="AG327"/>
      <c r="AH327">
        <v>30.2209</v>
      </c>
      <c r="AI327"/>
      <c r="AJ327"/>
      <c r="AK327">
        <v>35.047739999999997</v>
      </c>
      <c r="AL327"/>
      <c r="AM327">
        <v>11.807460000000001</v>
      </c>
      <c r="AN327">
        <v>9.0833209999999998</v>
      </c>
      <c r="AO327"/>
      <c r="AP327">
        <v>3.464159</v>
      </c>
      <c r="AQ327"/>
      <c r="AR327"/>
      <c r="AS327"/>
      <c r="AT327"/>
      <c r="AU327">
        <v>22.25178</v>
      </c>
      <c r="AV327"/>
      <c r="AW327">
        <v>23.116949999999999</v>
      </c>
      <c r="AX327"/>
    </row>
    <row r="328" spans="1:50" x14ac:dyDescent="0.35">
      <c r="A328" s="75">
        <v>27820</v>
      </c>
      <c r="B328">
        <v>33.879109999999997</v>
      </c>
      <c r="C328"/>
      <c r="D328"/>
      <c r="E328">
        <v>25.48958</v>
      </c>
      <c r="F328">
        <v>49.245159999999998</v>
      </c>
      <c r="G328"/>
      <c r="H328"/>
      <c r="I328"/>
      <c r="J328"/>
      <c r="K328"/>
      <c r="L328">
        <v>41.580460000000002</v>
      </c>
      <c r="M328">
        <v>23.16133</v>
      </c>
      <c r="N328"/>
      <c r="O328">
        <v>8.8544699999999992</v>
      </c>
      <c r="P328"/>
      <c r="Q328"/>
      <c r="R328">
        <v>23.004280000000001</v>
      </c>
      <c r="S328">
        <v>24.402979999999999</v>
      </c>
      <c r="T328"/>
      <c r="U328">
        <v>25.747430000000001</v>
      </c>
      <c r="V328">
        <v>18.073910000000001</v>
      </c>
      <c r="W328">
        <v>2.792475</v>
      </c>
      <c r="X328"/>
      <c r="Y328"/>
      <c r="Z328"/>
      <c r="AA328">
        <v>14.8248</v>
      </c>
      <c r="AB328"/>
      <c r="AC328">
        <v>5.1531260000000001E-3</v>
      </c>
      <c r="AD328">
        <v>10.3269</v>
      </c>
      <c r="AE328">
        <v>56.959229999999998</v>
      </c>
      <c r="AF328"/>
      <c r="AG328"/>
      <c r="AH328">
        <v>30.302160000000001</v>
      </c>
      <c r="AI328"/>
      <c r="AJ328"/>
      <c r="AK328">
        <v>35.228589999999997</v>
      </c>
      <c r="AL328"/>
      <c r="AM328">
        <v>11.901809999999999</v>
      </c>
      <c r="AN328">
        <v>9.1701200000000007</v>
      </c>
      <c r="AO328"/>
      <c r="AP328">
        <v>3.566249</v>
      </c>
      <c r="AQ328"/>
      <c r="AR328"/>
      <c r="AS328"/>
      <c r="AT328"/>
      <c r="AU328">
        <v>22.422740000000001</v>
      </c>
      <c r="AV328"/>
      <c r="AW328">
        <v>23.282070000000001</v>
      </c>
      <c r="AX328"/>
    </row>
    <row r="329" spans="1:50" x14ac:dyDescent="0.35">
      <c r="A329" s="75">
        <v>27851</v>
      </c>
      <c r="B329">
        <v>33.839460000000003</v>
      </c>
      <c r="C329"/>
      <c r="D329"/>
      <c r="E329">
        <v>25.61674</v>
      </c>
      <c r="F329">
        <v>49.248660000000001</v>
      </c>
      <c r="G329"/>
      <c r="H329"/>
      <c r="I329"/>
      <c r="J329"/>
      <c r="K329"/>
      <c r="L329">
        <v>41.723680000000002</v>
      </c>
      <c r="M329">
        <v>23.248419999999999</v>
      </c>
      <c r="N329"/>
      <c r="O329">
        <v>9.1045429999999996</v>
      </c>
      <c r="P329"/>
      <c r="Q329"/>
      <c r="R329">
        <v>23.134689999999999</v>
      </c>
      <c r="S329">
        <v>24.62819</v>
      </c>
      <c r="T329"/>
      <c r="U329">
        <v>26.003150000000002</v>
      </c>
      <c r="V329">
        <v>18.413640000000001</v>
      </c>
      <c r="W329">
        <v>2.7983419999999999</v>
      </c>
      <c r="X329"/>
      <c r="Y329"/>
      <c r="Z329"/>
      <c r="AA329">
        <v>15.708159999999999</v>
      </c>
      <c r="AB329"/>
      <c r="AC329">
        <v>5.4909269999999996E-3</v>
      </c>
      <c r="AD329">
        <v>10.52971</v>
      </c>
      <c r="AE329">
        <v>58.330620000000003</v>
      </c>
      <c r="AF329"/>
      <c r="AG329"/>
      <c r="AH329">
        <v>30.750080000000001</v>
      </c>
      <c r="AI329"/>
      <c r="AJ329"/>
      <c r="AK329">
        <v>36.089950000000002</v>
      </c>
      <c r="AL329"/>
      <c r="AM329">
        <v>12.018980000000001</v>
      </c>
      <c r="AN329">
        <v>9.2596640000000008</v>
      </c>
      <c r="AO329"/>
      <c r="AP329">
        <v>3.2282350000000002</v>
      </c>
      <c r="AQ329"/>
      <c r="AR329"/>
      <c r="AS329"/>
      <c r="AT329"/>
      <c r="AU329">
        <v>22.597519999999999</v>
      </c>
      <c r="AV329"/>
      <c r="AW329">
        <v>23.405909999999999</v>
      </c>
      <c r="AX329"/>
    </row>
    <row r="330" spans="1:50" x14ac:dyDescent="0.35">
      <c r="A330" s="75">
        <v>27881</v>
      </c>
      <c r="B330">
        <v>33.94556</v>
      </c>
      <c r="C330"/>
      <c r="D330"/>
      <c r="E330">
        <v>25.75104</v>
      </c>
      <c r="F330">
        <v>49.254939999999998</v>
      </c>
      <c r="G330"/>
      <c r="H330"/>
      <c r="I330"/>
      <c r="J330"/>
      <c r="K330"/>
      <c r="L330">
        <v>41.798650000000002</v>
      </c>
      <c r="M330">
        <v>23.511489999999998</v>
      </c>
      <c r="N330"/>
      <c r="O330">
        <v>9.6804889999999997</v>
      </c>
      <c r="P330"/>
      <c r="Q330"/>
      <c r="R330">
        <v>23.119610000000002</v>
      </c>
      <c r="S330">
        <v>24.782820000000001</v>
      </c>
      <c r="T330"/>
      <c r="U330">
        <v>26.18242</v>
      </c>
      <c r="V330">
        <v>18.59864</v>
      </c>
      <c r="W330">
        <v>2.820522</v>
      </c>
      <c r="X330"/>
      <c r="Y330"/>
      <c r="Z330"/>
      <c r="AA330">
        <v>15.708159999999999</v>
      </c>
      <c r="AB330"/>
      <c r="AC330">
        <v>5.6087860000000002E-3</v>
      </c>
      <c r="AD330">
        <v>10.758179999999999</v>
      </c>
      <c r="AE330">
        <v>58.76728</v>
      </c>
      <c r="AF330"/>
      <c r="AG330"/>
      <c r="AH330">
        <v>30.978280000000002</v>
      </c>
      <c r="AI330"/>
      <c r="AJ330"/>
      <c r="AK330">
        <v>36.238259999999997</v>
      </c>
      <c r="AL330"/>
      <c r="AM330">
        <v>12.114380000000001</v>
      </c>
      <c r="AN330">
        <v>9.3606929999999995</v>
      </c>
      <c r="AO330"/>
      <c r="AP330">
        <v>3.1028030000000002</v>
      </c>
      <c r="AQ330"/>
      <c r="AR330"/>
      <c r="AS330"/>
      <c r="AT330"/>
      <c r="AU330">
        <v>22.81964</v>
      </c>
      <c r="AV330"/>
      <c r="AW330">
        <v>23.52975</v>
      </c>
      <c r="AX330"/>
    </row>
    <row r="331" spans="1:50" x14ac:dyDescent="0.35">
      <c r="A331" s="75">
        <v>27912</v>
      </c>
      <c r="B331">
        <v>34.241500000000002</v>
      </c>
      <c r="C331">
        <v>30.245290000000001</v>
      </c>
      <c r="D331"/>
      <c r="E331">
        <v>25.926870000000001</v>
      </c>
      <c r="F331">
        <v>49.297319999999999</v>
      </c>
      <c r="G331"/>
      <c r="H331"/>
      <c r="I331"/>
      <c r="J331"/>
      <c r="K331"/>
      <c r="L331">
        <v>41.866909999999997</v>
      </c>
      <c r="M331">
        <v>23.534680000000002</v>
      </c>
      <c r="N331"/>
      <c r="O331">
        <v>9.6146700000000003</v>
      </c>
      <c r="P331"/>
      <c r="Q331"/>
      <c r="R331">
        <v>23.184760000000001</v>
      </c>
      <c r="S331">
        <v>24.877870000000001</v>
      </c>
      <c r="T331"/>
      <c r="U331">
        <v>26.286269999999998</v>
      </c>
      <c r="V331">
        <v>18.70852</v>
      </c>
      <c r="W331">
        <v>2.867928</v>
      </c>
      <c r="X331"/>
      <c r="Y331"/>
      <c r="Z331"/>
      <c r="AA331">
        <v>15.708159999999999</v>
      </c>
      <c r="AB331"/>
      <c r="AC331">
        <v>5.6950389999999998E-3</v>
      </c>
      <c r="AD331">
        <v>10.81775</v>
      </c>
      <c r="AE331">
        <v>59.054250000000003</v>
      </c>
      <c r="AF331"/>
      <c r="AG331"/>
      <c r="AH331">
        <v>31.055890000000002</v>
      </c>
      <c r="AI331"/>
      <c r="AJ331"/>
      <c r="AK331">
        <v>36.232570000000003</v>
      </c>
      <c r="AL331"/>
      <c r="AM331">
        <v>12.18347</v>
      </c>
      <c r="AN331">
        <v>9.4360520000000001</v>
      </c>
      <c r="AO331"/>
      <c r="AP331">
        <v>3.465862</v>
      </c>
      <c r="AQ331"/>
      <c r="AR331"/>
      <c r="AS331"/>
      <c r="AT331"/>
      <c r="AU331">
        <v>22.993690000000001</v>
      </c>
      <c r="AV331"/>
      <c r="AW331">
        <v>23.612310000000001</v>
      </c>
      <c r="AX331"/>
    </row>
    <row r="332" spans="1:50" x14ac:dyDescent="0.35">
      <c r="A332" s="75">
        <v>27942</v>
      </c>
      <c r="B332">
        <v>34.28557</v>
      </c>
      <c r="C332">
        <v>30.584250000000001</v>
      </c>
      <c r="D332"/>
      <c r="E332">
        <v>26.119060000000001</v>
      </c>
      <c r="F332">
        <v>49.34469</v>
      </c>
      <c r="G332"/>
      <c r="H332"/>
      <c r="I332"/>
      <c r="J332"/>
      <c r="K332"/>
      <c r="L332">
        <v>41.877270000000003</v>
      </c>
      <c r="M332">
        <v>23.537849999999999</v>
      </c>
      <c r="N332"/>
      <c r="O332">
        <v>9.6834849999999992</v>
      </c>
      <c r="P332"/>
      <c r="Q332"/>
      <c r="R332">
        <v>23.494779999999999</v>
      </c>
      <c r="S332">
        <v>25.155629999999999</v>
      </c>
      <c r="T332"/>
      <c r="U332">
        <v>26.446999999999999</v>
      </c>
      <c r="V332">
        <v>18.859059999999999</v>
      </c>
      <c r="W332">
        <v>2.82918</v>
      </c>
      <c r="X332"/>
      <c r="Y332"/>
      <c r="Z332"/>
      <c r="AA332">
        <v>16.04036</v>
      </c>
      <c r="AB332"/>
      <c r="AC332">
        <v>6.0141409999999998E-3</v>
      </c>
      <c r="AD332">
        <v>10.882400000000001</v>
      </c>
      <c r="AE332">
        <v>59.290950000000002</v>
      </c>
      <c r="AF332"/>
      <c r="AG332"/>
      <c r="AH332">
        <v>31.28049</v>
      </c>
      <c r="AI332"/>
      <c r="AJ332"/>
      <c r="AK332">
        <v>36.049979999999998</v>
      </c>
      <c r="AL332"/>
      <c r="AM332">
        <v>12.27129</v>
      </c>
      <c r="AN332">
        <v>9.5006740000000001</v>
      </c>
      <c r="AO332"/>
      <c r="AP332">
        <v>3.9202979999999998</v>
      </c>
      <c r="AQ332"/>
      <c r="AR332"/>
      <c r="AS332"/>
      <c r="AT332"/>
      <c r="AU332">
        <v>23.017710000000001</v>
      </c>
      <c r="AV332"/>
      <c r="AW332">
        <v>23.777429999999999</v>
      </c>
      <c r="AX332"/>
    </row>
    <row r="333" spans="1:50" x14ac:dyDescent="0.35">
      <c r="A333" s="75">
        <v>27973</v>
      </c>
      <c r="B333">
        <v>34.581330000000001</v>
      </c>
      <c r="C333">
        <v>30.699310000000001</v>
      </c>
      <c r="D333"/>
      <c r="E333">
        <v>26.15634</v>
      </c>
      <c r="F333">
        <v>49.45487</v>
      </c>
      <c r="G333"/>
      <c r="H333"/>
      <c r="I333"/>
      <c r="J333"/>
      <c r="K333"/>
      <c r="L333">
        <v>41.974400000000003</v>
      </c>
      <c r="M333">
        <v>23.644490000000001</v>
      </c>
      <c r="N333"/>
      <c r="O333">
        <v>9.7673430000000003</v>
      </c>
      <c r="P333"/>
      <c r="Q333"/>
      <c r="R333">
        <v>23.695419999999999</v>
      </c>
      <c r="S333">
        <v>25.312999999999999</v>
      </c>
      <c r="T333"/>
      <c r="U333">
        <v>26.554939999999998</v>
      </c>
      <c r="V333">
        <v>19.04148</v>
      </c>
      <c r="W333">
        <v>2.780697</v>
      </c>
      <c r="X333"/>
      <c r="Y333"/>
      <c r="Z333"/>
      <c r="AA333">
        <v>16.04036</v>
      </c>
      <c r="AB333"/>
      <c r="AC333">
        <v>6.0701970000000003E-3</v>
      </c>
      <c r="AD333">
        <v>11.00733</v>
      </c>
      <c r="AE333">
        <v>58.900410000000001</v>
      </c>
      <c r="AF333"/>
      <c r="AG333"/>
      <c r="AH333">
        <v>31.519919999999999</v>
      </c>
      <c r="AI333"/>
      <c r="AJ333"/>
      <c r="AK333">
        <v>36.284179999999999</v>
      </c>
      <c r="AL333"/>
      <c r="AM333">
        <v>12.32926</v>
      </c>
      <c r="AN333">
        <v>9.5640020000000003</v>
      </c>
      <c r="AO333"/>
      <c r="AP333">
        <v>3.9273120000000001</v>
      </c>
      <c r="AQ333"/>
      <c r="AR333"/>
      <c r="AS333"/>
      <c r="AT333"/>
      <c r="AU333">
        <v>23.139500000000002</v>
      </c>
      <c r="AV333"/>
      <c r="AW333">
        <v>23.90127</v>
      </c>
      <c r="AX333"/>
    </row>
    <row r="334" spans="1:50" x14ac:dyDescent="0.35">
      <c r="A334" s="75">
        <v>28004</v>
      </c>
      <c r="B334">
        <v>34.662379999999999</v>
      </c>
      <c r="C334">
        <v>30.878170000000001</v>
      </c>
      <c r="D334"/>
      <c r="E334">
        <v>26.304040000000001</v>
      </c>
      <c r="F334">
        <v>49.417400000000001</v>
      </c>
      <c r="G334"/>
      <c r="H334"/>
      <c r="I334"/>
      <c r="J334"/>
      <c r="K334"/>
      <c r="L334">
        <v>42.083640000000003</v>
      </c>
      <c r="M334">
        <v>24.180319999999998</v>
      </c>
      <c r="N334"/>
      <c r="O334">
        <v>9.9573140000000002</v>
      </c>
      <c r="P334"/>
      <c r="Q334"/>
      <c r="R334">
        <v>23.888629999999999</v>
      </c>
      <c r="S334">
        <v>25.561119999999999</v>
      </c>
      <c r="T334"/>
      <c r="U334">
        <v>26.791070000000001</v>
      </c>
      <c r="V334">
        <v>19.198799999999999</v>
      </c>
      <c r="W334">
        <v>2.9092099999999999</v>
      </c>
      <c r="X334"/>
      <c r="Y334"/>
      <c r="Z334"/>
      <c r="AA334">
        <v>16.04036</v>
      </c>
      <c r="AB334"/>
      <c r="AC334">
        <v>6.1923860000000002E-3</v>
      </c>
      <c r="AD334">
        <v>11.170389999999999</v>
      </c>
      <c r="AE334">
        <v>60.024909999999998</v>
      </c>
      <c r="AF334"/>
      <c r="AG334"/>
      <c r="AH334">
        <v>31.565670000000001</v>
      </c>
      <c r="AI334"/>
      <c r="AJ334"/>
      <c r="AK334">
        <v>36.669199999999996</v>
      </c>
      <c r="AL334"/>
      <c r="AM334">
        <v>12.46022</v>
      </c>
      <c r="AN334">
        <v>9.6629570000000005</v>
      </c>
      <c r="AO334"/>
      <c r="AP334">
        <v>4.093121</v>
      </c>
      <c r="AQ334"/>
      <c r="AR334"/>
      <c r="AS334"/>
      <c r="AT334"/>
      <c r="AU334">
        <v>23.214919999999999</v>
      </c>
      <c r="AV334"/>
      <c r="AW334">
        <v>24.066389999999998</v>
      </c>
      <c r="AX334"/>
    </row>
    <row r="335" spans="1:50" x14ac:dyDescent="0.35">
      <c r="A335" s="75">
        <v>28034</v>
      </c>
      <c r="B335">
        <v>34.830289999999998</v>
      </c>
      <c r="C335">
        <v>31.066880000000001</v>
      </c>
      <c r="D335"/>
      <c r="E335">
        <v>26.48413</v>
      </c>
      <c r="F335">
        <v>49.546840000000003</v>
      </c>
      <c r="G335"/>
      <c r="H335"/>
      <c r="I335"/>
      <c r="J335"/>
      <c r="K335"/>
      <c r="L335">
        <v>42.16722</v>
      </c>
      <c r="M335">
        <v>24.409210000000002</v>
      </c>
      <c r="N335"/>
      <c r="O335">
        <v>10.13335</v>
      </c>
      <c r="P335"/>
      <c r="Q335"/>
      <c r="R335">
        <v>24.209689999999998</v>
      </c>
      <c r="S335">
        <v>25.790489999999998</v>
      </c>
      <c r="T335"/>
      <c r="U335">
        <v>26.975020000000001</v>
      </c>
      <c r="V335">
        <v>19.492660000000001</v>
      </c>
      <c r="W335">
        <v>2.9403049999999999</v>
      </c>
      <c r="X335"/>
      <c r="Y335"/>
      <c r="Z335"/>
      <c r="AA335">
        <v>16.629370000000002</v>
      </c>
      <c r="AB335"/>
      <c r="AC335">
        <v>6.4108669999999998E-3</v>
      </c>
      <c r="AD335">
        <v>11.370620000000001</v>
      </c>
      <c r="AE335">
        <v>60.294060000000002</v>
      </c>
      <c r="AF335"/>
      <c r="AG335"/>
      <c r="AH335">
        <v>31.818249999999999</v>
      </c>
      <c r="AI335"/>
      <c r="AJ335"/>
      <c r="AK335">
        <v>37.129089999999998</v>
      </c>
      <c r="AL335"/>
      <c r="AM335">
        <v>12.59421</v>
      </c>
      <c r="AN335">
        <v>9.7662560000000003</v>
      </c>
      <c r="AO335"/>
      <c r="AP335">
        <v>4.2190219999999998</v>
      </c>
      <c r="AQ335"/>
      <c r="AR335"/>
      <c r="AS335"/>
      <c r="AT335"/>
      <c r="AU335">
        <v>23.622900000000001</v>
      </c>
      <c r="AV335"/>
      <c r="AW335">
        <v>24.190239999999999</v>
      </c>
      <c r="AX335"/>
    </row>
    <row r="336" spans="1:50" x14ac:dyDescent="0.35">
      <c r="A336" s="75">
        <v>28065</v>
      </c>
      <c r="B336">
        <v>35.004359999999998</v>
      </c>
      <c r="C336">
        <v>31.182269999999999</v>
      </c>
      <c r="D336"/>
      <c r="E336">
        <v>26.631889999999999</v>
      </c>
      <c r="F336">
        <v>49.645440000000001</v>
      </c>
      <c r="G336"/>
      <c r="H336"/>
      <c r="I336"/>
      <c r="J336"/>
      <c r="K336"/>
      <c r="L336">
        <v>42.310299999999998</v>
      </c>
      <c r="M336">
        <v>24.732520000000001</v>
      </c>
      <c r="N336"/>
      <c r="O336">
        <v>10.406330000000001</v>
      </c>
      <c r="P336"/>
      <c r="Q336"/>
      <c r="R336">
        <v>24.353860000000001</v>
      </c>
      <c r="S336">
        <v>25.90268</v>
      </c>
      <c r="T336"/>
      <c r="U336">
        <v>27.1569</v>
      </c>
      <c r="V336">
        <v>19.677700000000002</v>
      </c>
      <c r="W336">
        <v>2.9774929999999999</v>
      </c>
      <c r="X336"/>
      <c r="Y336"/>
      <c r="Z336"/>
      <c r="AA336">
        <v>16.629370000000002</v>
      </c>
      <c r="AB336"/>
      <c r="AC336">
        <v>6.6207289999999997E-3</v>
      </c>
      <c r="AD336">
        <v>11.60929</v>
      </c>
      <c r="AE336">
        <v>60.701169999999998</v>
      </c>
      <c r="AF336"/>
      <c r="AG336"/>
      <c r="AH336">
        <v>32.062539999999998</v>
      </c>
      <c r="AI336"/>
      <c r="AJ336"/>
      <c r="AK336">
        <v>37.268709999999999</v>
      </c>
      <c r="AL336"/>
      <c r="AM336">
        <v>12.70834</v>
      </c>
      <c r="AN336">
        <v>9.8607250000000004</v>
      </c>
      <c r="AO336"/>
      <c r="AP336">
        <v>4.2329100000000004</v>
      </c>
      <c r="AQ336"/>
      <c r="AR336"/>
      <c r="AS336"/>
      <c r="AT336"/>
      <c r="AU336">
        <v>23.814350000000001</v>
      </c>
      <c r="AV336"/>
      <c r="AW336">
        <v>24.314080000000001</v>
      </c>
      <c r="AX336"/>
    </row>
    <row r="337" spans="1:50" x14ac:dyDescent="0.35">
      <c r="A337" s="75">
        <v>28095</v>
      </c>
      <c r="B337">
        <v>35.214979999999997</v>
      </c>
      <c r="C337">
        <v>31.32432</v>
      </c>
      <c r="D337"/>
      <c r="E337">
        <v>26.721769999999999</v>
      </c>
      <c r="F337">
        <v>49.74926</v>
      </c>
      <c r="G337"/>
      <c r="H337"/>
      <c r="I337"/>
      <c r="J337"/>
      <c r="K337"/>
      <c r="L337">
        <v>42.38015</v>
      </c>
      <c r="M337">
        <v>24.78144</v>
      </c>
      <c r="N337"/>
      <c r="O337">
        <v>10.48188</v>
      </c>
      <c r="P337"/>
      <c r="Q337"/>
      <c r="R337">
        <v>24.429459999999999</v>
      </c>
      <c r="S337">
        <v>25.986969999999999</v>
      </c>
      <c r="T337"/>
      <c r="U337">
        <v>27.243079999999999</v>
      </c>
      <c r="V337">
        <v>19.920480000000001</v>
      </c>
      <c r="W337">
        <v>3.0255649999999998</v>
      </c>
      <c r="X337"/>
      <c r="Y337"/>
      <c r="Z337"/>
      <c r="AA337">
        <v>16.629370000000002</v>
      </c>
      <c r="AB337"/>
      <c r="AC337">
        <v>6.7601570000000001E-3</v>
      </c>
      <c r="AD337">
        <v>11.552960000000001</v>
      </c>
      <c r="AE337">
        <v>61.657260000000001</v>
      </c>
      <c r="AF337"/>
      <c r="AG337"/>
      <c r="AH337">
        <v>32.263599999999997</v>
      </c>
      <c r="AI337"/>
      <c r="AJ337"/>
      <c r="AK337">
        <v>37.261159999999997</v>
      </c>
      <c r="AL337"/>
      <c r="AM337">
        <v>12.77591</v>
      </c>
      <c r="AN337">
        <v>9.9215099999999996</v>
      </c>
      <c r="AO337"/>
      <c r="AP337">
        <v>4.4095620000000002</v>
      </c>
      <c r="AQ337"/>
      <c r="AR337"/>
      <c r="AS337"/>
      <c r="AT337"/>
      <c r="AU337">
        <v>23.852070000000001</v>
      </c>
      <c r="AV337"/>
      <c r="AW337">
        <v>24.314080000000001</v>
      </c>
      <c r="AX337"/>
    </row>
    <row r="338" spans="1:50" x14ac:dyDescent="0.35">
      <c r="A338" s="75">
        <v>28126</v>
      </c>
      <c r="B338">
        <v>35.608080000000001</v>
      </c>
      <c r="C338">
        <v>31.60219</v>
      </c>
      <c r="D338"/>
      <c r="E338">
        <v>26.92567</v>
      </c>
      <c r="F338">
        <v>49.816009999999999</v>
      </c>
      <c r="G338"/>
      <c r="H338"/>
      <c r="I338"/>
      <c r="J338"/>
      <c r="K338"/>
      <c r="L338">
        <v>42.801220000000001</v>
      </c>
      <c r="M338">
        <v>24.7621</v>
      </c>
      <c r="N338"/>
      <c r="O338">
        <v>10.83334</v>
      </c>
      <c r="P338"/>
      <c r="Q338"/>
      <c r="R338">
        <v>24.849170000000001</v>
      </c>
      <c r="S338">
        <v>26.042349999999999</v>
      </c>
      <c r="T338"/>
      <c r="U338">
        <v>27.456849999999999</v>
      </c>
      <c r="V338">
        <v>20.4331</v>
      </c>
      <c r="W338">
        <v>3.009188</v>
      </c>
      <c r="X338"/>
      <c r="Y338"/>
      <c r="Z338"/>
      <c r="AA338">
        <v>17.200959999999998</v>
      </c>
      <c r="AB338"/>
      <c r="AC338">
        <v>6.7496279999999997E-3</v>
      </c>
      <c r="AD338">
        <v>11.833360000000001</v>
      </c>
      <c r="AE338">
        <v>61.657260000000001</v>
      </c>
      <c r="AF338"/>
      <c r="AG338"/>
      <c r="AH338">
        <v>32.463389999999997</v>
      </c>
      <c r="AI338"/>
      <c r="AJ338"/>
      <c r="AK338">
        <v>37.295200000000001</v>
      </c>
      <c r="AL338"/>
      <c r="AM338">
        <v>12.895390000000001</v>
      </c>
      <c r="AN338">
        <v>10.05092</v>
      </c>
      <c r="AO338"/>
      <c r="AP338">
        <v>4.324236</v>
      </c>
      <c r="AQ338"/>
      <c r="AR338"/>
      <c r="AS338"/>
      <c r="AT338"/>
      <c r="AU338">
        <v>24.05986</v>
      </c>
      <c r="AV338"/>
      <c r="AW338">
        <v>24.437919999999998</v>
      </c>
      <c r="AX338"/>
    </row>
    <row r="339" spans="1:50" x14ac:dyDescent="0.35">
      <c r="A339" s="75">
        <v>28157</v>
      </c>
      <c r="B339">
        <v>35.765659999999997</v>
      </c>
      <c r="C339">
        <v>31.855370000000001</v>
      </c>
      <c r="D339"/>
      <c r="E339">
        <v>27.043299999999999</v>
      </c>
      <c r="F339">
        <v>49.862259999999999</v>
      </c>
      <c r="G339"/>
      <c r="H339"/>
      <c r="I339"/>
      <c r="J339"/>
      <c r="K339"/>
      <c r="L339">
        <v>42.97681</v>
      </c>
      <c r="M339">
        <v>24.788060000000002</v>
      </c>
      <c r="N339"/>
      <c r="O339">
        <v>11.05988</v>
      </c>
      <c r="P339"/>
      <c r="Q339"/>
      <c r="R339">
        <v>25.036770000000001</v>
      </c>
      <c r="S339">
        <v>26.177669999999999</v>
      </c>
      <c r="T339"/>
      <c r="U339">
        <v>27.637499999999999</v>
      </c>
      <c r="V339">
        <v>20.69914</v>
      </c>
      <c r="W339">
        <v>2.9876580000000001</v>
      </c>
      <c r="X339"/>
      <c r="Y339"/>
      <c r="Z339"/>
      <c r="AA339">
        <v>17.200959999999998</v>
      </c>
      <c r="AB339"/>
      <c r="AC339">
        <v>6.8255310000000001E-3</v>
      </c>
      <c r="AD339">
        <v>12.077260000000001</v>
      </c>
      <c r="AE339">
        <v>61.90625</v>
      </c>
      <c r="AF339"/>
      <c r="AG339"/>
      <c r="AH339">
        <v>32.708950000000002</v>
      </c>
      <c r="AI339"/>
      <c r="AJ339"/>
      <c r="AK339">
        <v>37.561360000000001</v>
      </c>
      <c r="AL339"/>
      <c r="AM339">
        <v>12.99841</v>
      </c>
      <c r="AN339">
        <v>10.15399</v>
      </c>
      <c r="AO339"/>
      <c r="AP339">
        <v>4.4088349999999998</v>
      </c>
      <c r="AQ339"/>
      <c r="AR339"/>
      <c r="AS339"/>
      <c r="AT339"/>
      <c r="AU339">
        <v>24.378</v>
      </c>
      <c r="AV339"/>
      <c r="AW339">
        <v>24.56176</v>
      </c>
      <c r="AX339"/>
    </row>
    <row r="340" spans="1:50" x14ac:dyDescent="0.35">
      <c r="A340" s="75">
        <v>28185</v>
      </c>
      <c r="B340">
        <v>35.947949999999999</v>
      </c>
      <c r="C340">
        <v>32.021900000000002</v>
      </c>
      <c r="D340"/>
      <c r="E340">
        <v>27.333490000000001</v>
      </c>
      <c r="F340">
        <v>49.840470000000003</v>
      </c>
      <c r="G340"/>
      <c r="H340"/>
      <c r="I340"/>
      <c r="J340"/>
      <c r="K340"/>
      <c r="L340">
        <v>43.068849999999998</v>
      </c>
      <c r="M340">
        <v>25.197469999999999</v>
      </c>
      <c r="N340"/>
      <c r="O340">
        <v>11.341480000000001</v>
      </c>
      <c r="P340"/>
      <c r="Q340"/>
      <c r="R340">
        <v>25.233239999999999</v>
      </c>
      <c r="S340">
        <v>26.402460000000001</v>
      </c>
      <c r="T340"/>
      <c r="U340">
        <v>27.824269999999999</v>
      </c>
      <c r="V340">
        <v>20.92417</v>
      </c>
      <c r="W340">
        <v>3.0633970000000001</v>
      </c>
      <c r="X340"/>
      <c r="Y340"/>
      <c r="Z340"/>
      <c r="AA340">
        <v>17.200959999999998</v>
      </c>
      <c r="AB340"/>
      <c r="AC340">
        <v>6.901435E-3</v>
      </c>
      <c r="AD340">
        <v>12.237130000000001</v>
      </c>
      <c r="AE340">
        <v>62.063569999999999</v>
      </c>
      <c r="AF340"/>
      <c r="AG340"/>
      <c r="AH340">
        <v>32.85716</v>
      </c>
      <c r="AI340"/>
      <c r="AJ340"/>
      <c r="AK340">
        <v>37.770560000000003</v>
      </c>
      <c r="AL340"/>
      <c r="AM340">
        <v>13.10758</v>
      </c>
      <c r="AN340">
        <v>10.259370000000001</v>
      </c>
      <c r="AO340"/>
      <c r="AP340">
        <v>4.5555060000000003</v>
      </c>
      <c r="AQ340"/>
      <c r="AR340"/>
      <c r="AS340"/>
      <c r="AT340"/>
      <c r="AU340">
        <v>24.59975</v>
      </c>
      <c r="AV340"/>
      <c r="AW340">
        <v>24.726880000000001</v>
      </c>
      <c r="AX340"/>
    </row>
    <row r="341" spans="1:50" x14ac:dyDescent="0.35">
      <c r="A341" s="75">
        <v>28216</v>
      </c>
      <c r="B341">
        <v>36.08455</v>
      </c>
      <c r="C341">
        <v>32.367989999999999</v>
      </c>
      <c r="D341"/>
      <c r="E341">
        <v>27.459620000000001</v>
      </c>
      <c r="F341">
        <v>49.899799999999999</v>
      </c>
      <c r="G341"/>
      <c r="H341"/>
      <c r="I341"/>
      <c r="J341"/>
      <c r="K341"/>
      <c r="L341">
        <v>43.230739999999997</v>
      </c>
      <c r="M341">
        <v>25.453479999999999</v>
      </c>
      <c r="N341"/>
      <c r="O341">
        <v>11.61843</v>
      </c>
      <c r="P341"/>
      <c r="Q341"/>
      <c r="R341">
        <v>25.409849999999999</v>
      </c>
      <c r="S341">
        <v>26.71771</v>
      </c>
      <c r="T341"/>
      <c r="U341">
        <v>28.111809999999998</v>
      </c>
      <c r="V341">
        <v>21.478929999999998</v>
      </c>
      <c r="W341">
        <v>3.129934</v>
      </c>
      <c r="X341"/>
      <c r="Y341"/>
      <c r="Z341"/>
      <c r="AA341">
        <v>17.763259999999999</v>
      </c>
      <c r="AB341"/>
      <c r="AC341">
        <v>7.1291449999999999E-3</v>
      </c>
      <c r="AD341">
        <v>12.396990000000001</v>
      </c>
      <c r="AE341">
        <v>63.349020000000003</v>
      </c>
      <c r="AF341"/>
      <c r="AG341"/>
      <c r="AH341">
        <v>33.183059999999998</v>
      </c>
      <c r="AI341"/>
      <c r="AJ341"/>
      <c r="AK341">
        <v>38.587829999999997</v>
      </c>
      <c r="AL341"/>
      <c r="AM341">
        <v>13.257580000000001</v>
      </c>
      <c r="AN341">
        <v>10.397550000000001</v>
      </c>
      <c r="AO341"/>
      <c r="AP341">
        <v>4.7180249999999999</v>
      </c>
      <c r="AQ341"/>
      <c r="AR341"/>
      <c r="AS341"/>
      <c r="AT341"/>
      <c r="AU341">
        <v>24.837569999999999</v>
      </c>
      <c r="AV341"/>
      <c r="AW341">
        <v>24.891999999999999</v>
      </c>
      <c r="AX341"/>
    </row>
    <row r="342" spans="1:50" x14ac:dyDescent="0.35">
      <c r="A342" s="75">
        <v>28246</v>
      </c>
      <c r="B342">
        <v>36.278939999999999</v>
      </c>
      <c r="C342">
        <v>32.605910000000002</v>
      </c>
      <c r="D342"/>
      <c r="E342">
        <v>27.79853</v>
      </c>
      <c r="F342">
        <v>49.914439999999999</v>
      </c>
      <c r="G342"/>
      <c r="H342"/>
      <c r="I342"/>
      <c r="J342"/>
      <c r="K342"/>
      <c r="L342">
        <v>43.372210000000003</v>
      </c>
      <c r="M342">
        <v>25.81157</v>
      </c>
      <c r="N342"/>
      <c r="O342">
        <v>11.766299999999999</v>
      </c>
      <c r="P342"/>
      <c r="Q342"/>
      <c r="R342">
        <v>25.766020000000001</v>
      </c>
      <c r="S342">
        <v>26.948460000000001</v>
      </c>
      <c r="T342"/>
      <c r="U342">
        <v>28.30416</v>
      </c>
      <c r="V342">
        <v>21.601510000000001</v>
      </c>
      <c r="W342">
        <v>3.1784020000000002</v>
      </c>
      <c r="X342"/>
      <c r="Y342"/>
      <c r="Z342"/>
      <c r="AA342">
        <v>17.763259999999999</v>
      </c>
      <c r="AB342"/>
      <c r="AC342">
        <v>7.2867920000000003E-3</v>
      </c>
      <c r="AD342">
        <v>12.56199</v>
      </c>
      <c r="AE342">
        <v>64.048940000000002</v>
      </c>
      <c r="AF342"/>
      <c r="AG342"/>
      <c r="AH342">
        <v>33.320869999999999</v>
      </c>
      <c r="AI342"/>
      <c r="AJ342"/>
      <c r="AK342">
        <v>38.670009999999998</v>
      </c>
      <c r="AL342"/>
      <c r="AM342">
        <v>13.34958</v>
      </c>
      <c r="AN342">
        <v>10.47364</v>
      </c>
      <c r="AO342"/>
      <c r="AP342">
        <v>4.7408650000000003</v>
      </c>
      <c r="AQ342"/>
      <c r="AR342"/>
      <c r="AS342"/>
      <c r="AT342"/>
      <c r="AU342">
        <v>25.179040000000001</v>
      </c>
      <c r="AV342"/>
      <c r="AW342">
        <v>25.015840000000001</v>
      </c>
      <c r="AX342"/>
    </row>
    <row r="343" spans="1:50" x14ac:dyDescent="0.35">
      <c r="A343" s="75">
        <v>28277</v>
      </c>
      <c r="B343">
        <v>36.493699999999997</v>
      </c>
      <c r="C343">
        <v>32.80462</v>
      </c>
      <c r="D343"/>
      <c r="E343">
        <v>27.838709999999999</v>
      </c>
      <c r="F343">
        <v>50.119619999999998</v>
      </c>
      <c r="G343"/>
      <c r="H343"/>
      <c r="I343"/>
      <c r="J343"/>
      <c r="K343"/>
      <c r="L343">
        <v>43.569980000000001</v>
      </c>
      <c r="M343">
        <v>25.923390000000001</v>
      </c>
      <c r="N343"/>
      <c r="O343">
        <v>12.028420000000001</v>
      </c>
      <c r="P343"/>
      <c r="Q343"/>
      <c r="R343">
        <v>25.831219999999998</v>
      </c>
      <c r="S343">
        <v>27.142600000000002</v>
      </c>
      <c r="T343"/>
      <c r="U343">
        <v>28.46095</v>
      </c>
      <c r="V343">
        <v>21.75365</v>
      </c>
      <c r="W343">
        <v>3.1903380000000001</v>
      </c>
      <c r="X343"/>
      <c r="Y343"/>
      <c r="Z343"/>
      <c r="AA343">
        <v>17.763259999999999</v>
      </c>
      <c r="AB343"/>
      <c r="AC343">
        <v>7.4035719999999998E-3</v>
      </c>
      <c r="AD343">
        <v>12.62811</v>
      </c>
      <c r="AE343">
        <v>64.184359999999998</v>
      </c>
      <c r="AF343"/>
      <c r="AG343"/>
      <c r="AH343">
        <v>33.525689999999997</v>
      </c>
      <c r="AI343"/>
      <c r="AJ343"/>
      <c r="AK343">
        <v>38.614629999999998</v>
      </c>
      <c r="AL343"/>
      <c r="AM343">
        <v>13.43871</v>
      </c>
      <c r="AN343">
        <v>10.554790000000001</v>
      </c>
      <c r="AO343"/>
      <c r="AP343">
        <v>4.7575810000000001</v>
      </c>
      <c r="AQ343"/>
      <c r="AR343"/>
      <c r="AS343"/>
      <c r="AT343"/>
      <c r="AU343">
        <v>25.70252</v>
      </c>
      <c r="AV343"/>
      <c r="AW343">
        <v>25.180959999999999</v>
      </c>
      <c r="AX343"/>
    </row>
    <row r="344" spans="1:50" x14ac:dyDescent="0.35">
      <c r="A344" s="75">
        <v>28307</v>
      </c>
      <c r="B344">
        <v>36.564839999999997</v>
      </c>
      <c r="C344">
        <v>33.035649999999997</v>
      </c>
      <c r="D344"/>
      <c r="E344">
        <v>28.16095</v>
      </c>
      <c r="F344">
        <v>50.151890000000002</v>
      </c>
      <c r="G344"/>
      <c r="H344"/>
      <c r="I344"/>
      <c r="J344"/>
      <c r="K344"/>
      <c r="L344">
        <v>43.522289999999998</v>
      </c>
      <c r="M344">
        <v>26.055689999999998</v>
      </c>
      <c r="N344"/>
      <c r="O344">
        <v>12.2325</v>
      </c>
      <c r="P344"/>
      <c r="Q344"/>
      <c r="R344">
        <v>25.993490000000001</v>
      </c>
      <c r="S344">
        <v>27.388110000000001</v>
      </c>
      <c r="T344"/>
      <c r="U344">
        <v>28.55592</v>
      </c>
      <c r="V344">
        <v>21.839359999999999</v>
      </c>
      <c r="W344">
        <v>3.1979069999999998</v>
      </c>
      <c r="X344"/>
      <c r="Y344"/>
      <c r="Z344"/>
      <c r="AA344">
        <v>17.866720000000001</v>
      </c>
      <c r="AB344"/>
      <c r="AC344">
        <v>7.5086720000000001E-3</v>
      </c>
      <c r="AD344">
        <v>12.70623</v>
      </c>
      <c r="AE344">
        <v>64.14716</v>
      </c>
      <c r="AF344"/>
      <c r="AG344"/>
      <c r="AH344">
        <v>33.65616</v>
      </c>
      <c r="AI344"/>
      <c r="AJ344"/>
      <c r="AK344">
        <v>38.46199</v>
      </c>
      <c r="AL344"/>
      <c r="AM344">
        <v>13.50905</v>
      </c>
      <c r="AN344">
        <v>10.619020000000001</v>
      </c>
      <c r="AO344"/>
      <c r="AP344">
        <v>4.8418929999999998</v>
      </c>
      <c r="AQ344"/>
      <c r="AR344"/>
      <c r="AS344"/>
      <c r="AT344"/>
      <c r="AU344">
        <v>25.892810000000001</v>
      </c>
      <c r="AV344"/>
      <c r="AW344">
        <v>25.26352</v>
      </c>
      <c r="AX344"/>
    </row>
    <row r="345" spans="1:50" x14ac:dyDescent="0.35">
      <c r="A345" s="75">
        <v>28338</v>
      </c>
      <c r="B345">
        <v>36.647100000000002</v>
      </c>
      <c r="C345">
        <v>33.150829999999999</v>
      </c>
      <c r="D345"/>
      <c r="E345">
        <v>28.123670000000001</v>
      </c>
      <c r="F345">
        <v>50.146369999999997</v>
      </c>
      <c r="G345"/>
      <c r="H345"/>
      <c r="I345"/>
      <c r="J345"/>
      <c r="K345"/>
      <c r="L345">
        <v>43.551319999999997</v>
      </c>
      <c r="M345">
        <v>26.241050000000001</v>
      </c>
      <c r="N345"/>
      <c r="O345">
        <v>12.366619999999999</v>
      </c>
      <c r="P345"/>
      <c r="Q345"/>
      <c r="R345">
        <v>26.467610000000001</v>
      </c>
      <c r="S345">
        <v>27.560009999999998</v>
      </c>
      <c r="T345"/>
      <c r="U345">
        <v>28.673179999999999</v>
      </c>
      <c r="V345">
        <v>22.11655</v>
      </c>
      <c r="W345">
        <v>3.1433049999999998</v>
      </c>
      <c r="X345"/>
      <c r="Y345"/>
      <c r="Z345"/>
      <c r="AA345">
        <v>17.866720000000001</v>
      </c>
      <c r="AB345"/>
      <c r="AC345">
        <v>7.7655700000000003E-3</v>
      </c>
      <c r="AD345">
        <v>12.812860000000001</v>
      </c>
      <c r="AE345">
        <v>63.960929999999998</v>
      </c>
      <c r="AF345"/>
      <c r="AG345"/>
      <c r="AH345">
        <v>33.626379999999997</v>
      </c>
      <c r="AI345"/>
      <c r="AJ345"/>
      <c r="AK345">
        <v>38.695180000000001</v>
      </c>
      <c r="AL345"/>
      <c r="AM345">
        <v>13.57502</v>
      </c>
      <c r="AN345">
        <v>10.6784</v>
      </c>
      <c r="AO345"/>
      <c r="AP345">
        <v>4.9200189999999999</v>
      </c>
      <c r="AQ345"/>
      <c r="AR345"/>
      <c r="AS345"/>
      <c r="AT345"/>
      <c r="AU345">
        <v>25.98546</v>
      </c>
      <c r="AV345"/>
      <c r="AW345">
        <v>25.387360000000001</v>
      </c>
      <c r="AX345"/>
    </row>
    <row r="346" spans="1:50" x14ac:dyDescent="0.35">
      <c r="A346" s="75">
        <v>28369</v>
      </c>
      <c r="B346">
        <v>36.727600000000002</v>
      </c>
      <c r="C346">
        <v>33.313420000000001</v>
      </c>
      <c r="D346"/>
      <c r="E346">
        <v>28.36093</v>
      </c>
      <c r="F346">
        <v>50.230989999999998</v>
      </c>
      <c r="G346"/>
      <c r="H346"/>
      <c r="I346"/>
      <c r="J346"/>
      <c r="K346"/>
      <c r="L346">
        <v>43.641750000000002</v>
      </c>
      <c r="M346">
        <v>26.472650000000002</v>
      </c>
      <c r="N346"/>
      <c r="O346">
        <v>12.62293</v>
      </c>
      <c r="P346"/>
      <c r="Q346"/>
      <c r="R346">
        <v>26.585560000000001</v>
      </c>
      <c r="S346">
        <v>27.757269999999998</v>
      </c>
      <c r="T346"/>
      <c r="U346">
        <v>28.88259</v>
      </c>
      <c r="V346">
        <v>22.27253</v>
      </c>
      <c r="W346">
        <v>3.2251780000000001</v>
      </c>
      <c r="X346"/>
      <c r="Y346"/>
      <c r="Z346"/>
      <c r="AA346">
        <v>17.866720000000001</v>
      </c>
      <c r="AB346"/>
      <c r="AC346">
        <v>8.0341579999999996E-3</v>
      </c>
      <c r="AD346">
        <v>12.96626</v>
      </c>
      <c r="AE346">
        <v>64.745549999999994</v>
      </c>
      <c r="AF346"/>
      <c r="AG346"/>
      <c r="AH346">
        <v>33.564810000000001</v>
      </c>
      <c r="AI346"/>
      <c r="AJ346"/>
      <c r="AK346">
        <v>39.034109999999998</v>
      </c>
      <c r="AL346"/>
      <c r="AM346">
        <v>13.69232</v>
      </c>
      <c r="AN346">
        <v>10.781499999999999</v>
      </c>
      <c r="AO346"/>
      <c r="AP346">
        <v>4.9378289999999998</v>
      </c>
      <c r="AQ346"/>
      <c r="AR346"/>
      <c r="AS346"/>
      <c r="AT346"/>
      <c r="AU346">
        <v>26.20392</v>
      </c>
      <c r="AV346"/>
      <c r="AW346">
        <v>25.552479999999999</v>
      </c>
      <c r="AX346"/>
    </row>
    <row r="347" spans="1:50" x14ac:dyDescent="0.35">
      <c r="A347" s="75">
        <v>28399</v>
      </c>
      <c r="B347">
        <v>36.756740000000001</v>
      </c>
      <c r="C347">
        <v>33.448219999999999</v>
      </c>
      <c r="D347"/>
      <c r="E347">
        <v>28.57694</v>
      </c>
      <c r="F347">
        <v>50.310519999999997</v>
      </c>
      <c r="G347"/>
      <c r="H347"/>
      <c r="I347"/>
      <c r="J347"/>
      <c r="K347"/>
      <c r="L347">
        <v>43.660559999999997</v>
      </c>
      <c r="M347">
        <v>26.66366</v>
      </c>
      <c r="N347"/>
      <c r="O347">
        <v>12.891730000000001</v>
      </c>
      <c r="P347"/>
      <c r="Q347"/>
      <c r="R347">
        <v>26.65644</v>
      </c>
      <c r="S347">
        <v>27.998830000000002</v>
      </c>
      <c r="T347"/>
      <c r="U347">
        <v>29.03</v>
      </c>
      <c r="V347">
        <v>22.389109999999999</v>
      </c>
      <c r="W347">
        <v>3.316961</v>
      </c>
      <c r="X347"/>
      <c r="Y347"/>
      <c r="Z347"/>
      <c r="AA347">
        <v>18.34422</v>
      </c>
      <c r="AB347"/>
      <c r="AC347">
        <v>8.3377710000000008E-3</v>
      </c>
      <c r="AD347">
        <v>13.161659999999999</v>
      </c>
      <c r="AE347">
        <v>65.206379999999996</v>
      </c>
      <c r="AF347"/>
      <c r="AG347"/>
      <c r="AH347">
        <v>33.734279999999998</v>
      </c>
      <c r="AI347"/>
      <c r="AJ347"/>
      <c r="AK347">
        <v>39.280740000000002</v>
      </c>
      <c r="AL347"/>
      <c r="AM347">
        <v>13.81011</v>
      </c>
      <c r="AN347">
        <v>10.921810000000001</v>
      </c>
      <c r="AO347"/>
      <c r="AP347">
        <v>5.1064629999999998</v>
      </c>
      <c r="AQ347"/>
      <c r="AR347"/>
      <c r="AS347"/>
      <c r="AT347"/>
      <c r="AU347">
        <v>26.409549999999999</v>
      </c>
      <c r="AV347"/>
      <c r="AW347">
        <v>25.63505</v>
      </c>
      <c r="AX347"/>
    </row>
    <row r="348" spans="1:50" x14ac:dyDescent="0.35">
      <c r="A348" s="75">
        <v>28430</v>
      </c>
      <c r="B348">
        <v>36.770989999999998</v>
      </c>
      <c r="C348">
        <v>33.610779999999998</v>
      </c>
      <c r="D348"/>
      <c r="E348">
        <v>28.736090000000001</v>
      </c>
      <c r="F348">
        <v>50.316690000000001</v>
      </c>
      <c r="G348"/>
      <c r="H348"/>
      <c r="I348"/>
      <c r="J348"/>
      <c r="K348"/>
      <c r="L348">
        <v>43.744140000000002</v>
      </c>
      <c r="M348">
        <v>27.699120000000001</v>
      </c>
      <c r="N348"/>
      <c r="O348">
        <v>13.14382</v>
      </c>
      <c r="P348"/>
      <c r="Q348"/>
      <c r="R348">
        <v>26.756219999999999</v>
      </c>
      <c r="S348">
        <v>28.12426</v>
      </c>
      <c r="T348"/>
      <c r="U348">
        <v>29.149809999999999</v>
      </c>
      <c r="V348">
        <v>22.543569999999999</v>
      </c>
      <c r="W348">
        <v>3.3408329999999999</v>
      </c>
      <c r="X348"/>
      <c r="Y348"/>
      <c r="Z348"/>
      <c r="AA348">
        <v>18.34422</v>
      </c>
      <c r="AB348"/>
      <c r="AC348">
        <v>9.2953289999999997E-3</v>
      </c>
      <c r="AD348">
        <v>13.31049</v>
      </c>
      <c r="AE348">
        <v>64.980350000000001</v>
      </c>
      <c r="AF348"/>
      <c r="AG348"/>
      <c r="AH348">
        <v>33.942610000000002</v>
      </c>
      <c r="AI348"/>
      <c r="AJ348"/>
      <c r="AK348">
        <v>39.327910000000003</v>
      </c>
      <c r="AL348"/>
      <c r="AM348">
        <v>13.907069999999999</v>
      </c>
      <c r="AN348">
        <v>11.044460000000001</v>
      </c>
      <c r="AO348"/>
      <c r="AP348">
        <v>5.1659350000000002</v>
      </c>
      <c r="AQ348"/>
      <c r="AR348"/>
      <c r="AS348"/>
      <c r="AT348"/>
      <c r="AU348">
        <v>26.6585</v>
      </c>
      <c r="AV348"/>
      <c r="AW348">
        <v>25.758890000000001</v>
      </c>
      <c r="AX348"/>
    </row>
    <row r="349" spans="1:50" x14ac:dyDescent="0.35">
      <c r="A349" s="75">
        <v>28460</v>
      </c>
      <c r="B349">
        <v>36.86271</v>
      </c>
      <c r="C349">
        <v>33.792659999999998</v>
      </c>
      <c r="D349"/>
      <c r="E349">
        <v>28.861899999999999</v>
      </c>
      <c r="F349">
        <v>50.41433</v>
      </c>
      <c r="G349"/>
      <c r="H349"/>
      <c r="I349"/>
      <c r="J349"/>
      <c r="K349"/>
      <c r="L349">
        <v>43.860080000000004</v>
      </c>
      <c r="M349">
        <v>27.72711</v>
      </c>
      <c r="N349"/>
      <c r="O349">
        <v>13.28537</v>
      </c>
      <c r="P349"/>
      <c r="Q349"/>
      <c r="R349">
        <v>26.870750000000001</v>
      </c>
      <c r="S349">
        <v>28.21021</v>
      </c>
      <c r="T349"/>
      <c r="U349">
        <v>29.26538</v>
      </c>
      <c r="V349">
        <v>22.66639</v>
      </c>
      <c r="W349">
        <v>3.363661</v>
      </c>
      <c r="X349"/>
      <c r="Y349"/>
      <c r="Z349"/>
      <c r="AA349">
        <v>18.34422</v>
      </c>
      <c r="AB349"/>
      <c r="AC349">
        <v>9.5230490000000004E-3</v>
      </c>
      <c r="AD349">
        <v>13.367509999999999</v>
      </c>
      <c r="AE349">
        <v>65.066289999999995</v>
      </c>
      <c r="AF349"/>
      <c r="AG349"/>
      <c r="AH349">
        <v>33.866230000000002</v>
      </c>
      <c r="AI349"/>
      <c r="AJ349"/>
      <c r="AK349">
        <v>39.327910000000003</v>
      </c>
      <c r="AL349"/>
      <c r="AM349">
        <v>13.993069999999999</v>
      </c>
      <c r="AN349">
        <v>11.1333</v>
      </c>
      <c r="AO349"/>
      <c r="AP349">
        <v>5.2413049999999997</v>
      </c>
      <c r="AQ349"/>
      <c r="AR349"/>
      <c r="AS349"/>
      <c r="AT349"/>
      <c r="AU349">
        <v>26.885349999999999</v>
      </c>
      <c r="AV349"/>
      <c r="AW349">
        <v>25.882729999999999</v>
      </c>
      <c r="AX349"/>
    </row>
    <row r="350" spans="1:50" x14ac:dyDescent="0.35">
      <c r="A350" s="75">
        <v>28491</v>
      </c>
      <c r="B350">
        <v>37.268599999999999</v>
      </c>
      <c r="C350">
        <v>34.021529999999998</v>
      </c>
      <c r="D350"/>
      <c r="E350">
        <v>29.021049999999999</v>
      </c>
      <c r="F350">
        <v>50.428179999999998</v>
      </c>
      <c r="G350"/>
      <c r="H350"/>
      <c r="I350"/>
      <c r="J350"/>
      <c r="K350"/>
      <c r="L350">
        <v>44.221649999999997</v>
      </c>
      <c r="M350">
        <v>27.865030000000001</v>
      </c>
      <c r="N350"/>
      <c r="O350">
        <v>13.505000000000001</v>
      </c>
      <c r="P350"/>
      <c r="Q350"/>
      <c r="R350">
        <v>27.034669999999998</v>
      </c>
      <c r="S350">
        <v>28.355409999999999</v>
      </c>
      <c r="T350"/>
      <c r="U350">
        <v>29.413540000000001</v>
      </c>
      <c r="V350">
        <v>22.81889</v>
      </c>
      <c r="W350">
        <v>3.4080010000000001</v>
      </c>
      <c r="X350"/>
      <c r="Y350"/>
      <c r="Z350"/>
      <c r="AA350">
        <v>18.615259999999999</v>
      </c>
      <c r="AB350"/>
      <c r="AC350">
        <v>9.7507589999999995E-3</v>
      </c>
      <c r="AD350">
        <v>13.480259999999999</v>
      </c>
      <c r="AE350">
        <v>65.060310000000001</v>
      </c>
      <c r="AF350"/>
      <c r="AG350"/>
      <c r="AH350">
        <v>34.00047</v>
      </c>
      <c r="AI350"/>
      <c r="AJ350"/>
      <c r="AK350">
        <v>39.238509999999998</v>
      </c>
      <c r="AL350"/>
      <c r="AM350">
        <v>14.107900000000001</v>
      </c>
      <c r="AN350">
        <v>11.24905</v>
      </c>
      <c r="AO350"/>
      <c r="AP350">
        <v>5.3950519999999997</v>
      </c>
      <c r="AQ350"/>
      <c r="AR350"/>
      <c r="AS350"/>
      <c r="AT350"/>
      <c r="AU350">
        <v>27.331</v>
      </c>
      <c r="AV350"/>
      <c r="AW350">
        <v>26.00657</v>
      </c>
      <c r="AX350"/>
    </row>
    <row r="351" spans="1:50" x14ac:dyDescent="0.35">
      <c r="A351" s="75">
        <v>28522</v>
      </c>
      <c r="B351">
        <v>37.388379999999998</v>
      </c>
      <c r="C351">
        <v>34.184989999999999</v>
      </c>
      <c r="D351"/>
      <c r="E351">
        <v>29.266159999999999</v>
      </c>
      <c r="F351">
        <v>50.48171</v>
      </c>
      <c r="G351"/>
      <c r="H351"/>
      <c r="I351"/>
      <c r="J351"/>
      <c r="K351"/>
      <c r="L351">
        <v>44.328989999999997</v>
      </c>
      <c r="M351">
        <v>28.02469</v>
      </c>
      <c r="N351"/>
      <c r="O351">
        <v>13.69228</v>
      </c>
      <c r="P351"/>
      <c r="Q351"/>
      <c r="R351">
        <v>27.476489999999998</v>
      </c>
      <c r="S351">
        <v>28.570789999999999</v>
      </c>
      <c r="T351"/>
      <c r="U351">
        <v>29.555959999999999</v>
      </c>
      <c r="V351">
        <v>22.958300000000001</v>
      </c>
      <c r="W351">
        <v>3.3356159999999999</v>
      </c>
      <c r="X351"/>
      <c r="Y351"/>
      <c r="Z351"/>
      <c r="AA351">
        <v>18.615259999999999</v>
      </c>
      <c r="AB351"/>
      <c r="AC351">
        <v>9.9084050000000003E-3</v>
      </c>
      <c r="AD351">
        <v>13.63137</v>
      </c>
      <c r="AE351">
        <v>65.466059999999999</v>
      </c>
      <c r="AF351"/>
      <c r="AG351"/>
      <c r="AH351">
        <v>34.089230000000001</v>
      </c>
      <c r="AI351"/>
      <c r="AJ351"/>
      <c r="AK351">
        <v>39.445680000000003</v>
      </c>
      <c r="AL351"/>
      <c r="AM351">
        <v>14.20125</v>
      </c>
      <c r="AN351">
        <v>11.345039999999999</v>
      </c>
      <c r="AO351"/>
      <c r="AP351">
        <v>5.4121350000000001</v>
      </c>
      <c r="AQ351"/>
      <c r="AR351"/>
      <c r="AS351"/>
      <c r="AT351"/>
      <c r="AU351">
        <v>27.67277</v>
      </c>
      <c r="AV351"/>
      <c r="AW351">
        <v>26.089130000000001</v>
      </c>
      <c r="AX351"/>
    </row>
    <row r="352" spans="1:50" x14ac:dyDescent="0.35">
      <c r="A352" s="75">
        <v>28550</v>
      </c>
      <c r="B352">
        <v>37.44688</v>
      </c>
      <c r="C352">
        <v>34.334600000000002</v>
      </c>
      <c r="D352"/>
      <c r="E352">
        <v>29.41677</v>
      </c>
      <c r="F352">
        <v>50.523670000000003</v>
      </c>
      <c r="G352"/>
      <c r="H352"/>
      <c r="I352"/>
      <c r="J352"/>
      <c r="K352"/>
      <c r="L352">
        <v>44.441580000000002</v>
      </c>
      <c r="M352">
        <v>28.230779999999999</v>
      </c>
      <c r="N352"/>
      <c r="O352">
        <v>13.96363</v>
      </c>
      <c r="P352"/>
      <c r="Q352"/>
      <c r="R352">
        <v>27.52778</v>
      </c>
      <c r="S352">
        <v>28.842300000000002</v>
      </c>
      <c r="T352"/>
      <c r="U352">
        <v>29.774000000000001</v>
      </c>
      <c r="V352">
        <v>23.12321</v>
      </c>
      <c r="W352">
        <v>3.4530470000000002</v>
      </c>
      <c r="X352"/>
      <c r="Y352"/>
      <c r="Z352"/>
      <c r="AA352">
        <v>18.615259999999999</v>
      </c>
      <c r="AB352"/>
      <c r="AC352">
        <v>1.020034E-2</v>
      </c>
      <c r="AD352">
        <v>13.826779999999999</v>
      </c>
      <c r="AE352">
        <v>65.820400000000006</v>
      </c>
      <c r="AF352"/>
      <c r="AG352"/>
      <c r="AH352">
        <v>34.204329999999999</v>
      </c>
      <c r="AI352"/>
      <c r="AJ352"/>
      <c r="AK352">
        <v>39.854770000000002</v>
      </c>
      <c r="AL352"/>
      <c r="AM352">
        <v>14.3133</v>
      </c>
      <c r="AN352">
        <v>11.44347</v>
      </c>
      <c r="AO352"/>
      <c r="AP352">
        <v>5.4285819999999996</v>
      </c>
      <c r="AQ352"/>
      <c r="AR352"/>
      <c r="AS352"/>
      <c r="AT352"/>
      <c r="AU352">
        <v>27.71265</v>
      </c>
      <c r="AV352"/>
      <c r="AW352">
        <v>26.295529999999999</v>
      </c>
      <c r="AX352"/>
    </row>
    <row r="353" spans="1:50" x14ac:dyDescent="0.35">
      <c r="A353" s="75">
        <v>28581</v>
      </c>
      <c r="B353">
        <v>37.524529999999999</v>
      </c>
      <c r="C353">
        <v>34.476410000000001</v>
      </c>
      <c r="D353"/>
      <c r="E353">
        <v>29.42784</v>
      </c>
      <c r="F353">
        <v>50.581919999999997</v>
      </c>
      <c r="G353"/>
      <c r="H353"/>
      <c r="I353"/>
      <c r="J353"/>
      <c r="K353"/>
      <c r="L353">
        <v>44.637599999999999</v>
      </c>
      <c r="M353">
        <v>28.324909999999999</v>
      </c>
      <c r="N353"/>
      <c r="O353">
        <v>14.32413</v>
      </c>
      <c r="P353"/>
      <c r="Q353"/>
      <c r="R353">
        <v>27.690460000000002</v>
      </c>
      <c r="S353">
        <v>29.169509999999999</v>
      </c>
      <c r="T353"/>
      <c r="U353">
        <v>30.036149999999999</v>
      </c>
      <c r="V353">
        <v>23.506540000000001</v>
      </c>
      <c r="W353">
        <v>3.502818</v>
      </c>
      <c r="X353"/>
      <c r="Y353"/>
      <c r="Z353"/>
      <c r="AA353">
        <v>18.938939999999999</v>
      </c>
      <c r="AB353"/>
      <c r="AC353">
        <v>1.0906839999999999E-2</v>
      </c>
      <c r="AD353">
        <v>13.963279999999999</v>
      </c>
      <c r="AE353">
        <v>66.688190000000006</v>
      </c>
      <c r="AF353"/>
      <c r="AG353"/>
      <c r="AH353">
        <v>34.391330000000004</v>
      </c>
      <c r="AI353"/>
      <c r="AJ353"/>
      <c r="AK353">
        <v>40.071820000000002</v>
      </c>
      <c r="AL353"/>
      <c r="AM353">
        <v>14.4544</v>
      </c>
      <c r="AN353">
        <v>11.57653</v>
      </c>
      <c r="AO353"/>
      <c r="AP353">
        <v>5.6563400000000001</v>
      </c>
      <c r="AQ353"/>
      <c r="AR353"/>
      <c r="AS353"/>
      <c r="AT353"/>
      <c r="AU353">
        <v>27.77486</v>
      </c>
      <c r="AV353"/>
      <c r="AW353">
        <v>26.501930000000002</v>
      </c>
      <c r="AX353"/>
    </row>
    <row r="354" spans="1:50" x14ac:dyDescent="0.35">
      <c r="A354" s="75">
        <v>28611</v>
      </c>
      <c r="B354">
        <v>37.576090000000001</v>
      </c>
      <c r="C354">
        <v>34.649070000000002</v>
      </c>
      <c r="D354"/>
      <c r="E354">
        <v>29.752970000000001</v>
      </c>
      <c r="F354">
        <v>50.509129999999999</v>
      </c>
      <c r="G354"/>
      <c r="H354"/>
      <c r="I354"/>
      <c r="J354"/>
      <c r="K354"/>
      <c r="L354">
        <v>44.728029999999997</v>
      </c>
      <c r="M354">
        <v>28.63279</v>
      </c>
      <c r="N354"/>
      <c r="O354">
        <v>14.46945</v>
      </c>
      <c r="P354"/>
      <c r="Q354"/>
      <c r="R354">
        <v>28.269220000000001</v>
      </c>
      <c r="S354">
        <v>29.457609999999999</v>
      </c>
      <c r="T354"/>
      <c r="U354">
        <v>30.258209999999998</v>
      </c>
      <c r="V354">
        <v>23.610890000000001</v>
      </c>
      <c r="W354">
        <v>3.5052460000000001</v>
      </c>
      <c r="X354"/>
      <c r="Y354"/>
      <c r="Z354"/>
      <c r="AA354">
        <v>18.938939999999999</v>
      </c>
      <c r="AB354"/>
      <c r="AC354">
        <v>1.122213E-2</v>
      </c>
      <c r="AD354">
        <v>14.08684</v>
      </c>
      <c r="AE354">
        <v>67.294820000000001</v>
      </c>
      <c r="AF354"/>
      <c r="AG354"/>
      <c r="AH354">
        <v>34.464289999999998</v>
      </c>
      <c r="AI354"/>
      <c r="AJ354"/>
      <c r="AK354">
        <v>40.151420000000002</v>
      </c>
      <c r="AL354"/>
      <c r="AM354">
        <v>14.575570000000001</v>
      </c>
      <c r="AN354">
        <v>11.67958</v>
      </c>
      <c r="AO354"/>
      <c r="AP354">
        <v>5.708475</v>
      </c>
      <c r="AQ354"/>
      <c r="AR354"/>
      <c r="AS354"/>
      <c r="AT354"/>
      <c r="AU354">
        <v>27.966519999999999</v>
      </c>
      <c r="AV354"/>
      <c r="AW354">
        <v>26.70833</v>
      </c>
      <c r="AX354"/>
    </row>
    <row r="355" spans="1:50" x14ac:dyDescent="0.35">
      <c r="A355" s="75">
        <v>28642</v>
      </c>
      <c r="B355">
        <v>37.590290000000003</v>
      </c>
      <c r="C355">
        <v>34.712130000000002</v>
      </c>
      <c r="D355"/>
      <c r="E355">
        <v>29.956230000000001</v>
      </c>
      <c r="F355">
        <v>50.565629999999999</v>
      </c>
      <c r="G355"/>
      <c r="H355"/>
      <c r="I355"/>
      <c r="J355"/>
      <c r="K355"/>
      <c r="L355">
        <v>44.912239999999997</v>
      </c>
      <c r="M355">
        <v>28.724299999999999</v>
      </c>
      <c r="N355"/>
      <c r="O355">
        <v>14.60554</v>
      </c>
      <c r="P355"/>
      <c r="Q355"/>
      <c r="R355">
        <v>28.319430000000001</v>
      </c>
      <c r="S355">
        <v>29.67474</v>
      </c>
      <c r="T355"/>
      <c r="U355">
        <v>30.461200000000002</v>
      </c>
      <c r="V355">
        <v>23.722359999999998</v>
      </c>
      <c r="W355">
        <v>3.5983649999999998</v>
      </c>
      <c r="X355"/>
      <c r="Y355"/>
      <c r="Z355"/>
      <c r="AA355">
        <v>18.938939999999999</v>
      </c>
      <c r="AB355"/>
      <c r="AC355">
        <v>1.151991E-2</v>
      </c>
      <c r="AD355">
        <v>14.198790000000001</v>
      </c>
      <c r="AE355">
        <v>67.247470000000007</v>
      </c>
      <c r="AF355"/>
      <c r="AG355"/>
      <c r="AH355">
        <v>34.57085</v>
      </c>
      <c r="AI355"/>
      <c r="AJ355"/>
      <c r="AK355">
        <v>40.085380000000001</v>
      </c>
      <c r="AL355"/>
      <c r="AM355">
        <v>14.700390000000001</v>
      </c>
      <c r="AN355">
        <v>11.797230000000001</v>
      </c>
      <c r="AO355"/>
      <c r="AP355">
        <v>5.7824650000000002</v>
      </c>
      <c r="AQ355"/>
      <c r="AR355"/>
      <c r="AS355"/>
      <c r="AT355"/>
      <c r="AU355">
        <v>28.010950000000001</v>
      </c>
      <c r="AV355"/>
      <c r="AW355">
        <v>26.956009999999999</v>
      </c>
      <c r="AX355"/>
    </row>
    <row r="356" spans="1:50" x14ac:dyDescent="0.35">
      <c r="A356" s="75">
        <v>28672</v>
      </c>
      <c r="B356">
        <v>37.751869999999997</v>
      </c>
      <c r="C356">
        <v>34.899509999999999</v>
      </c>
      <c r="D356"/>
      <c r="E356">
        <v>30.223479999999999</v>
      </c>
      <c r="F356">
        <v>50.560180000000003</v>
      </c>
      <c r="G356"/>
      <c r="H356"/>
      <c r="I356"/>
      <c r="J356"/>
      <c r="K356"/>
      <c r="L356">
        <v>44.840629999999997</v>
      </c>
      <c r="M356">
        <v>28.754919999999998</v>
      </c>
      <c r="N356"/>
      <c r="O356">
        <v>14.812250000000001</v>
      </c>
      <c r="P356"/>
      <c r="Q356"/>
      <c r="R356">
        <v>28.37133</v>
      </c>
      <c r="S356">
        <v>29.97073</v>
      </c>
      <c r="T356"/>
      <c r="U356">
        <v>30.616700000000002</v>
      </c>
      <c r="V356">
        <v>23.884509999999999</v>
      </c>
      <c r="W356">
        <v>3.5504709999999999</v>
      </c>
      <c r="X356"/>
      <c r="Y356"/>
      <c r="Z356"/>
      <c r="AA356">
        <v>19.340150000000001</v>
      </c>
      <c r="AB356"/>
      <c r="AC356">
        <v>1.1835200000000001E-2</v>
      </c>
      <c r="AD356">
        <v>14.26322</v>
      </c>
      <c r="AE356">
        <v>67.438050000000004</v>
      </c>
      <c r="AF356"/>
      <c r="AG356"/>
      <c r="AH356">
        <v>34.595199999999998</v>
      </c>
      <c r="AI356"/>
      <c r="AJ356"/>
      <c r="AK356">
        <v>40.471049999999998</v>
      </c>
      <c r="AL356"/>
      <c r="AM356">
        <v>14.794370000000001</v>
      </c>
      <c r="AN356">
        <v>11.865640000000001</v>
      </c>
      <c r="AO356"/>
      <c r="AP356">
        <v>5.8978849999999996</v>
      </c>
      <c r="AQ356"/>
      <c r="AR356"/>
      <c r="AS356"/>
      <c r="AT356"/>
      <c r="AU356">
        <v>28.107530000000001</v>
      </c>
      <c r="AV356"/>
      <c r="AW356">
        <v>27.12114</v>
      </c>
      <c r="AX356"/>
    </row>
    <row r="357" spans="1:50" x14ac:dyDescent="0.35">
      <c r="A357" s="75">
        <v>28703</v>
      </c>
      <c r="B357">
        <v>37.872059999999998</v>
      </c>
      <c r="C357">
        <v>35.040660000000003</v>
      </c>
      <c r="D357"/>
      <c r="E357">
        <v>30.392489999999999</v>
      </c>
      <c r="F357">
        <v>50.689430000000002</v>
      </c>
      <c r="G357"/>
      <c r="H357"/>
      <c r="I357"/>
      <c r="J357"/>
      <c r="K357"/>
      <c r="L357">
        <v>44.813510000000001</v>
      </c>
      <c r="M357">
        <v>28.911819999999999</v>
      </c>
      <c r="N357"/>
      <c r="O357">
        <v>14.94678</v>
      </c>
      <c r="P357"/>
      <c r="Q357"/>
      <c r="R357">
        <v>28.563110000000002</v>
      </c>
      <c r="S357">
        <v>30.143560000000001</v>
      </c>
      <c r="T357"/>
      <c r="U357">
        <v>30.75264</v>
      </c>
      <c r="V357">
        <v>24.115269999999999</v>
      </c>
      <c r="W357">
        <v>3.5052699999999999</v>
      </c>
      <c r="X357"/>
      <c r="Y357"/>
      <c r="Z357"/>
      <c r="AA357">
        <v>19.340150000000001</v>
      </c>
      <c r="AB357"/>
      <c r="AC357">
        <v>1.209795E-2</v>
      </c>
      <c r="AD357">
        <v>14.34895</v>
      </c>
      <c r="AE357">
        <v>67.299359999999993</v>
      </c>
      <c r="AF357"/>
      <c r="AG357"/>
      <c r="AH357">
        <v>34.629489999999997</v>
      </c>
      <c r="AI357"/>
      <c r="AJ357"/>
      <c r="AK357">
        <v>40.657310000000003</v>
      </c>
      <c r="AL357"/>
      <c r="AM357">
        <v>14.877980000000001</v>
      </c>
      <c r="AN357">
        <v>11.9458</v>
      </c>
      <c r="AO357"/>
      <c r="AP357">
        <v>6.0124940000000002</v>
      </c>
      <c r="AQ357"/>
      <c r="AR357"/>
      <c r="AS357"/>
      <c r="AT357"/>
      <c r="AU357">
        <v>28.071190000000001</v>
      </c>
      <c r="AV357"/>
      <c r="AW357">
        <v>27.286259999999999</v>
      </c>
      <c r="AX357"/>
    </row>
    <row r="358" spans="1:50" x14ac:dyDescent="0.35">
      <c r="A358" s="75">
        <v>28734</v>
      </c>
      <c r="B358">
        <v>37.928359999999998</v>
      </c>
      <c r="C358">
        <v>35.169080000000001</v>
      </c>
      <c r="D358"/>
      <c r="E358">
        <v>30.394500000000001</v>
      </c>
      <c r="F358">
        <v>50.605049999999999</v>
      </c>
      <c r="G358"/>
      <c r="H358"/>
      <c r="I358"/>
      <c r="J358"/>
      <c r="K358"/>
      <c r="L358">
        <v>44.782879999999999</v>
      </c>
      <c r="M358">
        <v>29.104849999999999</v>
      </c>
      <c r="N358"/>
      <c r="O358">
        <v>15.17534</v>
      </c>
      <c r="P358"/>
      <c r="Q358"/>
      <c r="R358">
        <v>28.70598</v>
      </c>
      <c r="S358">
        <v>30.334420000000001</v>
      </c>
      <c r="T358"/>
      <c r="U358">
        <v>31.018529999999998</v>
      </c>
      <c r="V358">
        <v>24.255880000000001</v>
      </c>
      <c r="W358">
        <v>3.6325720000000001</v>
      </c>
      <c r="X358"/>
      <c r="Y358"/>
      <c r="Z358"/>
      <c r="AA358">
        <v>19.340150000000001</v>
      </c>
      <c r="AB358"/>
      <c r="AC358">
        <v>1.2389880000000001E-2</v>
      </c>
      <c r="AD358">
        <v>14.606339999999999</v>
      </c>
      <c r="AE358">
        <v>67.984059999999999</v>
      </c>
      <c r="AF358"/>
      <c r="AG358"/>
      <c r="AH358">
        <v>34.694180000000003</v>
      </c>
      <c r="AI358"/>
      <c r="AJ358"/>
      <c r="AK358">
        <v>41.060600000000001</v>
      </c>
      <c r="AL358"/>
      <c r="AM358">
        <v>15.03012</v>
      </c>
      <c r="AN358">
        <v>12.071490000000001</v>
      </c>
      <c r="AO358"/>
      <c r="AP358">
        <v>6.0926130000000001</v>
      </c>
      <c r="AQ358"/>
      <c r="AR358"/>
      <c r="AS358"/>
      <c r="AT358"/>
      <c r="AU358">
        <v>28.26802</v>
      </c>
      <c r="AV358"/>
      <c r="AW358">
        <v>27.575220000000002</v>
      </c>
      <c r="AX358"/>
    </row>
    <row r="359" spans="1:50" x14ac:dyDescent="0.35">
      <c r="A359" s="75">
        <v>28764</v>
      </c>
      <c r="B359">
        <v>38.025170000000003</v>
      </c>
      <c r="C359">
        <v>35.315750000000001</v>
      </c>
      <c r="D359"/>
      <c r="E359">
        <v>30.843900000000001</v>
      </c>
      <c r="F359">
        <v>50.545540000000003</v>
      </c>
      <c r="G359"/>
      <c r="H359"/>
      <c r="I359"/>
      <c r="J359"/>
      <c r="K359"/>
      <c r="L359">
        <v>44.88017</v>
      </c>
      <c r="M359">
        <v>29.62246</v>
      </c>
      <c r="N359"/>
      <c r="O359">
        <v>15.440810000000001</v>
      </c>
      <c r="P359"/>
      <c r="Q359"/>
      <c r="R359">
        <v>28.849060000000001</v>
      </c>
      <c r="S359">
        <v>30.652550000000002</v>
      </c>
      <c r="T359"/>
      <c r="U359">
        <v>31.24268</v>
      </c>
      <c r="V359">
        <v>24.447369999999999</v>
      </c>
      <c r="W359">
        <v>3.7029459999999998</v>
      </c>
      <c r="X359"/>
      <c r="Y359"/>
      <c r="Z359"/>
      <c r="AA359">
        <v>19.73704</v>
      </c>
      <c r="AB359"/>
      <c r="AC359">
        <v>1.323651E-2</v>
      </c>
      <c r="AD359">
        <v>14.74169</v>
      </c>
      <c r="AE359">
        <v>68.315929999999994</v>
      </c>
      <c r="AF359"/>
      <c r="AG359"/>
      <c r="AH359">
        <v>34.913040000000002</v>
      </c>
      <c r="AI359"/>
      <c r="AJ359"/>
      <c r="AK359">
        <v>41.246429999999997</v>
      </c>
      <c r="AL359"/>
      <c r="AM359">
        <v>15.17629</v>
      </c>
      <c r="AN359">
        <v>12.212910000000001</v>
      </c>
      <c r="AO359"/>
      <c r="AP359">
        <v>6.2577309999999997</v>
      </c>
      <c r="AQ359"/>
      <c r="AR359"/>
      <c r="AS359"/>
      <c r="AT359"/>
      <c r="AU359">
        <v>28.44445</v>
      </c>
      <c r="AV359"/>
      <c r="AW359">
        <v>27.78162</v>
      </c>
      <c r="AX359"/>
    </row>
    <row r="360" spans="1:50" x14ac:dyDescent="0.35">
      <c r="A360" s="75">
        <v>28795</v>
      </c>
      <c r="B360">
        <v>38.169409999999999</v>
      </c>
      <c r="C360">
        <v>35.42624</v>
      </c>
      <c r="D360"/>
      <c r="E360">
        <v>31.036079999999998</v>
      </c>
      <c r="F360">
        <v>50.535609999999998</v>
      </c>
      <c r="G360"/>
      <c r="H360"/>
      <c r="I360"/>
      <c r="J360"/>
      <c r="K360"/>
      <c r="L360">
        <v>44.977440000000001</v>
      </c>
      <c r="M360">
        <v>29.881900000000002</v>
      </c>
      <c r="N360"/>
      <c r="O360">
        <v>15.68177</v>
      </c>
      <c r="P360"/>
      <c r="Q360"/>
      <c r="R360">
        <v>29.104970000000002</v>
      </c>
      <c r="S360">
        <v>30.835190000000001</v>
      </c>
      <c r="T360"/>
      <c r="U360">
        <v>31.424060000000001</v>
      </c>
      <c r="V360">
        <v>24.542649999999998</v>
      </c>
      <c r="W360">
        <v>3.7374149999999999</v>
      </c>
      <c r="X360"/>
      <c r="Y360"/>
      <c r="Z360"/>
      <c r="AA360">
        <v>19.73704</v>
      </c>
      <c r="AB360"/>
      <c r="AC360">
        <v>1.384958E-2</v>
      </c>
      <c r="AD360">
        <v>14.92019</v>
      </c>
      <c r="AE360">
        <v>68.300439999999995</v>
      </c>
      <c r="AF360"/>
      <c r="AG360"/>
      <c r="AH360">
        <v>35.057009999999998</v>
      </c>
      <c r="AI360"/>
      <c r="AJ360"/>
      <c r="AK360">
        <v>41.26999</v>
      </c>
      <c r="AL360"/>
      <c r="AM360">
        <v>15.281370000000001</v>
      </c>
      <c r="AN360">
        <v>12.311450000000001</v>
      </c>
      <c r="AO360"/>
      <c r="AP360">
        <v>6.4549529999999997</v>
      </c>
      <c r="AQ360"/>
      <c r="AR360"/>
      <c r="AS360"/>
      <c r="AT360"/>
      <c r="AU360">
        <v>28.548269999999999</v>
      </c>
      <c r="AV360"/>
      <c r="AW360">
        <v>27.988019999999999</v>
      </c>
      <c r="AX360"/>
    </row>
    <row r="361" spans="1:50" x14ac:dyDescent="0.35">
      <c r="A361" s="75">
        <v>28825</v>
      </c>
      <c r="B361">
        <v>38.271639999999998</v>
      </c>
      <c r="C361">
        <v>35.580379999999998</v>
      </c>
      <c r="D361"/>
      <c r="E361">
        <v>31.084759999999999</v>
      </c>
      <c r="F361">
        <v>50.53546</v>
      </c>
      <c r="G361"/>
      <c r="H361"/>
      <c r="I361"/>
      <c r="J361"/>
      <c r="K361"/>
      <c r="L361">
        <v>45.052549999999997</v>
      </c>
      <c r="M361">
        <v>29.902349999999998</v>
      </c>
      <c r="N361"/>
      <c r="O361">
        <v>15.90476</v>
      </c>
      <c r="P361"/>
      <c r="Q361"/>
      <c r="R361">
        <v>29.11065</v>
      </c>
      <c r="S361">
        <v>31.004719999999999</v>
      </c>
      <c r="T361"/>
      <c r="U361">
        <v>31.524260000000002</v>
      </c>
      <c r="V361">
        <v>24.758970000000001</v>
      </c>
      <c r="W361">
        <v>3.793193</v>
      </c>
      <c r="X361"/>
      <c r="Y361"/>
      <c r="Z361"/>
      <c r="AA361">
        <v>19.73704</v>
      </c>
      <c r="AB361"/>
      <c r="AC361">
        <v>1.428165E-2</v>
      </c>
      <c r="AD361">
        <v>14.98465</v>
      </c>
      <c r="AE361">
        <v>68.359179999999995</v>
      </c>
      <c r="AF361"/>
      <c r="AG361"/>
      <c r="AH361">
        <v>35.042380000000001</v>
      </c>
      <c r="AI361"/>
      <c r="AJ361"/>
      <c r="AK361">
        <v>41.200989999999997</v>
      </c>
      <c r="AL361"/>
      <c r="AM361">
        <v>15.35159</v>
      </c>
      <c r="AN361">
        <v>12.39766</v>
      </c>
      <c r="AO361"/>
      <c r="AP361">
        <v>6.548171</v>
      </c>
      <c r="AQ361"/>
      <c r="AR361"/>
      <c r="AS361"/>
      <c r="AT361"/>
      <c r="AU361">
        <v>28.735009999999999</v>
      </c>
      <c r="AV361"/>
      <c r="AW361">
        <v>28.07058</v>
      </c>
      <c r="AX361"/>
    </row>
    <row r="362" spans="1:50" x14ac:dyDescent="0.35">
      <c r="A362" s="75">
        <v>28856</v>
      </c>
      <c r="B362">
        <v>38.582560000000001</v>
      </c>
      <c r="C362">
        <v>35.765590000000003</v>
      </c>
      <c r="D362"/>
      <c r="E362">
        <v>31.116050000000001</v>
      </c>
      <c r="F362">
        <v>50.639000000000003</v>
      </c>
      <c r="G362"/>
      <c r="H362"/>
      <c r="I362"/>
      <c r="J362"/>
      <c r="K362"/>
      <c r="L362">
        <v>45.450130000000001</v>
      </c>
      <c r="M362">
        <v>29.902349999999998</v>
      </c>
      <c r="N362"/>
      <c r="O362">
        <v>16.273099999999999</v>
      </c>
      <c r="P362"/>
      <c r="Q362"/>
      <c r="R362">
        <v>29.458359999999999</v>
      </c>
      <c r="S362">
        <v>31.276679999999999</v>
      </c>
      <c r="T362"/>
      <c r="U362">
        <v>31.73535</v>
      </c>
      <c r="V362">
        <v>25.027290000000001</v>
      </c>
      <c r="W362">
        <v>3.924992</v>
      </c>
      <c r="X362"/>
      <c r="Y362"/>
      <c r="Z362"/>
      <c r="AA362">
        <v>20.341629999999999</v>
      </c>
      <c r="AB362"/>
      <c r="AC362">
        <v>1.5069880000000001E-2</v>
      </c>
      <c r="AD362">
        <v>15.260120000000001</v>
      </c>
      <c r="AE362">
        <v>68.310379999999995</v>
      </c>
      <c r="AF362"/>
      <c r="AG362"/>
      <c r="AH362">
        <v>35.285020000000003</v>
      </c>
      <c r="AI362"/>
      <c r="AJ362"/>
      <c r="AK362">
        <v>41.006979999999999</v>
      </c>
      <c r="AL362">
        <v>25.93657</v>
      </c>
      <c r="AM362">
        <v>15.483000000000001</v>
      </c>
      <c r="AN362">
        <v>12.53654</v>
      </c>
      <c r="AO362"/>
      <c r="AP362">
        <v>6.5771790000000001</v>
      </c>
      <c r="AQ362"/>
      <c r="AR362"/>
      <c r="AS362"/>
      <c r="AT362"/>
      <c r="AU362">
        <v>28.86243</v>
      </c>
      <c r="AV362"/>
      <c r="AW362">
        <v>28.235700000000001</v>
      </c>
      <c r="AX362"/>
    </row>
    <row r="363" spans="1:50" x14ac:dyDescent="0.35">
      <c r="A363" s="75">
        <v>28887</v>
      </c>
      <c r="B363">
        <v>38.711689999999997</v>
      </c>
      <c r="C363">
        <v>35.853900000000003</v>
      </c>
      <c r="D363"/>
      <c r="E363">
        <v>31.48272</v>
      </c>
      <c r="F363">
        <v>50.925789999999999</v>
      </c>
      <c r="G363"/>
      <c r="H363"/>
      <c r="I363"/>
      <c r="J363"/>
      <c r="K363"/>
      <c r="L363">
        <v>45.443559999999998</v>
      </c>
      <c r="M363">
        <v>29.998069999999998</v>
      </c>
      <c r="N363"/>
      <c r="O363">
        <v>16.495699999999999</v>
      </c>
      <c r="P363"/>
      <c r="Q363"/>
      <c r="R363">
        <v>29.77805</v>
      </c>
      <c r="S363">
        <v>31.46998</v>
      </c>
      <c r="T363"/>
      <c r="U363">
        <v>31.945820000000001</v>
      </c>
      <c r="V363">
        <v>25.25855</v>
      </c>
      <c r="W363">
        <v>3.853885</v>
      </c>
      <c r="X363"/>
      <c r="Y363"/>
      <c r="Z363"/>
      <c r="AA363">
        <v>20.341629999999999</v>
      </c>
      <c r="AB363"/>
      <c r="AC363">
        <v>1.537934E-2</v>
      </c>
      <c r="AD363">
        <v>15.48654</v>
      </c>
      <c r="AE363">
        <v>68.13194</v>
      </c>
      <c r="AF363"/>
      <c r="AG363"/>
      <c r="AH363">
        <v>35.442999999999998</v>
      </c>
      <c r="AI363"/>
      <c r="AJ363"/>
      <c r="AK363">
        <v>41.182510000000001</v>
      </c>
      <c r="AL363">
        <v>26.06522</v>
      </c>
      <c r="AM363">
        <v>15.596819999999999</v>
      </c>
      <c r="AN363">
        <v>12.62167</v>
      </c>
      <c r="AO363"/>
      <c r="AP363">
        <v>6.6395799999999996</v>
      </c>
      <c r="AQ363"/>
      <c r="AR363"/>
      <c r="AS363"/>
      <c r="AT363"/>
      <c r="AU363">
        <v>29.1069</v>
      </c>
      <c r="AV363"/>
      <c r="AW363">
        <v>28.48338</v>
      </c>
      <c r="AX363"/>
    </row>
    <row r="364" spans="1:50" x14ac:dyDescent="0.35">
      <c r="A364" s="75">
        <v>28915</v>
      </c>
      <c r="B364">
        <v>38.727350000000001</v>
      </c>
      <c r="C364">
        <v>35.876130000000003</v>
      </c>
      <c r="D364"/>
      <c r="E364">
        <v>31.730399999999999</v>
      </c>
      <c r="F364">
        <v>50.978859999999997</v>
      </c>
      <c r="G364"/>
      <c r="H364"/>
      <c r="I364"/>
      <c r="J364"/>
      <c r="K364"/>
      <c r="L364">
        <v>45.619450000000001</v>
      </c>
      <c r="M364">
        <v>30.2303</v>
      </c>
      <c r="N364"/>
      <c r="O364">
        <v>16.708120000000001</v>
      </c>
      <c r="P364"/>
      <c r="Q364"/>
      <c r="R364">
        <v>29.955269999999999</v>
      </c>
      <c r="S364">
        <v>31.75347</v>
      </c>
      <c r="T364"/>
      <c r="U364">
        <v>32.207070000000002</v>
      </c>
      <c r="V364">
        <v>25.44116</v>
      </c>
      <c r="W364">
        <v>4.0265149999999998</v>
      </c>
      <c r="X364"/>
      <c r="Y364"/>
      <c r="Z364"/>
      <c r="AA364">
        <v>20.341629999999999</v>
      </c>
      <c r="AB364"/>
      <c r="AC364">
        <v>1.6068320000000001E-2</v>
      </c>
      <c r="AD364">
        <v>15.686909999999999</v>
      </c>
      <c r="AE364">
        <v>68.650540000000007</v>
      </c>
      <c r="AF364"/>
      <c r="AG364"/>
      <c r="AH364">
        <v>35.456200000000003</v>
      </c>
      <c r="AI364"/>
      <c r="AJ364"/>
      <c r="AK364">
        <v>41.588630000000002</v>
      </c>
      <c r="AL364">
        <v>26.13101</v>
      </c>
      <c r="AM364">
        <v>15.73433</v>
      </c>
      <c r="AN364">
        <v>12.73035</v>
      </c>
      <c r="AO364"/>
      <c r="AP364">
        <v>6.6995269999999998</v>
      </c>
      <c r="AQ364"/>
      <c r="AR364"/>
      <c r="AS364"/>
      <c r="AT364"/>
      <c r="AU364">
        <v>29.23518</v>
      </c>
      <c r="AV364"/>
      <c r="AW364">
        <v>28.731069999999999</v>
      </c>
      <c r="AX364"/>
    </row>
    <row r="365" spans="1:50" x14ac:dyDescent="0.35">
      <c r="A365" s="75">
        <v>28946</v>
      </c>
      <c r="B365">
        <v>38.783259999999999</v>
      </c>
      <c r="C365">
        <v>36.021079999999998</v>
      </c>
      <c r="D365"/>
      <c r="E365">
        <v>31.958829999999999</v>
      </c>
      <c r="F365">
        <v>51.112569999999998</v>
      </c>
      <c r="G365"/>
      <c r="H365"/>
      <c r="I365"/>
      <c r="J365"/>
      <c r="K365"/>
      <c r="L365">
        <v>45.781480000000002</v>
      </c>
      <c r="M365">
        <v>30.344180000000001</v>
      </c>
      <c r="N365"/>
      <c r="O365">
        <v>17.031269999999999</v>
      </c>
      <c r="P365"/>
      <c r="Q365"/>
      <c r="R365">
        <v>30.29055</v>
      </c>
      <c r="S365">
        <v>32.098680000000002</v>
      </c>
      <c r="T365"/>
      <c r="U365">
        <v>32.499290000000002</v>
      </c>
      <c r="V365">
        <v>25.952719999999999</v>
      </c>
      <c r="W365">
        <v>4.0838950000000001</v>
      </c>
      <c r="X365"/>
      <c r="Y365"/>
      <c r="Z365"/>
      <c r="AA365">
        <v>21.114139999999999</v>
      </c>
      <c r="AB365"/>
      <c r="AC365">
        <v>1.7691490000000001E-2</v>
      </c>
      <c r="AD365">
        <v>15.889010000000001</v>
      </c>
      <c r="AE365">
        <v>69.155879999999996</v>
      </c>
      <c r="AF365"/>
      <c r="AG365"/>
      <c r="AH365">
        <v>35.556800000000003</v>
      </c>
      <c r="AI365"/>
      <c r="AJ365"/>
      <c r="AK365">
        <v>41.933839999999996</v>
      </c>
      <c r="AL365">
        <v>26.248539999999998</v>
      </c>
      <c r="AM365">
        <v>15.900040000000001</v>
      </c>
      <c r="AN365">
        <v>12.887869999999999</v>
      </c>
      <c r="AO365"/>
      <c r="AP365">
        <v>6.7992049999999997</v>
      </c>
      <c r="AQ365"/>
      <c r="AR365"/>
      <c r="AS365"/>
      <c r="AT365"/>
      <c r="AU365">
        <v>29.446870000000001</v>
      </c>
      <c r="AV365"/>
      <c r="AW365">
        <v>28.978750000000002</v>
      </c>
      <c r="AX365"/>
    </row>
    <row r="366" spans="1:50" x14ac:dyDescent="0.35">
      <c r="A366" s="75">
        <v>28976</v>
      </c>
      <c r="B366">
        <v>38.896859999999997</v>
      </c>
      <c r="C366">
        <v>36.11712</v>
      </c>
      <c r="D366"/>
      <c r="E366">
        <v>32.347450000000002</v>
      </c>
      <c r="F366">
        <v>51.135100000000001</v>
      </c>
      <c r="G366"/>
      <c r="H366"/>
      <c r="I366"/>
      <c r="J366"/>
      <c r="K366"/>
      <c r="L366">
        <v>45.882109999999997</v>
      </c>
      <c r="M366">
        <v>30.92483</v>
      </c>
      <c r="N366"/>
      <c r="O366">
        <v>17.277080000000002</v>
      </c>
      <c r="P366"/>
      <c r="Q366"/>
      <c r="R366">
        <v>30.425160000000002</v>
      </c>
      <c r="S366">
        <v>32.377450000000003</v>
      </c>
      <c r="T366"/>
      <c r="U366">
        <v>32.765120000000003</v>
      </c>
      <c r="V366">
        <v>26.131889999999999</v>
      </c>
      <c r="W366">
        <v>4.1109640000000001</v>
      </c>
      <c r="X366"/>
      <c r="Y366"/>
      <c r="Z366"/>
      <c r="AA366">
        <v>21.114139999999999</v>
      </c>
      <c r="AB366"/>
      <c r="AC366">
        <v>1.866657E-2</v>
      </c>
      <c r="AD366">
        <v>16.060130000000001</v>
      </c>
      <c r="AE366">
        <v>69.85145</v>
      </c>
      <c r="AF366"/>
      <c r="AG366"/>
      <c r="AH366">
        <v>35.725090000000002</v>
      </c>
      <c r="AI366"/>
      <c r="AJ366"/>
      <c r="AK366">
        <v>41.970219999999998</v>
      </c>
      <c r="AL366">
        <v>26.32011</v>
      </c>
      <c r="AM366">
        <v>16.047879999999999</v>
      </c>
      <c r="AN366">
        <v>13.00264</v>
      </c>
      <c r="AO366"/>
      <c r="AP366">
        <v>6.8888350000000003</v>
      </c>
      <c r="AQ366"/>
      <c r="AR366"/>
      <c r="AS366"/>
      <c r="AT366"/>
      <c r="AU366">
        <v>29.613330000000001</v>
      </c>
      <c r="AV366"/>
      <c r="AW366">
        <v>29.226430000000001</v>
      </c>
      <c r="AX366"/>
    </row>
    <row r="367" spans="1:50" x14ac:dyDescent="0.35">
      <c r="A367" s="75">
        <v>29007</v>
      </c>
      <c r="B367">
        <v>38.969949999999997</v>
      </c>
      <c r="C367">
        <v>36.219459999999998</v>
      </c>
      <c r="D367"/>
      <c r="E367">
        <v>32.552059999999997</v>
      </c>
      <c r="F367">
        <v>51.358800000000002</v>
      </c>
      <c r="G367"/>
      <c r="H367"/>
      <c r="I367"/>
      <c r="J367"/>
      <c r="K367"/>
      <c r="L367">
        <v>46.036119999999997</v>
      </c>
      <c r="M367">
        <v>31.110569999999999</v>
      </c>
      <c r="N367"/>
      <c r="O367">
        <v>17.459879999999998</v>
      </c>
      <c r="P367"/>
      <c r="Q367"/>
      <c r="R367">
        <v>30.56897</v>
      </c>
      <c r="S367">
        <v>32.639029999999998</v>
      </c>
      <c r="T367"/>
      <c r="U367">
        <v>32.987670000000001</v>
      </c>
      <c r="V367">
        <v>26.388750000000002</v>
      </c>
      <c r="W367">
        <v>4.2775059999999998</v>
      </c>
      <c r="X367"/>
      <c r="Y367"/>
      <c r="Z367"/>
      <c r="AA367">
        <v>21.114139999999999</v>
      </c>
      <c r="AB367"/>
      <c r="AC367">
        <v>1.970003E-2</v>
      </c>
      <c r="AD367">
        <v>16.183509999999998</v>
      </c>
      <c r="AE367">
        <v>69.903710000000004</v>
      </c>
      <c r="AF367"/>
      <c r="AG367"/>
      <c r="AH367">
        <v>35.841839999999998</v>
      </c>
      <c r="AI367"/>
      <c r="AJ367"/>
      <c r="AK367">
        <v>41.981310000000001</v>
      </c>
      <c r="AL367">
        <v>26.402899999999999</v>
      </c>
      <c r="AM367">
        <v>16.204650000000001</v>
      </c>
      <c r="AN367">
        <v>13.177569999999999</v>
      </c>
      <c r="AO367"/>
      <c r="AP367">
        <v>6.9187209999999997</v>
      </c>
      <c r="AQ367"/>
      <c r="AR367"/>
      <c r="AS367"/>
      <c r="AT367"/>
      <c r="AU367">
        <v>29.683589999999999</v>
      </c>
      <c r="AV367"/>
      <c r="AW367">
        <v>29.47411</v>
      </c>
      <c r="AX367"/>
    </row>
    <row r="368" spans="1:50" x14ac:dyDescent="0.35">
      <c r="A368" s="75">
        <v>29037</v>
      </c>
      <c r="B368">
        <v>39.075699999999998</v>
      </c>
      <c r="C368">
        <v>36.421219999999998</v>
      </c>
      <c r="D368"/>
      <c r="E368">
        <v>32.710189999999997</v>
      </c>
      <c r="F368">
        <v>51.45776</v>
      </c>
      <c r="G368"/>
      <c r="H368"/>
      <c r="I368"/>
      <c r="J368"/>
      <c r="K368"/>
      <c r="L368">
        <v>46.239280000000001</v>
      </c>
      <c r="M368">
        <v>31.494610000000002</v>
      </c>
      <c r="N368"/>
      <c r="O368">
        <v>17.50338</v>
      </c>
      <c r="P368"/>
      <c r="Q368"/>
      <c r="R368">
        <v>30.696000000000002</v>
      </c>
      <c r="S368">
        <v>33.08155</v>
      </c>
      <c r="T368"/>
      <c r="U368">
        <v>33.321530000000003</v>
      </c>
      <c r="V368">
        <v>27.549710000000001</v>
      </c>
      <c r="W368">
        <v>4.3051690000000002</v>
      </c>
      <c r="X368"/>
      <c r="Y368"/>
      <c r="Z368"/>
      <c r="AA368">
        <v>21.975349999999999</v>
      </c>
      <c r="AB368"/>
      <c r="AC368">
        <v>2.0920339999999999E-2</v>
      </c>
      <c r="AD368">
        <v>16.337510000000002</v>
      </c>
      <c r="AE368">
        <v>70.145930000000007</v>
      </c>
      <c r="AF368"/>
      <c r="AG368"/>
      <c r="AH368">
        <v>35.973840000000003</v>
      </c>
      <c r="AI368"/>
      <c r="AJ368"/>
      <c r="AK368">
        <v>42.166400000000003</v>
      </c>
      <c r="AL368">
        <v>26.53426</v>
      </c>
      <c r="AM368">
        <v>16.393969999999999</v>
      </c>
      <c r="AN368">
        <v>13.395110000000001</v>
      </c>
      <c r="AO368"/>
      <c r="AP368">
        <v>6.8973490000000002</v>
      </c>
      <c r="AQ368"/>
      <c r="AR368"/>
      <c r="AS368"/>
      <c r="AT368"/>
      <c r="AU368">
        <v>29.812280000000001</v>
      </c>
      <c r="AV368"/>
      <c r="AW368">
        <v>29.721789999999999</v>
      </c>
      <c r="AX368"/>
    </row>
    <row r="369" spans="1:50" x14ac:dyDescent="0.35">
      <c r="A369" s="75">
        <v>29068</v>
      </c>
      <c r="B369">
        <v>39.170879999999997</v>
      </c>
      <c r="C369">
        <v>36.453919999999997</v>
      </c>
      <c r="D369"/>
      <c r="E369">
        <v>32.86645</v>
      </c>
      <c r="F369">
        <v>51.60575</v>
      </c>
      <c r="G369"/>
      <c r="H369"/>
      <c r="I369"/>
      <c r="J369"/>
      <c r="K369"/>
      <c r="L369">
        <v>46.382510000000003</v>
      </c>
      <c r="M369">
        <v>31.985880000000002</v>
      </c>
      <c r="N369"/>
      <c r="O369">
        <v>17.663209999999999</v>
      </c>
      <c r="P369"/>
      <c r="Q369"/>
      <c r="R369">
        <v>30.87576</v>
      </c>
      <c r="S369">
        <v>33.34863</v>
      </c>
      <c r="T369"/>
      <c r="U369">
        <v>33.521079999999998</v>
      </c>
      <c r="V369">
        <v>27.78051</v>
      </c>
      <c r="W369">
        <v>4.2506690000000003</v>
      </c>
      <c r="X369"/>
      <c r="Y369"/>
      <c r="Z369"/>
      <c r="AA369">
        <v>21.975349999999999</v>
      </c>
      <c r="AB369"/>
      <c r="AC369">
        <v>2.2029710000000001E-2</v>
      </c>
      <c r="AD369">
        <v>16.51754</v>
      </c>
      <c r="AE369">
        <v>69.358930000000001</v>
      </c>
      <c r="AF369"/>
      <c r="AG369"/>
      <c r="AH369">
        <v>36.065510000000003</v>
      </c>
      <c r="AI369"/>
      <c r="AJ369"/>
      <c r="AK369">
        <v>42.302759999999999</v>
      </c>
      <c r="AL369">
        <v>26.56869</v>
      </c>
      <c r="AM369">
        <v>16.509810000000002</v>
      </c>
      <c r="AN369">
        <v>13.517580000000001</v>
      </c>
      <c r="AO369"/>
      <c r="AP369">
        <v>6.9931859999999997</v>
      </c>
      <c r="AQ369"/>
      <c r="AR369"/>
      <c r="AS369"/>
      <c r="AT369"/>
      <c r="AU369">
        <v>30.08652</v>
      </c>
      <c r="AV369"/>
      <c r="AW369">
        <v>30.010750000000002</v>
      </c>
      <c r="AX369"/>
    </row>
    <row r="370" spans="1:50" x14ac:dyDescent="0.35">
      <c r="A370" s="75">
        <v>29099</v>
      </c>
      <c r="B370">
        <v>39.392400000000002</v>
      </c>
      <c r="C370">
        <v>36.477020000000003</v>
      </c>
      <c r="D370"/>
      <c r="E370">
        <v>33.16939</v>
      </c>
      <c r="F370">
        <v>51.736640000000001</v>
      </c>
      <c r="G370"/>
      <c r="H370"/>
      <c r="I370"/>
      <c r="J370"/>
      <c r="K370"/>
      <c r="L370">
        <v>46.665619999999997</v>
      </c>
      <c r="M370">
        <v>32.354750000000003</v>
      </c>
      <c r="N370"/>
      <c r="O370">
        <v>18.010090000000002</v>
      </c>
      <c r="P370"/>
      <c r="Q370"/>
      <c r="R370">
        <v>31.047419999999999</v>
      </c>
      <c r="S370">
        <v>33.613439999999997</v>
      </c>
      <c r="T370"/>
      <c r="U370">
        <v>33.891710000000003</v>
      </c>
      <c r="V370">
        <v>28.110720000000001</v>
      </c>
      <c r="W370">
        <v>4.3647299999999998</v>
      </c>
      <c r="X370"/>
      <c r="Y370"/>
      <c r="Z370"/>
      <c r="AA370">
        <v>21.975349999999999</v>
      </c>
      <c r="AB370"/>
      <c r="AC370">
        <v>2.3652889999999999E-2</v>
      </c>
      <c r="AD370">
        <v>16.956610000000001</v>
      </c>
      <c r="AE370">
        <v>70.319370000000006</v>
      </c>
      <c r="AF370"/>
      <c r="AG370"/>
      <c r="AH370">
        <v>36.241630000000001</v>
      </c>
      <c r="AI370"/>
      <c r="AJ370"/>
      <c r="AK370">
        <v>42.728059999999999</v>
      </c>
      <c r="AL370">
        <v>26.76606</v>
      </c>
      <c r="AM370">
        <v>16.702159999999999</v>
      </c>
      <c r="AN370">
        <v>13.702719999999999</v>
      </c>
      <c r="AO370"/>
      <c r="AP370">
        <v>7.178833</v>
      </c>
      <c r="AQ370"/>
      <c r="AR370"/>
      <c r="AS370"/>
      <c r="AT370"/>
      <c r="AU370">
        <v>30.231339999999999</v>
      </c>
      <c r="AV370"/>
      <c r="AW370">
        <v>30.299720000000001</v>
      </c>
      <c r="AX370"/>
    </row>
    <row r="371" spans="1:50" x14ac:dyDescent="0.35">
      <c r="A371" s="75">
        <v>29129</v>
      </c>
      <c r="B371">
        <v>39.596629999999998</v>
      </c>
      <c r="C371">
        <v>36.576140000000002</v>
      </c>
      <c r="D371"/>
      <c r="E371">
        <v>33.402070000000002</v>
      </c>
      <c r="F371">
        <v>51.754249999999999</v>
      </c>
      <c r="G371"/>
      <c r="H371"/>
      <c r="I371"/>
      <c r="J371"/>
      <c r="K371"/>
      <c r="L371">
        <v>46.759250000000002</v>
      </c>
      <c r="M371">
        <v>32.54927</v>
      </c>
      <c r="N371"/>
      <c r="O371">
        <v>18.358609999999999</v>
      </c>
      <c r="P371"/>
      <c r="Q371"/>
      <c r="R371">
        <v>31.183530000000001</v>
      </c>
      <c r="S371">
        <v>34.044130000000003</v>
      </c>
      <c r="T371"/>
      <c r="U371">
        <v>34.213929999999998</v>
      </c>
      <c r="V371">
        <v>28.427520000000001</v>
      </c>
      <c r="W371">
        <v>4.5180709999999999</v>
      </c>
      <c r="X371"/>
      <c r="Y371"/>
      <c r="Z371"/>
      <c r="AA371">
        <v>22.89781</v>
      </c>
      <c r="AB371"/>
      <c r="AC371">
        <v>2.5708129999999999E-2</v>
      </c>
      <c r="AD371">
        <v>17.322990000000001</v>
      </c>
      <c r="AE371">
        <v>70.784000000000006</v>
      </c>
      <c r="AF371"/>
      <c r="AG371"/>
      <c r="AH371">
        <v>36.529690000000002</v>
      </c>
      <c r="AI371"/>
      <c r="AJ371"/>
      <c r="AK371">
        <v>43.154170000000001</v>
      </c>
      <c r="AL371">
        <v>26.972149999999999</v>
      </c>
      <c r="AM371">
        <v>16.909849999999999</v>
      </c>
      <c r="AN371">
        <v>13.920159999999999</v>
      </c>
      <c r="AO371"/>
      <c r="AP371">
        <v>7.366835</v>
      </c>
      <c r="AQ371"/>
      <c r="AR371"/>
      <c r="AS371"/>
      <c r="AT371"/>
      <c r="AU371">
        <v>30.605820000000001</v>
      </c>
      <c r="AV371"/>
      <c r="AW371">
        <v>30.58868</v>
      </c>
      <c r="AX371"/>
    </row>
    <row r="372" spans="1:50" x14ac:dyDescent="0.35">
      <c r="A372" s="75">
        <v>29160</v>
      </c>
      <c r="B372">
        <v>39.871760000000002</v>
      </c>
      <c r="C372">
        <v>36.676960000000001</v>
      </c>
      <c r="D372"/>
      <c r="E372">
        <v>33.786769999999997</v>
      </c>
      <c r="F372">
        <v>51.939129999999999</v>
      </c>
      <c r="G372"/>
      <c r="H372"/>
      <c r="I372"/>
      <c r="J372"/>
      <c r="K372"/>
      <c r="L372">
        <v>47.023679999999999</v>
      </c>
      <c r="M372">
        <v>32.851419999999997</v>
      </c>
      <c r="N372"/>
      <c r="O372">
        <v>18.575150000000001</v>
      </c>
      <c r="P372"/>
      <c r="Q372"/>
      <c r="R372">
        <v>31.414370000000002</v>
      </c>
      <c r="S372">
        <v>34.300629999999998</v>
      </c>
      <c r="T372"/>
      <c r="U372">
        <v>34.532089999999997</v>
      </c>
      <c r="V372">
        <v>28.63109</v>
      </c>
      <c r="W372">
        <v>4.5793220000000003</v>
      </c>
      <c r="X372"/>
      <c r="Y372"/>
      <c r="Z372"/>
      <c r="AA372">
        <v>22.89781</v>
      </c>
      <c r="AB372"/>
      <c r="AC372">
        <v>2.7471450000000001E-2</v>
      </c>
      <c r="AD372">
        <v>17.59122</v>
      </c>
      <c r="AE372">
        <v>70.718689999999995</v>
      </c>
      <c r="AF372"/>
      <c r="AG372"/>
      <c r="AH372">
        <v>36.814540000000001</v>
      </c>
      <c r="AI372"/>
      <c r="AJ372"/>
      <c r="AK372">
        <v>43.200780000000002</v>
      </c>
      <c r="AL372">
        <v>27.166370000000001</v>
      </c>
      <c r="AM372">
        <v>17.102360000000001</v>
      </c>
      <c r="AN372">
        <v>14.10928</v>
      </c>
      <c r="AO372"/>
      <c r="AP372">
        <v>7.4379910000000002</v>
      </c>
      <c r="AQ372"/>
      <c r="AR372"/>
      <c r="AS372"/>
      <c r="AT372"/>
      <c r="AU372">
        <v>31.12265</v>
      </c>
      <c r="AV372"/>
      <c r="AW372">
        <v>30.9602</v>
      </c>
      <c r="AX372"/>
    </row>
    <row r="373" spans="1:50" x14ac:dyDescent="0.35">
      <c r="A373" s="75">
        <v>29190</v>
      </c>
      <c r="B373">
        <v>40.128909999999998</v>
      </c>
      <c r="C373">
        <v>36.772289999999998</v>
      </c>
      <c r="D373"/>
      <c r="E373">
        <v>33.871699999999997</v>
      </c>
      <c r="F373">
        <v>51.990940000000002</v>
      </c>
      <c r="G373"/>
      <c r="H373"/>
      <c r="I373"/>
      <c r="J373"/>
      <c r="K373"/>
      <c r="L373">
        <v>47.10389</v>
      </c>
      <c r="M373">
        <v>32.862650000000002</v>
      </c>
      <c r="N373"/>
      <c r="O373">
        <v>18.82668</v>
      </c>
      <c r="P373"/>
      <c r="Q373"/>
      <c r="R373">
        <v>31.578690000000002</v>
      </c>
      <c r="S373">
        <v>34.542679999999997</v>
      </c>
      <c r="T373"/>
      <c r="U373">
        <v>34.807130000000001</v>
      </c>
      <c r="V373">
        <v>28.787890000000001</v>
      </c>
      <c r="W373">
        <v>4.6867359999999998</v>
      </c>
      <c r="X373"/>
      <c r="Y373"/>
      <c r="Z373"/>
      <c r="AA373">
        <v>22.89781</v>
      </c>
      <c r="AB373"/>
      <c r="AC373">
        <v>2.9188039999999998E-2</v>
      </c>
      <c r="AD373">
        <v>17.940650000000002</v>
      </c>
      <c r="AE373">
        <v>71.039469999999994</v>
      </c>
      <c r="AF373"/>
      <c r="AG373"/>
      <c r="AH373">
        <v>36.963569999999997</v>
      </c>
      <c r="AI373"/>
      <c r="AJ373"/>
      <c r="AK373">
        <v>43.22869</v>
      </c>
      <c r="AL373">
        <v>27.160810000000001</v>
      </c>
      <c r="AM373">
        <v>17.264420000000001</v>
      </c>
      <c r="AN373">
        <v>14.257149999999999</v>
      </c>
      <c r="AO373"/>
      <c r="AP373">
        <v>7.5021009999999997</v>
      </c>
      <c r="AQ373"/>
      <c r="AR373"/>
      <c r="AS373"/>
      <c r="AT373"/>
      <c r="AU373">
        <v>31.440729999999999</v>
      </c>
      <c r="AV373"/>
      <c r="AW373">
        <v>31.24916</v>
      </c>
      <c r="AX373"/>
    </row>
    <row r="374" spans="1:50" x14ac:dyDescent="0.35">
      <c r="A374" s="75">
        <v>29221</v>
      </c>
      <c r="B374">
        <v>40.432110000000002</v>
      </c>
      <c r="C374">
        <v>36.994819999999997</v>
      </c>
      <c r="D374"/>
      <c r="E374">
        <v>34.01482</v>
      </c>
      <c r="F374">
        <v>52.084319999999998</v>
      </c>
      <c r="G374"/>
      <c r="H374"/>
      <c r="I374"/>
      <c r="J374"/>
      <c r="K374"/>
      <c r="L374">
        <v>47.204509999999999</v>
      </c>
      <c r="M374">
        <v>33.07094</v>
      </c>
      <c r="N374"/>
      <c r="O374">
        <v>19.04731</v>
      </c>
      <c r="P374"/>
      <c r="Q374"/>
      <c r="R374">
        <v>31.97494</v>
      </c>
      <c r="S374">
        <v>35.060670000000002</v>
      </c>
      <c r="T374"/>
      <c r="U374">
        <v>35.238860000000003</v>
      </c>
      <c r="V374">
        <v>29.61975</v>
      </c>
      <c r="W374">
        <v>4.8008059999999997</v>
      </c>
      <c r="X374"/>
      <c r="Y374"/>
      <c r="Z374"/>
      <c r="AA374">
        <v>23.79138</v>
      </c>
      <c r="AB374"/>
      <c r="AC374">
        <v>3.116155E-2</v>
      </c>
      <c r="AD374">
        <v>18.514009999999999</v>
      </c>
      <c r="AE374">
        <v>71.382170000000002</v>
      </c>
      <c r="AF374"/>
      <c r="AG374"/>
      <c r="AH374">
        <v>37.102409999999999</v>
      </c>
      <c r="AI374"/>
      <c r="AJ374">
        <v>6.2461450000000002E-2</v>
      </c>
      <c r="AK374">
        <v>43.197890000000001</v>
      </c>
      <c r="AL374">
        <v>27.538530000000002</v>
      </c>
      <c r="AM374">
        <v>17.546250000000001</v>
      </c>
      <c r="AN374">
        <v>14.521879999999999</v>
      </c>
      <c r="AO374"/>
      <c r="AP374">
        <v>7.5686989999999996</v>
      </c>
      <c r="AQ374"/>
      <c r="AR374"/>
      <c r="AS374"/>
      <c r="AT374"/>
      <c r="AU374">
        <v>32.14358</v>
      </c>
      <c r="AV374"/>
      <c r="AW374">
        <v>31.62068</v>
      </c>
      <c r="AX374"/>
    </row>
    <row r="375" spans="1:50" x14ac:dyDescent="0.35">
      <c r="A375" s="75">
        <v>29252</v>
      </c>
      <c r="B375">
        <v>40.644190000000002</v>
      </c>
      <c r="C375">
        <v>37.137630000000001</v>
      </c>
      <c r="D375"/>
      <c r="E375">
        <v>34.418770000000002</v>
      </c>
      <c r="F375">
        <v>52.290730000000003</v>
      </c>
      <c r="G375"/>
      <c r="H375"/>
      <c r="I375"/>
      <c r="J375"/>
      <c r="K375"/>
      <c r="L375">
        <v>47.898609999999998</v>
      </c>
      <c r="M375">
        <v>33.336669999999998</v>
      </c>
      <c r="N375"/>
      <c r="O375">
        <v>19.310220000000001</v>
      </c>
      <c r="P375"/>
      <c r="Q375"/>
      <c r="R375">
        <v>32.399380000000001</v>
      </c>
      <c r="S375">
        <v>35.432180000000002</v>
      </c>
      <c r="T375"/>
      <c r="U375">
        <v>35.598559999999999</v>
      </c>
      <c r="V375">
        <v>30.11515</v>
      </c>
      <c r="W375">
        <v>4.75197</v>
      </c>
      <c r="X375"/>
      <c r="Y375"/>
      <c r="Z375"/>
      <c r="AA375">
        <v>23.79138</v>
      </c>
      <c r="AB375"/>
      <c r="AC375">
        <v>3.234683E-2</v>
      </c>
      <c r="AD375">
        <v>18.839300000000001</v>
      </c>
      <c r="AE375">
        <v>71.473820000000003</v>
      </c>
      <c r="AF375"/>
      <c r="AG375"/>
      <c r="AH375">
        <v>37.259869999999999</v>
      </c>
      <c r="AI375"/>
      <c r="AJ375">
        <v>6.4032710000000007E-2</v>
      </c>
      <c r="AK375">
        <v>43.665779999999998</v>
      </c>
      <c r="AL375">
        <v>28.119219999999999</v>
      </c>
      <c r="AM375">
        <v>17.774640000000002</v>
      </c>
      <c r="AN375">
        <v>14.78314</v>
      </c>
      <c r="AO375"/>
      <c r="AP375">
        <v>7.7034339999999997</v>
      </c>
      <c r="AQ375"/>
      <c r="AR375"/>
      <c r="AS375"/>
      <c r="AT375"/>
      <c r="AU375">
        <v>32.615180000000002</v>
      </c>
      <c r="AV375"/>
      <c r="AW375">
        <v>31.909649999999999</v>
      </c>
      <c r="AX375"/>
    </row>
    <row r="376" spans="1:50" x14ac:dyDescent="0.35">
      <c r="A376" s="75">
        <v>29281</v>
      </c>
      <c r="B376">
        <v>40.828139999999998</v>
      </c>
      <c r="C376">
        <v>37.203690000000002</v>
      </c>
      <c r="D376"/>
      <c r="E376">
        <v>34.589970000000001</v>
      </c>
      <c r="F376">
        <v>52.454549999999998</v>
      </c>
      <c r="G376"/>
      <c r="H376"/>
      <c r="I376"/>
      <c r="J376"/>
      <c r="K376"/>
      <c r="L376">
        <v>48.120310000000003</v>
      </c>
      <c r="M376">
        <v>33.68535</v>
      </c>
      <c r="N376"/>
      <c r="O376">
        <v>19.504639999999998</v>
      </c>
      <c r="P376"/>
      <c r="Q376"/>
      <c r="R376">
        <v>32.681019999999997</v>
      </c>
      <c r="S376">
        <v>35.846800000000002</v>
      </c>
      <c r="T376"/>
      <c r="U376">
        <v>35.969970000000004</v>
      </c>
      <c r="V376">
        <v>30.485910000000001</v>
      </c>
      <c r="W376">
        <v>4.9080349999999999</v>
      </c>
      <c r="X376"/>
      <c r="Y376"/>
      <c r="Z376"/>
      <c r="AA376">
        <v>23.79138</v>
      </c>
      <c r="AB376"/>
      <c r="AC376">
        <v>3.340365E-2</v>
      </c>
      <c r="AD376">
        <v>19.056999999999999</v>
      </c>
      <c r="AE376">
        <v>71.895840000000007</v>
      </c>
      <c r="AF376"/>
      <c r="AG376"/>
      <c r="AH376">
        <v>37.423340000000003</v>
      </c>
      <c r="AI376"/>
      <c r="AJ376">
        <v>6.5453880000000006E-2</v>
      </c>
      <c r="AK376">
        <v>44.113329999999998</v>
      </c>
      <c r="AL376">
        <v>28.531179999999999</v>
      </c>
      <c r="AM376">
        <v>17.970859999999998</v>
      </c>
      <c r="AN376">
        <v>14.924429999999999</v>
      </c>
      <c r="AO376"/>
      <c r="AP376">
        <v>7.7791519999999998</v>
      </c>
      <c r="AQ376"/>
      <c r="AR376"/>
      <c r="AS376"/>
      <c r="AT376"/>
      <c r="AU376">
        <v>32.787689999999998</v>
      </c>
      <c r="AV376"/>
      <c r="AW376">
        <v>32.322450000000003</v>
      </c>
      <c r="AX376"/>
    </row>
    <row r="377" spans="1:50" x14ac:dyDescent="0.35">
      <c r="A377" s="75">
        <v>29312</v>
      </c>
      <c r="B377">
        <v>40.928649999999998</v>
      </c>
      <c r="C377">
        <v>37.302849999999999</v>
      </c>
      <c r="D377"/>
      <c r="E377">
        <v>34.87236</v>
      </c>
      <c r="F377">
        <v>52.612949999999998</v>
      </c>
      <c r="G377"/>
      <c r="H377"/>
      <c r="I377"/>
      <c r="J377"/>
      <c r="K377"/>
      <c r="L377">
        <v>48.353949999999998</v>
      </c>
      <c r="M377">
        <v>33.885590000000001</v>
      </c>
      <c r="N377"/>
      <c r="O377">
        <v>19.796569999999999</v>
      </c>
      <c r="P377"/>
      <c r="Q377"/>
      <c r="R377">
        <v>33.173360000000002</v>
      </c>
      <c r="S377">
        <v>36.369680000000002</v>
      </c>
      <c r="T377"/>
      <c r="U377">
        <v>36.475900000000003</v>
      </c>
      <c r="V377">
        <v>31.674900000000001</v>
      </c>
      <c r="W377">
        <v>5.0836759999999996</v>
      </c>
      <c r="X377"/>
      <c r="Y377"/>
      <c r="Z377"/>
      <c r="AA377">
        <v>25.67033</v>
      </c>
      <c r="AB377"/>
      <c r="AC377">
        <v>3.6871880000000003E-2</v>
      </c>
      <c r="AD377">
        <v>19.404140000000002</v>
      </c>
      <c r="AE377">
        <v>72.823880000000003</v>
      </c>
      <c r="AF377"/>
      <c r="AG377"/>
      <c r="AH377">
        <v>37.637949999999996</v>
      </c>
      <c r="AI377"/>
      <c r="AJ377">
        <v>6.6579600000000003E-2</v>
      </c>
      <c r="AK377">
        <v>44.62914</v>
      </c>
      <c r="AL377">
        <v>28.633900000000001</v>
      </c>
      <c r="AM377">
        <v>18.231739999999999</v>
      </c>
      <c r="AN377">
        <v>15.164490000000001</v>
      </c>
      <c r="AO377"/>
      <c r="AP377">
        <v>7.829904</v>
      </c>
      <c r="AQ377"/>
      <c r="AR377"/>
      <c r="AS377"/>
      <c r="AT377"/>
      <c r="AU377">
        <v>33.034619999999997</v>
      </c>
      <c r="AV377"/>
      <c r="AW377">
        <v>32.735250000000001</v>
      </c>
      <c r="AX377"/>
    </row>
    <row r="378" spans="1:50" x14ac:dyDescent="0.35">
      <c r="A378" s="75">
        <v>29342</v>
      </c>
      <c r="B378">
        <v>41.095219999999998</v>
      </c>
      <c r="C378">
        <v>37.477939999999997</v>
      </c>
      <c r="D378"/>
      <c r="E378">
        <v>35.301160000000003</v>
      </c>
      <c r="F378">
        <v>52.840870000000002</v>
      </c>
      <c r="G378"/>
      <c r="H378"/>
      <c r="I378"/>
      <c r="J378"/>
      <c r="K378"/>
      <c r="L378">
        <v>48.553620000000002</v>
      </c>
      <c r="M378">
        <v>34.393749999999997</v>
      </c>
      <c r="N378"/>
      <c r="O378">
        <v>20.042210000000001</v>
      </c>
      <c r="P378"/>
      <c r="Q378"/>
      <c r="R378">
        <v>33.314610000000002</v>
      </c>
      <c r="S378">
        <v>36.637169999999998</v>
      </c>
      <c r="T378"/>
      <c r="U378">
        <v>36.85275</v>
      </c>
      <c r="V378">
        <v>31.891929999999999</v>
      </c>
      <c r="W378">
        <v>5.1310440000000002</v>
      </c>
      <c r="X378"/>
      <c r="Y378"/>
      <c r="Z378"/>
      <c r="AA378">
        <v>25.67033</v>
      </c>
      <c r="AB378"/>
      <c r="AC378">
        <v>3.988469E-2</v>
      </c>
      <c r="AD378">
        <v>19.638169999999999</v>
      </c>
      <c r="AE378">
        <v>73.871939999999995</v>
      </c>
      <c r="AF378"/>
      <c r="AG378"/>
      <c r="AH378">
        <v>37.873280000000001</v>
      </c>
      <c r="AI378"/>
      <c r="AJ378">
        <v>6.767099E-2</v>
      </c>
      <c r="AK378">
        <v>44.716410000000003</v>
      </c>
      <c r="AL378">
        <v>28.866160000000001</v>
      </c>
      <c r="AM378">
        <v>18.404640000000001</v>
      </c>
      <c r="AN378">
        <v>15.247030000000001</v>
      </c>
      <c r="AO378"/>
      <c r="AP378">
        <v>7.8983059999999998</v>
      </c>
      <c r="AQ378"/>
      <c r="AR378"/>
      <c r="AS378"/>
      <c r="AT378"/>
      <c r="AU378">
        <v>33.132840000000002</v>
      </c>
      <c r="AV378"/>
      <c r="AW378">
        <v>33.106769999999997</v>
      </c>
      <c r="AX378"/>
    </row>
    <row r="379" spans="1:50" x14ac:dyDescent="0.35">
      <c r="A379" s="75">
        <v>29373</v>
      </c>
      <c r="B379">
        <v>41.193390000000001</v>
      </c>
      <c r="C379">
        <v>37.641649999999998</v>
      </c>
      <c r="D379"/>
      <c r="E379">
        <v>35.622369999999997</v>
      </c>
      <c r="F379">
        <v>52.915570000000002</v>
      </c>
      <c r="G379"/>
      <c r="H379"/>
      <c r="I379"/>
      <c r="J379"/>
      <c r="K379"/>
      <c r="L379">
        <v>48.708660000000002</v>
      </c>
      <c r="M379">
        <v>34.470849999999999</v>
      </c>
      <c r="N379"/>
      <c r="O379">
        <v>20.156009999999998</v>
      </c>
      <c r="P379"/>
      <c r="Q379"/>
      <c r="R379">
        <v>33.463560000000001</v>
      </c>
      <c r="S379">
        <v>36.910769999999999</v>
      </c>
      <c r="T379"/>
      <c r="U379">
        <v>37.163510000000002</v>
      </c>
      <c r="V379">
        <v>32.01979</v>
      </c>
      <c r="W379">
        <v>5.3052720000000004</v>
      </c>
      <c r="X379"/>
      <c r="Y379"/>
      <c r="Z379"/>
      <c r="AA379">
        <v>25.67033</v>
      </c>
      <c r="AB379"/>
      <c r="AC379">
        <v>4.2190999999999999E-2</v>
      </c>
      <c r="AD379">
        <v>19.796869999999998</v>
      </c>
      <c r="AE379">
        <v>74.313270000000003</v>
      </c>
      <c r="AF379"/>
      <c r="AG379"/>
      <c r="AH379">
        <v>37.935650000000003</v>
      </c>
      <c r="AI379"/>
      <c r="AJ379">
        <v>6.8710350000000003E-2</v>
      </c>
      <c r="AK379">
        <v>44.69773</v>
      </c>
      <c r="AL379">
        <v>29.306319999999999</v>
      </c>
      <c r="AM379">
        <v>18.596589999999999</v>
      </c>
      <c r="AN379">
        <v>15.41046</v>
      </c>
      <c r="AO379"/>
      <c r="AP379">
        <v>7.9838769999999997</v>
      </c>
      <c r="AQ379"/>
      <c r="AR379"/>
      <c r="AS379"/>
      <c r="AT379"/>
      <c r="AU379">
        <v>33.175409999999999</v>
      </c>
      <c r="AV379"/>
      <c r="AW379">
        <v>33.478290000000001</v>
      </c>
      <c r="AX379"/>
    </row>
    <row r="380" spans="1:50" x14ac:dyDescent="0.35">
      <c r="A380" s="75">
        <v>29403</v>
      </c>
      <c r="B380">
        <v>41.522860000000001</v>
      </c>
      <c r="C380">
        <v>37.957419999999999</v>
      </c>
      <c r="D380"/>
      <c r="E380">
        <v>35.846870000000003</v>
      </c>
      <c r="F380">
        <v>53.038469999999997</v>
      </c>
      <c r="G380"/>
      <c r="H380"/>
      <c r="I380"/>
      <c r="J380"/>
      <c r="K380"/>
      <c r="L380">
        <v>48.792230000000004</v>
      </c>
      <c r="M380">
        <v>34.971510000000002</v>
      </c>
      <c r="N380"/>
      <c r="O380">
        <v>20.323129999999999</v>
      </c>
      <c r="P380"/>
      <c r="Q380"/>
      <c r="R380">
        <v>33.606430000000003</v>
      </c>
      <c r="S380">
        <v>37.493490000000001</v>
      </c>
      <c r="T380"/>
      <c r="U380">
        <v>37.265819999999998</v>
      </c>
      <c r="V380">
        <v>32.266480000000001</v>
      </c>
      <c r="W380">
        <v>5.2970540000000002</v>
      </c>
      <c r="X380"/>
      <c r="Y380"/>
      <c r="Z380"/>
      <c r="AA380">
        <v>26.342770000000002</v>
      </c>
      <c r="AB380"/>
      <c r="AC380">
        <v>4.4187869999999997E-2</v>
      </c>
      <c r="AD380">
        <v>20.148589999999999</v>
      </c>
      <c r="AE380">
        <v>74.487359999999995</v>
      </c>
      <c r="AF380"/>
      <c r="AG380"/>
      <c r="AH380">
        <v>38.126399999999997</v>
      </c>
      <c r="AI380"/>
      <c r="AJ380">
        <v>7.0301450000000001E-2</v>
      </c>
      <c r="AK380">
        <v>44.989620000000002</v>
      </c>
      <c r="AL380">
        <v>29.54956</v>
      </c>
      <c r="AM380">
        <v>18.692329999999998</v>
      </c>
      <c r="AN380">
        <v>15.56001</v>
      </c>
      <c r="AO380"/>
      <c r="AP380">
        <v>8.0679230000000004</v>
      </c>
      <c r="AQ380"/>
      <c r="AR380"/>
      <c r="AS380"/>
      <c r="AT380"/>
      <c r="AU380">
        <v>33.404139999999998</v>
      </c>
      <c r="AV380"/>
      <c r="AW380">
        <v>33.395740000000004</v>
      </c>
      <c r="AX380"/>
    </row>
    <row r="381" spans="1:50" x14ac:dyDescent="0.35">
      <c r="A381" s="75">
        <v>29434</v>
      </c>
      <c r="B381">
        <v>41.508189999999999</v>
      </c>
      <c r="C381">
        <v>38.149970000000003</v>
      </c>
      <c r="D381"/>
      <c r="E381">
        <v>36.213859999999997</v>
      </c>
      <c r="F381">
        <v>53.354520000000001</v>
      </c>
      <c r="G381"/>
      <c r="H381"/>
      <c r="I381"/>
      <c r="J381"/>
      <c r="K381"/>
      <c r="L381">
        <v>48.971200000000003</v>
      </c>
      <c r="M381">
        <v>35.095140000000001</v>
      </c>
      <c r="N381"/>
      <c r="O381">
        <v>20.473870000000002</v>
      </c>
      <c r="P381"/>
      <c r="Q381"/>
      <c r="R381">
        <v>34.175690000000003</v>
      </c>
      <c r="S381">
        <v>37.86515</v>
      </c>
      <c r="T381"/>
      <c r="U381">
        <v>37.436709999999998</v>
      </c>
      <c r="V381">
        <v>32.4056</v>
      </c>
      <c r="W381">
        <v>5.2374159999999996</v>
      </c>
      <c r="X381"/>
      <c r="Y381"/>
      <c r="Z381"/>
      <c r="AA381">
        <v>26.342770000000002</v>
      </c>
      <c r="AB381"/>
      <c r="AC381">
        <v>4.7311609999999997E-2</v>
      </c>
      <c r="AD381">
        <v>20.413959999999999</v>
      </c>
      <c r="AE381">
        <v>74.034360000000007</v>
      </c>
      <c r="AF381"/>
      <c r="AG381"/>
      <c r="AH381">
        <v>38.277320000000003</v>
      </c>
      <c r="AI381"/>
      <c r="AJ381">
        <v>7.1648519999999993E-2</v>
      </c>
      <c r="AK381">
        <v>45.203749999999999</v>
      </c>
      <c r="AL381">
        <v>29.652280000000001</v>
      </c>
      <c r="AM381">
        <v>18.812149999999999</v>
      </c>
      <c r="AN381">
        <v>15.69927</v>
      </c>
      <c r="AO381"/>
      <c r="AP381">
        <v>8.1459259999999993</v>
      </c>
      <c r="AQ381"/>
      <c r="AR381"/>
      <c r="AS381"/>
      <c r="AT381"/>
      <c r="AU381">
        <v>33.584510000000002</v>
      </c>
      <c r="AV381"/>
      <c r="AW381">
        <v>33.560859999999998</v>
      </c>
      <c r="AX381"/>
    </row>
    <row r="382" spans="1:50" x14ac:dyDescent="0.35">
      <c r="A382" s="75">
        <v>29465</v>
      </c>
      <c r="B382">
        <v>41.648679999999999</v>
      </c>
      <c r="C382">
        <v>38.336649999999999</v>
      </c>
      <c r="D382"/>
      <c r="E382">
        <v>36.408940000000001</v>
      </c>
      <c r="F382">
        <v>53.495620000000002</v>
      </c>
      <c r="G382"/>
      <c r="H382"/>
      <c r="I382"/>
      <c r="J382"/>
      <c r="K382"/>
      <c r="L382">
        <v>49.05827</v>
      </c>
      <c r="M382">
        <v>35.28481</v>
      </c>
      <c r="N382"/>
      <c r="O382">
        <v>20.741230000000002</v>
      </c>
      <c r="P382"/>
      <c r="Q382"/>
      <c r="R382">
        <v>34.575360000000003</v>
      </c>
      <c r="S382">
        <v>38.186770000000003</v>
      </c>
      <c r="T382"/>
      <c r="U382">
        <v>37.835819999999998</v>
      </c>
      <c r="V382">
        <v>32.66357</v>
      </c>
      <c r="W382">
        <v>5.4116619999999998</v>
      </c>
      <c r="X382"/>
      <c r="Y382"/>
      <c r="Z382"/>
      <c r="AA382">
        <v>26.342770000000002</v>
      </c>
      <c r="AB382"/>
      <c r="AC382">
        <v>5.0919979999999997E-2</v>
      </c>
      <c r="AD382">
        <v>20.86543</v>
      </c>
      <c r="AE382">
        <v>75.114670000000004</v>
      </c>
      <c r="AF382"/>
      <c r="AG382"/>
      <c r="AH382">
        <v>38.370660000000001</v>
      </c>
      <c r="AI382"/>
      <c r="AJ382">
        <v>7.2637519999999997E-2</v>
      </c>
      <c r="AK382">
        <v>45.535159999999998</v>
      </c>
      <c r="AL382">
        <v>30.043859999999999</v>
      </c>
      <c r="AM382">
        <v>19.030560000000001</v>
      </c>
      <c r="AN382">
        <v>15.887650000000001</v>
      </c>
      <c r="AO382"/>
      <c r="AP382">
        <v>8.1314949999999993</v>
      </c>
      <c r="AQ382"/>
      <c r="AR382"/>
      <c r="AS382"/>
      <c r="AT382"/>
      <c r="AU382">
        <v>34.635559999999998</v>
      </c>
      <c r="AV382"/>
      <c r="AW382">
        <v>33.932380000000002</v>
      </c>
      <c r="AX382"/>
    </row>
    <row r="383" spans="1:50" x14ac:dyDescent="0.35">
      <c r="A383" s="75">
        <v>29495</v>
      </c>
      <c r="B383">
        <v>41.859459999999999</v>
      </c>
      <c r="C383">
        <v>38.45008</v>
      </c>
      <c r="D383"/>
      <c r="E383">
        <v>36.592849999999999</v>
      </c>
      <c r="F383">
        <v>53.520119999999999</v>
      </c>
      <c r="G383"/>
      <c r="H383"/>
      <c r="I383"/>
      <c r="J383"/>
      <c r="K383"/>
      <c r="L383">
        <v>49.05856</v>
      </c>
      <c r="M383">
        <v>35.57188</v>
      </c>
      <c r="N383"/>
      <c r="O383">
        <v>20.97129</v>
      </c>
      <c r="P383"/>
      <c r="Q383"/>
      <c r="R383">
        <v>34.742849999999997</v>
      </c>
      <c r="S383">
        <v>38.60942</v>
      </c>
      <c r="T383"/>
      <c r="U383">
        <v>38.208979999999997</v>
      </c>
      <c r="V383">
        <v>32.889389999999999</v>
      </c>
      <c r="W383">
        <v>5.5903700000000001</v>
      </c>
      <c r="X383"/>
      <c r="Y383"/>
      <c r="Z383"/>
      <c r="AA383">
        <v>27.329920000000001</v>
      </c>
      <c r="AB383"/>
      <c r="AC383">
        <v>5.6460969999999999E-2</v>
      </c>
      <c r="AD383">
        <v>21.314520000000002</v>
      </c>
      <c r="AE383">
        <v>75.508319999999998</v>
      </c>
      <c r="AF383"/>
      <c r="AG383"/>
      <c r="AH383">
        <v>38.726170000000003</v>
      </c>
      <c r="AI383"/>
      <c r="AJ383">
        <v>7.4016139999999994E-2</v>
      </c>
      <c r="AK383">
        <v>45.80386</v>
      </c>
      <c r="AL383">
        <v>30.186789999999998</v>
      </c>
      <c r="AM383">
        <v>19.256399999999999</v>
      </c>
      <c r="AN383">
        <v>16.07743</v>
      </c>
      <c r="AO383"/>
      <c r="AP383">
        <v>8.2710640000000009</v>
      </c>
      <c r="AQ383"/>
      <c r="AR383"/>
      <c r="AS383"/>
      <c r="AT383"/>
      <c r="AU383">
        <v>34.988289999999999</v>
      </c>
      <c r="AV383"/>
      <c r="AW383">
        <v>34.345179999999999</v>
      </c>
      <c r="AX383"/>
    </row>
    <row r="384" spans="1:50" x14ac:dyDescent="0.35">
      <c r="A384" s="75">
        <v>29526</v>
      </c>
      <c r="B384">
        <v>41.968179999999997</v>
      </c>
      <c r="C384">
        <v>38.628979999999999</v>
      </c>
      <c r="D384"/>
      <c r="E384">
        <v>37.050370000000001</v>
      </c>
      <c r="F384">
        <v>53.955469999999998</v>
      </c>
      <c r="G384"/>
      <c r="H384"/>
      <c r="I384"/>
      <c r="J384"/>
      <c r="K384"/>
      <c r="L384">
        <v>49.306060000000002</v>
      </c>
      <c r="M384">
        <v>35.900509999999997</v>
      </c>
      <c r="N384"/>
      <c r="O384">
        <v>21.20308</v>
      </c>
      <c r="P384"/>
      <c r="Q384"/>
      <c r="R384">
        <v>35.216090000000001</v>
      </c>
      <c r="S384">
        <v>38.837739999999997</v>
      </c>
      <c r="T384"/>
      <c r="U384">
        <v>38.563299999999998</v>
      </c>
      <c r="V384">
        <v>33.151719999999997</v>
      </c>
      <c r="W384">
        <v>5.7275299999999998</v>
      </c>
      <c r="X384"/>
      <c r="Y384"/>
      <c r="Z384"/>
      <c r="AA384">
        <v>27.329920000000001</v>
      </c>
      <c r="AB384"/>
      <c r="AC384">
        <v>6.1190380000000003E-2</v>
      </c>
      <c r="AD384">
        <v>21.750419999999998</v>
      </c>
      <c r="AE384">
        <v>75.642600000000002</v>
      </c>
      <c r="AF384"/>
      <c r="AG384"/>
      <c r="AH384">
        <v>39.040179999999999</v>
      </c>
      <c r="AI384"/>
      <c r="AJ384">
        <v>7.5389040000000004E-2</v>
      </c>
      <c r="AK384">
        <v>45.861739999999998</v>
      </c>
      <c r="AL384">
        <v>30.31785</v>
      </c>
      <c r="AM384">
        <v>19.44407</v>
      </c>
      <c r="AN384">
        <v>16.238900000000001</v>
      </c>
      <c r="AO384"/>
      <c r="AP384">
        <v>8.3674660000000003</v>
      </c>
      <c r="AQ384"/>
      <c r="AR384"/>
      <c r="AS384"/>
      <c r="AT384"/>
      <c r="AU384">
        <v>35.187440000000002</v>
      </c>
      <c r="AV384"/>
      <c r="AW384">
        <v>34.716709999999999</v>
      </c>
      <c r="AX384"/>
    </row>
    <row r="385" spans="1:50" x14ac:dyDescent="0.35">
      <c r="A385" s="75">
        <v>29556</v>
      </c>
      <c r="B385">
        <v>42.152529999999999</v>
      </c>
      <c r="C385">
        <v>38.741250000000001</v>
      </c>
      <c r="D385"/>
      <c r="E385">
        <v>37.159820000000003</v>
      </c>
      <c r="F385">
        <v>54.077599999999997</v>
      </c>
      <c r="G385"/>
      <c r="H385"/>
      <c r="I385"/>
      <c r="J385"/>
      <c r="K385"/>
      <c r="L385">
        <v>49.630279999999999</v>
      </c>
      <c r="M385">
        <v>36.002450000000003</v>
      </c>
      <c r="N385"/>
      <c r="O385">
        <v>21.301480000000002</v>
      </c>
      <c r="P385"/>
      <c r="Q385"/>
      <c r="R385">
        <v>35.600879999999997</v>
      </c>
      <c r="S385">
        <v>39.153089999999999</v>
      </c>
      <c r="T385"/>
      <c r="U385">
        <v>38.778100000000002</v>
      </c>
      <c r="V385">
        <v>33.283369999999998</v>
      </c>
      <c r="W385">
        <v>5.8448729999999998</v>
      </c>
      <c r="X385"/>
      <c r="Y385"/>
      <c r="Z385"/>
      <c r="AA385">
        <v>27.329920000000001</v>
      </c>
      <c r="AB385"/>
      <c r="AC385">
        <v>6.4775390000000002E-2</v>
      </c>
      <c r="AD385">
        <v>21.51728</v>
      </c>
      <c r="AE385">
        <v>75.694909999999993</v>
      </c>
      <c r="AF385"/>
      <c r="AG385"/>
      <c r="AH385">
        <v>39.31906</v>
      </c>
      <c r="AI385"/>
      <c r="AJ385">
        <v>7.7234800000000006E-2</v>
      </c>
      <c r="AK385">
        <v>45.906300000000002</v>
      </c>
      <c r="AL385">
        <v>30.540710000000001</v>
      </c>
      <c r="AM385">
        <v>19.606719999999999</v>
      </c>
      <c r="AN385">
        <v>16.36018</v>
      </c>
      <c r="AO385"/>
      <c r="AP385">
        <v>8.595618</v>
      </c>
      <c r="AQ385"/>
      <c r="AR385"/>
      <c r="AS385"/>
      <c r="AT385"/>
      <c r="AU385">
        <v>35.36195</v>
      </c>
      <c r="AV385"/>
      <c r="AW385">
        <v>35.046950000000002</v>
      </c>
      <c r="AX385"/>
    </row>
    <row r="386" spans="1:50" x14ac:dyDescent="0.35">
      <c r="A386" s="75">
        <v>29587</v>
      </c>
      <c r="B386">
        <v>42.443840000000002</v>
      </c>
      <c r="C386">
        <v>39.037840000000003</v>
      </c>
      <c r="D386"/>
      <c r="E386">
        <v>37.63429</v>
      </c>
      <c r="F386">
        <v>54.402810000000002</v>
      </c>
      <c r="G386"/>
      <c r="H386"/>
      <c r="I386"/>
      <c r="J386"/>
      <c r="K386"/>
      <c r="L386">
        <v>49.984969999999997</v>
      </c>
      <c r="M386">
        <v>36.117530000000002</v>
      </c>
      <c r="N386"/>
      <c r="O386">
        <v>21.570049999999998</v>
      </c>
      <c r="P386"/>
      <c r="Q386"/>
      <c r="R386">
        <v>35.974530000000001</v>
      </c>
      <c r="S386">
        <v>39.590290000000003</v>
      </c>
      <c r="T386"/>
      <c r="U386">
        <v>39.05856</v>
      </c>
      <c r="V386">
        <v>33.374609999999997</v>
      </c>
      <c r="W386">
        <v>5.941738</v>
      </c>
      <c r="X386"/>
      <c r="Y386"/>
      <c r="Z386"/>
      <c r="AA386">
        <v>29.069990000000001</v>
      </c>
      <c r="AB386"/>
      <c r="AC386">
        <v>7.033681E-2</v>
      </c>
      <c r="AD386">
        <v>22.062609999999999</v>
      </c>
      <c r="AE386">
        <v>75.965289999999996</v>
      </c>
      <c r="AF386"/>
      <c r="AG386"/>
      <c r="AH386">
        <v>39.519660000000002</v>
      </c>
      <c r="AI386"/>
      <c r="AJ386">
        <v>8.0113729999999994E-2</v>
      </c>
      <c r="AK386">
        <v>45.977049999999998</v>
      </c>
      <c r="AL386">
        <v>31.370889999999999</v>
      </c>
      <c r="AM386">
        <v>19.794709999999998</v>
      </c>
      <c r="AN386">
        <v>16.545950000000001</v>
      </c>
      <c r="AO386"/>
      <c r="AP386">
        <v>8.8869369999999996</v>
      </c>
      <c r="AQ386"/>
      <c r="AR386"/>
      <c r="AS386"/>
      <c r="AT386"/>
      <c r="AU386">
        <v>35.77637</v>
      </c>
      <c r="AV386"/>
      <c r="AW386">
        <v>35.212069999999997</v>
      </c>
      <c r="AX386"/>
    </row>
    <row r="387" spans="1:50" x14ac:dyDescent="0.35">
      <c r="A387" s="75">
        <v>29618</v>
      </c>
      <c r="B387">
        <v>42.656390000000002</v>
      </c>
      <c r="C387">
        <v>39.232930000000003</v>
      </c>
      <c r="D387"/>
      <c r="E387">
        <v>38.005200000000002</v>
      </c>
      <c r="F387">
        <v>54.793669999999999</v>
      </c>
      <c r="G387"/>
      <c r="H387"/>
      <c r="I387"/>
      <c r="J387"/>
      <c r="K387"/>
      <c r="L387">
        <v>50.334710000000001</v>
      </c>
      <c r="M387">
        <v>36.448160000000001</v>
      </c>
      <c r="N387"/>
      <c r="O387">
        <v>21.799289999999999</v>
      </c>
      <c r="P387"/>
      <c r="Q387"/>
      <c r="R387">
        <v>36.091239999999999</v>
      </c>
      <c r="S387">
        <v>39.892040000000001</v>
      </c>
      <c r="T387"/>
      <c r="U387">
        <v>39.28886</v>
      </c>
      <c r="V387">
        <v>33.663609999999998</v>
      </c>
      <c r="W387">
        <v>5.983015</v>
      </c>
      <c r="X387"/>
      <c r="Y387"/>
      <c r="Z387"/>
      <c r="AA387">
        <v>29.069990000000001</v>
      </c>
      <c r="AB387"/>
      <c r="AC387">
        <v>7.3265629999999998E-2</v>
      </c>
      <c r="AD387">
        <v>22.501259999999998</v>
      </c>
      <c r="AE387">
        <v>75.718779999999995</v>
      </c>
      <c r="AF387"/>
      <c r="AG387"/>
      <c r="AH387">
        <v>39.702159999999999</v>
      </c>
      <c r="AI387"/>
      <c r="AJ387">
        <v>8.2361069999999995E-2</v>
      </c>
      <c r="AK387">
        <v>46.169710000000002</v>
      </c>
      <c r="AL387">
        <v>31.699310000000001</v>
      </c>
      <c r="AM387">
        <v>19.936219999999999</v>
      </c>
      <c r="AN387">
        <v>16.704910000000002</v>
      </c>
      <c r="AO387"/>
      <c r="AP387">
        <v>8.9845089999999992</v>
      </c>
      <c r="AQ387"/>
      <c r="AR387"/>
      <c r="AS387"/>
      <c r="AT387"/>
      <c r="AU387">
        <v>36.502580000000002</v>
      </c>
      <c r="AV387"/>
      <c r="AW387">
        <v>35.377189999999999</v>
      </c>
      <c r="AX387"/>
    </row>
    <row r="388" spans="1:50" x14ac:dyDescent="0.35">
      <c r="A388" s="75">
        <v>29646</v>
      </c>
      <c r="B388">
        <v>42.794969999999999</v>
      </c>
      <c r="C388">
        <v>39.431530000000002</v>
      </c>
      <c r="D388"/>
      <c r="E388">
        <v>38.405819999999999</v>
      </c>
      <c r="F388">
        <v>55.011020000000002</v>
      </c>
      <c r="G388"/>
      <c r="H388"/>
      <c r="I388"/>
      <c r="J388"/>
      <c r="K388"/>
      <c r="L388">
        <v>50.635010000000001</v>
      </c>
      <c r="M388">
        <v>37.018889999999999</v>
      </c>
      <c r="N388"/>
      <c r="O388">
        <v>21.95918</v>
      </c>
      <c r="P388"/>
      <c r="Q388"/>
      <c r="R388">
        <v>36.243299999999998</v>
      </c>
      <c r="S388">
        <v>40.228349999999999</v>
      </c>
      <c r="T388"/>
      <c r="U388">
        <v>39.527209999999997</v>
      </c>
      <c r="V388">
        <v>34.049689999999998</v>
      </c>
      <c r="W388">
        <v>6.1379159999999997</v>
      </c>
      <c r="X388"/>
      <c r="Y388"/>
      <c r="Z388"/>
      <c r="AA388">
        <v>29.069990000000001</v>
      </c>
      <c r="AB388"/>
      <c r="AC388">
        <v>7.6554929999999993E-2</v>
      </c>
      <c r="AD388">
        <v>22.794709999999998</v>
      </c>
      <c r="AE388">
        <v>75.80368</v>
      </c>
      <c r="AF388"/>
      <c r="AG388"/>
      <c r="AH388">
        <v>39.997149999999998</v>
      </c>
      <c r="AI388"/>
      <c r="AJ388">
        <v>8.4287609999999999E-2</v>
      </c>
      <c r="AK388">
        <v>46.477170000000001</v>
      </c>
      <c r="AL388">
        <v>32.317590000000003</v>
      </c>
      <c r="AM388">
        <v>20.083590000000001</v>
      </c>
      <c r="AN388">
        <v>16.857810000000001</v>
      </c>
      <c r="AO388"/>
      <c r="AP388">
        <v>9.0723749999999992</v>
      </c>
      <c r="AQ388"/>
      <c r="AR388"/>
      <c r="AS388"/>
      <c r="AT388"/>
      <c r="AU388">
        <v>36.735129999999998</v>
      </c>
      <c r="AV388"/>
      <c r="AW388">
        <v>35.542310000000001</v>
      </c>
      <c r="AX388"/>
    </row>
    <row r="389" spans="1:50" x14ac:dyDescent="0.35">
      <c r="A389" s="75">
        <v>29677</v>
      </c>
      <c r="B389">
        <v>43.146970000000003</v>
      </c>
      <c r="C389">
        <v>39.582999999999998</v>
      </c>
      <c r="D389"/>
      <c r="E389">
        <v>38.65061</v>
      </c>
      <c r="F389">
        <v>55.112470000000002</v>
      </c>
      <c r="G389"/>
      <c r="H389"/>
      <c r="I389"/>
      <c r="J389"/>
      <c r="K389"/>
      <c r="L389">
        <v>50.899140000000003</v>
      </c>
      <c r="M389">
        <v>37.383279999999999</v>
      </c>
      <c r="N389"/>
      <c r="O389">
        <v>22.304110000000001</v>
      </c>
      <c r="P389"/>
      <c r="Q389"/>
      <c r="R389">
        <v>36.367910000000002</v>
      </c>
      <c r="S389">
        <v>40.792160000000003</v>
      </c>
      <c r="T389"/>
      <c r="U389">
        <v>39.951070000000001</v>
      </c>
      <c r="V389">
        <v>35.289340000000003</v>
      </c>
      <c r="W389">
        <v>6.2772240000000004</v>
      </c>
      <c r="X389"/>
      <c r="Y389"/>
      <c r="Z389"/>
      <c r="AA389">
        <v>30.21331</v>
      </c>
      <c r="AB389"/>
      <c r="AC389">
        <v>8.8044929999999993E-2</v>
      </c>
      <c r="AD389">
        <v>23.079059999999998</v>
      </c>
      <c r="AE389">
        <v>76.574259999999995</v>
      </c>
      <c r="AF389"/>
      <c r="AG389"/>
      <c r="AH389">
        <v>40.286999999999999</v>
      </c>
      <c r="AI389"/>
      <c r="AJ389">
        <v>8.635002E-2</v>
      </c>
      <c r="AK389">
        <v>46.899079999999998</v>
      </c>
      <c r="AL389">
        <v>32.477600000000002</v>
      </c>
      <c r="AM389">
        <v>20.31551</v>
      </c>
      <c r="AN389">
        <v>17.080089999999998</v>
      </c>
      <c r="AO389"/>
      <c r="AP389">
        <v>9.195392</v>
      </c>
      <c r="AQ389"/>
      <c r="AR389"/>
      <c r="AS389"/>
      <c r="AT389"/>
      <c r="AU389">
        <v>37.041829999999997</v>
      </c>
      <c r="AV389"/>
      <c r="AW389">
        <v>35.831270000000004</v>
      </c>
      <c r="AX389"/>
    </row>
    <row r="390" spans="1:50" x14ac:dyDescent="0.35">
      <c r="A390" s="75">
        <v>29707</v>
      </c>
      <c r="B390">
        <v>43.312890000000003</v>
      </c>
      <c r="C390">
        <v>39.611089999999997</v>
      </c>
      <c r="D390"/>
      <c r="E390">
        <v>39.02778</v>
      </c>
      <c r="F390">
        <v>55.56615</v>
      </c>
      <c r="G390"/>
      <c r="H390"/>
      <c r="I390"/>
      <c r="J390"/>
      <c r="K390"/>
      <c r="L390">
        <v>51.194049999999997</v>
      </c>
      <c r="M390">
        <v>38.035420000000002</v>
      </c>
      <c r="N390"/>
      <c r="O390">
        <v>22.540179999999999</v>
      </c>
      <c r="P390"/>
      <c r="Q390"/>
      <c r="R390">
        <v>36.893230000000003</v>
      </c>
      <c r="S390">
        <v>41.138399999999997</v>
      </c>
      <c r="T390"/>
      <c r="U390">
        <v>40.371639999999999</v>
      </c>
      <c r="V390">
        <v>35.431449999999998</v>
      </c>
      <c r="W390">
        <v>6.3280320000000003</v>
      </c>
      <c r="X390"/>
      <c r="Y390"/>
      <c r="Z390"/>
      <c r="AA390">
        <v>30.21331</v>
      </c>
      <c r="AB390"/>
      <c r="AC390">
        <v>9.1965050000000007E-2</v>
      </c>
      <c r="AD390">
        <v>23.42258</v>
      </c>
      <c r="AE390">
        <v>77.613209999999995</v>
      </c>
      <c r="AF390"/>
      <c r="AG390"/>
      <c r="AH390">
        <v>40.596449999999997</v>
      </c>
      <c r="AI390"/>
      <c r="AJ390">
        <v>8.77521E-2</v>
      </c>
      <c r="AK390">
        <v>47.077179999999998</v>
      </c>
      <c r="AL390">
        <v>32.589030000000001</v>
      </c>
      <c r="AM390">
        <v>20.531079999999999</v>
      </c>
      <c r="AN390">
        <v>17.228560000000002</v>
      </c>
      <c r="AO390"/>
      <c r="AP390">
        <v>9.2565760000000008</v>
      </c>
      <c r="AQ390"/>
      <c r="AR390"/>
      <c r="AS390"/>
      <c r="AT390"/>
      <c r="AU390">
        <v>37.195129999999999</v>
      </c>
      <c r="AV390"/>
      <c r="AW390">
        <v>36.244070000000001</v>
      </c>
      <c r="AX390"/>
    </row>
    <row r="391" spans="1:50" x14ac:dyDescent="0.35">
      <c r="A391" s="75">
        <v>29738</v>
      </c>
      <c r="B391">
        <v>43.402500000000003</v>
      </c>
      <c r="C391">
        <v>39.727530000000002</v>
      </c>
      <c r="D391"/>
      <c r="E391">
        <v>39.517240000000001</v>
      </c>
      <c r="F391">
        <v>55.794069999999998</v>
      </c>
      <c r="G391"/>
      <c r="H391"/>
      <c r="I391"/>
      <c r="J391"/>
      <c r="K391"/>
      <c r="L391">
        <v>51.414140000000003</v>
      </c>
      <c r="M391">
        <v>38.312750000000001</v>
      </c>
      <c r="N391"/>
      <c r="O391">
        <v>22.653459999999999</v>
      </c>
      <c r="P391"/>
      <c r="Q391"/>
      <c r="R391">
        <v>37.382269999999998</v>
      </c>
      <c r="S391">
        <v>41.476320000000001</v>
      </c>
      <c r="T391"/>
      <c r="U391">
        <v>40.682200000000002</v>
      </c>
      <c r="V391">
        <v>35.448169999999998</v>
      </c>
      <c r="W391">
        <v>6.4820929999999999</v>
      </c>
      <c r="X391"/>
      <c r="Y391"/>
      <c r="Z391"/>
      <c r="AA391">
        <v>30.21331</v>
      </c>
      <c r="AB391"/>
      <c r="AC391">
        <v>9.5840099999999998E-2</v>
      </c>
      <c r="AD391">
        <v>23.646409999999999</v>
      </c>
      <c r="AE391">
        <v>77.801959999999994</v>
      </c>
      <c r="AF391"/>
      <c r="AG391"/>
      <c r="AH391">
        <v>41.030749999999998</v>
      </c>
      <c r="AI391"/>
      <c r="AJ391">
        <v>8.9006390000000005E-2</v>
      </c>
      <c r="AK391">
        <v>47.21978</v>
      </c>
      <c r="AL391">
        <v>33.00611</v>
      </c>
      <c r="AM391">
        <v>20.71848</v>
      </c>
      <c r="AN391">
        <v>17.38054</v>
      </c>
      <c r="AO391"/>
      <c r="AP391">
        <v>9.3451170000000001</v>
      </c>
      <c r="AQ391"/>
      <c r="AR391"/>
      <c r="AS391"/>
      <c r="AT391"/>
      <c r="AU391">
        <v>37.333820000000003</v>
      </c>
      <c r="AV391"/>
      <c r="AW391">
        <v>36.615600000000001</v>
      </c>
      <c r="AX391"/>
    </row>
    <row r="392" spans="1:50" x14ac:dyDescent="0.35">
      <c r="A392" s="75">
        <v>29768</v>
      </c>
      <c r="B392">
        <v>43.660820000000001</v>
      </c>
      <c r="C392">
        <v>39.951949999999997</v>
      </c>
      <c r="D392"/>
      <c r="E392">
        <v>39.786180000000002</v>
      </c>
      <c r="F392">
        <v>55.87274</v>
      </c>
      <c r="G392"/>
      <c r="H392"/>
      <c r="I392"/>
      <c r="J392"/>
      <c r="K392"/>
      <c r="L392">
        <v>51.695920000000001</v>
      </c>
      <c r="M392">
        <v>38.499809999999997</v>
      </c>
      <c r="N392"/>
      <c r="O392">
        <v>22.786069999999999</v>
      </c>
      <c r="P392"/>
      <c r="Q392"/>
      <c r="R392">
        <v>37.398319999999998</v>
      </c>
      <c r="S392">
        <v>42.03425</v>
      </c>
      <c r="T392"/>
      <c r="U392">
        <v>41.043309999999998</v>
      </c>
      <c r="V392">
        <v>35.587670000000003</v>
      </c>
      <c r="W392">
        <v>6.4438969999999998</v>
      </c>
      <c r="X392"/>
      <c r="Y392"/>
      <c r="Z392"/>
      <c r="AA392">
        <v>31.834779999999999</v>
      </c>
      <c r="AB392"/>
      <c r="AC392">
        <v>0.1029143</v>
      </c>
      <c r="AD392">
        <v>23.77882</v>
      </c>
      <c r="AE392">
        <v>77.632390000000001</v>
      </c>
      <c r="AF392"/>
      <c r="AG392"/>
      <c r="AH392">
        <v>41.191600000000001</v>
      </c>
      <c r="AI392"/>
      <c r="AJ392">
        <v>9.0673359999999995E-2</v>
      </c>
      <c r="AK392">
        <v>47.642139999999998</v>
      </c>
      <c r="AL392">
        <v>33.185000000000002</v>
      </c>
      <c r="AM392">
        <v>20.89959</v>
      </c>
      <c r="AN392">
        <v>17.473310000000001</v>
      </c>
      <c r="AO392"/>
      <c r="AP392">
        <v>9.4847619999999999</v>
      </c>
      <c r="AQ392"/>
      <c r="AR392"/>
      <c r="AS392"/>
      <c r="AT392"/>
      <c r="AU392">
        <v>37.499139999999997</v>
      </c>
      <c r="AV392"/>
      <c r="AW392">
        <v>37.110959999999999</v>
      </c>
      <c r="AX392"/>
    </row>
    <row r="393" spans="1:50" x14ac:dyDescent="0.35">
      <c r="A393" s="75">
        <v>29799</v>
      </c>
      <c r="B393">
        <v>43.805999999999997</v>
      </c>
      <c r="C393">
        <v>40.042400000000001</v>
      </c>
      <c r="D393"/>
      <c r="E393">
        <v>40.179049999999997</v>
      </c>
      <c r="F393">
        <v>56.505609999999997</v>
      </c>
      <c r="G393"/>
      <c r="H393"/>
      <c r="I393"/>
      <c r="J393"/>
      <c r="K393"/>
      <c r="L393">
        <v>51.773209999999999</v>
      </c>
      <c r="M393">
        <v>38.558770000000003</v>
      </c>
      <c r="N393"/>
      <c r="O393">
        <v>22.96508</v>
      </c>
      <c r="P393"/>
      <c r="Q393"/>
      <c r="R393">
        <v>37.478209999999997</v>
      </c>
      <c r="S393">
        <v>42.498640000000002</v>
      </c>
      <c r="T393"/>
      <c r="U393">
        <v>41.29616</v>
      </c>
      <c r="V393">
        <v>35.80829</v>
      </c>
      <c r="W393">
        <v>6.3514869999999997</v>
      </c>
      <c r="X393"/>
      <c r="Y393"/>
      <c r="Z393"/>
      <c r="AA393">
        <v>31.834779999999999</v>
      </c>
      <c r="AB393"/>
      <c r="AC393">
        <v>0.1066092</v>
      </c>
      <c r="AD393">
        <v>24.000820000000001</v>
      </c>
      <c r="AE393">
        <v>77.17877</v>
      </c>
      <c r="AF393"/>
      <c r="AG393"/>
      <c r="AH393">
        <v>41.292740000000002</v>
      </c>
      <c r="AI393"/>
      <c r="AJ393">
        <v>9.2517730000000006E-2</v>
      </c>
      <c r="AK393">
        <v>47.753480000000003</v>
      </c>
      <c r="AL393">
        <v>33.185000000000002</v>
      </c>
      <c r="AM393">
        <v>21.04429</v>
      </c>
      <c r="AN393">
        <v>17.588740000000001</v>
      </c>
      <c r="AO393"/>
      <c r="AP393">
        <v>9.5957939999999997</v>
      </c>
      <c r="AQ393"/>
      <c r="AR393"/>
      <c r="AS393"/>
      <c r="AT393"/>
      <c r="AU393">
        <v>37.71528</v>
      </c>
      <c r="AV393"/>
      <c r="AW393">
        <v>37.441200000000002</v>
      </c>
      <c r="AX393"/>
    </row>
    <row r="394" spans="1:50" x14ac:dyDescent="0.35">
      <c r="A394" s="75">
        <v>29830</v>
      </c>
      <c r="B394">
        <v>43.917389999999997</v>
      </c>
      <c r="C394">
        <v>40.250779999999999</v>
      </c>
      <c r="D394"/>
      <c r="E394">
        <v>40.490490000000001</v>
      </c>
      <c r="F394">
        <v>56.639749999999999</v>
      </c>
      <c r="G394"/>
      <c r="H394"/>
      <c r="I394"/>
      <c r="J394"/>
      <c r="K394"/>
      <c r="L394">
        <v>52.032530000000001</v>
      </c>
      <c r="M394">
        <v>38.916870000000003</v>
      </c>
      <c r="N394"/>
      <c r="O394">
        <v>23.215789999999998</v>
      </c>
      <c r="P394"/>
      <c r="Q394"/>
      <c r="R394">
        <v>37.68197</v>
      </c>
      <c r="S394">
        <v>42.944830000000003</v>
      </c>
      <c r="T394"/>
      <c r="U394">
        <v>41.767710000000001</v>
      </c>
      <c r="V394">
        <v>36.036389999999997</v>
      </c>
      <c r="W394">
        <v>6.6560589999999999</v>
      </c>
      <c r="X394"/>
      <c r="Y394"/>
      <c r="Z394"/>
      <c r="AA394">
        <v>31.834779999999999</v>
      </c>
      <c r="AB394"/>
      <c r="AC394">
        <v>0.1143593</v>
      </c>
      <c r="AD394">
        <v>24.32846</v>
      </c>
      <c r="AE394">
        <v>78.24203</v>
      </c>
      <c r="AF394"/>
      <c r="AG394"/>
      <c r="AH394">
        <v>41.51643</v>
      </c>
      <c r="AI394"/>
      <c r="AJ394">
        <v>9.4272220000000004E-2</v>
      </c>
      <c r="AK394">
        <v>48.18338</v>
      </c>
      <c r="AL394">
        <v>33.547939999999997</v>
      </c>
      <c r="AM394">
        <v>21.30472</v>
      </c>
      <c r="AN394">
        <v>17.790579999999999</v>
      </c>
      <c r="AO394"/>
      <c r="AP394">
        <v>9.7629180000000009</v>
      </c>
      <c r="AQ394"/>
      <c r="AR394"/>
      <c r="AS394"/>
      <c r="AT394"/>
      <c r="AU394">
        <v>38.037739999999999</v>
      </c>
      <c r="AV394"/>
      <c r="AW394">
        <v>37.936570000000003</v>
      </c>
      <c r="AX394"/>
    </row>
    <row r="395" spans="1:50" x14ac:dyDescent="0.35">
      <c r="A395" s="75">
        <v>29860</v>
      </c>
      <c r="B395">
        <v>44.071399999999997</v>
      </c>
      <c r="C395">
        <v>40.639629999999997</v>
      </c>
      <c r="D395"/>
      <c r="E395">
        <v>40.973559999999999</v>
      </c>
      <c r="F395">
        <v>56.633569999999999</v>
      </c>
      <c r="G395"/>
      <c r="H395"/>
      <c r="I395"/>
      <c r="J395"/>
      <c r="K395"/>
      <c r="L395">
        <v>52.317230000000002</v>
      </c>
      <c r="M395">
        <v>39.144539999999999</v>
      </c>
      <c r="N395"/>
      <c r="O395">
        <v>23.500070000000001</v>
      </c>
      <c r="P395"/>
      <c r="Q395"/>
      <c r="R395">
        <v>38.214280000000002</v>
      </c>
      <c r="S395">
        <v>43.5334</v>
      </c>
      <c r="T395"/>
      <c r="U395">
        <v>42.069560000000003</v>
      </c>
      <c r="V395">
        <v>36.377220000000001</v>
      </c>
      <c r="W395">
        <v>6.8210110000000004</v>
      </c>
      <c r="X395"/>
      <c r="Y395"/>
      <c r="Z395"/>
      <c r="AA395">
        <v>33.943330000000003</v>
      </c>
      <c r="AB395"/>
      <c r="AC395">
        <v>0.12530859999999999</v>
      </c>
      <c r="AD395">
        <v>24.812930000000001</v>
      </c>
      <c r="AE395">
        <v>78.590900000000005</v>
      </c>
      <c r="AF395"/>
      <c r="AG395"/>
      <c r="AH395">
        <v>41.736989999999999</v>
      </c>
      <c r="AI395"/>
      <c r="AJ395">
        <v>9.6414509999999995E-2</v>
      </c>
      <c r="AK395">
        <v>48.707340000000002</v>
      </c>
      <c r="AL395">
        <v>33.688009999999998</v>
      </c>
      <c r="AM395">
        <v>21.51567</v>
      </c>
      <c r="AN395">
        <v>18.018899999999999</v>
      </c>
      <c r="AO395"/>
      <c r="AP395">
        <v>9.9396979999999999</v>
      </c>
      <c r="AQ395"/>
      <c r="AR395"/>
      <c r="AS395"/>
      <c r="AT395"/>
      <c r="AU395">
        <v>38.157389999999999</v>
      </c>
      <c r="AV395"/>
      <c r="AW395">
        <v>38.101680000000002</v>
      </c>
      <c r="AX395"/>
    </row>
    <row r="396" spans="1:50" x14ac:dyDescent="0.35">
      <c r="A396" s="75">
        <v>29891</v>
      </c>
      <c r="B396">
        <v>44.183590000000002</v>
      </c>
      <c r="C396">
        <v>40.855609999999999</v>
      </c>
      <c r="D396"/>
      <c r="E396">
        <v>41.420070000000003</v>
      </c>
      <c r="F396">
        <v>57.280479999999997</v>
      </c>
      <c r="G396"/>
      <c r="H396"/>
      <c r="I396"/>
      <c r="J396"/>
      <c r="K396"/>
      <c r="L396">
        <v>52.50318</v>
      </c>
      <c r="M396">
        <v>39.684049999999999</v>
      </c>
      <c r="N396"/>
      <c r="O396">
        <v>23.785240000000002</v>
      </c>
      <c r="P396"/>
      <c r="Q396"/>
      <c r="R396">
        <v>38.232480000000002</v>
      </c>
      <c r="S396">
        <v>43.923830000000002</v>
      </c>
      <c r="T396"/>
      <c r="U396">
        <v>42.331989999999998</v>
      </c>
      <c r="V396">
        <v>36.810659999999999</v>
      </c>
      <c r="W396">
        <v>6.9274079999999998</v>
      </c>
      <c r="X396"/>
      <c r="Y396"/>
      <c r="Z396"/>
      <c r="AA396">
        <v>33.943330000000003</v>
      </c>
      <c r="AB396"/>
      <c r="AC396">
        <v>0.13296859999999999</v>
      </c>
      <c r="AD396">
        <v>25.256730000000001</v>
      </c>
      <c r="AE396">
        <v>78.724429999999998</v>
      </c>
      <c r="AF396"/>
      <c r="AG396"/>
      <c r="AH396">
        <v>41.999110000000002</v>
      </c>
      <c r="AI396"/>
      <c r="AJ396">
        <v>9.8371239999999999E-2</v>
      </c>
      <c r="AK396">
        <v>48.831449999999997</v>
      </c>
      <c r="AL396">
        <v>33.697040000000001</v>
      </c>
      <c r="AM396">
        <v>21.677969999999998</v>
      </c>
      <c r="AN396">
        <v>18.209510000000002</v>
      </c>
      <c r="AO396"/>
      <c r="AP396">
        <v>10.07981</v>
      </c>
      <c r="AQ396"/>
      <c r="AR396"/>
      <c r="AS396"/>
      <c r="AT396"/>
      <c r="AU396">
        <v>38.31964</v>
      </c>
      <c r="AV396"/>
      <c r="AW396">
        <v>38.26681</v>
      </c>
      <c r="AX396"/>
    </row>
    <row r="397" spans="1:50" x14ac:dyDescent="0.35">
      <c r="A397" s="75">
        <v>29921</v>
      </c>
      <c r="B397">
        <v>44.388109999999998</v>
      </c>
      <c r="C397">
        <v>41.137140000000002</v>
      </c>
      <c r="D397"/>
      <c r="E397">
        <v>41.597200000000001</v>
      </c>
      <c r="F397">
        <v>57.380400000000002</v>
      </c>
      <c r="G397"/>
      <c r="H397"/>
      <c r="I397"/>
      <c r="J397"/>
      <c r="K397"/>
      <c r="L397">
        <v>52.567929999999997</v>
      </c>
      <c r="M397">
        <v>39.906329999999997</v>
      </c>
      <c r="N397"/>
      <c r="O397">
        <v>24.118459999999999</v>
      </c>
      <c r="P397"/>
      <c r="Q397"/>
      <c r="R397">
        <v>38.346649999999997</v>
      </c>
      <c r="S397">
        <v>44.172969999999999</v>
      </c>
      <c r="T397"/>
      <c r="U397">
        <v>42.491489999999999</v>
      </c>
      <c r="V397">
        <v>37.088329999999999</v>
      </c>
      <c r="W397">
        <v>7.0433380000000003</v>
      </c>
      <c r="X397"/>
      <c r="Y397"/>
      <c r="Z397"/>
      <c r="AA397">
        <v>33.943330000000003</v>
      </c>
      <c r="AB397"/>
      <c r="AC397">
        <v>0.1391416</v>
      </c>
      <c r="AD397">
        <v>25.512270000000001</v>
      </c>
      <c r="AE397">
        <v>78.752529999999993</v>
      </c>
      <c r="AF397"/>
      <c r="AG397"/>
      <c r="AH397">
        <v>42.151119999999999</v>
      </c>
      <c r="AI397"/>
      <c r="AJ397">
        <v>0.1008655</v>
      </c>
      <c r="AK397">
        <v>48.881770000000003</v>
      </c>
      <c r="AL397">
        <v>33.773960000000002</v>
      </c>
      <c r="AM397">
        <v>21.799199999999999</v>
      </c>
      <c r="AN397">
        <v>18.33043</v>
      </c>
      <c r="AO397"/>
      <c r="AP397">
        <v>10.269170000000001</v>
      </c>
      <c r="AQ397"/>
      <c r="AR397"/>
      <c r="AS397"/>
      <c r="AT397"/>
      <c r="AU397">
        <v>38.119169999999997</v>
      </c>
      <c r="AV397"/>
      <c r="AW397">
        <v>38.390650000000001</v>
      </c>
      <c r="AX397"/>
    </row>
    <row r="398" spans="1:50" x14ac:dyDescent="0.35">
      <c r="A398" s="75">
        <v>29952</v>
      </c>
      <c r="B398">
        <v>44.745539999999998</v>
      </c>
      <c r="C398">
        <v>41.490699999999997</v>
      </c>
      <c r="D398"/>
      <c r="E398">
        <v>41.882809999999999</v>
      </c>
      <c r="F398">
        <v>57.64378</v>
      </c>
      <c r="G398"/>
      <c r="H398"/>
      <c r="I398"/>
      <c r="J398"/>
      <c r="K398"/>
      <c r="L398">
        <v>52.956910000000001</v>
      </c>
      <c r="M398">
        <v>40.06944</v>
      </c>
      <c r="N398"/>
      <c r="O398">
        <v>24.54608</v>
      </c>
      <c r="P398"/>
      <c r="Q398"/>
      <c r="R398">
        <v>39.094029999999997</v>
      </c>
      <c r="S398">
        <v>44.622810000000001</v>
      </c>
      <c r="T398"/>
      <c r="U398">
        <v>42.660069999999997</v>
      </c>
      <c r="V398">
        <v>37.155169999999998</v>
      </c>
      <c r="W398">
        <v>7.197171</v>
      </c>
      <c r="X398"/>
      <c r="Y398"/>
      <c r="Z398"/>
      <c r="AA398">
        <v>34.71472</v>
      </c>
      <c r="AB398"/>
      <c r="AC398">
        <v>0.15076680000000001</v>
      </c>
      <c r="AD398">
        <v>25.901340000000001</v>
      </c>
      <c r="AE398">
        <v>78.520030000000006</v>
      </c>
      <c r="AF398"/>
      <c r="AG398"/>
      <c r="AH398">
        <v>42.693359999999998</v>
      </c>
      <c r="AI398"/>
      <c r="AJ398">
        <v>0.1052105</v>
      </c>
      <c r="AK398">
        <v>48.784970000000001</v>
      </c>
      <c r="AL398">
        <v>34.864840000000001</v>
      </c>
      <c r="AM398">
        <v>21.97824</v>
      </c>
      <c r="AN398">
        <v>18.54203</v>
      </c>
      <c r="AO398"/>
      <c r="AP398">
        <v>10.482799999999999</v>
      </c>
      <c r="AQ398"/>
      <c r="AR398"/>
      <c r="AS398"/>
      <c r="AT398"/>
      <c r="AU398">
        <v>38.873100000000001</v>
      </c>
      <c r="AV398"/>
      <c r="AW398">
        <v>38.473210000000002</v>
      </c>
      <c r="AX398"/>
    </row>
    <row r="399" spans="1:50" x14ac:dyDescent="0.35">
      <c r="A399" s="75">
        <v>29983</v>
      </c>
      <c r="B399">
        <v>44.969380000000001</v>
      </c>
      <c r="C399">
        <v>41.763770000000001</v>
      </c>
      <c r="D399"/>
      <c r="E399">
        <v>42.339359999999999</v>
      </c>
      <c r="F399">
        <v>57.88599</v>
      </c>
      <c r="G399"/>
      <c r="H399"/>
      <c r="I399"/>
      <c r="J399"/>
      <c r="K399"/>
      <c r="L399">
        <v>53.069070000000004</v>
      </c>
      <c r="M399">
        <v>40.390949999999997</v>
      </c>
      <c r="N399"/>
      <c r="O399">
        <v>24.814350000000001</v>
      </c>
      <c r="P399"/>
      <c r="Q399"/>
      <c r="R399">
        <v>39.230310000000003</v>
      </c>
      <c r="S399">
        <v>45.080829999999999</v>
      </c>
      <c r="T399"/>
      <c r="U399">
        <v>42.847900000000003</v>
      </c>
      <c r="V399">
        <v>37.232089999999999</v>
      </c>
      <c r="W399">
        <v>7.1639530000000002</v>
      </c>
      <c r="X399"/>
      <c r="Y399"/>
      <c r="Z399"/>
      <c r="AA399">
        <v>34.71472</v>
      </c>
      <c r="AB399"/>
      <c r="AC399">
        <v>0.15820149999999999</v>
      </c>
      <c r="AD399">
        <v>26.3687</v>
      </c>
      <c r="AE399">
        <v>78.365470000000002</v>
      </c>
      <c r="AF399"/>
      <c r="AG399"/>
      <c r="AH399">
        <v>43.120669999999997</v>
      </c>
      <c r="AI399"/>
      <c r="AJ399">
        <v>0.11004949999999999</v>
      </c>
      <c r="AK399">
        <v>49.014890000000001</v>
      </c>
      <c r="AL399">
        <v>35.03575</v>
      </c>
      <c r="AM399">
        <v>22.122969999999999</v>
      </c>
      <c r="AN399">
        <v>18.670159999999999</v>
      </c>
      <c r="AO399"/>
      <c r="AP399">
        <v>10.687379999999999</v>
      </c>
      <c r="AQ399"/>
      <c r="AR399"/>
      <c r="AS399"/>
      <c r="AT399"/>
      <c r="AU399">
        <v>39.36683</v>
      </c>
      <c r="AV399"/>
      <c r="AW399">
        <v>38.597050000000003</v>
      </c>
      <c r="AX399"/>
    </row>
    <row r="400" spans="1:50" x14ac:dyDescent="0.35">
      <c r="A400" s="75">
        <v>30011</v>
      </c>
      <c r="B400">
        <v>45.322420000000001</v>
      </c>
      <c r="C400">
        <v>41.802280000000003</v>
      </c>
      <c r="D400"/>
      <c r="E400">
        <v>42.764449999999997</v>
      </c>
      <c r="F400">
        <v>58.115929999999999</v>
      </c>
      <c r="G400"/>
      <c r="H400"/>
      <c r="I400"/>
      <c r="J400"/>
      <c r="K400"/>
      <c r="L400">
        <v>53.150599999999997</v>
      </c>
      <c r="M400">
        <v>40.699210000000001</v>
      </c>
      <c r="N400"/>
      <c r="O400">
        <v>25.171469999999999</v>
      </c>
      <c r="P400"/>
      <c r="Q400"/>
      <c r="R400">
        <v>39.568930000000002</v>
      </c>
      <c r="S400">
        <v>45.593359999999997</v>
      </c>
      <c r="T400"/>
      <c r="U400">
        <v>43.021160000000002</v>
      </c>
      <c r="V400">
        <v>37.53951</v>
      </c>
      <c r="W400">
        <v>7.4143860000000004</v>
      </c>
      <c r="X400"/>
      <c r="Y400"/>
      <c r="Z400"/>
      <c r="AA400">
        <v>34.71472</v>
      </c>
      <c r="AB400"/>
      <c r="AC400">
        <v>0.16550100000000001</v>
      </c>
      <c r="AD400">
        <v>26.62255</v>
      </c>
      <c r="AE400">
        <v>78.468350000000001</v>
      </c>
      <c r="AF400"/>
      <c r="AG400"/>
      <c r="AH400">
        <v>43.268320000000003</v>
      </c>
      <c r="AI400"/>
      <c r="AJ400">
        <v>0.11478140000000001</v>
      </c>
      <c r="AK400">
        <v>49.433799999999998</v>
      </c>
      <c r="AL400">
        <v>35.750190000000003</v>
      </c>
      <c r="AM400">
        <v>22.279019999999999</v>
      </c>
      <c r="AN400">
        <v>18.823650000000001</v>
      </c>
      <c r="AO400"/>
      <c r="AP400">
        <v>10.828279999999999</v>
      </c>
      <c r="AQ400"/>
      <c r="AR400"/>
      <c r="AS400"/>
      <c r="AT400"/>
      <c r="AU400">
        <v>39.383209999999998</v>
      </c>
      <c r="AV400"/>
      <c r="AW400">
        <v>38.679609999999997</v>
      </c>
      <c r="AX400"/>
    </row>
    <row r="401" spans="1:50" x14ac:dyDescent="0.35">
      <c r="A401" s="75">
        <v>30042</v>
      </c>
      <c r="B401">
        <v>45.499450000000003</v>
      </c>
      <c r="C401">
        <v>42.17727</v>
      </c>
      <c r="D401"/>
      <c r="E401">
        <v>42.99288</v>
      </c>
      <c r="F401">
        <v>58.296050000000001</v>
      </c>
      <c r="G401"/>
      <c r="H401"/>
      <c r="I401"/>
      <c r="J401"/>
      <c r="K401"/>
      <c r="L401">
        <v>53.242620000000002</v>
      </c>
      <c r="M401">
        <v>40.993690000000001</v>
      </c>
      <c r="N401"/>
      <c r="O401">
        <v>25.542149999999999</v>
      </c>
      <c r="P401"/>
      <c r="Q401"/>
      <c r="R401">
        <v>39.749339999999997</v>
      </c>
      <c r="S401">
        <v>46.102379999999997</v>
      </c>
      <c r="T401"/>
      <c r="U401">
        <v>43.398269999999997</v>
      </c>
      <c r="V401">
        <v>38.383980000000001</v>
      </c>
      <c r="W401">
        <v>7.6106980000000002</v>
      </c>
      <c r="X401"/>
      <c r="Y401"/>
      <c r="Z401"/>
      <c r="AA401">
        <v>37.074010000000001</v>
      </c>
      <c r="AB401"/>
      <c r="AC401">
        <v>0.18586759999999999</v>
      </c>
      <c r="AD401">
        <v>26.86159</v>
      </c>
      <c r="AE401">
        <v>79.140439999999998</v>
      </c>
      <c r="AF401"/>
      <c r="AG401"/>
      <c r="AH401">
        <v>43.442700000000002</v>
      </c>
      <c r="AI401"/>
      <c r="AJ401">
        <v>0.12104520000000001</v>
      </c>
      <c r="AK401">
        <v>49.637149999999998</v>
      </c>
      <c r="AL401">
        <v>35.941240000000001</v>
      </c>
      <c r="AM401">
        <v>22.545539999999999</v>
      </c>
      <c r="AN401">
        <v>19.013369999999998</v>
      </c>
      <c r="AO401"/>
      <c r="AP401">
        <v>11.043530000000001</v>
      </c>
      <c r="AQ401"/>
      <c r="AR401"/>
      <c r="AS401"/>
      <c r="AT401"/>
      <c r="AU401">
        <v>39.669960000000003</v>
      </c>
      <c r="AV401"/>
      <c r="AW401">
        <v>39.00985</v>
      </c>
      <c r="AX401"/>
    </row>
    <row r="402" spans="1:50" x14ac:dyDescent="0.35">
      <c r="A402" s="75">
        <v>30072</v>
      </c>
      <c r="B402">
        <v>45.748170000000002</v>
      </c>
      <c r="C402">
        <v>42.483609999999999</v>
      </c>
      <c r="D402"/>
      <c r="E402">
        <v>43.465400000000002</v>
      </c>
      <c r="F402">
        <v>58.905830000000002</v>
      </c>
      <c r="G402"/>
      <c r="H402"/>
      <c r="I402"/>
      <c r="J402"/>
      <c r="K402"/>
      <c r="L402">
        <v>53.573549999999997</v>
      </c>
      <c r="M402">
        <v>41.692700000000002</v>
      </c>
      <c r="N402"/>
      <c r="O402">
        <v>25.939900000000002</v>
      </c>
      <c r="P402"/>
      <c r="Q402"/>
      <c r="R402">
        <v>40.741210000000002</v>
      </c>
      <c r="S402">
        <v>46.44847</v>
      </c>
      <c r="T402"/>
      <c r="U402">
        <v>43.781089999999999</v>
      </c>
      <c r="V402">
        <v>38.540120000000002</v>
      </c>
      <c r="W402">
        <v>7.675637</v>
      </c>
      <c r="X402"/>
      <c r="Y402"/>
      <c r="Z402"/>
      <c r="AA402">
        <v>37.074010000000001</v>
      </c>
      <c r="AB402"/>
      <c r="AC402">
        <v>0.19695209999999999</v>
      </c>
      <c r="AD402">
        <v>27.202100000000002</v>
      </c>
      <c r="AE402">
        <v>79.837370000000007</v>
      </c>
      <c r="AF402"/>
      <c r="AG402"/>
      <c r="AH402">
        <v>43.948210000000003</v>
      </c>
      <c r="AI402"/>
      <c r="AJ402">
        <v>0.128139</v>
      </c>
      <c r="AK402">
        <v>49.781880000000001</v>
      </c>
      <c r="AL402">
        <v>36.109960000000001</v>
      </c>
      <c r="AM402">
        <v>22.800660000000001</v>
      </c>
      <c r="AN402">
        <v>19.16038</v>
      </c>
      <c r="AO402"/>
      <c r="AP402">
        <v>11.113530000000001</v>
      </c>
      <c r="AQ402"/>
      <c r="AR402"/>
      <c r="AS402"/>
      <c r="AT402"/>
      <c r="AU402">
        <v>39.903910000000003</v>
      </c>
      <c r="AV402"/>
      <c r="AW402">
        <v>39.381369999999997</v>
      </c>
      <c r="AX402"/>
    </row>
    <row r="403" spans="1:50" x14ac:dyDescent="0.35">
      <c r="A403" s="75">
        <v>30103</v>
      </c>
      <c r="B403">
        <v>45.824910000000003</v>
      </c>
      <c r="C403">
        <v>42.598039999999997</v>
      </c>
      <c r="D403"/>
      <c r="E403">
        <v>43.897089999999999</v>
      </c>
      <c r="F403">
        <v>59.132150000000003</v>
      </c>
      <c r="G403"/>
      <c r="H403"/>
      <c r="I403"/>
      <c r="J403"/>
      <c r="K403"/>
      <c r="L403">
        <v>54.024940000000001</v>
      </c>
      <c r="M403">
        <v>41.875630000000001</v>
      </c>
      <c r="N403"/>
      <c r="O403">
        <v>26.149480000000001</v>
      </c>
      <c r="P403"/>
      <c r="Q403"/>
      <c r="R403">
        <v>40.855800000000002</v>
      </c>
      <c r="S403">
        <v>46.767090000000003</v>
      </c>
      <c r="T403"/>
      <c r="U403">
        <v>44.10848</v>
      </c>
      <c r="V403">
        <v>38.539259999999999</v>
      </c>
      <c r="W403">
        <v>7.9055799999999996</v>
      </c>
      <c r="X403"/>
      <c r="Y403"/>
      <c r="Z403"/>
      <c r="AA403">
        <v>37.074010000000001</v>
      </c>
      <c r="AB403"/>
      <c r="AC403">
        <v>0.2088026</v>
      </c>
      <c r="AD403">
        <v>27.436070000000001</v>
      </c>
      <c r="AE403">
        <v>80.023669999999996</v>
      </c>
      <c r="AF403"/>
      <c r="AG403"/>
      <c r="AH403">
        <v>44.434559999999998</v>
      </c>
      <c r="AI403"/>
      <c r="AJ403">
        <v>0.13491700000000001</v>
      </c>
      <c r="AK403">
        <v>49.784790000000001</v>
      </c>
      <c r="AL403">
        <v>36.289589999999997</v>
      </c>
      <c r="AM403">
        <v>23.051269999999999</v>
      </c>
      <c r="AN403">
        <v>19.335470000000001</v>
      </c>
      <c r="AO403"/>
      <c r="AP403">
        <v>11.255940000000001</v>
      </c>
      <c r="AQ403"/>
      <c r="AR403"/>
      <c r="AS403"/>
      <c r="AT403"/>
      <c r="AU403">
        <v>39.973799999999997</v>
      </c>
      <c r="AV403"/>
      <c r="AW403">
        <v>39.752899999999997</v>
      </c>
      <c r="AX403"/>
    </row>
    <row r="404" spans="1:50" x14ac:dyDescent="0.35">
      <c r="A404" s="75">
        <v>30133</v>
      </c>
      <c r="B404">
        <v>46.248080000000002</v>
      </c>
      <c r="C404">
        <v>42.890979999999999</v>
      </c>
      <c r="D404"/>
      <c r="E404">
        <v>44.166730000000001</v>
      </c>
      <c r="F404">
        <v>59.242370000000001</v>
      </c>
      <c r="G404"/>
      <c r="H404"/>
      <c r="I404"/>
      <c r="J404"/>
      <c r="K404"/>
      <c r="L404">
        <v>54.142789999999998</v>
      </c>
      <c r="M404">
        <v>42.012369999999997</v>
      </c>
      <c r="N404"/>
      <c r="O404">
        <v>26.387329999999999</v>
      </c>
      <c r="P404"/>
      <c r="Q404"/>
      <c r="R404">
        <v>40.973030000000001</v>
      </c>
      <c r="S404">
        <v>46.908099999999997</v>
      </c>
      <c r="T404"/>
      <c r="U404">
        <v>44.256630000000001</v>
      </c>
      <c r="V404">
        <v>38.642110000000002</v>
      </c>
      <c r="W404">
        <v>7.859172</v>
      </c>
      <c r="X404"/>
      <c r="Y404"/>
      <c r="Z404"/>
      <c r="AA404">
        <v>37.939959999999999</v>
      </c>
      <c r="AB404"/>
      <c r="AC404">
        <v>0.22633039999999999</v>
      </c>
      <c r="AD404">
        <v>27.765560000000001</v>
      </c>
      <c r="AE404">
        <v>79.677570000000003</v>
      </c>
      <c r="AF404"/>
      <c r="AG404"/>
      <c r="AH404">
        <v>44.794609999999999</v>
      </c>
      <c r="AI404"/>
      <c r="AJ404">
        <v>0.14165169999999999</v>
      </c>
      <c r="AK404">
        <v>50.177370000000003</v>
      </c>
      <c r="AL404">
        <v>36.58623</v>
      </c>
      <c r="AM404">
        <v>23.211179999999999</v>
      </c>
      <c r="AN404">
        <v>19.421779999999998</v>
      </c>
      <c r="AO404"/>
      <c r="AP404">
        <v>11.32424</v>
      </c>
      <c r="AQ404"/>
      <c r="AR404"/>
      <c r="AS404"/>
      <c r="AT404"/>
      <c r="AU404">
        <v>40.130380000000002</v>
      </c>
      <c r="AV404"/>
      <c r="AW404">
        <v>39.918019999999999</v>
      </c>
      <c r="AX404"/>
    </row>
    <row r="405" spans="1:50" x14ac:dyDescent="0.35">
      <c r="A405" s="75">
        <v>30164</v>
      </c>
      <c r="B405">
        <v>46.394219999999997</v>
      </c>
      <c r="C405">
        <v>43.182459999999999</v>
      </c>
      <c r="D405"/>
      <c r="E405">
        <v>44.44229</v>
      </c>
      <c r="F405">
        <v>59.670070000000003</v>
      </c>
      <c r="G405"/>
      <c r="H405"/>
      <c r="I405"/>
      <c r="J405"/>
      <c r="K405"/>
      <c r="L405">
        <v>54.165260000000004</v>
      </c>
      <c r="M405">
        <v>42.267209999999999</v>
      </c>
      <c r="N405"/>
      <c r="O405">
        <v>26.521039999999999</v>
      </c>
      <c r="P405"/>
      <c r="Q405"/>
      <c r="R405">
        <v>41.052129999999998</v>
      </c>
      <c r="S405">
        <v>46.998930000000001</v>
      </c>
      <c r="T405"/>
      <c r="U405">
        <v>44.418460000000003</v>
      </c>
      <c r="V405">
        <v>38.69847</v>
      </c>
      <c r="W405">
        <v>7.7514960000000004</v>
      </c>
      <c r="X405"/>
      <c r="Y405"/>
      <c r="Z405"/>
      <c r="AA405">
        <v>37.939959999999999</v>
      </c>
      <c r="AB405"/>
      <c r="AC405">
        <v>0.24097450000000001</v>
      </c>
      <c r="AD405">
        <v>28.222270000000002</v>
      </c>
      <c r="AE405">
        <v>79.509810000000002</v>
      </c>
      <c r="AF405"/>
      <c r="AG405"/>
      <c r="AH405">
        <v>45.036529999999999</v>
      </c>
      <c r="AI405"/>
      <c r="AJ405">
        <v>0.15493170000000001</v>
      </c>
      <c r="AK405">
        <v>50.323140000000002</v>
      </c>
      <c r="AL405">
        <v>36.563899999999997</v>
      </c>
      <c r="AM405">
        <v>23.434239999999999</v>
      </c>
      <c r="AN405">
        <v>19.516649999999998</v>
      </c>
      <c r="AO405"/>
      <c r="AP405">
        <v>11.450150000000001</v>
      </c>
      <c r="AQ405"/>
      <c r="AR405"/>
      <c r="AS405"/>
      <c r="AT405"/>
      <c r="AU405">
        <v>40.220359999999999</v>
      </c>
      <c r="AV405"/>
      <c r="AW405">
        <v>40.08314</v>
      </c>
      <c r="AX405"/>
    </row>
    <row r="406" spans="1:50" x14ac:dyDescent="0.35">
      <c r="A406" s="75">
        <v>30195</v>
      </c>
      <c r="B406">
        <v>46.584629999999997</v>
      </c>
      <c r="C406">
        <v>43.463590000000003</v>
      </c>
      <c r="D406"/>
      <c r="E406">
        <v>44.631799999999998</v>
      </c>
      <c r="F406">
        <v>59.845610000000001</v>
      </c>
      <c r="G406"/>
      <c r="H406"/>
      <c r="I406"/>
      <c r="J406"/>
      <c r="K406"/>
      <c r="L406">
        <v>54.370179999999998</v>
      </c>
      <c r="M406">
        <v>42.732550000000003</v>
      </c>
      <c r="N406"/>
      <c r="O406">
        <v>26.734000000000002</v>
      </c>
      <c r="P406"/>
      <c r="Q406"/>
      <c r="R406">
        <v>40.95834</v>
      </c>
      <c r="S406">
        <v>47.117229999999999</v>
      </c>
      <c r="T406"/>
      <c r="U406">
        <v>44.633339999999997</v>
      </c>
      <c r="V406">
        <v>38.654159999999997</v>
      </c>
      <c r="W406">
        <v>8.0007359999999998</v>
      </c>
      <c r="X406"/>
      <c r="Y406"/>
      <c r="Z406"/>
      <c r="AA406">
        <v>37.939959999999999</v>
      </c>
      <c r="AB406"/>
      <c r="AC406">
        <v>0.25922339999999999</v>
      </c>
      <c r="AD406">
        <v>28.64856</v>
      </c>
      <c r="AE406">
        <v>80.614850000000004</v>
      </c>
      <c r="AF406"/>
      <c r="AG406"/>
      <c r="AH406">
        <v>45.372869999999999</v>
      </c>
      <c r="AI406"/>
      <c r="AJ406">
        <v>0.16354489999999999</v>
      </c>
      <c r="AK406">
        <v>50.703629999999997</v>
      </c>
      <c r="AL406">
        <v>37.059170000000002</v>
      </c>
      <c r="AM406">
        <v>23.658159999999999</v>
      </c>
      <c r="AN406">
        <v>19.67681</v>
      </c>
      <c r="AO406"/>
      <c r="AP406">
        <v>11.57222</v>
      </c>
      <c r="AQ406"/>
      <c r="AR406"/>
      <c r="AS406"/>
      <c r="AT406"/>
      <c r="AU406">
        <v>40.482019999999999</v>
      </c>
      <c r="AV406"/>
      <c r="AW406">
        <v>40.165700000000001</v>
      </c>
      <c r="AX406"/>
    </row>
    <row r="407" spans="1:50" x14ac:dyDescent="0.35">
      <c r="A407" s="75">
        <v>30225</v>
      </c>
      <c r="B407">
        <v>46.6629</v>
      </c>
      <c r="C407">
        <v>43.647910000000003</v>
      </c>
      <c r="D407"/>
      <c r="E407">
        <v>45.147959999999998</v>
      </c>
      <c r="F407">
        <v>60.027740000000001</v>
      </c>
      <c r="G407"/>
      <c r="H407"/>
      <c r="I407"/>
      <c r="J407"/>
      <c r="K407"/>
      <c r="L407">
        <v>54.578589999999998</v>
      </c>
      <c r="M407">
        <v>43.175660000000001</v>
      </c>
      <c r="N407"/>
      <c r="O407">
        <v>27.030380000000001</v>
      </c>
      <c r="P407"/>
      <c r="Q407"/>
      <c r="R407">
        <v>41.130519999999997</v>
      </c>
      <c r="S407">
        <v>47.327739999999999</v>
      </c>
      <c r="T407"/>
      <c r="U407">
        <v>44.886629999999997</v>
      </c>
      <c r="V407">
        <v>38.84581</v>
      </c>
      <c r="W407">
        <v>8.2118990000000007</v>
      </c>
      <c r="X407"/>
      <c r="Y407"/>
      <c r="Z407"/>
      <c r="AA407">
        <v>38.518169999999998</v>
      </c>
      <c r="AB407"/>
      <c r="AC407">
        <v>0.28495199999999998</v>
      </c>
      <c r="AD407">
        <v>29.166270000000001</v>
      </c>
      <c r="AE407">
        <v>80.935680000000005</v>
      </c>
      <c r="AF407"/>
      <c r="AG407"/>
      <c r="AH407">
        <v>45.791370000000001</v>
      </c>
      <c r="AI407"/>
      <c r="AJ407">
        <v>0.1714</v>
      </c>
      <c r="AK407">
        <v>51.074570000000001</v>
      </c>
      <c r="AL407">
        <v>37.325270000000003</v>
      </c>
      <c r="AM407">
        <v>23.89696</v>
      </c>
      <c r="AN407">
        <v>19.852150000000002</v>
      </c>
      <c r="AO407"/>
      <c r="AP407">
        <v>11.73133</v>
      </c>
      <c r="AQ407"/>
      <c r="AR407"/>
      <c r="AS407"/>
      <c r="AT407"/>
      <c r="AU407">
        <v>40.919170000000001</v>
      </c>
      <c r="AV407"/>
      <c r="AW407">
        <v>40.330820000000003</v>
      </c>
      <c r="AX407"/>
    </row>
    <row r="408" spans="1:50" x14ac:dyDescent="0.35">
      <c r="A408" s="75">
        <v>30256</v>
      </c>
      <c r="B408">
        <v>46.788209999999999</v>
      </c>
      <c r="C408">
        <v>43.859839999999998</v>
      </c>
      <c r="D408"/>
      <c r="E408">
        <v>45.384900000000002</v>
      </c>
      <c r="F408">
        <v>60.590260000000001</v>
      </c>
      <c r="G408"/>
      <c r="H408"/>
      <c r="I408"/>
      <c r="J408"/>
      <c r="K408"/>
      <c r="L408">
        <v>54.699649999999998</v>
      </c>
      <c r="M408">
        <v>43.64058</v>
      </c>
      <c r="N408"/>
      <c r="O408">
        <v>27.309750000000001</v>
      </c>
      <c r="P408"/>
      <c r="Q408"/>
      <c r="R408">
        <v>41.2438</v>
      </c>
      <c r="S408">
        <v>47.749160000000003</v>
      </c>
      <c r="T408"/>
      <c r="U408">
        <v>44.975490000000001</v>
      </c>
      <c r="V408">
        <v>38.9114</v>
      </c>
      <c r="W408">
        <v>8.3241289999999992</v>
      </c>
      <c r="X408"/>
      <c r="Y408"/>
      <c r="Z408"/>
      <c r="AA408">
        <v>38.557049999999997</v>
      </c>
      <c r="AB408"/>
      <c r="AC408">
        <v>0.30284030000000001</v>
      </c>
      <c r="AD408">
        <v>29.615069999999999</v>
      </c>
      <c r="AE408">
        <v>80.815929999999994</v>
      </c>
      <c r="AF408"/>
      <c r="AG408"/>
      <c r="AH408">
        <v>46.158819999999999</v>
      </c>
      <c r="AI408"/>
      <c r="AJ408">
        <v>0.1809009</v>
      </c>
      <c r="AK408">
        <v>51.084269999999997</v>
      </c>
      <c r="AL408">
        <v>37.382579999999997</v>
      </c>
      <c r="AM408">
        <v>24.067740000000001</v>
      </c>
      <c r="AN408">
        <v>20.013000000000002</v>
      </c>
      <c r="AO408"/>
      <c r="AP408">
        <v>11.83155</v>
      </c>
      <c r="AQ408"/>
      <c r="AR408"/>
      <c r="AS408"/>
      <c r="AT408"/>
      <c r="AU408">
        <v>41.267139999999998</v>
      </c>
      <c r="AV408"/>
      <c r="AW408">
        <v>40.289540000000002</v>
      </c>
      <c r="AX408"/>
    </row>
    <row r="409" spans="1:50" x14ac:dyDescent="0.35">
      <c r="A409" s="75">
        <v>30286</v>
      </c>
      <c r="B409">
        <v>46.93824</v>
      </c>
      <c r="C409">
        <v>44.265389999999996</v>
      </c>
      <c r="D409"/>
      <c r="E409">
        <v>45.447029999999998</v>
      </c>
      <c r="F409">
        <v>60.57714</v>
      </c>
      <c r="G409"/>
      <c r="H409"/>
      <c r="I409"/>
      <c r="J409"/>
      <c r="K409"/>
      <c r="L409">
        <v>54.939869999999999</v>
      </c>
      <c r="M409">
        <v>43.555669999999999</v>
      </c>
      <c r="N409"/>
      <c r="O409">
        <v>27.342459999999999</v>
      </c>
      <c r="P409"/>
      <c r="Q409"/>
      <c r="R409">
        <v>41.904499999999999</v>
      </c>
      <c r="S409">
        <v>48.115639999999999</v>
      </c>
      <c r="T409"/>
      <c r="U409">
        <v>44.968220000000002</v>
      </c>
      <c r="V409">
        <v>38.694420000000001</v>
      </c>
      <c r="W409">
        <v>8.4323239999999995</v>
      </c>
      <c r="X409"/>
      <c r="Y409"/>
      <c r="Z409"/>
      <c r="AA409">
        <v>38.557049999999997</v>
      </c>
      <c r="AB409"/>
      <c r="AC409">
        <v>0.31730419999999998</v>
      </c>
      <c r="AD409">
        <v>29.902329999999999</v>
      </c>
      <c r="AE409">
        <v>80.870769999999993</v>
      </c>
      <c r="AF409"/>
      <c r="AG409"/>
      <c r="AH409">
        <v>46.353479999999998</v>
      </c>
      <c r="AI409"/>
      <c r="AJ409">
        <v>0.1969533</v>
      </c>
      <c r="AK409">
        <v>50.98706</v>
      </c>
      <c r="AL409">
        <v>37.634079999999997</v>
      </c>
      <c r="AM409">
        <v>24.273520000000001</v>
      </c>
      <c r="AN409">
        <v>20.14284</v>
      </c>
      <c r="AO409"/>
      <c r="AP409">
        <v>11.99817</v>
      </c>
      <c r="AQ409"/>
      <c r="AR409"/>
      <c r="AS409"/>
      <c r="AT409"/>
      <c r="AU409">
        <v>41.472360000000002</v>
      </c>
      <c r="AV409"/>
      <c r="AW409">
        <v>40.124420000000001</v>
      </c>
      <c r="AX409"/>
    </row>
    <row r="410" spans="1:50" x14ac:dyDescent="0.35">
      <c r="A410" s="75">
        <v>30317</v>
      </c>
      <c r="B410">
        <v>47.166870000000003</v>
      </c>
      <c r="C410">
        <v>45.003459999999997</v>
      </c>
      <c r="D410"/>
      <c r="E410">
        <v>45.418300000000002</v>
      </c>
      <c r="F410">
        <v>60.619880000000002</v>
      </c>
      <c r="G410"/>
      <c r="H410"/>
      <c r="I410"/>
      <c r="J410"/>
      <c r="K410"/>
      <c r="L410">
        <v>55.294280000000001</v>
      </c>
      <c r="M410">
        <v>43.971870000000003</v>
      </c>
      <c r="N410"/>
      <c r="O410">
        <v>27.781359999999999</v>
      </c>
      <c r="P410"/>
      <c r="Q410"/>
      <c r="R410">
        <v>42.396740000000001</v>
      </c>
      <c r="S410">
        <v>48.698639999999997</v>
      </c>
      <c r="T410"/>
      <c r="U410">
        <v>45.125450000000001</v>
      </c>
      <c r="V410">
        <v>38.734929999999999</v>
      </c>
      <c r="W410">
        <v>8.6027550000000002</v>
      </c>
      <c r="X410"/>
      <c r="Y410"/>
      <c r="Z410"/>
      <c r="AA410">
        <v>39.643889999999999</v>
      </c>
      <c r="AB410"/>
      <c r="AC410">
        <v>0.3407348</v>
      </c>
      <c r="AD410">
        <v>29.995989999999999</v>
      </c>
      <c r="AE410">
        <v>80.587209999999999</v>
      </c>
      <c r="AF410"/>
      <c r="AG410"/>
      <c r="AH410">
        <v>46.409280000000003</v>
      </c>
      <c r="AI410"/>
      <c r="AJ410">
        <v>0.2222199</v>
      </c>
      <c r="AK410">
        <v>50.986719999999998</v>
      </c>
      <c r="AL410">
        <v>38.264589999999998</v>
      </c>
      <c r="AM410">
        <v>24.559740000000001</v>
      </c>
      <c r="AN410">
        <v>20.343119999999999</v>
      </c>
      <c r="AO410"/>
      <c r="AP410">
        <v>12.43412</v>
      </c>
      <c r="AQ410"/>
      <c r="AR410"/>
      <c r="AS410"/>
      <c r="AT410"/>
      <c r="AU410">
        <v>42.407739999999997</v>
      </c>
      <c r="AV410"/>
      <c r="AW410">
        <v>40.289540000000002</v>
      </c>
      <c r="AX410"/>
    </row>
    <row r="411" spans="1:50" x14ac:dyDescent="0.35">
      <c r="A411" s="75">
        <v>30348</v>
      </c>
      <c r="B411">
        <v>47.359209999999997</v>
      </c>
      <c r="C411">
        <v>45.36835</v>
      </c>
      <c r="D411"/>
      <c r="E411">
        <v>45.753019999999999</v>
      </c>
      <c r="F411">
        <v>60.843800000000002</v>
      </c>
      <c r="G411"/>
      <c r="H411"/>
      <c r="I411"/>
      <c r="J411"/>
      <c r="K411"/>
      <c r="L411">
        <v>55.379179999999998</v>
      </c>
      <c r="M411">
        <v>44.139380000000003</v>
      </c>
      <c r="N411"/>
      <c r="O411">
        <v>28.138249999999999</v>
      </c>
      <c r="P411"/>
      <c r="Q411"/>
      <c r="R411">
        <v>42.528640000000003</v>
      </c>
      <c r="S411">
        <v>49.086359999999999</v>
      </c>
      <c r="T411"/>
      <c r="U411">
        <v>45.284999999999997</v>
      </c>
      <c r="V411">
        <v>38.997230000000002</v>
      </c>
      <c r="W411">
        <v>8.7165160000000004</v>
      </c>
      <c r="X411"/>
      <c r="Y411"/>
      <c r="Z411"/>
      <c r="AA411">
        <v>39.643889999999999</v>
      </c>
      <c r="AB411"/>
      <c r="AC411">
        <v>0.3574966</v>
      </c>
      <c r="AD411">
        <v>30.48357</v>
      </c>
      <c r="AE411">
        <v>80.113870000000006</v>
      </c>
      <c r="AF411"/>
      <c r="AG411"/>
      <c r="AH411">
        <v>46.63344</v>
      </c>
      <c r="AI411"/>
      <c r="AJ411">
        <v>0.23621130000000001</v>
      </c>
      <c r="AK411">
        <v>51.201639999999998</v>
      </c>
      <c r="AL411">
        <v>38.489420000000003</v>
      </c>
      <c r="AM411">
        <v>24.740559999999999</v>
      </c>
      <c r="AN411">
        <v>20.503789999999999</v>
      </c>
      <c r="AO411"/>
      <c r="AP411">
        <v>12.67178</v>
      </c>
      <c r="AQ411"/>
      <c r="AR411"/>
      <c r="AS411"/>
      <c r="AT411"/>
      <c r="AU411">
        <v>42.39828</v>
      </c>
      <c r="AV411"/>
      <c r="AW411">
        <v>40.413379999999997</v>
      </c>
      <c r="AX411"/>
    </row>
    <row r="412" spans="1:50" x14ac:dyDescent="0.35">
      <c r="A412" s="75">
        <v>30376</v>
      </c>
      <c r="B412">
        <v>47.429310000000001</v>
      </c>
      <c r="C412">
        <v>45.585729999999998</v>
      </c>
      <c r="D412"/>
      <c r="E412">
        <v>46.007449999999999</v>
      </c>
      <c r="F412">
        <v>60.956429999999997</v>
      </c>
      <c r="G412"/>
      <c r="H412"/>
      <c r="I412"/>
      <c r="J412"/>
      <c r="K412"/>
      <c r="L412">
        <v>55.460709999999999</v>
      </c>
      <c r="M412">
        <v>44.232570000000003</v>
      </c>
      <c r="N412"/>
      <c r="O412">
        <v>28.34375</v>
      </c>
      <c r="P412"/>
      <c r="Q412"/>
      <c r="R412">
        <v>42.876550000000002</v>
      </c>
      <c r="S412">
        <v>49.682139999999997</v>
      </c>
      <c r="T412"/>
      <c r="U412">
        <v>45.459530000000001</v>
      </c>
      <c r="V412">
        <v>39.114319999999999</v>
      </c>
      <c r="W412">
        <v>9.0995699999999999</v>
      </c>
      <c r="X412"/>
      <c r="Y412"/>
      <c r="Z412"/>
      <c r="AA412">
        <v>39.643889999999999</v>
      </c>
      <c r="AB412"/>
      <c r="AC412">
        <v>0.37534000000000001</v>
      </c>
      <c r="AD412">
        <v>30.812999999999999</v>
      </c>
      <c r="AE412">
        <v>80.366860000000003</v>
      </c>
      <c r="AF412"/>
      <c r="AG412"/>
      <c r="AH412">
        <v>46.732970000000002</v>
      </c>
      <c r="AI412"/>
      <c r="AJ412">
        <v>0.24863879999999999</v>
      </c>
      <c r="AK412">
        <v>51.292769999999997</v>
      </c>
      <c r="AL412">
        <v>39.143160000000002</v>
      </c>
      <c r="AM412">
        <v>24.926279999999998</v>
      </c>
      <c r="AN412">
        <v>20.667000000000002</v>
      </c>
      <c r="AO412"/>
      <c r="AP412">
        <v>12.879899999999999</v>
      </c>
      <c r="AQ412"/>
      <c r="AR412"/>
      <c r="AS412"/>
      <c r="AT412"/>
      <c r="AU412">
        <v>42.627090000000003</v>
      </c>
      <c r="AV412"/>
      <c r="AW412">
        <v>40.495939999999997</v>
      </c>
      <c r="AX412"/>
    </row>
    <row r="413" spans="1:50" x14ac:dyDescent="0.35">
      <c r="A413" s="75">
        <v>30407</v>
      </c>
      <c r="B413">
        <v>47.475670000000001</v>
      </c>
      <c r="C413">
        <v>45.854379999999999</v>
      </c>
      <c r="D413"/>
      <c r="E413">
        <v>46.149380000000001</v>
      </c>
      <c r="F413">
        <v>60.9846</v>
      </c>
      <c r="G413"/>
      <c r="H413"/>
      <c r="I413"/>
      <c r="J413"/>
      <c r="K413"/>
      <c r="L413">
        <v>55.511899999999997</v>
      </c>
      <c r="M413">
        <v>44.59534</v>
      </c>
      <c r="N413"/>
      <c r="O413">
        <v>28.767230000000001</v>
      </c>
      <c r="P413"/>
      <c r="Q413"/>
      <c r="R413">
        <v>43.069450000000003</v>
      </c>
      <c r="S413">
        <v>50.269199999999998</v>
      </c>
      <c r="T413"/>
      <c r="U413">
        <v>45.769590000000001</v>
      </c>
      <c r="V413">
        <v>39.744929999999997</v>
      </c>
      <c r="W413">
        <v>9.1557469999999999</v>
      </c>
      <c r="X413"/>
      <c r="Y413"/>
      <c r="Z413"/>
      <c r="AA413">
        <v>40.937759999999997</v>
      </c>
      <c r="AB413"/>
      <c r="AC413">
        <v>0.43152829999999998</v>
      </c>
      <c r="AD413">
        <v>31.169280000000001</v>
      </c>
      <c r="AE413">
        <v>81.061779999999999</v>
      </c>
      <c r="AF413"/>
      <c r="AG413"/>
      <c r="AH413">
        <v>47.009689999999999</v>
      </c>
      <c r="AI413"/>
      <c r="AJ413">
        <v>0.26240580000000002</v>
      </c>
      <c r="AK413">
        <v>51.559649999999998</v>
      </c>
      <c r="AL413">
        <v>39.255569999999999</v>
      </c>
      <c r="AM413">
        <v>25.183489999999999</v>
      </c>
      <c r="AN413">
        <v>20.8627</v>
      </c>
      <c r="AO413"/>
      <c r="AP413">
        <v>13.110849999999999</v>
      </c>
      <c r="AQ413"/>
      <c r="AR413"/>
      <c r="AS413"/>
      <c r="AT413"/>
      <c r="AU413">
        <v>43.01164</v>
      </c>
      <c r="AV413"/>
      <c r="AW413">
        <v>40.70234</v>
      </c>
      <c r="AX413"/>
    </row>
    <row r="414" spans="1:50" x14ac:dyDescent="0.35">
      <c r="A414" s="75">
        <v>30437</v>
      </c>
      <c r="B414">
        <v>47.609380000000002</v>
      </c>
      <c r="C414">
        <v>46.128050000000002</v>
      </c>
      <c r="D414"/>
      <c r="E414">
        <v>46.241230000000002</v>
      </c>
      <c r="F414">
        <v>61.154589999999999</v>
      </c>
      <c r="G414"/>
      <c r="H414"/>
      <c r="I414"/>
      <c r="J414"/>
      <c r="K414"/>
      <c r="L414">
        <v>55.66198</v>
      </c>
      <c r="M414">
        <v>45.271160000000002</v>
      </c>
      <c r="N414"/>
      <c r="O414">
        <v>28.994969999999999</v>
      </c>
      <c r="P414"/>
      <c r="Q414"/>
      <c r="R414">
        <v>43.999049999999997</v>
      </c>
      <c r="S414">
        <v>50.576790000000003</v>
      </c>
      <c r="T414"/>
      <c r="U414">
        <v>45.967689999999997</v>
      </c>
      <c r="V414">
        <v>39.938229999999997</v>
      </c>
      <c r="W414">
        <v>9.3260450000000006</v>
      </c>
      <c r="X414"/>
      <c r="Y414"/>
      <c r="Z414"/>
      <c r="AA414">
        <v>40.937759999999997</v>
      </c>
      <c r="AB414"/>
      <c r="AC414">
        <v>0.45631060000000001</v>
      </c>
      <c r="AD414">
        <v>31.4621</v>
      </c>
      <c r="AE414">
        <v>81.87321</v>
      </c>
      <c r="AF414"/>
      <c r="AG414"/>
      <c r="AH414">
        <v>47.340130000000002</v>
      </c>
      <c r="AI414"/>
      <c r="AJ414">
        <v>0.27411869999999999</v>
      </c>
      <c r="AK414">
        <v>51.588749999999997</v>
      </c>
      <c r="AL414">
        <v>39.35107</v>
      </c>
      <c r="AM414">
        <v>25.356570000000001</v>
      </c>
      <c r="AN414">
        <v>20.979330000000001</v>
      </c>
      <c r="AO414"/>
      <c r="AP414">
        <v>13.17557</v>
      </c>
      <c r="AQ414"/>
      <c r="AR414"/>
      <c r="AS414"/>
      <c r="AT414"/>
      <c r="AU414">
        <v>43.21763</v>
      </c>
      <c r="AV414"/>
      <c r="AW414">
        <v>40.7849</v>
      </c>
      <c r="AX414"/>
    </row>
    <row r="415" spans="1:50" x14ac:dyDescent="0.35">
      <c r="A415" s="75">
        <v>30468</v>
      </c>
      <c r="B415">
        <v>47.711069999999999</v>
      </c>
      <c r="C415">
        <v>46.306609999999999</v>
      </c>
      <c r="D415"/>
      <c r="E415">
        <v>46.425690000000003</v>
      </c>
      <c r="F415">
        <v>61.234630000000003</v>
      </c>
      <c r="G415"/>
      <c r="H415"/>
      <c r="I415"/>
      <c r="J415"/>
      <c r="K415"/>
      <c r="L415">
        <v>55.85989</v>
      </c>
      <c r="M415">
        <v>45.337859999999999</v>
      </c>
      <c r="N415"/>
      <c r="O415">
        <v>29.226050000000001</v>
      </c>
      <c r="P415"/>
      <c r="Q415"/>
      <c r="R415">
        <v>44.530349999999999</v>
      </c>
      <c r="S415">
        <v>50.876779999999997</v>
      </c>
      <c r="T415"/>
      <c r="U415">
        <v>46.10331</v>
      </c>
      <c r="V415">
        <v>39.976790000000001</v>
      </c>
      <c r="W415">
        <v>9.4309630000000002</v>
      </c>
      <c r="X415"/>
      <c r="Y415"/>
      <c r="Z415"/>
      <c r="AA415">
        <v>40.937759999999997</v>
      </c>
      <c r="AB415"/>
      <c r="AC415">
        <v>0.48339100000000002</v>
      </c>
      <c r="AD415">
        <v>31.62997</v>
      </c>
      <c r="AE415">
        <v>81.840649999999997</v>
      </c>
      <c r="AF415"/>
      <c r="AG415"/>
      <c r="AH415">
        <v>47.477130000000002</v>
      </c>
      <c r="AI415"/>
      <c r="AJ415">
        <v>0.28489379999999997</v>
      </c>
      <c r="AK415">
        <v>51.600020000000001</v>
      </c>
      <c r="AL415">
        <v>39.48207</v>
      </c>
      <c r="AM415">
        <v>25.512090000000001</v>
      </c>
      <c r="AN415">
        <v>21.10614</v>
      </c>
      <c r="AO415"/>
      <c r="AP415">
        <v>13.38264</v>
      </c>
      <c r="AQ415"/>
      <c r="AR415"/>
      <c r="AS415"/>
      <c r="AT415"/>
      <c r="AU415">
        <v>43.426470000000002</v>
      </c>
      <c r="AV415"/>
      <c r="AW415">
        <v>40.908740000000002</v>
      </c>
      <c r="AX415"/>
    </row>
    <row r="416" spans="1:50" x14ac:dyDescent="0.35">
      <c r="A416" s="75">
        <v>30498</v>
      </c>
      <c r="B416">
        <v>48.082689999999999</v>
      </c>
      <c r="C416">
        <v>46.637160000000002</v>
      </c>
      <c r="D416"/>
      <c r="E416">
        <v>46.646270000000001</v>
      </c>
      <c r="F416">
        <v>61.236159999999998</v>
      </c>
      <c r="G416"/>
      <c r="H416"/>
      <c r="I416"/>
      <c r="J416"/>
      <c r="K416"/>
      <c r="L416">
        <v>56.093690000000002</v>
      </c>
      <c r="M416">
        <v>45.363300000000002</v>
      </c>
      <c r="N416"/>
      <c r="O416">
        <v>29.399819999999998</v>
      </c>
      <c r="P416"/>
      <c r="Q416"/>
      <c r="R416">
        <v>44.831290000000003</v>
      </c>
      <c r="S416">
        <v>51.354509999999998</v>
      </c>
      <c r="T416"/>
      <c r="U416">
        <v>46.318750000000001</v>
      </c>
      <c r="V416">
        <v>40.220950000000002</v>
      </c>
      <c r="W416">
        <v>9.4352529999999994</v>
      </c>
      <c r="X416"/>
      <c r="Y416"/>
      <c r="Z416"/>
      <c r="AA416">
        <v>41.710990000000002</v>
      </c>
      <c r="AB416"/>
      <c r="AC416">
        <v>0.52101509999999995</v>
      </c>
      <c r="AD416">
        <v>31.941210000000002</v>
      </c>
      <c r="AE416">
        <v>81.602450000000005</v>
      </c>
      <c r="AF416"/>
      <c r="AG416"/>
      <c r="AH416">
        <v>48.049329999999998</v>
      </c>
      <c r="AI416"/>
      <c r="AJ416">
        <v>0.29817900000000003</v>
      </c>
      <c r="AK416">
        <v>51.843130000000002</v>
      </c>
      <c r="AL416">
        <v>39.648560000000003</v>
      </c>
      <c r="AM416">
        <v>25.706140000000001</v>
      </c>
      <c r="AN416">
        <v>21.239909999999998</v>
      </c>
      <c r="AO416"/>
      <c r="AP416">
        <v>13.61411</v>
      </c>
      <c r="AQ416"/>
      <c r="AR416"/>
      <c r="AS416"/>
      <c r="AT416"/>
      <c r="AU416">
        <v>43.640329999999999</v>
      </c>
      <c r="AV416"/>
      <c r="AW416">
        <v>41.11515</v>
      </c>
      <c r="AX416"/>
    </row>
    <row r="417" spans="1:50" x14ac:dyDescent="0.35">
      <c r="A417" s="75">
        <v>30529</v>
      </c>
      <c r="B417">
        <v>48.225540000000002</v>
      </c>
      <c r="C417">
        <v>46.806530000000002</v>
      </c>
      <c r="D417"/>
      <c r="E417">
        <v>46.920479999999998</v>
      </c>
      <c r="F417">
        <v>61.579799999999999</v>
      </c>
      <c r="G417"/>
      <c r="H417"/>
      <c r="I417"/>
      <c r="J417"/>
      <c r="K417"/>
      <c r="L417">
        <v>56.28519</v>
      </c>
      <c r="M417">
        <v>45.52628</v>
      </c>
      <c r="N417"/>
      <c r="O417">
        <v>29.62773</v>
      </c>
      <c r="P417"/>
      <c r="Q417"/>
      <c r="R417">
        <v>44.957979999999999</v>
      </c>
      <c r="S417">
        <v>51.591679999999997</v>
      </c>
      <c r="T417"/>
      <c r="U417">
        <v>46.447200000000002</v>
      </c>
      <c r="V417">
        <v>40.4236</v>
      </c>
      <c r="W417">
        <v>9.3590140000000002</v>
      </c>
      <c r="X417"/>
      <c r="Y417"/>
      <c r="Z417"/>
      <c r="AA417">
        <v>41.710990000000002</v>
      </c>
      <c r="AB417"/>
      <c r="AC417">
        <v>0.55981080000000005</v>
      </c>
      <c r="AD417">
        <v>32.16442</v>
      </c>
      <c r="AE417">
        <v>80.957759999999993</v>
      </c>
      <c r="AF417"/>
      <c r="AG417"/>
      <c r="AH417">
        <v>48.434089999999998</v>
      </c>
      <c r="AI417"/>
      <c r="AJ417">
        <v>0.31112980000000001</v>
      </c>
      <c r="AK417">
        <v>51.994199999999999</v>
      </c>
      <c r="AL417">
        <v>39.57582</v>
      </c>
      <c r="AM417">
        <v>25.861080000000001</v>
      </c>
      <c r="AN417">
        <v>21.357790000000001</v>
      </c>
      <c r="AO417"/>
      <c r="AP417">
        <v>13.91741</v>
      </c>
      <c r="AQ417"/>
      <c r="AR417"/>
      <c r="AS417"/>
      <c r="AT417"/>
      <c r="AU417">
        <v>43.78857</v>
      </c>
      <c r="AV417"/>
      <c r="AW417">
        <v>41.280270000000002</v>
      </c>
      <c r="AX417"/>
    </row>
    <row r="418" spans="1:50" x14ac:dyDescent="0.35">
      <c r="A418" s="75">
        <v>30560</v>
      </c>
      <c r="B418">
        <v>48.239750000000001</v>
      </c>
      <c r="C418">
        <v>47.037860000000002</v>
      </c>
      <c r="D418"/>
      <c r="E418">
        <v>47.061100000000003</v>
      </c>
      <c r="F418">
        <v>61.637819999999998</v>
      </c>
      <c r="G418"/>
      <c r="H418"/>
      <c r="I418"/>
      <c r="J418"/>
      <c r="K418"/>
      <c r="L418">
        <v>56.435279999999999</v>
      </c>
      <c r="M418">
        <v>45.797350000000002</v>
      </c>
      <c r="N418"/>
      <c r="O418">
        <v>29.982769999999999</v>
      </c>
      <c r="P418"/>
      <c r="Q418"/>
      <c r="R418">
        <v>45.281649999999999</v>
      </c>
      <c r="S418">
        <v>51.944580000000002</v>
      </c>
      <c r="T418"/>
      <c r="U418">
        <v>46.797069999999998</v>
      </c>
      <c r="V418">
        <v>40.5533</v>
      </c>
      <c r="W418">
        <v>9.7001170000000005</v>
      </c>
      <c r="X418"/>
      <c r="Y418"/>
      <c r="Z418"/>
      <c r="AA418">
        <v>41.710990000000002</v>
      </c>
      <c r="AB418"/>
      <c r="AC418">
        <v>0.60568060000000001</v>
      </c>
      <c r="AD418">
        <v>32.572330000000001</v>
      </c>
      <c r="AE418">
        <v>82.125060000000005</v>
      </c>
      <c r="AF418"/>
      <c r="AG418"/>
      <c r="AH418">
        <v>48.880859999999998</v>
      </c>
      <c r="AI418"/>
      <c r="AJ418">
        <v>0.3216581</v>
      </c>
      <c r="AK418">
        <v>52.260300000000001</v>
      </c>
      <c r="AL418">
        <v>40.071300000000001</v>
      </c>
      <c r="AM418">
        <v>26.112580000000001</v>
      </c>
      <c r="AN418">
        <v>21.529910000000001</v>
      </c>
      <c r="AO418"/>
      <c r="AP418">
        <v>14.24301</v>
      </c>
      <c r="AQ418"/>
      <c r="AR418"/>
      <c r="AS418"/>
      <c r="AT418"/>
      <c r="AU418">
        <v>44.151859999999999</v>
      </c>
      <c r="AV418"/>
      <c r="AW418">
        <v>41.569229999999997</v>
      </c>
      <c r="AX418"/>
    </row>
    <row r="419" spans="1:50" x14ac:dyDescent="0.35">
      <c r="A419" s="75">
        <v>30590</v>
      </c>
      <c r="B419">
        <v>48.529159999999997</v>
      </c>
      <c r="C419">
        <v>47.218940000000003</v>
      </c>
      <c r="D419"/>
      <c r="E419">
        <v>47.419960000000003</v>
      </c>
      <c r="F419">
        <v>61.745800000000003</v>
      </c>
      <c r="G419"/>
      <c r="H419"/>
      <c r="I419"/>
      <c r="J419"/>
      <c r="K419"/>
      <c r="L419">
        <v>56.469259999999998</v>
      </c>
      <c r="M419">
        <v>46.125979999999998</v>
      </c>
      <c r="N419"/>
      <c r="O419">
        <v>30.337209999999999</v>
      </c>
      <c r="P419"/>
      <c r="Q419"/>
      <c r="R419">
        <v>45.403869999999998</v>
      </c>
      <c r="S419">
        <v>52.335819999999998</v>
      </c>
      <c r="T419"/>
      <c r="U419">
        <v>47.096269999999997</v>
      </c>
      <c r="V419">
        <v>40.706290000000003</v>
      </c>
      <c r="W419">
        <v>9.9722539999999995</v>
      </c>
      <c r="X419"/>
      <c r="Y419"/>
      <c r="Z419"/>
      <c r="AA419">
        <v>42.66</v>
      </c>
      <c r="AB419"/>
      <c r="AC419">
        <v>0.72585250000000001</v>
      </c>
      <c r="AD419">
        <v>33.11768</v>
      </c>
      <c r="AE419">
        <v>82.677729999999997</v>
      </c>
      <c r="AF419"/>
      <c r="AG419"/>
      <c r="AH419">
        <v>49.313409999999998</v>
      </c>
      <c r="AI419"/>
      <c r="AJ419">
        <v>0.33273150000000001</v>
      </c>
      <c r="AK419">
        <v>52.509480000000003</v>
      </c>
      <c r="AL419">
        <v>40.319029999999998</v>
      </c>
      <c r="AM419">
        <v>26.38128</v>
      </c>
      <c r="AN419">
        <v>21.755400000000002</v>
      </c>
      <c r="AO419"/>
      <c r="AP419">
        <v>14.50295</v>
      </c>
      <c r="AQ419"/>
      <c r="AR419"/>
      <c r="AS419"/>
      <c r="AT419"/>
      <c r="AU419">
        <v>44.527340000000002</v>
      </c>
      <c r="AV419"/>
      <c r="AW419">
        <v>41.81691</v>
      </c>
      <c r="AX419"/>
    </row>
    <row r="420" spans="1:50" x14ac:dyDescent="0.35">
      <c r="A420" s="75">
        <v>30621</v>
      </c>
      <c r="B420">
        <v>48.700130000000001</v>
      </c>
      <c r="C420">
        <v>47.279380000000003</v>
      </c>
      <c r="D420"/>
      <c r="E420">
        <v>47.522970000000001</v>
      </c>
      <c r="F420">
        <v>62.069969999999998</v>
      </c>
      <c r="G420"/>
      <c r="H420"/>
      <c r="I420"/>
      <c r="J420"/>
      <c r="K420"/>
      <c r="L420">
        <v>56.546120000000002</v>
      </c>
      <c r="M420">
        <v>46.626530000000002</v>
      </c>
      <c r="N420"/>
      <c r="O420">
        <v>30.66705</v>
      </c>
      <c r="P420"/>
      <c r="Q420"/>
      <c r="R420">
        <v>45.865659999999998</v>
      </c>
      <c r="S420">
        <v>52.565379999999998</v>
      </c>
      <c r="T420"/>
      <c r="U420">
        <v>47.300629999999998</v>
      </c>
      <c r="V420">
        <v>40.837670000000003</v>
      </c>
      <c r="W420">
        <v>10.06499</v>
      </c>
      <c r="X420"/>
      <c r="Y420"/>
      <c r="Z420"/>
      <c r="AA420">
        <v>42.66</v>
      </c>
      <c r="AB420"/>
      <c r="AC420">
        <v>0.84057219999999999</v>
      </c>
      <c r="AD420">
        <v>33.491320000000002</v>
      </c>
      <c r="AE420">
        <v>82.807590000000005</v>
      </c>
      <c r="AF420"/>
      <c r="AG420"/>
      <c r="AH420">
        <v>49.585450000000002</v>
      </c>
      <c r="AI420"/>
      <c r="AJ420">
        <v>0.34968139999999998</v>
      </c>
      <c r="AK420">
        <v>52.61983</v>
      </c>
      <c r="AL420">
        <v>40.356450000000002</v>
      </c>
      <c r="AM420">
        <v>26.623380000000001</v>
      </c>
      <c r="AN420">
        <v>21.940049999999999</v>
      </c>
      <c r="AO420"/>
      <c r="AP420">
        <v>14.750920000000001</v>
      </c>
      <c r="AQ420"/>
      <c r="AR420"/>
      <c r="AS420"/>
      <c r="AT420"/>
      <c r="AU420">
        <v>44.837359999999997</v>
      </c>
      <c r="AV420"/>
      <c r="AW420">
        <v>42.023310000000002</v>
      </c>
      <c r="AX420"/>
    </row>
    <row r="421" spans="1:50" x14ac:dyDescent="0.35">
      <c r="A421" s="75">
        <v>30651</v>
      </c>
      <c r="B421">
        <v>48.830840000000002</v>
      </c>
      <c r="C421">
        <v>47.395310000000002</v>
      </c>
      <c r="D421"/>
      <c r="E421">
        <v>47.52684</v>
      </c>
      <c r="F421">
        <v>62.123660000000001</v>
      </c>
      <c r="G421"/>
      <c r="H421"/>
      <c r="I421"/>
      <c r="J421"/>
      <c r="K421"/>
      <c r="L421">
        <v>56.66892</v>
      </c>
      <c r="M421">
        <v>46.682380000000002</v>
      </c>
      <c r="N421"/>
      <c r="O421">
        <v>30.786429999999999</v>
      </c>
      <c r="P421"/>
      <c r="Q421"/>
      <c r="R421">
        <v>45.973730000000003</v>
      </c>
      <c r="S421">
        <v>52.756720000000001</v>
      </c>
      <c r="T421"/>
      <c r="U421">
        <v>47.354469999999999</v>
      </c>
      <c r="V421">
        <v>40.91039</v>
      </c>
      <c r="W421">
        <v>10.21627</v>
      </c>
      <c r="X421"/>
      <c r="Y421"/>
      <c r="Z421"/>
      <c r="AA421">
        <v>42.66</v>
      </c>
      <c r="AB421"/>
      <c r="AC421">
        <v>0.92230889999999999</v>
      </c>
      <c r="AD421">
        <v>33.618870000000001</v>
      </c>
      <c r="AE421">
        <v>82.604089999999999</v>
      </c>
      <c r="AF421"/>
      <c r="AG421"/>
      <c r="AH421">
        <v>49.814810000000001</v>
      </c>
      <c r="AI421"/>
      <c r="AJ421">
        <v>0.36344140000000003</v>
      </c>
      <c r="AK421">
        <v>52.597839999999998</v>
      </c>
      <c r="AL421">
        <v>40.522709999999996</v>
      </c>
      <c r="AM421">
        <v>26.772290000000002</v>
      </c>
      <c r="AN421">
        <v>22.070979999999999</v>
      </c>
      <c r="AO421"/>
      <c r="AP421">
        <v>15.112679999999999</v>
      </c>
      <c r="AQ421"/>
      <c r="AR421"/>
      <c r="AS421"/>
      <c r="AT421"/>
      <c r="AU421">
        <v>45.202959999999997</v>
      </c>
      <c r="AV421"/>
      <c r="AW421">
        <v>42.064590000000003</v>
      </c>
      <c r="AX421"/>
    </row>
    <row r="422" spans="1:50" x14ac:dyDescent="0.35">
      <c r="A422" s="75">
        <v>30682</v>
      </c>
      <c r="B422">
        <v>49.773919999999997</v>
      </c>
      <c r="C422">
        <v>47.938429999999997</v>
      </c>
      <c r="D422"/>
      <c r="E422">
        <v>47.627040000000001</v>
      </c>
      <c r="F422">
        <v>62.24335</v>
      </c>
      <c r="G422"/>
      <c r="H422"/>
      <c r="I422"/>
      <c r="J422"/>
      <c r="K422"/>
      <c r="L422">
        <v>56.834310000000002</v>
      </c>
      <c r="M422">
        <v>46.795009999999998</v>
      </c>
      <c r="N422"/>
      <c r="O422">
        <v>31.19537</v>
      </c>
      <c r="P422"/>
      <c r="Q422"/>
      <c r="R422">
        <v>46.413319999999999</v>
      </c>
      <c r="S422">
        <v>53.151899999999998</v>
      </c>
      <c r="T422"/>
      <c r="U422">
        <v>47.512949999999996</v>
      </c>
      <c r="V422">
        <v>40.823360000000001</v>
      </c>
      <c r="W422">
        <v>10.361649999999999</v>
      </c>
      <c r="X422"/>
      <c r="Y422"/>
      <c r="Z422"/>
      <c r="AA422">
        <v>43.72598</v>
      </c>
      <c r="AB422"/>
      <c r="AC422">
        <v>1.056945</v>
      </c>
      <c r="AD422">
        <v>33.943420000000003</v>
      </c>
      <c r="AE422">
        <v>82.507769999999994</v>
      </c>
      <c r="AF422"/>
      <c r="AG422"/>
      <c r="AH422">
        <v>50.040700000000001</v>
      </c>
      <c r="AI422"/>
      <c r="AJ422">
        <v>0.38300430000000002</v>
      </c>
      <c r="AK422">
        <v>52.628189999999996</v>
      </c>
      <c r="AL422">
        <v>40.721089999999997</v>
      </c>
      <c r="AM422">
        <v>26.95269</v>
      </c>
      <c r="AN422">
        <v>22.23593</v>
      </c>
      <c r="AO422"/>
      <c r="AP422">
        <v>15.51385</v>
      </c>
      <c r="AQ422"/>
      <c r="AR422"/>
      <c r="AS422"/>
      <c r="AT422"/>
      <c r="AU422">
        <v>45.643360000000001</v>
      </c>
      <c r="AV422"/>
      <c r="AW422">
        <v>42.229709999999997</v>
      </c>
      <c r="AX422"/>
    </row>
    <row r="423" spans="1:50" x14ac:dyDescent="0.35">
      <c r="A423" s="75">
        <v>30713</v>
      </c>
      <c r="B423">
        <v>49.989640000000001</v>
      </c>
      <c r="C423">
        <v>48.323920000000001</v>
      </c>
      <c r="D423"/>
      <c r="E423">
        <v>47.785159999999998</v>
      </c>
      <c r="F423">
        <v>62.463290000000001</v>
      </c>
      <c r="G423"/>
      <c r="H423"/>
      <c r="I423"/>
      <c r="J423"/>
      <c r="K423"/>
      <c r="L423">
        <v>56.991100000000003</v>
      </c>
      <c r="M423">
        <v>47.196750000000002</v>
      </c>
      <c r="N423"/>
      <c r="O423">
        <v>31.422360000000001</v>
      </c>
      <c r="P423"/>
      <c r="Q423"/>
      <c r="R423">
        <v>46.568989999999999</v>
      </c>
      <c r="S423">
        <v>53.420200000000001</v>
      </c>
      <c r="T423"/>
      <c r="U423">
        <v>47.679479999999998</v>
      </c>
      <c r="V423">
        <v>41.03443</v>
      </c>
      <c r="W423">
        <v>10.403090000000001</v>
      </c>
      <c r="X423"/>
      <c r="Y423"/>
      <c r="Z423"/>
      <c r="AA423">
        <v>43.72598</v>
      </c>
      <c r="AB423"/>
      <c r="AC423">
        <v>1.180992</v>
      </c>
      <c r="AD423">
        <v>34.375390000000003</v>
      </c>
      <c r="AE423">
        <v>82.446110000000004</v>
      </c>
      <c r="AF423"/>
      <c r="AG423"/>
      <c r="AH423">
        <v>50.285870000000003</v>
      </c>
      <c r="AI423"/>
      <c r="AJ423">
        <v>0.40310869999999999</v>
      </c>
      <c r="AK423">
        <v>52.945489999999999</v>
      </c>
      <c r="AL423">
        <v>40.887880000000003</v>
      </c>
      <c r="AM423">
        <v>27.113510000000002</v>
      </c>
      <c r="AN423">
        <v>22.364940000000001</v>
      </c>
      <c r="AO423"/>
      <c r="AP423">
        <v>15.82142</v>
      </c>
      <c r="AQ423"/>
      <c r="AR423"/>
      <c r="AS423"/>
      <c r="AT423"/>
      <c r="AU423">
        <v>45.882829999999998</v>
      </c>
      <c r="AV423"/>
      <c r="AW423">
        <v>42.353549999999998</v>
      </c>
      <c r="AX423"/>
    </row>
    <row r="424" spans="1:50" x14ac:dyDescent="0.35">
      <c r="A424" s="75">
        <v>30742</v>
      </c>
      <c r="B424">
        <v>50.142359999999996</v>
      </c>
      <c r="C424">
        <v>48.58746</v>
      </c>
      <c r="D424"/>
      <c r="E424">
        <v>47.914949999999997</v>
      </c>
      <c r="F424">
        <v>62.822629999999997</v>
      </c>
      <c r="G424"/>
      <c r="H424"/>
      <c r="I424"/>
      <c r="J424"/>
      <c r="K424"/>
      <c r="L424">
        <v>57.110259999999997</v>
      </c>
      <c r="M424">
        <v>47.295630000000003</v>
      </c>
      <c r="N424"/>
      <c r="O424">
        <v>31.749590000000001</v>
      </c>
      <c r="P424"/>
      <c r="Q424"/>
      <c r="R424">
        <v>46.84919</v>
      </c>
      <c r="S424">
        <v>53.78492</v>
      </c>
      <c r="T424"/>
      <c r="U424">
        <v>47.84843</v>
      </c>
      <c r="V424">
        <v>41.12135</v>
      </c>
      <c r="W424">
        <v>10.765090000000001</v>
      </c>
      <c r="X424"/>
      <c r="Y424"/>
      <c r="Z424"/>
      <c r="AA424">
        <v>43.72598</v>
      </c>
      <c r="AB424"/>
      <c r="AC424">
        <v>1.298144</v>
      </c>
      <c r="AD424">
        <v>34.604680000000002</v>
      </c>
      <c r="AE424">
        <v>82.511579999999995</v>
      </c>
      <c r="AF424"/>
      <c r="AG424"/>
      <c r="AH424">
        <v>50.551879999999997</v>
      </c>
      <c r="AI424"/>
      <c r="AJ424">
        <v>0.4203539</v>
      </c>
      <c r="AK424">
        <v>53.147309999999997</v>
      </c>
      <c r="AL424">
        <v>41.58229</v>
      </c>
      <c r="AM424">
        <v>27.283930000000002</v>
      </c>
      <c r="AN424">
        <v>22.506260000000001</v>
      </c>
      <c r="AO424"/>
      <c r="AP424">
        <v>16.170829999999999</v>
      </c>
      <c r="AQ424"/>
      <c r="AR424"/>
      <c r="AS424"/>
      <c r="AT424"/>
      <c r="AU424">
        <v>46.129379999999998</v>
      </c>
      <c r="AV424"/>
      <c r="AW424">
        <v>42.51867</v>
      </c>
      <c r="AX424"/>
    </row>
    <row r="425" spans="1:50" x14ac:dyDescent="0.35">
      <c r="A425" s="75">
        <v>30773</v>
      </c>
      <c r="B425">
        <v>50.243110000000001</v>
      </c>
      <c r="C425">
        <v>48.861620000000002</v>
      </c>
      <c r="D425"/>
      <c r="E425">
        <v>48.090780000000002</v>
      </c>
      <c r="F425">
        <v>62.835909999999998</v>
      </c>
      <c r="G425"/>
      <c r="H425"/>
      <c r="I425"/>
      <c r="J425"/>
      <c r="K425"/>
      <c r="L425">
        <v>57.161450000000002</v>
      </c>
      <c r="M425">
        <v>47.458480000000002</v>
      </c>
      <c r="N425"/>
      <c r="O425">
        <v>31.931249999999999</v>
      </c>
      <c r="P425"/>
      <c r="Q425"/>
      <c r="R425">
        <v>47.107810000000001</v>
      </c>
      <c r="S425">
        <v>54.16066</v>
      </c>
      <c r="T425"/>
      <c r="U425">
        <v>48.119140000000002</v>
      </c>
      <c r="V425">
        <v>41.756900000000002</v>
      </c>
      <c r="W425">
        <v>10.910259999999999</v>
      </c>
      <c r="X425"/>
      <c r="Y425"/>
      <c r="Z425"/>
      <c r="AA425">
        <v>44.460610000000003</v>
      </c>
      <c r="AB425"/>
      <c r="AC425">
        <v>1.5935950000000001</v>
      </c>
      <c r="AD425">
        <v>34.904310000000002</v>
      </c>
      <c r="AE425">
        <v>82.990120000000005</v>
      </c>
      <c r="AF425"/>
      <c r="AG425"/>
      <c r="AH425">
        <v>50.741729999999997</v>
      </c>
      <c r="AI425"/>
      <c r="AJ425">
        <v>0.43559389999999998</v>
      </c>
      <c r="AK425">
        <v>53.311880000000002</v>
      </c>
      <c r="AL425">
        <v>41.772030000000001</v>
      </c>
      <c r="AM425">
        <v>27.497969999999999</v>
      </c>
      <c r="AN425">
        <v>22.690570000000001</v>
      </c>
      <c r="AO425"/>
      <c r="AP425">
        <v>16.56897</v>
      </c>
      <c r="AQ425"/>
      <c r="AR425"/>
      <c r="AS425"/>
      <c r="AT425"/>
      <c r="AU425">
        <v>46.501429999999999</v>
      </c>
      <c r="AV425"/>
      <c r="AW425">
        <v>42.725070000000002</v>
      </c>
      <c r="AX425"/>
    </row>
    <row r="426" spans="1:50" x14ac:dyDescent="0.35">
      <c r="A426" s="75">
        <v>30803</v>
      </c>
      <c r="B426">
        <v>50.23901</v>
      </c>
      <c r="C426">
        <v>48.965949999999999</v>
      </c>
      <c r="D426"/>
      <c r="E426">
        <v>48.148330000000001</v>
      </c>
      <c r="F426">
        <v>62.761189999999999</v>
      </c>
      <c r="G426"/>
      <c r="H426"/>
      <c r="I426"/>
      <c r="J426"/>
      <c r="K426"/>
      <c r="L426">
        <v>57.248379999999997</v>
      </c>
      <c r="M426">
        <v>48.101489999999998</v>
      </c>
      <c r="N426"/>
      <c r="O426">
        <v>32.168680000000002</v>
      </c>
      <c r="P426"/>
      <c r="Q426"/>
      <c r="R426">
        <v>47.66169</v>
      </c>
      <c r="S426">
        <v>54.481459999999998</v>
      </c>
      <c r="T426"/>
      <c r="U426">
        <v>48.373860000000001</v>
      </c>
      <c r="V426">
        <v>41.890749999999997</v>
      </c>
      <c r="W426">
        <v>11.007070000000001</v>
      </c>
      <c r="X426"/>
      <c r="Y426"/>
      <c r="Z426"/>
      <c r="AA426">
        <v>44.460610000000003</v>
      </c>
      <c r="AB426"/>
      <c r="AC426">
        <v>1.81569</v>
      </c>
      <c r="AD426">
        <v>35.152749999999997</v>
      </c>
      <c r="AE426">
        <v>84.182280000000006</v>
      </c>
      <c r="AF426"/>
      <c r="AG426"/>
      <c r="AH426">
        <v>50.92877</v>
      </c>
      <c r="AI426"/>
      <c r="AJ426">
        <v>0.44839250000000003</v>
      </c>
      <c r="AK426">
        <v>53.342410000000001</v>
      </c>
      <c r="AL426">
        <v>41.772030000000001</v>
      </c>
      <c r="AM426">
        <v>27.681049999999999</v>
      </c>
      <c r="AN426">
        <v>22.812480000000001</v>
      </c>
      <c r="AO426"/>
      <c r="AP426">
        <v>16.642389999999999</v>
      </c>
      <c r="AQ426"/>
      <c r="AR426"/>
      <c r="AS426"/>
      <c r="AT426"/>
      <c r="AU426">
        <v>46.647190000000002</v>
      </c>
      <c r="AV426"/>
      <c r="AW426">
        <v>42.8902</v>
      </c>
      <c r="AX426"/>
    </row>
    <row r="427" spans="1:50" x14ac:dyDescent="0.35">
      <c r="A427" s="75">
        <v>30834</v>
      </c>
      <c r="B427">
        <v>50.330419999999997</v>
      </c>
      <c r="C427">
        <v>49.201650000000001</v>
      </c>
      <c r="D427"/>
      <c r="E427">
        <v>48.384239999999998</v>
      </c>
      <c r="F427">
        <v>62.833469999999998</v>
      </c>
      <c r="G427"/>
      <c r="H427"/>
      <c r="I427"/>
      <c r="J427"/>
      <c r="K427"/>
      <c r="L427">
        <v>57.437690000000003</v>
      </c>
      <c r="M427">
        <v>48.406930000000003</v>
      </c>
      <c r="N427"/>
      <c r="O427">
        <v>32.349559999999997</v>
      </c>
      <c r="P427"/>
      <c r="Q427"/>
      <c r="R427">
        <v>47.774979999999999</v>
      </c>
      <c r="S427">
        <v>54.727600000000002</v>
      </c>
      <c r="T427"/>
      <c r="U427">
        <v>48.49371</v>
      </c>
      <c r="V427">
        <v>41.972639999999998</v>
      </c>
      <c r="W427">
        <v>11.17862</v>
      </c>
      <c r="X427"/>
      <c r="Y427"/>
      <c r="Z427"/>
      <c r="AA427">
        <v>44.460610000000003</v>
      </c>
      <c r="AB427"/>
      <c r="AC427">
        <v>2.0689660000000001</v>
      </c>
      <c r="AD427">
        <v>35.365760000000002</v>
      </c>
      <c r="AE427">
        <v>83.903239999999997</v>
      </c>
      <c r="AF427"/>
      <c r="AG427"/>
      <c r="AH427">
        <v>51.016170000000002</v>
      </c>
      <c r="AI427"/>
      <c r="AJ427">
        <v>0.4646691</v>
      </c>
      <c r="AK427">
        <v>53.3504</v>
      </c>
      <c r="AL427">
        <v>41.875700000000002</v>
      </c>
      <c r="AM427">
        <v>27.85765</v>
      </c>
      <c r="AN427">
        <v>23.01904</v>
      </c>
      <c r="AO427"/>
      <c r="AP427">
        <v>17.08203</v>
      </c>
      <c r="AQ427"/>
      <c r="AR427"/>
      <c r="AS427"/>
      <c r="AT427"/>
      <c r="AU427">
        <v>46.645859999999999</v>
      </c>
      <c r="AV427"/>
      <c r="AW427">
        <v>43.014040000000001</v>
      </c>
      <c r="AX427"/>
    </row>
    <row r="428" spans="1:50" x14ac:dyDescent="0.35">
      <c r="A428" s="75">
        <v>30864</v>
      </c>
      <c r="B428">
        <v>50.628270000000001</v>
      </c>
      <c r="C428">
        <v>49.462380000000003</v>
      </c>
      <c r="D428"/>
      <c r="E428">
        <v>48.411940000000001</v>
      </c>
      <c r="F428">
        <v>62.853499999999997</v>
      </c>
      <c r="G428"/>
      <c r="H428"/>
      <c r="I428"/>
      <c r="J428"/>
      <c r="K428"/>
      <c r="L428">
        <v>57.412170000000003</v>
      </c>
      <c r="M428">
        <v>48.307569999999998</v>
      </c>
      <c r="N428"/>
      <c r="O428">
        <v>32.593600000000002</v>
      </c>
      <c r="P428"/>
      <c r="Q428"/>
      <c r="R428">
        <v>47.89087</v>
      </c>
      <c r="S428">
        <v>55.028269999999999</v>
      </c>
      <c r="T428"/>
      <c r="U428">
        <v>48.613439999999997</v>
      </c>
      <c r="V428">
        <v>41.976430000000001</v>
      </c>
      <c r="W428">
        <v>11.19176</v>
      </c>
      <c r="X428"/>
      <c r="Y428"/>
      <c r="Z428"/>
      <c r="AA428">
        <v>45.239139999999999</v>
      </c>
      <c r="AB428"/>
      <c r="AC428">
        <v>2.3634249999999999</v>
      </c>
      <c r="AD428">
        <v>35.467059999999996</v>
      </c>
      <c r="AE428">
        <v>83.890110000000007</v>
      </c>
      <c r="AF428"/>
      <c r="AG428"/>
      <c r="AH428">
        <v>51.05979</v>
      </c>
      <c r="AI428"/>
      <c r="AJ428">
        <v>0.48006860000000001</v>
      </c>
      <c r="AK428">
        <v>53.366590000000002</v>
      </c>
      <c r="AL428">
        <v>41.914230000000003</v>
      </c>
      <c r="AM428">
        <v>27.97982</v>
      </c>
      <c r="AN428">
        <v>23.0702</v>
      </c>
      <c r="AO428"/>
      <c r="AP428">
        <v>17.37735</v>
      </c>
      <c r="AQ428"/>
      <c r="AR428"/>
      <c r="AS428"/>
      <c r="AT428"/>
      <c r="AU428">
        <v>46.918799999999997</v>
      </c>
      <c r="AV428"/>
      <c r="AW428">
        <v>43.179160000000003</v>
      </c>
      <c r="AX428"/>
    </row>
    <row r="429" spans="1:50" x14ac:dyDescent="0.35">
      <c r="A429" s="75">
        <v>30895</v>
      </c>
      <c r="B429">
        <v>50.799289999999999</v>
      </c>
      <c r="C429">
        <v>49.54034</v>
      </c>
      <c r="D429"/>
      <c r="E429">
        <v>48.564320000000002</v>
      </c>
      <c r="F429">
        <v>63.231819999999999</v>
      </c>
      <c r="G429"/>
      <c r="H429"/>
      <c r="I429"/>
      <c r="J429"/>
      <c r="K429"/>
      <c r="L429">
        <v>57.328749999999999</v>
      </c>
      <c r="M429">
        <v>48.508980000000001</v>
      </c>
      <c r="N429"/>
      <c r="O429">
        <v>32.739220000000003</v>
      </c>
      <c r="P429"/>
      <c r="Q429"/>
      <c r="R429">
        <v>48.056480000000001</v>
      </c>
      <c r="S429">
        <v>55.263249999999999</v>
      </c>
      <c r="T429"/>
      <c r="U429">
        <v>48.751429999999999</v>
      </c>
      <c r="V429">
        <v>42.594169999999998</v>
      </c>
      <c r="W429">
        <v>11.05767</v>
      </c>
      <c r="X429"/>
      <c r="Y429"/>
      <c r="Z429"/>
      <c r="AA429">
        <v>45.239139999999999</v>
      </c>
      <c r="AB429"/>
      <c r="AC429">
        <v>2.7420990000000001</v>
      </c>
      <c r="AD429">
        <v>35.702129999999997</v>
      </c>
      <c r="AE429">
        <v>83.094800000000006</v>
      </c>
      <c r="AF429"/>
      <c r="AG429"/>
      <c r="AH429">
        <v>51.179969999999997</v>
      </c>
      <c r="AI429"/>
      <c r="AJ429">
        <v>0.4947973</v>
      </c>
      <c r="AK429">
        <v>53.448039999999999</v>
      </c>
      <c r="AL429">
        <v>41.953780000000002</v>
      </c>
      <c r="AM429">
        <v>28.113579999999999</v>
      </c>
      <c r="AN429">
        <v>23.193190000000001</v>
      </c>
      <c r="AO429"/>
      <c r="AP429">
        <v>17.606300000000001</v>
      </c>
      <c r="AQ429"/>
      <c r="AR429"/>
      <c r="AS429"/>
      <c r="AT429"/>
      <c r="AU429">
        <v>47.064500000000002</v>
      </c>
      <c r="AV429"/>
      <c r="AW429">
        <v>43.385559999999998</v>
      </c>
      <c r="AX429"/>
    </row>
    <row r="430" spans="1:50" x14ac:dyDescent="0.35">
      <c r="A430" s="75">
        <v>30926</v>
      </c>
      <c r="B430">
        <v>50.974829999999997</v>
      </c>
      <c r="C430">
        <v>49.738680000000002</v>
      </c>
      <c r="D430"/>
      <c r="E430">
        <v>48.741509999999998</v>
      </c>
      <c r="F430">
        <v>63.323070000000001</v>
      </c>
      <c r="G430"/>
      <c r="H430"/>
      <c r="I430"/>
      <c r="J430"/>
      <c r="K430"/>
      <c r="L430">
        <v>57.422820000000002</v>
      </c>
      <c r="M430">
        <v>48.829039999999999</v>
      </c>
      <c r="N430"/>
      <c r="O430">
        <v>33.012920000000001</v>
      </c>
      <c r="P430"/>
      <c r="Q430"/>
      <c r="R430">
        <v>48.315489999999997</v>
      </c>
      <c r="S430">
        <v>55.511290000000002</v>
      </c>
      <c r="T430"/>
      <c r="U430">
        <v>49.085709999999999</v>
      </c>
      <c r="V430">
        <v>42.796509999999998</v>
      </c>
      <c r="W430">
        <v>11.45448</v>
      </c>
      <c r="X430"/>
      <c r="Y430"/>
      <c r="Z430"/>
      <c r="AA430">
        <v>45.239139999999999</v>
      </c>
      <c r="AB430"/>
      <c r="AC430">
        <v>3.2846980000000001</v>
      </c>
      <c r="AD430">
        <v>36.018250000000002</v>
      </c>
      <c r="AE430">
        <v>84.272210000000001</v>
      </c>
      <c r="AF430"/>
      <c r="AG430"/>
      <c r="AH430">
        <v>51.255279999999999</v>
      </c>
      <c r="AI430"/>
      <c r="AJ430">
        <v>0.51205750000000005</v>
      </c>
      <c r="AK430">
        <v>53.762549999999997</v>
      </c>
      <c r="AL430">
        <v>42.398409999999998</v>
      </c>
      <c r="AM430">
        <v>28.375119999999999</v>
      </c>
      <c r="AN430">
        <v>23.37424</v>
      </c>
      <c r="AO430"/>
      <c r="AP430">
        <v>17.774619999999999</v>
      </c>
      <c r="AQ430"/>
      <c r="AR430"/>
      <c r="AS430"/>
      <c r="AT430"/>
      <c r="AU430">
        <v>47.39284</v>
      </c>
      <c r="AV430"/>
      <c r="AW430">
        <v>43.674520000000001</v>
      </c>
      <c r="AX430"/>
    </row>
    <row r="431" spans="1:50" x14ac:dyDescent="0.35">
      <c r="A431" s="75">
        <v>30956</v>
      </c>
      <c r="B431">
        <v>51.012250000000002</v>
      </c>
      <c r="C431">
        <v>49.769269999999999</v>
      </c>
      <c r="D431"/>
      <c r="E431">
        <v>48.946129999999997</v>
      </c>
      <c r="F431">
        <v>63.544710000000002</v>
      </c>
      <c r="G431"/>
      <c r="H431"/>
      <c r="I431"/>
      <c r="J431"/>
      <c r="K431"/>
      <c r="L431">
        <v>57.718170000000001</v>
      </c>
      <c r="M431">
        <v>49.110239999999997</v>
      </c>
      <c r="N431"/>
      <c r="O431">
        <v>33.324489999999997</v>
      </c>
      <c r="P431"/>
      <c r="Q431"/>
      <c r="R431">
        <v>48.512230000000002</v>
      </c>
      <c r="S431">
        <v>55.826639999999998</v>
      </c>
      <c r="T431"/>
      <c r="U431">
        <v>49.359279999999998</v>
      </c>
      <c r="V431">
        <v>43.032490000000003</v>
      </c>
      <c r="W431">
        <v>11.76163</v>
      </c>
      <c r="X431"/>
      <c r="Y431"/>
      <c r="Z431"/>
      <c r="AA431">
        <v>45.606110000000001</v>
      </c>
      <c r="AB431"/>
      <c r="AC431">
        <v>3.9317419999999998</v>
      </c>
      <c r="AD431">
        <v>36.354430000000001</v>
      </c>
      <c r="AE431">
        <v>84.869770000000003</v>
      </c>
      <c r="AF431"/>
      <c r="AG431"/>
      <c r="AH431">
        <v>51.53481</v>
      </c>
      <c r="AI431"/>
      <c r="AJ431">
        <v>0.53054539999999994</v>
      </c>
      <c r="AK431">
        <v>54.18056</v>
      </c>
      <c r="AL431">
        <v>42.61786</v>
      </c>
      <c r="AM431">
        <v>28.628440000000001</v>
      </c>
      <c r="AN431">
        <v>23.60155</v>
      </c>
      <c r="AO431"/>
      <c r="AP431">
        <v>18.035979999999999</v>
      </c>
      <c r="AQ431"/>
      <c r="AR431"/>
      <c r="AS431"/>
      <c r="AT431"/>
      <c r="AU431">
        <v>47.852960000000003</v>
      </c>
      <c r="AV431"/>
      <c r="AW431">
        <v>43.880920000000003</v>
      </c>
      <c r="AX431"/>
    </row>
    <row r="432" spans="1:50" x14ac:dyDescent="0.35">
      <c r="A432" s="75">
        <v>30987</v>
      </c>
      <c r="B432">
        <v>51.280909999999999</v>
      </c>
      <c r="C432">
        <v>49.98104</v>
      </c>
      <c r="D432"/>
      <c r="E432">
        <v>49.105879999999999</v>
      </c>
      <c r="F432">
        <v>63.907380000000003</v>
      </c>
      <c r="G432"/>
      <c r="H432"/>
      <c r="I432"/>
      <c r="J432"/>
      <c r="K432"/>
      <c r="L432">
        <v>57.835720000000002</v>
      </c>
      <c r="M432">
        <v>49.472180000000002</v>
      </c>
      <c r="N432"/>
      <c r="O432">
        <v>33.570720000000001</v>
      </c>
      <c r="P432"/>
      <c r="Q432"/>
      <c r="R432">
        <v>48.59308</v>
      </c>
      <c r="S432">
        <v>55.98818</v>
      </c>
      <c r="T432"/>
      <c r="U432">
        <v>49.483989999999999</v>
      </c>
      <c r="V432">
        <v>43.170229999999997</v>
      </c>
      <c r="W432">
        <v>11.85957</v>
      </c>
      <c r="X432"/>
      <c r="Y432"/>
      <c r="Z432"/>
      <c r="AA432">
        <v>45.606110000000001</v>
      </c>
      <c r="AB432"/>
      <c r="AC432">
        <v>4.8568449999999999</v>
      </c>
      <c r="AD432">
        <v>36.692010000000003</v>
      </c>
      <c r="AE432">
        <v>84.908289999999994</v>
      </c>
      <c r="AF432"/>
      <c r="AG432"/>
      <c r="AH432">
        <v>51.730409999999999</v>
      </c>
      <c r="AI432"/>
      <c r="AJ432">
        <v>0.54827820000000005</v>
      </c>
      <c r="AK432">
        <v>54.261290000000002</v>
      </c>
      <c r="AL432">
        <v>42.665210000000002</v>
      </c>
      <c r="AM432">
        <v>28.78715</v>
      </c>
      <c r="AN432">
        <v>23.761230000000001</v>
      </c>
      <c r="AO432"/>
      <c r="AP432">
        <v>18.351780000000002</v>
      </c>
      <c r="AQ432"/>
      <c r="AR432"/>
      <c r="AS432"/>
      <c r="AT432"/>
      <c r="AU432">
        <v>48.165129999999998</v>
      </c>
      <c r="AV432"/>
      <c r="AW432">
        <v>43.963479999999997</v>
      </c>
      <c r="AX432"/>
    </row>
    <row r="433" spans="1:50" x14ac:dyDescent="0.35">
      <c r="A433" s="75">
        <v>31017</v>
      </c>
      <c r="B433">
        <v>51.384810000000002</v>
      </c>
      <c r="C433">
        <v>50.123019999999997</v>
      </c>
      <c r="D433"/>
      <c r="E433">
        <v>49.061079999999997</v>
      </c>
      <c r="F433">
        <v>63.952030000000001</v>
      </c>
      <c r="G433"/>
      <c r="H433"/>
      <c r="I433"/>
      <c r="J433"/>
      <c r="K433"/>
      <c r="L433">
        <v>57.902230000000003</v>
      </c>
      <c r="M433">
        <v>49.408180000000002</v>
      </c>
      <c r="N433"/>
      <c r="O433">
        <v>33.77787</v>
      </c>
      <c r="P433"/>
      <c r="Q433"/>
      <c r="R433">
        <v>48.723640000000003</v>
      </c>
      <c r="S433">
        <v>56.147150000000003</v>
      </c>
      <c r="T433"/>
      <c r="U433">
        <v>49.575949999999999</v>
      </c>
      <c r="V433">
        <v>43.063189999999999</v>
      </c>
      <c r="W433">
        <v>12.044140000000001</v>
      </c>
      <c r="X433"/>
      <c r="Y433"/>
      <c r="Z433"/>
      <c r="AA433">
        <v>45.606110000000001</v>
      </c>
      <c r="AB433"/>
      <c r="AC433">
        <v>5.0493810000000003</v>
      </c>
      <c r="AD433">
        <v>36.951569999999997</v>
      </c>
      <c r="AE433">
        <v>85.048929999999999</v>
      </c>
      <c r="AF433"/>
      <c r="AG433"/>
      <c r="AH433">
        <v>51.782969999999999</v>
      </c>
      <c r="AI433"/>
      <c r="AJ433">
        <v>0.56736430000000004</v>
      </c>
      <c r="AK433">
        <v>54.218919999999997</v>
      </c>
      <c r="AL433">
        <v>42.921129999999998</v>
      </c>
      <c r="AM433">
        <v>28.936170000000001</v>
      </c>
      <c r="AN433">
        <v>23.891559999999998</v>
      </c>
      <c r="AO433"/>
      <c r="AP433">
        <v>18.563220000000001</v>
      </c>
      <c r="AQ433"/>
      <c r="AR433"/>
      <c r="AS433"/>
      <c r="AT433"/>
      <c r="AU433">
        <v>48.707590000000003</v>
      </c>
      <c r="AV433"/>
      <c r="AW433">
        <v>44.046039999999998</v>
      </c>
      <c r="AX433"/>
    </row>
    <row r="434" spans="1:50" x14ac:dyDescent="0.35">
      <c r="A434" s="75">
        <v>31048</v>
      </c>
      <c r="B434">
        <v>51.670859999999998</v>
      </c>
      <c r="C434">
        <v>50.421660000000003</v>
      </c>
      <c r="D434"/>
      <c r="E434">
        <v>49.166229999999999</v>
      </c>
      <c r="F434">
        <v>64.297380000000004</v>
      </c>
      <c r="G434"/>
      <c r="H434"/>
      <c r="I434"/>
      <c r="J434"/>
      <c r="K434"/>
      <c r="L434">
        <v>58.12406</v>
      </c>
      <c r="M434">
        <v>49.61401</v>
      </c>
      <c r="N434"/>
      <c r="O434">
        <v>34.208919999999999</v>
      </c>
      <c r="P434"/>
      <c r="Q434"/>
      <c r="R434">
        <v>49.25488</v>
      </c>
      <c r="S434">
        <v>56.404699999999998</v>
      </c>
      <c r="T434"/>
      <c r="U434">
        <v>49.702060000000003</v>
      </c>
      <c r="V434">
        <v>43.193809999999999</v>
      </c>
      <c r="W434">
        <v>12.347110000000001</v>
      </c>
      <c r="X434"/>
      <c r="Y434"/>
      <c r="Z434"/>
      <c r="AA434">
        <v>46.443170000000002</v>
      </c>
      <c r="AB434"/>
      <c r="AC434">
        <v>5.365278</v>
      </c>
      <c r="AD434">
        <v>37.340150000000001</v>
      </c>
      <c r="AE434">
        <v>84.89</v>
      </c>
      <c r="AF434"/>
      <c r="AG434"/>
      <c r="AH434">
        <v>51.982170000000004</v>
      </c>
      <c r="AI434"/>
      <c r="AJ434">
        <v>0.60320220000000002</v>
      </c>
      <c r="AK434">
        <v>54.051549999999999</v>
      </c>
      <c r="AL434">
        <v>43.183239999999998</v>
      </c>
      <c r="AM434">
        <v>29.153980000000001</v>
      </c>
      <c r="AN434">
        <v>24.118269999999999</v>
      </c>
      <c r="AO434"/>
      <c r="AP434">
        <v>19.227820000000001</v>
      </c>
      <c r="AQ434"/>
      <c r="AR434"/>
      <c r="AS434"/>
      <c r="AT434"/>
      <c r="AU434">
        <v>48.95064</v>
      </c>
      <c r="AV434"/>
      <c r="AW434">
        <v>44.128599999999999</v>
      </c>
      <c r="AX434"/>
    </row>
    <row r="435" spans="1:50" x14ac:dyDescent="0.35">
      <c r="A435" s="75">
        <v>31079</v>
      </c>
      <c r="B435">
        <v>51.815899999999999</v>
      </c>
      <c r="C435">
        <v>50.808399999999999</v>
      </c>
      <c r="D435"/>
      <c r="E435">
        <v>49.479959999999998</v>
      </c>
      <c r="F435">
        <v>64.721689999999995</v>
      </c>
      <c r="G435"/>
      <c r="H435"/>
      <c r="I435"/>
      <c r="J435"/>
      <c r="K435"/>
      <c r="L435">
        <v>58.294550000000001</v>
      </c>
      <c r="M435">
        <v>49.775530000000003</v>
      </c>
      <c r="N435"/>
      <c r="O435">
        <v>34.479599999999998</v>
      </c>
      <c r="P435"/>
      <c r="Q435"/>
      <c r="R435">
        <v>49.349490000000003</v>
      </c>
      <c r="S435">
        <v>56.676130000000001</v>
      </c>
      <c r="T435"/>
      <c r="U435">
        <v>49.922020000000003</v>
      </c>
      <c r="V435">
        <v>43.575670000000002</v>
      </c>
      <c r="W435">
        <v>12.269600000000001</v>
      </c>
      <c r="X435"/>
      <c r="Y435"/>
      <c r="Z435"/>
      <c r="AA435">
        <v>46.443170000000002</v>
      </c>
      <c r="AB435"/>
      <c r="AC435">
        <v>5.9726670000000004</v>
      </c>
      <c r="AD435">
        <v>37.808280000000003</v>
      </c>
      <c r="AE435">
        <v>84.651910000000001</v>
      </c>
      <c r="AF435"/>
      <c r="AG435"/>
      <c r="AH435">
        <v>52.198549999999997</v>
      </c>
      <c r="AI435"/>
      <c r="AJ435">
        <v>0.62807760000000001</v>
      </c>
      <c r="AK435">
        <v>54.21499</v>
      </c>
      <c r="AL435">
        <v>43.278979999999997</v>
      </c>
      <c r="AM435">
        <v>29.343240000000002</v>
      </c>
      <c r="AN435">
        <v>24.289729999999999</v>
      </c>
      <c r="AO435"/>
      <c r="AP435">
        <v>19.723960000000002</v>
      </c>
      <c r="AQ435"/>
      <c r="AR435"/>
      <c r="AS435"/>
      <c r="AT435"/>
      <c r="AU435">
        <v>49.205440000000003</v>
      </c>
      <c r="AV435"/>
      <c r="AW435">
        <v>44.335009999999997</v>
      </c>
      <c r="AX435"/>
    </row>
    <row r="436" spans="1:50" x14ac:dyDescent="0.35">
      <c r="A436" s="75">
        <v>31107</v>
      </c>
      <c r="B436">
        <v>52.00018</v>
      </c>
      <c r="C436">
        <v>50.912669999999999</v>
      </c>
      <c r="D436"/>
      <c r="E436">
        <v>49.607120000000002</v>
      </c>
      <c r="F436">
        <v>64.939830000000001</v>
      </c>
      <c r="G436"/>
      <c r="H436"/>
      <c r="I436"/>
      <c r="J436"/>
      <c r="K436"/>
      <c r="L436">
        <v>58.453229999999998</v>
      </c>
      <c r="M436">
        <v>50.100380000000001</v>
      </c>
      <c r="N436"/>
      <c r="O436">
        <v>34.693069999999999</v>
      </c>
      <c r="P436"/>
      <c r="Q436"/>
      <c r="R436">
        <v>49.634979999999999</v>
      </c>
      <c r="S436">
        <v>56.976509999999998</v>
      </c>
      <c r="T436"/>
      <c r="U436">
        <v>50.152360000000002</v>
      </c>
      <c r="V436">
        <v>43.932659999999998</v>
      </c>
      <c r="W436">
        <v>12.65169</v>
      </c>
      <c r="X436"/>
      <c r="Y436"/>
      <c r="Z436"/>
      <c r="AA436">
        <v>46.443170000000002</v>
      </c>
      <c r="AB436"/>
      <c r="AC436">
        <v>6.6812889999999996</v>
      </c>
      <c r="AD436">
        <v>38.066249999999997</v>
      </c>
      <c r="AE436">
        <v>84.924319999999994</v>
      </c>
      <c r="AF436"/>
      <c r="AG436"/>
      <c r="AH436">
        <v>52.354469999999999</v>
      </c>
      <c r="AI436"/>
      <c r="AJ436">
        <v>0.65448839999999997</v>
      </c>
      <c r="AK436">
        <v>54.552410000000002</v>
      </c>
      <c r="AL436">
        <v>43.880339999999997</v>
      </c>
      <c r="AM436">
        <v>29.56231</v>
      </c>
      <c r="AN436">
        <v>24.486750000000001</v>
      </c>
      <c r="AO436"/>
      <c r="AP436">
        <v>20.058450000000001</v>
      </c>
      <c r="AQ436"/>
      <c r="AR436"/>
      <c r="AS436"/>
      <c r="AT436"/>
      <c r="AU436">
        <v>49.498170000000002</v>
      </c>
      <c r="AV436"/>
      <c r="AW436">
        <v>44.541409999999999</v>
      </c>
      <c r="AX436"/>
    </row>
    <row r="437" spans="1:50" x14ac:dyDescent="0.35">
      <c r="A437" s="75">
        <v>31138</v>
      </c>
      <c r="B437">
        <v>51.992959999999997</v>
      </c>
      <c r="C437">
        <v>51.256860000000003</v>
      </c>
      <c r="D437"/>
      <c r="E437">
        <v>49.78978</v>
      </c>
      <c r="F437">
        <v>64.896929999999998</v>
      </c>
      <c r="G437"/>
      <c r="H437"/>
      <c r="I437"/>
      <c r="J437"/>
      <c r="K437"/>
      <c r="L437">
        <v>58.591059999999999</v>
      </c>
      <c r="M437">
        <v>50.258940000000003</v>
      </c>
      <c r="N437"/>
      <c r="O437">
        <v>35.04683</v>
      </c>
      <c r="P437"/>
      <c r="Q437"/>
      <c r="R437">
        <v>49.893549999999998</v>
      </c>
      <c r="S437">
        <v>57.381340000000002</v>
      </c>
      <c r="T437"/>
      <c r="U437">
        <v>50.432670000000002</v>
      </c>
      <c r="V437">
        <v>44.999400000000001</v>
      </c>
      <c r="W437">
        <v>12.778969999999999</v>
      </c>
      <c r="X437"/>
      <c r="Y437"/>
      <c r="Z437"/>
      <c r="AA437">
        <v>47.14584</v>
      </c>
      <c r="AB437"/>
      <c r="AC437">
        <v>8.0985320000000005</v>
      </c>
      <c r="AD437">
        <v>38.302230000000002</v>
      </c>
      <c r="AE437">
        <v>85.654060000000001</v>
      </c>
      <c r="AF437"/>
      <c r="AG437"/>
      <c r="AH437">
        <v>52.770560000000003</v>
      </c>
      <c r="AI437"/>
      <c r="AJ437">
        <v>0.67449000000000003</v>
      </c>
      <c r="AK437">
        <v>54.778300000000002</v>
      </c>
      <c r="AL437">
        <v>44.071559999999998</v>
      </c>
      <c r="AM437">
        <v>29.773969999999998</v>
      </c>
      <c r="AN437">
        <v>24.671869999999998</v>
      </c>
      <c r="AO437"/>
      <c r="AP437">
        <v>20.291550000000001</v>
      </c>
      <c r="AQ437"/>
      <c r="AR437"/>
      <c r="AS437"/>
      <c r="AT437"/>
      <c r="AU437">
        <v>49.733089999999997</v>
      </c>
      <c r="AV437"/>
      <c r="AW437">
        <v>44.66525</v>
      </c>
      <c r="AX437"/>
    </row>
    <row r="438" spans="1:50" x14ac:dyDescent="0.35">
      <c r="A438" s="75">
        <v>31168</v>
      </c>
      <c r="B438">
        <v>52.185470000000002</v>
      </c>
      <c r="C438">
        <v>51.418950000000002</v>
      </c>
      <c r="D438"/>
      <c r="E438">
        <v>50.08137</v>
      </c>
      <c r="F438">
        <v>64.995859999999993</v>
      </c>
      <c r="G438"/>
      <c r="H438"/>
      <c r="I438"/>
      <c r="J438"/>
      <c r="K438"/>
      <c r="L438">
        <v>58.640360000000001</v>
      </c>
      <c r="M438">
        <v>50.789470000000001</v>
      </c>
      <c r="N438"/>
      <c r="O438">
        <v>35.226059999999997</v>
      </c>
      <c r="P438"/>
      <c r="Q438"/>
      <c r="R438">
        <v>49.9392</v>
      </c>
      <c r="S438">
        <v>57.670729999999999</v>
      </c>
      <c r="T438"/>
      <c r="U438">
        <v>50.62847</v>
      </c>
      <c r="V438">
        <v>45.209890000000001</v>
      </c>
      <c r="W438">
        <v>12.913029999999999</v>
      </c>
      <c r="X438"/>
      <c r="Y438"/>
      <c r="Z438"/>
      <c r="AA438">
        <v>47.14584</v>
      </c>
      <c r="AB438"/>
      <c r="AC438">
        <v>8.5034589999999994</v>
      </c>
      <c r="AD438">
        <v>38.586959999999998</v>
      </c>
      <c r="AE438">
        <v>85.9482</v>
      </c>
      <c r="AF438"/>
      <c r="AG438"/>
      <c r="AH438">
        <v>53.05321</v>
      </c>
      <c r="AI438"/>
      <c r="AJ438">
        <v>0.69305799999999995</v>
      </c>
      <c r="AK438">
        <v>54.809359999999998</v>
      </c>
      <c r="AL438">
        <v>44.139699999999998</v>
      </c>
      <c r="AM438">
        <v>29.943300000000001</v>
      </c>
      <c r="AN438">
        <v>24.81241</v>
      </c>
      <c r="AO438"/>
      <c r="AP438">
        <v>20.514790000000001</v>
      </c>
      <c r="AQ438"/>
      <c r="AR438"/>
      <c r="AS438"/>
      <c r="AT438"/>
      <c r="AU438">
        <v>50.348550000000003</v>
      </c>
      <c r="AV438"/>
      <c r="AW438">
        <v>44.830370000000002</v>
      </c>
      <c r="AX438"/>
    </row>
    <row r="439" spans="1:50" x14ac:dyDescent="0.35">
      <c r="A439" s="75">
        <v>31199</v>
      </c>
      <c r="B439">
        <v>52.293869999999998</v>
      </c>
      <c r="C439">
        <v>51.600149999999999</v>
      </c>
      <c r="D439"/>
      <c r="E439">
        <v>50.354930000000003</v>
      </c>
      <c r="F439">
        <v>65.055310000000006</v>
      </c>
      <c r="G439"/>
      <c r="H439"/>
      <c r="I439"/>
      <c r="J439"/>
      <c r="K439"/>
      <c r="L439">
        <v>58.705120000000001</v>
      </c>
      <c r="M439">
        <v>50.860329999999998</v>
      </c>
      <c r="N439"/>
      <c r="O439">
        <v>35.350029999999997</v>
      </c>
      <c r="P439"/>
      <c r="Q439"/>
      <c r="R439">
        <v>50.074559999999998</v>
      </c>
      <c r="S439">
        <v>57.923000000000002</v>
      </c>
      <c r="T439"/>
      <c r="U439">
        <v>50.741259999999997</v>
      </c>
      <c r="V439">
        <v>45.305320000000002</v>
      </c>
      <c r="W439">
        <v>13.15964</v>
      </c>
      <c r="X439"/>
      <c r="Y439"/>
      <c r="Z439"/>
      <c r="AA439">
        <v>47.14584</v>
      </c>
      <c r="AB439"/>
      <c r="AC439">
        <v>9.7182390000000005</v>
      </c>
      <c r="AD439">
        <v>38.794150000000002</v>
      </c>
      <c r="AE439">
        <v>86.006320000000002</v>
      </c>
      <c r="AF439"/>
      <c r="AG439"/>
      <c r="AH439">
        <v>53.181199999999997</v>
      </c>
      <c r="AI439"/>
      <c r="AJ439">
        <v>0.71259729999999999</v>
      </c>
      <c r="AK439">
        <v>54.800289999999997</v>
      </c>
      <c r="AL439">
        <v>44.421129999999998</v>
      </c>
      <c r="AM439">
        <v>30.079879999999999</v>
      </c>
      <c r="AN439">
        <v>24.946909999999999</v>
      </c>
      <c r="AO439"/>
      <c r="AP439">
        <v>20.65043</v>
      </c>
      <c r="AQ439"/>
      <c r="AR439"/>
      <c r="AS439"/>
      <c r="AT439"/>
      <c r="AU439">
        <v>50.208919999999999</v>
      </c>
      <c r="AV439"/>
      <c r="AW439">
        <v>44.912930000000003</v>
      </c>
      <c r="AX439"/>
    </row>
    <row r="440" spans="1:50" x14ac:dyDescent="0.35">
      <c r="A440" s="75">
        <v>31229</v>
      </c>
      <c r="B440">
        <v>52.545009999999998</v>
      </c>
      <c r="C440">
        <v>52.181080000000001</v>
      </c>
      <c r="D440"/>
      <c r="E440">
        <v>50.665120000000002</v>
      </c>
      <c r="F440">
        <v>65.070790000000002</v>
      </c>
      <c r="G440"/>
      <c r="H440"/>
      <c r="I440"/>
      <c r="J440"/>
      <c r="K440"/>
      <c r="L440">
        <v>58.739400000000003</v>
      </c>
      <c r="M440">
        <v>50.682490000000001</v>
      </c>
      <c r="N440"/>
      <c r="O440">
        <v>35.518509999999999</v>
      </c>
      <c r="P440"/>
      <c r="Q440"/>
      <c r="R440">
        <v>50.043210000000002</v>
      </c>
      <c r="S440">
        <v>58.217570000000002</v>
      </c>
      <c r="T440"/>
      <c r="U440">
        <v>50.842210000000001</v>
      </c>
      <c r="V440">
        <v>45.342210000000001</v>
      </c>
      <c r="W440">
        <v>13.09506</v>
      </c>
      <c r="X440"/>
      <c r="Y440"/>
      <c r="Z440"/>
      <c r="AA440">
        <v>47.836599999999997</v>
      </c>
      <c r="AB440"/>
      <c r="AC440">
        <v>12.35026</v>
      </c>
      <c r="AD440">
        <v>38.915410000000001</v>
      </c>
      <c r="AE440">
        <v>86.069050000000004</v>
      </c>
      <c r="AF440"/>
      <c r="AG440"/>
      <c r="AH440">
        <v>53.41657</v>
      </c>
      <c r="AI440"/>
      <c r="AJ440">
        <v>0.73994059999999995</v>
      </c>
      <c r="AK440">
        <v>54.71369</v>
      </c>
      <c r="AL440">
        <v>44.500079999999997</v>
      </c>
      <c r="AM440">
        <v>30.21997</v>
      </c>
      <c r="AN440">
        <v>25.018550000000001</v>
      </c>
      <c r="AO440"/>
      <c r="AP440">
        <v>20.79561</v>
      </c>
      <c r="AQ440"/>
      <c r="AR440"/>
      <c r="AS440"/>
      <c r="AT440"/>
      <c r="AU440">
        <v>50.023029999999999</v>
      </c>
      <c r="AV440"/>
      <c r="AW440">
        <v>44.995489999999997</v>
      </c>
      <c r="AX440"/>
    </row>
    <row r="441" spans="1:50" x14ac:dyDescent="0.35">
      <c r="A441" s="75">
        <v>31260</v>
      </c>
      <c r="B441">
        <v>52.662080000000003</v>
      </c>
      <c r="C441">
        <v>52.343539999999997</v>
      </c>
      <c r="D441"/>
      <c r="E441">
        <v>50.735759999999999</v>
      </c>
      <c r="F441">
        <v>65.514430000000004</v>
      </c>
      <c r="G441"/>
      <c r="H441"/>
      <c r="I441"/>
      <c r="J441"/>
      <c r="K441"/>
      <c r="L441">
        <v>58.604930000000003</v>
      </c>
      <c r="M441">
        <v>50.676200000000001</v>
      </c>
      <c r="N441"/>
      <c r="O441">
        <v>35.62209</v>
      </c>
      <c r="P441"/>
      <c r="Q441"/>
      <c r="R441">
        <v>50.14555</v>
      </c>
      <c r="S441">
        <v>58.336570000000002</v>
      </c>
      <c r="T441"/>
      <c r="U441">
        <v>50.939509999999999</v>
      </c>
      <c r="V441">
        <v>45.536610000000003</v>
      </c>
      <c r="W441">
        <v>13.04034</v>
      </c>
      <c r="X441"/>
      <c r="Y441"/>
      <c r="Z441"/>
      <c r="AA441">
        <v>47.836599999999997</v>
      </c>
      <c r="AB441"/>
      <c r="AC441">
        <v>12.755190000000001</v>
      </c>
      <c r="AD441">
        <v>39.038519999999998</v>
      </c>
      <c r="AE441">
        <v>85.828670000000002</v>
      </c>
      <c r="AF441"/>
      <c r="AG441"/>
      <c r="AH441">
        <v>53.455419999999997</v>
      </c>
      <c r="AI441"/>
      <c r="AJ441">
        <v>0.77420739999999999</v>
      </c>
      <c r="AK441">
        <v>54.837859999999999</v>
      </c>
      <c r="AL441">
        <v>44.293939999999999</v>
      </c>
      <c r="AM441">
        <v>30.35773</v>
      </c>
      <c r="AN441">
        <v>25.074149999999999</v>
      </c>
      <c r="AO441"/>
      <c r="AP441">
        <v>20.900259999999999</v>
      </c>
      <c r="AQ441"/>
      <c r="AR441"/>
      <c r="AS441"/>
      <c r="AT441"/>
      <c r="AU441">
        <v>50.126159999999999</v>
      </c>
      <c r="AV441"/>
      <c r="AW441">
        <v>45.160609999999998</v>
      </c>
      <c r="AX441"/>
    </row>
    <row r="442" spans="1:50" x14ac:dyDescent="0.35">
      <c r="A442" s="75">
        <v>31291</v>
      </c>
      <c r="B442">
        <v>52.71302</v>
      </c>
      <c r="C442">
        <v>52.450020000000002</v>
      </c>
      <c r="D442"/>
      <c r="E442">
        <v>50.852119999999999</v>
      </c>
      <c r="F442">
        <v>65.671340000000001</v>
      </c>
      <c r="G442"/>
      <c r="H442"/>
      <c r="I442"/>
      <c r="J442"/>
      <c r="K442"/>
      <c r="L442">
        <v>58.60172</v>
      </c>
      <c r="M442">
        <v>50.989960000000004</v>
      </c>
      <c r="N442"/>
      <c r="O442">
        <v>35.991849999999999</v>
      </c>
      <c r="P442"/>
      <c r="Q442"/>
      <c r="R442">
        <v>50.51482</v>
      </c>
      <c r="S442">
        <v>58.498010000000001</v>
      </c>
      <c r="T442"/>
      <c r="U442">
        <v>51.142829999999996</v>
      </c>
      <c r="V442">
        <v>45.486469999999997</v>
      </c>
      <c r="W442">
        <v>13.740019999999999</v>
      </c>
      <c r="X442"/>
      <c r="Y442"/>
      <c r="Z442"/>
      <c r="AA442">
        <v>47.836599999999997</v>
      </c>
      <c r="AB442"/>
      <c r="AC442">
        <v>12.957649999999999</v>
      </c>
      <c r="AD442">
        <v>39.311770000000003</v>
      </c>
      <c r="AE442">
        <v>86.165980000000005</v>
      </c>
      <c r="AF442"/>
      <c r="AG442"/>
      <c r="AH442">
        <v>53.431780000000003</v>
      </c>
      <c r="AI442"/>
      <c r="AJ442">
        <v>0.80914399999999997</v>
      </c>
      <c r="AK442">
        <v>55.224209999999999</v>
      </c>
      <c r="AL442">
        <v>44.929540000000003</v>
      </c>
      <c r="AM442">
        <v>30.58436</v>
      </c>
      <c r="AN442">
        <v>25.216100000000001</v>
      </c>
      <c r="AO442"/>
      <c r="AP442">
        <v>21.022629999999999</v>
      </c>
      <c r="AQ442"/>
      <c r="AR442"/>
      <c r="AS442"/>
      <c r="AT442"/>
      <c r="AU442">
        <v>50.411940000000001</v>
      </c>
      <c r="AV442"/>
      <c r="AW442">
        <v>45.408290000000001</v>
      </c>
      <c r="AX442"/>
    </row>
    <row r="443" spans="1:50" x14ac:dyDescent="0.35">
      <c r="A443" s="75">
        <v>31321</v>
      </c>
      <c r="B443">
        <v>52.814720000000001</v>
      </c>
      <c r="C443">
        <v>52.616379999999999</v>
      </c>
      <c r="D443"/>
      <c r="E443">
        <v>51.061300000000003</v>
      </c>
      <c r="F443">
        <v>65.777370000000005</v>
      </c>
      <c r="G443"/>
      <c r="H443"/>
      <c r="I443"/>
      <c r="J443"/>
      <c r="K443"/>
      <c r="L443">
        <v>58.734740000000002</v>
      </c>
      <c r="M443">
        <v>51.179690000000001</v>
      </c>
      <c r="N443"/>
      <c r="O443">
        <v>36.235860000000002</v>
      </c>
      <c r="P443"/>
      <c r="Q443"/>
      <c r="R443">
        <v>50.577539999999999</v>
      </c>
      <c r="S443">
        <v>58.732599999999998</v>
      </c>
      <c r="T443"/>
      <c r="U443">
        <v>51.437159999999999</v>
      </c>
      <c r="V443">
        <v>45.664659999999998</v>
      </c>
      <c r="W443">
        <v>14.22908</v>
      </c>
      <c r="X443"/>
      <c r="Y443"/>
      <c r="Z443"/>
      <c r="AA443">
        <v>47.94659</v>
      </c>
      <c r="AB443"/>
      <c r="AC443">
        <v>13.56504</v>
      </c>
      <c r="AD443">
        <v>39.746189999999999</v>
      </c>
      <c r="AE443">
        <v>86.655429999999996</v>
      </c>
      <c r="AF443"/>
      <c r="AG443"/>
      <c r="AH443">
        <v>53.739319999999999</v>
      </c>
      <c r="AI443"/>
      <c r="AJ443">
        <v>0.84214100000000003</v>
      </c>
      <c r="AK443">
        <v>55.53931</v>
      </c>
      <c r="AL443">
        <v>45.096150000000002</v>
      </c>
      <c r="AM443">
        <v>30.897410000000001</v>
      </c>
      <c r="AN443">
        <v>25.482060000000001</v>
      </c>
      <c r="AO443"/>
      <c r="AP443">
        <v>21.389320000000001</v>
      </c>
      <c r="AQ443"/>
      <c r="AR443"/>
      <c r="AS443"/>
      <c r="AT443"/>
      <c r="AU443">
        <v>50.926830000000002</v>
      </c>
      <c r="AV443"/>
      <c r="AW443">
        <v>45.697249999999997</v>
      </c>
      <c r="AX443"/>
    </row>
    <row r="444" spans="1:50" x14ac:dyDescent="0.35">
      <c r="A444" s="75">
        <v>31352</v>
      </c>
      <c r="B444">
        <v>53.105530000000002</v>
      </c>
      <c r="C444">
        <v>52.745840000000001</v>
      </c>
      <c r="D444"/>
      <c r="E444">
        <v>51.183509999999998</v>
      </c>
      <c r="F444">
        <v>66.259460000000004</v>
      </c>
      <c r="G444"/>
      <c r="H444"/>
      <c r="I444"/>
      <c r="J444"/>
      <c r="K444"/>
      <c r="L444">
        <v>58.753549999999997</v>
      </c>
      <c r="M444">
        <v>51.455269999999999</v>
      </c>
      <c r="N444"/>
      <c r="O444">
        <v>36.530880000000003</v>
      </c>
      <c r="P444"/>
      <c r="Q444"/>
      <c r="R444">
        <v>50.618819999999999</v>
      </c>
      <c r="S444">
        <v>58.873890000000003</v>
      </c>
      <c r="T444"/>
      <c r="U444">
        <v>51.611820000000002</v>
      </c>
      <c r="V444">
        <v>45.810470000000002</v>
      </c>
      <c r="W444">
        <v>14.59243</v>
      </c>
      <c r="X444"/>
      <c r="Y444"/>
      <c r="Z444"/>
      <c r="AA444">
        <v>47.94659</v>
      </c>
      <c r="AB444"/>
      <c r="AC444">
        <v>13.96997</v>
      </c>
      <c r="AD444">
        <v>40.116160000000001</v>
      </c>
      <c r="AE444">
        <v>86.591840000000005</v>
      </c>
      <c r="AF444"/>
      <c r="AG444"/>
      <c r="AH444">
        <v>53.913960000000003</v>
      </c>
      <c r="AI444"/>
      <c r="AJ444">
        <v>0.88431939999999998</v>
      </c>
      <c r="AK444">
        <v>55.557079999999999</v>
      </c>
      <c r="AL444">
        <v>45.143839999999997</v>
      </c>
      <c r="AM444">
        <v>31.149570000000001</v>
      </c>
      <c r="AN444">
        <v>25.709540000000001</v>
      </c>
      <c r="AO444"/>
      <c r="AP444">
        <v>21.7074</v>
      </c>
      <c r="AQ444"/>
      <c r="AR444"/>
      <c r="AS444"/>
      <c r="AT444"/>
      <c r="AU444">
        <v>51.221649999999997</v>
      </c>
      <c r="AV444"/>
      <c r="AW444">
        <v>45.903660000000002</v>
      </c>
      <c r="AX444"/>
    </row>
    <row r="445" spans="1:50" x14ac:dyDescent="0.35">
      <c r="A445" s="75">
        <v>31382</v>
      </c>
      <c r="B445">
        <v>53.212580000000003</v>
      </c>
      <c r="C445">
        <v>53.052909999999997</v>
      </c>
      <c r="D445"/>
      <c r="E445">
        <v>51.316780000000001</v>
      </c>
      <c r="F445">
        <v>66.305729999999997</v>
      </c>
      <c r="G445"/>
      <c r="H445"/>
      <c r="I445"/>
      <c r="J445"/>
      <c r="K445"/>
      <c r="L445">
        <v>58.882919999999999</v>
      </c>
      <c r="M445">
        <v>51.432899999999997</v>
      </c>
      <c r="N445"/>
      <c r="O445">
        <v>36.743279999999999</v>
      </c>
      <c r="P445"/>
      <c r="Q445"/>
      <c r="R445">
        <v>50.72777</v>
      </c>
      <c r="S445">
        <v>58.997790000000002</v>
      </c>
      <c r="T445"/>
      <c r="U445">
        <v>51.682969999999997</v>
      </c>
      <c r="V445">
        <v>45.823779999999999</v>
      </c>
      <c r="W445">
        <v>15.10314</v>
      </c>
      <c r="X445"/>
      <c r="Y445"/>
      <c r="Z445"/>
      <c r="AA445">
        <v>47.94659</v>
      </c>
      <c r="AB445"/>
      <c r="AC445">
        <v>14.17243</v>
      </c>
      <c r="AD445">
        <v>40.266550000000002</v>
      </c>
      <c r="AE445">
        <v>86.662629999999993</v>
      </c>
      <c r="AF445"/>
      <c r="AG445"/>
      <c r="AH445">
        <v>54.017290000000003</v>
      </c>
      <c r="AI445"/>
      <c r="AJ445">
        <v>0.93392560000000002</v>
      </c>
      <c r="AK445">
        <v>55.353499999999997</v>
      </c>
      <c r="AL445">
        <v>45.422620000000002</v>
      </c>
      <c r="AM445">
        <v>31.342279999999999</v>
      </c>
      <c r="AN445">
        <v>25.844180000000001</v>
      </c>
      <c r="AO445"/>
      <c r="AP445">
        <v>22.089739999999999</v>
      </c>
      <c r="AQ445"/>
      <c r="AR445"/>
      <c r="AS445"/>
      <c r="AT445"/>
      <c r="AU445">
        <v>51.416150000000002</v>
      </c>
      <c r="AV445"/>
      <c r="AW445">
        <v>45.944929999999999</v>
      </c>
      <c r="AX445"/>
    </row>
    <row r="446" spans="1:50" x14ac:dyDescent="0.35">
      <c r="A446" s="75">
        <v>31413</v>
      </c>
      <c r="B446">
        <v>53.604900000000001</v>
      </c>
      <c r="C446">
        <v>53.389429999999997</v>
      </c>
      <c r="D446"/>
      <c r="E446">
        <v>51.4131</v>
      </c>
      <c r="F446">
        <v>66.465329999999994</v>
      </c>
      <c r="G446"/>
      <c r="H446"/>
      <c r="I446"/>
      <c r="J446"/>
      <c r="K446"/>
      <c r="L446">
        <v>59.167340000000003</v>
      </c>
      <c r="M446">
        <v>51.22831</v>
      </c>
      <c r="N446"/>
      <c r="O446">
        <v>37.723460000000003</v>
      </c>
      <c r="P446"/>
      <c r="Q446"/>
      <c r="R446">
        <v>51.024839999999998</v>
      </c>
      <c r="S446">
        <v>59.232259999999997</v>
      </c>
      <c r="T446"/>
      <c r="U446">
        <v>51.808500000000002</v>
      </c>
      <c r="V446">
        <v>45.89873</v>
      </c>
      <c r="W446">
        <v>15.51351</v>
      </c>
      <c r="X446"/>
      <c r="Y446"/>
      <c r="Z446"/>
      <c r="AA446">
        <v>48.801310000000001</v>
      </c>
      <c r="AB446"/>
      <c r="AC446">
        <v>13.7675</v>
      </c>
      <c r="AD446">
        <v>40.515410000000003</v>
      </c>
      <c r="AE446">
        <v>86.413439999999994</v>
      </c>
      <c r="AF446"/>
      <c r="AG446"/>
      <c r="AH446">
        <v>54.095790000000001</v>
      </c>
      <c r="AI446"/>
      <c r="AJ446">
        <v>1.0084150000000001</v>
      </c>
      <c r="AK446">
        <v>55.088619999999999</v>
      </c>
      <c r="AL446">
        <v>45.749339999999997</v>
      </c>
      <c r="AM446">
        <v>31.591529999999999</v>
      </c>
      <c r="AN446">
        <v>26.04851</v>
      </c>
      <c r="AO446"/>
      <c r="AP446">
        <v>22.88617</v>
      </c>
      <c r="AQ446"/>
      <c r="AR446"/>
      <c r="AS446"/>
      <c r="AT446"/>
      <c r="AU446">
        <v>51.916409999999999</v>
      </c>
      <c r="AV446"/>
      <c r="AW446">
        <v>46.068779999999997</v>
      </c>
      <c r="AX446"/>
    </row>
    <row r="447" spans="1:50" x14ac:dyDescent="0.35">
      <c r="A447" s="75">
        <v>31444</v>
      </c>
      <c r="B447">
        <v>53.865639999999999</v>
      </c>
      <c r="C447">
        <v>53.802520000000001</v>
      </c>
      <c r="D447"/>
      <c r="E447">
        <v>51.782150000000001</v>
      </c>
      <c r="F447">
        <v>66.749529999999993</v>
      </c>
      <c r="G447"/>
      <c r="H447"/>
      <c r="I447"/>
      <c r="J447"/>
      <c r="K447"/>
      <c r="L447">
        <v>59.144730000000003</v>
      </c>
      <c r="M447">
        <v>51.448329999999999</v>
      </c>
      <c r="N447"/>
      <c r="O447">
        <v>38.02093</v>
      </c>
      <c r="P447"/>
      <c r="Q447"/>
      <c r="R447">
        <v>51.256480000000003</v>
      </c>
      <c r="S447">
        <v>59.304389999999998</v>
      </c>
      <c r="T447"/>
      <c r="U447">
        <v>51.942990000000002</v>
      </c>
      <c r="V447">
        <v>46.154769999999999</v>
      </c>
      <c r="W447">
        <v>15.30227</v>
      </c>
      <c r="X447"/>
      <c r="Y447"/>
      <c r="Z447"/>
      <c r="AA447">
        <v>48.801310000000001</v>
      </c>
      <c r="AB447"/>
      <c r="AC447">
        <v>13.96997</v>
      </c>
      <c r="AD447">
        <v>40.837580000000003</v>
      </c>
      <c r="AE447">
        <v>86.383319999999998</v>
      </c>
      <c r="AF447"/>
      <c r="AG447"/>
      <c r="AH447">
        <v>54.064430000000002</v>
      </c>
      <c r="AI447"/>
      <c r="AJ447">
        <v>1.0599730000000001</v>
      </c>
      <c r="AK447">
        <v>55.216430000000003</v>
      </c>
      <c r="AL447">
        <v>45.980449999999998</v>
      </c>
      <c r="AM447">
        <v>31.75591</v>
      </c>
      <c r="AN447">
        <v>26.151209999999999</v>
      </c>
      <c r="AO447"/>
      <c r="AP447">
        <v>23.194769999999998</v>
      </c>
      <c r="AQ447"/>
      <c r="AR447"/>
      <c r="AS447"/>
      <c r="AT447"/>
      <c r="AU447">
        <v>51.914999999999999</v>
      </c>
      <c r="AV447"/>
      <c r="AW447">
        <v>46.192619999999998</v>
      </c>
      <c r="AX447"/>
    </row>
    <row r="448" spans="1:50" x14ac:dyDescent="0.35">
      <c r="A448" s="75">
        <v>31472</v>
      </c>
      <c r="B448">
        <v>53.978700000000003</v>
      </c>
      <c r="C448">
        <v>53.982599999999998</v>
      </c>
      <c r="D448"/>
      <c r="E448">
        <v>52.174799999999998</v>
      </c>
      <c r="F448">
        <v>66.88194</v>
      </c>
      <c r="G448"/>
      <c r="H448"/>
      <c r="I448"/>
      <c r="J448"/>
      <c r="K448"/>
      <c r="L448">
        <v>58.95702</v>
      </c>
      <c r="M448">
        <v>51.652819999999998</v>
      </c>
      <c r="N448"/>
      <c r="O448">
        <v>38.460619999999999</v>
      </c>
      <c r="P448"/>
      <c r="Q448"/>
      <c r="R448">
        <v>51.33952</v>
      </c>
      <c r="S448">
        <v>59.536259999999999</v>
      </c>
      <c r="T448"/>
      <c r="U448">
        <v>52.090429999999998</v>
      </c>
      <c r="V448">
        <v>46.29674</v>
      </c>
      <c r="W448">
        <v>15.92037</v>
      </c>
      <c r="X448"/>
      <c r="Y448"/>
      <c r="Z448"/>
      <c r="AA448">
        <v>48.801310000000001</v>
      </c>
      <c r="AB448"/>
      <c r="AC448">
        <v>14.27366</v>
      </c>
      <c r="AD448">
        <v>41.088189999999997</v>
      </c>
      <c r="AE448">
        <v>86.48321</v>
      </c>
      <c r="AF448"/>
      <c r="AG448"/>
      <c r="AH448">
        <v>53.995579999999997</v>
      </c>
      <c r="AI448"/>
      <c r="AJ448">
        <v>1.110382</v>
      </c>
      <c r="AK448">
        <v>55.367640000000002</v>
      </c>
      <c r="AL448">
        <v>46.464410000000001</v>
      </c>
      <c r="AM448">
        <v>31.943090000000002</v>
      </c>
      <c r="AN448">
        <v>26.271180000000001</v>
      </c>
      <c r="AO448"/>
      <c r="AP448">
        <v>23.455580000000001</v>
      </c>
      <c r="AQ448"/>
      <c r="AR448"/>
      <c r="AS448"/>
      <c r="AT448"/>
      <c r="AU448">
        <v>51.96414</v>
      </c>
      <c r="AV448"/>
      <c r="AW448">
        <v>46.35774</v>
      </c>
      <c r="AX448"/>
    </row>
    <row r="449" spans="1:50" x14ac:dyDescent="0.35">
      <c r="A449" s="75">
        <v>31503</v>
      </c>
      <c r="B449">
        <v>53.953319999999998</v>
      </c>
      <c r="C449">
        <v>54.322589999999998</v>
      </c>
      <c r="D449"/>
      <c r="E449">
        <v>52.443289999999998</v>
      </c>
      <c r="F449">
        <v>66.88306</v>
      </c>
      <c r="G449"/>
      <c r="H449"/>
      <c r="I449"/>
      <c r="J449"/>
      <c r="K449"/>
      <c r="L449">
        <v>59.007930000000002</v>
      </c>
      <c r="M449">
        <v>52.472700000000003</v>
      </c>
      <c r="N449"/>
      <c r="O449">
        <v>38.701949999999997</v>
      </c>
      <c r="P449"/>
      <c r="Q449"/>
      <c r="R449">
        <v>51.497959999999999</v>
      </c>
      <c r="S449">
        <v>59.862229999999997</v>
      </c>
      <c r="T449"/>
      <c r="U449">
        <v>52.330440000000003</v>
      </c>
      <c r="V449">
        <v>46.949809999999999</v>
      </c>
      <c r="W449">
        <v>16.051680000000001</v>
      </c>
      <c r="X449"/>
      <c r="Y449"/>
      <c r="Z449"/>
      <c r="AA449">
        <v>49.5779</v>
      </c>
      <c r="AB449"/>
      <c r="AC449">
        <v>14.779820000000001</v>
      </c>
      <c r="AD449">
        <v>41.220379999999999</v>
      </c>
      <c r="AE449">
        <v>87.08972</v>
      </c>
      <c r="AF449"/>
      <c r="AG449"/>
      <c r="AH449">
        <v>54.073909999999998</v>
      </c>
      <c r="AI449"/>
      <c r="AJ449">
        <v>1.1622079999999999</v>
      </c>
      <c r="AK449">
        <v>55.588239999999999</v>
      </c>
      <c r="AL449">
        <v>46.755389999999998</v>
      </c>
      <c r="AM449">
        <v>32.17398</v>
      </c>
      <c r="AN449">
        <v>26.411940000000001</v>
      </c>
      <c r="AO449"/>
      <c r="AP449">
        <v>23.681889999999999</v>
      </c>
      <c r="AQ449"/>
      <c r="AR449"/>
      <c r="AS449"/>
      <c r="AT449"/>
      <c r="AU449">
        <v>52.331699999999998</v>
      </c>
      <c r="AV449"/>
      <c r="AW449">
        <v>46.522860000000001</v>
      </c>
      <c r="AX449"/>
    </row>
    <row r="450" spans="1:50" x14ac:dyDescent="0.35">
      <c r="A450" s="75">
        <v>31533</v>
      </c>
      <c r="B450">
        <v>54.042839999999998</v>
      </c>
      <c r="C450">
        <v>54.506129999999999</v>
      </c>
      <c r="D450"/>
      <c r="E450">
        <v>52.88391</v>
      </c>
      <c r="F450">
        <v>66.722549999999998</v>
      </c>
      <c r="G450"/>
      <c r="H450"/>
      <c r="I450"/>
      <c r="J450"/>
      <c r="K450"/>
      <c r="L450">
        <v>59.108139999999999</v>
      </c>
      <c r="M450">
        <v>52.880189999999999</v>
      </c>
      <c r="N450"/>
      <c r="O450">
        <v>38.84422</v>
      </c>
      <c r="P450"/>
      <c r="Q450"/>
      <c r="R450">
        <v>51.522750000000002</v>
      </c>
      <c r="S450">
        <v>60.031950000000002</v>
      </c>
      <c r="T450"/>
      <c r="U450">
        <v>52.474040000000002</v>
      </c>
      <c r="V450">
        <v>47.088500000000003</v>
      </c>
      <c r="W450">
        <v>16.158280000000001</v>
      </c>
      <c r="X450"/>
      <c r="Y450"/>
      <c r="Z450"/>
      <c r="AA450">
        <v>49.5779</v>
      </c>
      <c r="AB450"/>
      <c r="AC450">
        <v>15.08352</v>
      </c>
      <c r="AD450">
        <v>41.43441</v>
      </c>
      <c r="AE450">
        <v>87.433430000000001</v>
      </c>
      <c r="AF450"/>
      <c r="AG450"/>
      <c r="AH450">
        <v>54.212009999999999</v>
      </c>
      <c r="AI450"/>
      <c r="AJ450">
        <v>1.217063</v>
      </c>
      <c r="AK450">
        <v>55.622900000000001</v>
      </c>
      <c r="AL450">
        <v>46.98986</v>
      </c>
      <c r="AM450">
        <v>32.33728</v>
      </c>
      <c r="AN450">
        <v>26.49005</v>
      </c>
      <c r="AO450"/>
      <c r="AP450">
        <v>23.742529999999999</v>
      </c>
      <c r="AQ450"/>
      <c r="AR450"/>
      <c r="AS450"/>
      <c r="AT450"/>
      <c r="AU450">
        <v>52.317770000000003</v>
      </c>
      <c r="AV450"/>
      <c r="AW450">
        <v>46.605420000000002</v>
      </c>
      <c r="AX450"/>
    </row>
    <row r="451" spans="1:50" x14ac:dyDescent="0.35">
      <c r="A451" s="75">
        <v>31564</v>
      </c>
      <c r="B451">
        <v>54.30442</v>
      </c>
      <c r="C451">
        <v>54.760770000000001</v>
      </c>
      <c r="D451"/>
      <c r="E451">
        <v>52.990139999999997</v>
      </c>
      <c r="F451">
        <v>66.754499999999993</v>
      </c>
      <c r="G451"/>
      <c r="H451"/>
      <c r="I451"/>
      <c r="J451"/>
      <c r="K451"/>
      <c r="L451">
        <v>59.18121</v>
      </c>
      <c r="M451">
        <v>53.013289999999998</v>
      </c>
      <c r="N451"/>
      <c r="O451">
        <v>39.077759999999998</v>
      </c>
      <c r="P451"/>
      <c r="Q451"/>
      <c r="R451">
        <v>51.85398</v>
      </c>
      <c r="S451">
        <v>60.24192</v>
      </c>
      <c r="T451"/>
      <c r="U451">
        <v>52.547440000000002</v>
      </c>
      <c r="V451">
        <v>46.988300000000002</v>
      </c>
      <c r="W451">
        <v>16.502790000000001</v>
      </c>
      <c r="X451"/>
      <c r="Y451"/>
      <c r="Z451"/>
      <c r="AA451">
        <v>49.5779</v>
      </c>
      <c r="AB451"/>
      <c r="AC451">
        <v>15.38721</v>
      </c>
      <c r="AD451">
        <v>41.512529999999998</v>
      </c>
      <c r="AE451">
        <v>87.463070000000002</v>
      </c>
      <c r="AF451"/>
      <c r="AG451"/>
      <c r="AH451">
        <v>54.35472</v>
      </c>
      <c r="AI451"/>
      <c r="AJ451">
        <v>1.291582</v>
      </c>
      <c r="AK451">
        <v>55.410679999999999</v>
      </c>
      <c r="AL451">
        <v>47.77178</v>
      </c>
      <c r="AM451">
        <v>32.527099999999997</v>
      </c>
      <c r="AN451">
        <v>26.60735</v>
      </c>
      <c r="AO451"/>
      <c r="AP451">
        <v>23.875319999999999</v>
      </c>
      <c r="AQ451"/>
      <c r="AR451"/>
      <c r="AS451"/>
      <c r="AT451"/>
      <c r="AU451">
        <v>52.312370000000001</v>
      </c>
      <c r="AV451"/>
      <c r="AW451">
        <v>46.687980000000003</v>
      </c>
      <c r="AX451"/>
    </row>
    <row r="452" spans="1:50" x14ac:dyDescent="0.35">
      <c r="A452" s="75">
        <v>31594</v>
      </c>
      <c r="B452">
        <v>54.492759999999997</v>
      </c>
      <c r="C452">
        <v>55.112340000000003</v>
      </c>
      <c r="D452"/>
      <c r="E452">
        <v>53.406190000000002</v>
      </c>
      <c r="F452">
        <v>66.688739999999996</v>
      </c>
      <c r="G452"/>
      <c r="H452"/>
      <c r="I452"/>
      <c r="J452"/>
      <c r="K452"/>
      <c r="L452">
        <v>59.129730000000002</v>
      </c>
      <c r="M452">
        <v>52.74924</v>
      </c>
      <c r="N452"/>
      <c r="O452">
        <v>39.278950000000002</v>
      </c>
      <c r="P452"/>
      <c r="Q452"/>
      <c r="R452">
        <v>51.844619999999999</v>
      </c>
      <c r="S452">
        <v>60.469459999999998</v>
      </c>
      <c r="T452"/>
      <c r="U452">
        <v>52.664990000000003</v>
      </c>
      <c r="V452">
        <v>46.948880000000003</v>
      </c>
      <c r="W452">
        <v>16.351320000000001</v>
      </c>
      <c r="X452"/>
      <c r="Y452"/>
      <c r="Z452"/>
      <c r="AA452">
        <v>49.741630000000001</v>
      </c>
      <c r="AB452"/>
      <c r="AC452">
        <v>15.488440000000001</v>
      </c>
      <c r="AD452">
        <v>41.594839999999998</v>
      </c>
      <c r="AE452">
        <v>87.393910000000005</v>
      </c>
      <c r="AF452"/>
      <c r="AG452"/>
      <c r="AH452">
        <v>54.538640000000001</v>
      </c>
      <c r="AI452"/>
      <c r="AJ452">
        <v>1.364025</v>
      </c>
      <c r="AK452">
        <v>55.210479999999997</v>
      </c>
      <c r="AL452">
        <v>48.116160000000001</v>
      </c>
      <c r="AM452">
        <v>32.724060000000001</v>
      </c>
      <c r="AN452">
        <v>26.656829999999999</v>
      </c>
      <c r="AO452"/>
      <c r="AP452">
        <v>23.899190000000001</v>
      </c>
      <c r="AQ452"/>
      <c r="AR452"/>
      <c r="AS452"/>
      <c r="AT452"/>
      <c r="AU452">
        <v>52.519100000000002</v>
      </c>
      <c r="AV452"/>
      <c r="AW452">
        <v>46.853099999999998</v>
      </c>
      <c r="AX452"/>
    </row>
    <row r="453" spans="1:50" x14ac:dyDescent="0.35">
      <c r="A453" s="75">
        <v>31625</v>
      </c>
      <c r="B453">
        <v>54.692590000000003</v>
      </c>
      <c r="C453">
        <v>55.247790000000002</v>
      </c>
      <c r="D453"/>
      <c r="E453">
        <v>53.475140000000003</v>
      </c>
      <c r="F453">
        <v>67.186509999999998</v>
      </c>
      <c r="G453"/>
      <c r="H453"/>
      <c r="I453"/>
      <c r="J453"/>
      <c r="K453"/>
      <c r="L453">
        <v>58.981699999999996</v>
      </c>
      <c r="M453">
        <v>52.924129999999998</v>
      </c>
      <c r="N453"/>
      <c r="O453">
        <v>39.375100000000003</v>
      </c>
      <c r="P453"/>
      <c r="Q453"/>
      <c r="R453">
        <v>52.029539999999997</v>
      </c>
      <c r="S453">
        <v>60.618119999999998</v>
      </c>
      <c r="T453"/>
      <c r="U453">
        <v>52.737050000000004</v>
      </c>
      <c r="V453">
        <v>47.128860000000003</v>
      </c>
      <c r="W453">
        <v>16.305610000000001</v>
      </c>
      <c r="X453"/>
      <c r="Y453"/>
      <c r="Z453"/>
      <c r="AA453">
        <v>49.741630000000001</v>
      </c>
      <c r="AB453"/>
      <c r="AC453">
        <v>15.690910000000001</v>
      </c>
      <c r="AD453">
        <v>41.756889999999999</v>
      </c>
      <c r="AE453">
        <v>87.097899999999996</v>
      </c>
      <c r="AF453"/>
      <c r="AG453"/>
      <c r="AH453">
        <v>54.575600000000001</v>
      </c>
      <c r="AI453"/>
      <c r="AJ453">
        <v>1.479833</v>
      </c>
      <c r="AK453">
        <v>55.375369999999997</v>
      </c>
      <c r="AL453">
        <v>48.077629999999999</v>
      </c>
      <c r="AM453">
        <v>32.938929999999999</v>
      </c>
      <c r="AN453">
        <v>26.70711</v>
      </c>
      <c r="AO453"/>
      <c r="AP453">
        <v>24.059889999999999</v>
      </c>
      <c r="AQ453"/>
      <c r="AR453"/>
      <c r="AS453"/>
      <c r="AT453"/>
      <c r="AU453">
        <v>52.601840000000003</v>
      </c>
      <c r="AV453"/>
      <c r="AW453">
        <v>46.976939999999999</v>
      </c>
      <c r="AX453"/>
    </row>
    <row r="454" spans="1:50" x14ac:dyDescent="0.35">
      <c r="A454" s="75">
        <v>31656</v>
      </c>
      <c r="B454">
        <v>54.719270000000002</v>
      </c>
      <c r="C454">
        <v>55.410789999999999</v>
      </c>
      <c r="D454"/>
      <c r="E454">
        <v>53.478409999999997</v>
      </c>
      <c r="F454">
        <v>67.259370000000004</v>
      </c>
      <c r="G454"/>
      <c r="H454"/>
      <c r="I454"/>
      <c r="J454"/>
      <c r="K454"/>
      <c r="L454">
        <v>59.114719999999998</v>
      </c>
      <c r="M454">
        <v>53.389719999999997</v>
      </c>
      <c r="N454"/>
      <c r="O454">
        <v>39.607979999999998</v>
      </c>
      <c r="P454"/>
      <c r="Q454"/>
      <c r="R454">
        <v>52.238610000000001</v>
      </c>
      <c r="S454">
        <v>60.801290000000002</v>
      </c>
      <c r="T454"/>
      <c r="U454">
        <v>52.983359999999998</v>
      </c>
      <c r="V454">
        <v>47.32685</v>
      </c>
      <c r="W454">
        <v>16.978940000000001</v>
      </c>
      <c r="X454"/>
      <c r="Y454"/>
      <c r="Z454"/>
      <c r="AA454">
        <v>49.741630000000001</v>
      </c>
      <c r="AB454"/>
      <c r="AC454">
        <v>15.9946</v>
      </c>
      <c r="AD454">
        <v>41.855849999999997</v>
      </c>
      <c r="AE454">
        <v>87.533100000000005</v>
      </c>
      <c r="AF454"/>
      <c r="AG454"/>
      <c r="AH454">
        <v>54.742109999999997</v>
      </c>
      <c r="AI454"/>
      <c r="AJ454">
        <v>1.568222</v>
      </c>
      <c r="AK454">
        <v>55.668300000000002</v>
      </c>
      <c r="AL454">
        <v>48.991720000000001</v>
      </c>
      <c r="AM454">
        <v>33.23095</v>
      </c>
      <c r="AN454">
        <v>26.848230000000001</v>
      </c>
      <c r="AO454"/>
      <c r="AP454">
        <v>24.237960000000001</v>
      </c>
      <c r="AQ454"/>
      <c r="AR454"/>
      <c r="AS454"/>
      <c r="AT454"/>
      <c r="AU454">
        <v>53.020740000000004</v>
      </c>
      <c r="AV454"/>
      <c r="AW454">
        <v>47.265900000000002</v>
      </c>
      <c r="AX454"/>
    </row>
    <row r="455" spans="1:50" x14ac:dyDescent="0.35">
      <c r="A455" s="75">
        <v>31686</v>
      </c>
      <c r="B455">
        <v>54.706150000000001</v>
      </c>
      <c r="C455">
        <v>55.487830000000002</v>
      </c>
      <c r="D455"/>
      <c r="E455">
        <v>53.903660000000002</v>
      </c>
      <c r="F455">
        <v>67.32056</v>
      </c>
      <c r="G455"/>
      <c r="H455"/>
      <c r="I455"/>
      <c r="J455"/>
      <c r="K455"/>
      <c r="L455">
        <v>59.083669999999998</v>
      </c>
      <c r="M455">
        <v>53.521349999999998</v>
      </c>
      <c r="N455"/>
      <c r="O455">
        <v>39.824330000000003</v>
      </c>
      <c r="P455"/>
      <c r="Q455"/>
      <c r="R455">
        <v>52.307369999999999</v>
      </c>
      <c r="S455">
        <v>61.030169999999998</v>
      </c>
      <c r="T455"/>
      <c r="U455">
        <v>53.206110000000002</v>
      </c>
      <c r="V455">
        <v>47.467829999999999</v>
      </c>
      <c r="W455">
        <v>17.507069999999999</v>
      </c>
      <c r="X455"/>
      <c r="Y455"/>
      <c r="Z455"/>
      <c r="AA455">
        <v>49.895389999999999</v>
      </c>
      <c r="AB455"/>
      <c r="AC455">
        <v>16.399529999999999</v>
      </c>
      <c r="AD455">
        <v>42.1083</v>
      </c>
      <c r="AE455">
        <v>87.787549999999996</v>
      </c>
      <c r="AF455"/>
      <c r="AG455"/>
      <c r="AH455">
        <v>54.817349999999998</v>
      </c>
      <c r="AI455"/>
      <c r="AJ455">
        <v>1.659886</v>
      </c>
      <c r="AK455">
        <v>55.879570000000001</v>
      </c>
      <c r="AL455">
        <v>49.206090000000003</v>
      </c>
      <c r="AM455">
        <v>33.578279999999999</v>
      </c>
      <c r="AN455">
        <v>27.071999999999999</v>
      </c>
      <c r="AO455"/>
      <c r="AP455">
        <v>24.569990000000001</v>
      </c>
      <c r="AQ455"/>
      <c r="AR455"/>
      <c r="AS455"/>
      <c r="AT455"/>
      <c r="AU455">
        <v>53.293019999999999</v>
      </c>
      <c r="AV455"/>
      <c r="AW455">
        <v>47.513590000000001</v>
      </c>
      <c r="AX455"/>
    </row>
    <row r="456" spans="1:50" x14ac:dyDescent="0.35">
      <c r="A456" s="75">
        <v>31717</v>
      </c>
      <c r="B456">
        <v>54.77646</v>
      </c>
      <c r="C456">
        <v>55.55509</v>
      </c>
      <c r="D456"/>
      <c r="E456">
        <v>54.09939</v>
      </c>
      <c r="F456">
        <v>67.664919999999995</v>
      </c>
      <c r="G456"/>
      <c r="H456"/>
      <c r="I456"/>
      <c r="J456"/>
      <c r="K456"/>
      <c r="L456">
        <v>59.03584</v>
      </c>
      <c r="M456">
        <v>53.711080000000003</v>
      </c>
      <c r="N456"/>
      <c r="O456">
        <v>40.1526</v>
      </c>
      <c r="P456"/>
      <c r="Q456"/>
      <c r="R456">
        <v>52.307949999999998</v>
      </c>
      <c r="S456">
        <v>61.16386</v>
      </c>
      <c r="T456"/>
      <c r="U456">
        <v>53.349930000000001</v>
      </c>
      <c r="V456">
        <v>47.965739999999997</v>
      </c>
      <c r="W456">
        <v>17.607420000000001</v>
      </c>
      <c r="X456"/>
      <c r="Y456"/>
      <c r="Z456"/>
      <c r="AA456">
        <v>49.895389999999999</v>
      </c>
      <c r="AB456"/>
      <c r="AC456">
        <v>16.804449999999999</v>
      </c>
      <c r="AD456">
        <v>42.354199999999999</v>
      </c>
      <c r="AE456">
        <v>87.807400000000001</v>
      </c>
      <c r="AF456"/>
      <c r="AG456"/>
      <c r="AH456">
        <v>54.852550000000001</v>
      </c>
      <c r="AI456"/>
      <c r="AJ456">
        <v>1.7708269999999999</v>
      </c>
      <c r="AK456">
        <v>55.954340000000002</v>
      </c>
      <c r="AL456">
        <v>49.432540000000003</v>
      </c>
      <c r="AM456">
        <v>33.847610000000003</v>
      </c>
      <c r="AN456">
        <v>27.221070000000001</v>
      </c>
      <c r="AO456"/>
      <c r="AP456">
        <v>24.80875</v>
      </c>
      <c r="AQ456"/>
      <c r="AR456"/>
      <c r="AS456"/>
      <c r="AT456"/>
      <c r="AU456">
        <v>53.41189</v>
      </c>
      <c r="AV456"/>
      <c r="AW456">
        <v>47.637430000000002</v>
      </c>
      <c r="AX456"/>
    </row>
    <row r="457" spans="1:50" x14ac:dyDescent="0.35">
      <c r="A457" s="75">
        <v>31747</v>
      </c>
      <c r="B457">
        <v>54.85521</v>
      </c>
      <c r="C457">
        <v>55.771909999999998</v>
      </c>
      <c r="D457"/>
      <c r="E457">
        <v>54.2102</v>
      </c>
      <c r="F457">
        <v>67.736109999999996</v>
      </c>
      <c r="G457"/>
      <c r="H457"/>
      <c r="I457"/>
      <c r="J457"/>
      <c r="K457"/>
      <c r="L457">
        <v>59.131219999999999</v>
      </c>
      <c r="M457">
        <v>53.665149999999997</v>
      </c>
      <c r="N457"/>
      <c r="O457">
        <v>40.289250000000003</v>
      </c>
      <c r="P457"/>
      <c r="Q457"/>
      <c r="R457">
        <v>52.458179999999999</v>
      </c>
      <c r="S457">
        <v>61.257150000000003</v>
      </c>
      <c r="T457"/>
      <c r="U457">
        <v>53.413249999999998</v>
      </c>
      <c r="V457">
        <v>48.096760000000003</v>
      </c>
      <c r="W457">
        <v>17.769749999999998</v>
      </c>
      <c r="X457"/>
      <c r="Y457"/>
      <c r="Z457"/>
      <c r="AA457">
        <v>49.895389999999999</v>
      </c>
      <c r="AB457"/>
      <c r="AC457">
        <v>17.006920000000001</v>
      </c>
      <c r="AD457">
        <v>42.529020000000003</v>
      </c>
      <c r="AE457">
        <v>87.729020000000006</v>
      </c>
      <c r="AF457"/>
      <c r="AG457"/>
      <c r="AH457">
        <v>54.816589999999998</v>
      </c>
      <c r="AI457"/>
      <c r="AJ457">
        <v>1.9034059999999999</v>
      </c>
      <c r="AK457">
        <v>55.870719999999999</v>
      </c>
      <c r="AL457">
        <v>49.682380000000002</v>
      </c>
      <c r="AM457">
        <v>34.101669999999999</v>
      </c>
      <c r="AN457">
        <v>27.3277</v>
      </c>
      <c r="AO457"/>
      <c r="AP457">
        <v>25.104040000000001</v>
      </c>
      <c r="AQ457"/>
      <c r="AR457"/>
      <c r="AS457"/>
      <c r="AT457"/>
      <c r="AU457">
        <v>53.580350000000003</v>
      </c>
      <c r="AV457"/>
      <c r="AW457">
        <v>47.678710000000002</v>
      </c>
      <c r="AX457"/>
    </row>
    <row r="458" spans="1:50" x14ac:dyDescent="0.35">
      <c r="A458" s="75">
        <v>31778</v>
      </c>
      <c r="B458">
        <v>54.806829999999998</v>
      </c>
      <c r="C458">
        <v>55.905450000000002</v>
      </c>
      <c r="D458"/>
      <c r="E458">
        <v>54.237569999999998</v>
      </c>
      <c r="F458">
        <v>67.940820000000002</v>
      </c>
      <c r="G458"/>
      <c r="H458"/>
      <c r="I458"/>
      <c r="J458"/>
      <c r="K458"/>
      <c r="L458">
        <v>59.453690000000002</v>
      </c>
      <c r="M458">
        <v>53.577970000000001</v>
      </c>
      <c r="N458"/>
      <c r="O458">
        <v>40.548229999999997</v>
      </c>
      <c r="P458"/>
      <c r="Q458"/>
      <c r="R458">
        <v>53.112990000000003</v>
      </c>
      <c r="S458">
        <v>61.716360000000002</v>
      </c>
      <c r="T458"/>
      <c r="U458">
        <v>53.55077</v>
      </c>
      <c r="V458">
        <v>48.212620000000001</v>
      </c>
      <c r="W458">
        <v>17.973749999999999</v>
      </c>
      <c r="X458"/>
      <c r="Y458"/>
      <c r="Z458"/>
      <c r="AA458">
        <v>50.919550000000001</v>
      </c>
      <c r="AB458"/>
      <c r="AC458">
        <v>17.209379999999999</v>
      </c>
      <c r="AD458">
        <v>42.745959999999997</v>
      </c>
      <c r="AE458">
        <v>87.446650000000005</v>
      </c>
      <c r="AF458"/>
      <c r="AG458"/>
      <c r="AH458">
        <v>54.920299999999997</v>
      </c>
      <c r="AI458"/>
      <c r="AJ458">
        <v>2.0730879999999998</v>
      </c>
      <c r="AK458">
        <v>55.41525</v>
      </c>
      <c r="AL458">
        <v>50.235550000000003</v>
      </c>
      <c r="AM458">
        <v>34.345669999999998</v>
      </c>
      <c r="AN458">
        <v>27.487760000000002</v>
      </c>
      <c r="AO458"/>
      <c r="AP458">
        <v>25.535499999999999</v>
      </c>
      <c r="AQ458"/>
      <c r="AR458"/>
      <c r="AS458"/>
      <c r="AT458"/>
      <c r="AU458">
        <v>54.055790000000002</v>
      </c>
      <c r="AV458"/>
      <c r="AW458">
        <v>47.802549999999997</v>
      </c>
      <c r="AX458"/>
    </row>
    <row r="459" spans="1:50" x14ac:dyDescent="0.35">
      <c r="A459" s="75">
        <v>31809</v>
      </c>
      <c r="B459">
        <v>54.772329999999997</v>
      </c>
      <c r="C459">
        <v>56.277569999999997</v>
      </c>
      <c r="D459"/>
      <c r="E459">
        <v>54.438200000000002</v>
      </c>
      <c r="F459">
        <v>68.208600000000004</v>
      </c>
      <c r="G459"/>
      <c r="H459"/>
      <c r="I459"/>
      <c r="J459"/>
      <c r="K459"/>
      <c r="L459">
        <v>59.555639999999997</v>
      </c>
      <c r="M459">
        <v>53.748150000000003</v>
      </c>
      <c r="N459"/>
      <c r="O459">
        <v>40.883540000000004</v>
      </c>
      <c r="P459"/>
      <c r="Q459"/>
      <c r="R459">
        <v>53.344639999999998</v>
      </c>
      <c r="S459">
        <v>61.916960000000003</v>
      </c>
      <c r="T459"/>
      <c r="U459">
        <v>53.684710000000003</v>
      </c>
      <c r="V459">
        <v>48.35416</v>
      </c>
      <c r="W459">
        <v>18.037610000000001</v>
      </c>
      <c r="X459"/>
      <c r="Y459"/>
      <c r="Z459"/>
      <c r="AA459">
        <v>50.919550000000001</v>
      </c>
      <c r="AB459"/>
      <c r="AC459">
        <v>17.61431</v>
      </c>
      <c r="AD459">
        <v>43.010629999999999</v>
      </c>
      <c r="AE459">
        <v>87.426609999999997</v>
      </c>
      <c r="AF459"/>
      <c r="AG459"/>
      <c r="AH459">
        <v>54.922980000000003</v>
      </c>
      <c r="AI459"/>
      <c r="AJ459">
        <v>2.2167240000000001</v>
      </c>
      <c r="AK459">
        <v>55.5227</v>
      </c>
      <c r="AL459">
        <v>50.809699999999999</v>
      </c>
      <c r="AM459">
        <v>34.557110000000002</v>
      </c>
      <c r="AN459">
        <v>27.62668</v>
      </c>
      <c r="AO459"/>
      <c r="AP459">
        <v>25.768750000000001</v>
      </c>
      <c r="AQ459"/>
      <c r="AR459"/>
      <c r="AS459"/>
      <c r="AT459"/>
      <c r="AU459">
        <v>54.218020000000003</v>
      </c>
      <c r="AV459"/>
      <c r="AW459">
        <v>47.926389999999998</v>
      </c>
      <c r="AX459"/>
    </row>
    <row r="460" spans="1:50" x14ac:dyDescent="0.35">
      <c r="A460" s="75">
        <v>31837</v>
      </c>
      <c r="B460">
        <v>54.868540000000003</v>
      </c>
      <c r="C460">
        <v>56.348480000000002</v>
      </c>
      <c r="D460"/>
      <c r="E460">
        <v>54.569560000000003</v>
      </c>
      <c r="F460">
        <v>68.296400000000006</v>
      </c>
      <c r="G460"/>
      <c r="H460"/>
      <c r="I460"/>
      <c r="J460"/>
      <c r="K460"/>
      <c r="L460">
        <v>59.622149999999998</v>
      </c>
      <c r="M460">
        <v>54.406030000000001</v>
      </c>
      <c r="N460"/>
      <c r="O460">
        <v>41.082540000000002</v>
      </c>
      <c r="P460"/>
      <c r="Q460"/>
      <c r="R460">
        <v>53.63955</v>
      </c>
      <c r="S460">
        <v>62.069420000000001</v>
      </c>
      <c r="T460"/>
      <c r="U460">
        <v>53.904690000000002</v>
      </c>
      <c r="V460">
        <v>48.48809</v>
      </c>
      <c r="W460">
        <v>18.610990000000001</v>
      </c>
      <c r="X460"/>
      <c r="Y460"/>
      <c r="Z460"/>
      <c r="AA460">
        <v>50.919550000000001</v>
      </c>
      <c r="AB460"/>
      <c r="AC460">
        <v>17.917999999999999</v>
      </c>
      <c r="AD460">
        <v>43.147089999999999</v>
      </c>
      <c r="AE460">
        <v>87.603480000000005</v>
      </c>
      <c r="AF460"/>
      <c r="AG460"/>
      <c r="AH460">
        <v>54.934190000000001</v>
      </c>
      <c r="AI460"/>
      <c r="AJ460">
        <v>2.3668420000000001</v>
      </c>
      <c r="AK460">
        <v>55.690980000000003</v>
      </c>
      <c r="AL460">
        <v>51.553919999999998</v>
      </c>
      <c r="AM460">
        <v>34.818019999999997</v>
      </c>
      <c r="AN460">
        <v>27.742260000000002</v>
      </c>
      <c r="AO460"/>
      <c r="AP460">
        <v>26.045739999999999</v>
      </c>
      <c r="AQ460"/>
      <c r="AR460"/>
      <c r="AS460"/>
      <c r="AT460"/>
      <c r="AU460">
        <v>54.365949999999998</v>
      </c>
      <c r="AV460"/>
      <c r="AW460">
        <v>48.215350000000001</v>
      </c>
      <c r="AX460"/>
    </row>
    <row r="461" spans="1:50" x14ac:dyDescent="0.35">
      <c r="A461" s="75">
        <v>31868</v>
      </c>
      <c r="B461">
        <v>54.887889999999999</v>
      </c>
      <c r="C461">
        <v>56.639879999999998</v>
      </c>
      <c r="D461"/>
      <c r="E461">
        <v>54.946080000000002</v>
      </c>
      <c r="F461">
        <v>68.305689999999998</v>
      </c>
      <c r="G461"/>
      <c r="H461"/>
      <c r="I461"/>
      <c r="J461"/>
      <c r="K461"/>
      <c r="L461">
        <v>59.799370000000003</v>
      </c>
      <c r="M461">
        <v>54.583869999999997</v>
      </c>
      <c r="N461"/>
      <c r="O461">
        <v>41.353299999999997</v>
      </c>
      <c r="P461"/>
      <c r="Q461"/>
      <c r="R461">
        <v>53.875579999999999</v>
      </c>
      <c r="S461">
        <v>62.437130000000003</v>
      </c>
      <c r="T461"/>
      <c r="U461">
        <v>54.22439</v>
      </c>
      <c r="V461">
        <v>49.162019999999998</v>
      </c>
      <c r="W461">
        <v>19.012640000000001</v>
      </c>
      <c r="X461"/>
      <c r="Y461"/>
      <c r="Z461"/>
      <c r="AA461">
        <v>51.200479999999999</v>
      </c>
      <c r="AB461"/>
      <c r="AC461">
        <v>18.322929999999999</v>
      </c>
      <c r="AD461">
        <v>43.320360000000001</v>
      </c>
      <c r="AE461">
        <v>88.31371</v>
      </c>
      <c r="AF461"/>
      <c r="AG461"/>
      <c r="AH461">
        <v>54.933390000000003</v>
      </c>
      <c r="AI461"/>
      <c r="AJ461">
        <v>2.5535770000000002</v>
      </c>
      <c r="AK461">
        <v>55.895440000000001</v>
      </c>
      <c r="AL461">
        <v>51.855759999999997</v>
      </c>
      <c r="AM461">
        <v>35.17313</v>
      </c>
      <c r="AN461">
        <v>27.933350000000001</v>
      </c>
      <c r="AO461"/>
      <c r="AP461">
        <v>26.224879999999999</v>
      </c>
      <c r="AQ461"/>
      <c r="AR461"/>
      <c r="AS461"/>
      <c r="AT461"/>
      <c r="AU461">
        <v>54.574939999999998</v>
      </c>
      <c r="AV461"/>
      <c r="AW461">
        <v>48.463030000000003</v>
      </c>
      <c r="AX461"/>
    </row>
    <row r="462" spans="1:50" x14ac:dyDescent="0.35">
      <c r="A462" s="75">
        <v>31898</v>
      </c>
      <c r="B462">
        <v>55.042700000000004</v>
      </c>
      <c r="C462">
        <v>56.79663</v>
      </c>
      <c r="D462"/>
      <c r="E462">
        <v>55.247709999999998</v>
      </c>
      <c r="F462">
        <v>67.999740000000003</v>
      </c>
      <c r="G462"/>
      <c r="H462"/>
      <c r="I462"/>
      <c r="J462"/>
      <c r="K462"/>
      <c r="L462">
        <v>59.773690000000002</v>
      </c>
      <c r="M462">
        <v>55.225299999999997</v>
      </c>
      <c r="N462"/>
      <c r="O462">
        <v>41.493980000000001</v>
      </c>
      <c r="P462"/>
      <c r="Q462"/>
      <c r="R462">
        <v>54.048949999999998</v>
      </c>
      <c r="S462">
        <v>62.564689999999999</v>
      </c>
      <c r="T462"/>
      <c r="U462">
        <v>54.318770000000001</v>
      </c>
      <c r="V462">
        <v>49.190800000000003</v>
      </c>
      <c r="W462">
        <v>19.143529999999998</v>
      </c>
      <c r="X462"/>
      <c r="Y462"/>
      <c r="Z462"/>
      <c r="AA462">
        <v>51.200479999999999</v>
      </c>
      <c r="AB462"/>
      <c r="AC462">
        <v>18.626619999999999</v>
      </c>
      <c r="AD462">
        <v>43.531730000000003</v>
      </c>
      <c r="AE462">
        <v>88.421790000000001</v>
      </c>
      <c r="AF462"/>
      <c r="AG462"/>
      <c r="AH462">
        <v>54.91</v>
      </c>
      <c r="AI462"/>
      <c r="AJ462">
        <v>2.7497349999999998</v>
      </c>
      <c r="AK462">
        <v>55.861150000000002</v>
      </c>
      <c r="AL462">
        <v>51.98283</v>
      </c>
      <c r="AM462">
        <v>35.388199999999998</v>
      </c>
      <c r="AN462">
        <v>27.999700000000001</v>
      </c>
      <c r="AO462"/>
      <c r="AP462">
        <v>26.37116</v>
      </c>
      <c r="AQ462"/>
      <c r="AR462"/>
      <c r="AS462"/>
      <c r="AT462"/>
      <c r="AU462">
        <v>54.667810000000003</v>
      </c>
      <c r="AV462"/>
      <c r="AW462">
        <v>48.545589999999997</v>
      </c>
      <c r="AX462"/>
    </row>
    <row r="463" spans="1:50" x14ac:dyDescent="0.35">
      <c r="A463" s="75">
        <v>31929</v>
      </c>
      <c r="B463">
        <v>55.583919999999999</v>
      </c>
      <c r="C463">
        <v>56.942570000000003</v>
      </c>
      <c r="D463"/>
      <c r="E463">
        <v>55.233550000000001</v>
      </c>
      <c r="F463">
        <v>68.061070000000001</v>
      </c>
      <c r="G463"/>
      <c r="H463"/>
      <c r="I463"/>
      <c r="J463"/>
      <c r="K463"/>
      <c r="L463">
        <v>59.835239999999999</v>
      </c>
      <c r="M463">
        <v>55.253540000000001</v>
      </c>
      <c r="N463"/>
      <c r="O463">
        <v>41.581719999999997</v>
      </c>
      <c r="P463"/>
      <c r="Q463"/>
      <c r="R463">
        <v>54.294359999999998</v>
      </c>
      <c r="S463">
        <v>62.70299</v>
      </c>
      <c r="T463"/>
      <c r="U463">
        <v>54.384030000000003</v>
      </c>
      <c r="V463">
        <v>49.251579999999997</v>
      </c>
      <c r="W463">
        <v>19.585349999999998</v>
      </c>
      <c r="X463"/>
      <c r="Y463"/>
      <c r="Z463"/>
      <c r="AA463">
        <v>51.200479999999999</v>
      </c>
      <c r="AB463"/>
      <c r="AC463">
        <v>18.829090000000001</v>
      </c>
      <c r="AD463">
        <v>43.688720000000004</v>
      </c>
      <c r="AE463">
        <v>88.521410000000003</v>
      </c>
      <c r="AF463"/>
      <c r="AG463"/>
      <c r="AH463">
        <v>54.86027</v>
      </c>
      <c r="AI463"/>
      <c r="AJ463">
        <v>2.9575450000000001</v>
      </c>
      <c r="AK463">
        <v>55.85275</v>
      </c>
      <c r="AL463">
        <v>52.289409999999997</v>
      </c>
      <c r="AM463">
        <v>35.612290000000002</v>
      </c>
      <c r="AN463">
        <v>28.117229999999999</v>
      </c>
      <c r="AO463"/>
      <c r="AP463">
        <v>26.414090000000002</v>
      </c>
      <c r="AQ463"/>
      <c r="AR463"/>
      <c r="AS463"/>
      <c r="AT463"/>
      <c r="AU463">
        <v>54.675989999999999</v>
      </c>
      <c r="AV463"/>
      <c r="AW463">
        <v>48.586869999999998</v>
      </c>
      <c r="AX463"/>
    </row>
    <row r="464" spans="1:50" x14ac:dyDescent="0.35">
      <c r="A464" s="75">
        <v>31959</v>
      </c>
      <c r="B464">
        <v>56.109990000000003</v>
      </c>
      <c r="C464">
        <v>57.180970000000002</v>
      </c>
      <c r="D464"/>
      <c r="E464">
        <v>55.605820000000001</v>
      </c>
      <c r="F464">
        <v>68.096760000000003</v>
      </c>
      <c r="G464"/>
      <c r="H464"/>
      <c r="I464"/>
      <c r="J464"/>
      <c r="K464"/>
      <c r="L464">
        <v>59.838740000000001</v>
      </c>
      <c r="M464">
        <v>55.114289999999997</v>
      </c>
      <c r="N464"/>
      <c r="O464">
        <v>41.816789999999997</v>
      </c>
      <c r="P464"/>
      <c r="Q464"/>
      <c r="R464">
        <v>54.263019999999997</v>
      </c>
      <c r="S464">
        <v>62.860869999999998</v>
      </c>
      <c r="T464"/>
      <c r="U464">
        <v>54.486969999999999</v>
      </c>
      <c r="V464">
        <v>49.292110000000001</v>
      </c>
      <c r="W464">
        <v>19.416139999999999</v>
      </c>
      <c r="X464"/>
      <c r="Y464"/>
      <c r="Z464"/>
      <c r="AA464">
        <v>51.542369999999998</v>
      </c>
      <c r="AB464"/>
      <c r="AC464">
        <v>19.031549999999999</v>
      </c>
      <c r="AD464">
        <v>43.79936</v>
      </c>
      <c r="AE464">
        <v>88.470560000000006</v>
      </c>
      <c r="AF464"/>
      <c r="AG464"/>
      <c r="AH464">
        <v>54.835000000000001</v>
      </c>
      <c r="AI464"/>
      <c r="AJ464">
        <v>3.2082790000000001</v>
      </c>
      <c r="AK464">
        <v>55.83419</v>
      </c>
      <c r="AL464">
        <v>52.219659999999998</v>
      </c>
      <c r="AM464">
        <v>35.883299999999998</v>
      </c>
      <c r="AN464">
        <v>28.191040000000001</v>
      </c>
      <c r="AO464"/>
      <c r="AP464">
        <v>26.568480000000001</v>
      </c>
      <c r="AQ464"/>
      <c r="AR464"/>
      <c r="AS464"/>
      <c r="AT464"/>
      <c r="AU464">
        <v>54.875459999999997</v>
      </c>
      <c r="AV464"/>
      <c r="AW464">
        <v>48.710709999999999</v>
      </c>
      <c r="AX464"/>
    </row>
    <row r="465" spans="1:50" x14ac:dyDescent="0.35">
      <c r="A465" s="75">
        <v>31990</v>
      </c>
      <c r="B465">
        <v>56.347110000000001</v>
      </c>
      <c r="C465">
        <v>57.215670000000003</v>
      </c>
      <c r="D465"/>
      <c r="E465">
        <v>55.832720000000002</v>
      </c>
      <c r="F465">
        <v>68.473550000000003</v>
      </c>
      <c r="G465"/>
      <c r="H465"/>
      <c r="I465"/>
      <c r="J465"/>
      <c r="K465"/>
      <c r="L465">
        <v>59.844149999999999</v>
      </c>
      <c r="M465">
        <v>55.281559999999999</v>
      </c>
      <c r="N465"/>
      <c r="O465">
        <v>41.880029999999998</v>
      </c>
      <c r="P465"/>
      <c r="Q465"/>
      <c r="R465">
        <v>54.38514</v>
      </c>
      <c r="S465">
        <v>62.989100000000001</v>
      </c>
      <c r="T465"/>
      <c r="U465">
        <v>54.649900000000002</v>
      </c>
      <c r="V465">
        <v>49.45476</v>
      </c>
      <c r="W465">
        <v>19.283270000000002</v>
      </c>
      <c r="X465"/>
      <c r="Y465"/>
      <c r="Z465"/>
      <c r="AA465">
        <v>51.542369999999998</v>
      </c>
      <c r="AB465"/>
      <c r="AC465">
        <v>19.335249999999998</v>
      </c>
      <c r="AD465">
        <v>43.977119999999999</v>
      </c>
      <c r="AE465">
        <v>88.210909999999998</v>
      </c>
      <c r="AF465"/>
      <c r="AG465"/>
      <c r="AH465">
        <v>54.949570000000001</v>
      </c>
      <c r="AI465"/>
      <c r="AJ465">
        <v>3.4624649999999999</v>
      </c>
      <c r="AK465">
        <v>55.944920000000003</v>
      </c>
      <c r="AL465">
        <v>52.170529999999999</v>
      </c>
      <c r="AM465">
        <v>36.16592</v>
      </c>
      <c r="AN465">
        <v>28.25121</v>
      </c>
      <c r="AO465"/>
      <c r="AP465">
        <v>26.71912</v>
      </c>
      <c r="AQ465"/>
      <c r="AR465"/>
      <c r="AS465"/>
      <c r="AT465"/>
      <c r="AU465">
        <v>55.105289999999997</v>
      </c>
      <c r="AV465"/>
      <c r="AW465">
        <v>48.958399999999997</v>
      </c>
      <c r="AX465"/>
    </row>
    <row r="466" spans="1:50" x14ac:dyDescent="0.35">
      <c r="A466" s="75">
        <v>32021</v>
      </c>
      <c r="B466">
        <v>55.938890000000001</v>
      </c>
      <c r="C466">
        <v>57.22251</v>
      </c>
      <c r="D466"/>
      <c r="E466">
        <v>55.866399999999999</v>
      </c>
      <c r="F466">
        <v>68.492320000000007</v>
      </c>
      <c r="G466"/>
      <c r="H466"/>
      <c r="I466"/>
      <c r="J466"/>
      <c r="K466"/>
      <c r="L466">
        <v>59.864570000000001</v>
      </c>
      <c r="M466">
        <v>55.733350000000002</v>
      </c>
      <c r="N466"/>
      <c r="O466">
        <v>42.103119999999997</v>
      </c>
      <c r="P466"/>
      <c r="Q466"/>
      <c r="R466">
        <v>54.780790000000003</v>
      </c>
      <c r="S466">
        <v>63.06879</v>
      </c>
      <c r="T466"/>
      <c r="U466">
        <v>54.91724</v>
      </c>
      <c r="V466">
        <v>49.682450000000003</v>
      </c>
      <c r="W466">
        <v>19.73395</v>
      </c>
      <c r="X466"/>
      <c r="Y466"/>
      <c r="Z466"/>
      <c r="AA466">
        <v>51.542369999999998</v>
      </c>
      <c r="AB466"/>
      <c r="AC466">
        <v>19.537710000000001</v>
      </c>
      <c r="AD466">
        <v>44.197360000000003</v>
      </c>
      <c r="AE466">
        <v>88.65598</v>
      </c>
      <c r="AF466"/>
      <c r="AG466"/>
      <c r="AH466">
        <v>54.997019999999999</v>
      </c>
      <c r="AI466"/>
      <c r="AJ466">
        <v>3.7020339999999998</v>
      </c>
      <c r="AK466">
        <v>56.175150000000002</v>
      </c>
      <c r="AL466">
        <v>53.155200000000001</v>
      </c>
      <c r="AM466">
        <v>36.535649999999997</v>
      </c>
      <c r="AN466">
        <v>28.415990000000001</v>
      </c>
      <c r="AO466"/>
      <c r="AP466">
        <v>26.858350000000002</v>
      </c>
      <c r="AQ466"/>
      <c r="AR466"/>
      <c r="AS466"/>
      <c r="AT466"/>
      <c r="AU466">
        <v>55.645629999999997</v>
      </c>
      <c r="AV466"/>
      <c r="AW466">
        <v>49.288640000000001</v>
      </c>
      <c r="AX466"/>
    </row>
    <row r="467" spans="1:50" x14ac:dyDescent="0.35">
      <c r="A467" s="75">
        <v>32051</v>
      </c>
      <c r="B467">
        <v>55.777679999999997</v>
      </c>
      <c r="C467">
        <v>57.087000000000003</v>
      </c>
      <c r="D467"/>
      <c r="E467">
        <v>56.074930000000002</v>
      </c>
      <c r="F467">
        <v>68.771640000000005</v>
      </c>
      <c r="G467"/>
      <c r="H467"/>
      <c r="I467"/>
      <c r="J467"/>
      <c r="K467"/>
      <c r="L467">
        <v>59.968710000000002</v>
      </c>
      <c r="M467">
        <v>55.927399999999999</v>
      </c>
      <c r="N467"/>
      <c r="O467">
        <v>42.361989999999999</v>
      </c>
      <c r="P467"/>
      <c r="Q467"/>
      <c r="R467">
        <v>54.84404</v>
      </c>
      <c r="S467">
        <v>63.244500000000002</v>
      </c>
      <c r="T467"/>
      <c r="U467">
        <v>55.178040000000003</v>
      </c>
      <c r="V467">
        <v>49.959350000000001</v>
      </c>
      <c r="W467">
        <v>20.545359999999999</v>
      </c>
      <c r="X467"/>
      <c r="Y467"/>
      <c r="Z467"/>
      <c r="AA467">
        <v>51.551070000000003</v>
      </c>
      <c r="AB467"/>
      <c r="AC467">
        <v>19.8414</v>
      </c>
      <c r="AD467">
        <v>44.589579999999998</v>
      </c>
      <c r="AE467">
        <v>88.799610000000001</v>
      </c>
      <c r="AF467"/>
      <c r="AG467"/>
      <c r="AH467">
        <v>55.015709999999999</v>
      </c>
      <c r="AI467"/>
      <c r="AJ467">
        <v>4.0160980000000004</v>
      </c>
      <c r="AK467">
        <v>56.266759999999998</v>
      </c>
      <c r="AL467">
        <v>53.330410000000001</v>
      </c>
      <c r="AM467">
        <v>36.972520000000003</v>
      </c>
      <c r="AN467">
        <v>28.625260000000001</v>
      </c>
      <c r="AO467"/>
      <c r="AP467">
        <v>27.258669999999999</v>
      </c>
      <c r="AQ467"/>
      <c r="AR467"/>
      <c r="AS467"/>
      <c r="AT467"/>
      <c r="AU467">
        <v>56.075299999999999</v>
      </c>
      <c r="AV467"/>
      <c r="AW467">
        <v>49.577599999999997</v>
      </c>
      <c r="AX467"/>
    </row>
    <row r="468" spans="1:50" x14ac:dyDescent="0.35">
      <c r="A468" s="75">
        <v>32082</v>
      </c>
      <c r="B468">
        <v>55.726349999999996</v>
      </c>
      <c r="C468">
        <v>57.075490000000002</v>
      </c>
      <c r="D468"/>
      <c r="E468">
        <v>56.328220000000002</v>
      </c>
      <c r="F468">
        <v>69.107789999999994</v>
      </c>
      <c r="G468"/>
      <c r="H468"/>
      <c r="I468"/>
      <c r="J468"/>
      <c r="K468"/>
      <c r="L468">
        <v>59.999339999999997</v>
      </c>
      <c r="M468">
        <v>56.275419999999997</v>
      </c>
      <c r="N468"/>
      <c r="O468">
        <v>42.532470000000004</v>
      </c>
      <c r="P468"/>
      <c r="Q468"/>
      <c r="R468">
        <v>54.78848</v>
      </c>
      <c r="S468">
        <v>63.322009999999999</v>
      </c>
      <c r="T468"/>
      <c r="U468">
        <v>55.332610000000003</v>
      </c>
      <c r="V468">
        <v>50.222020000000001</v>
      </c>
      <c r="W468">
        <v>20.628889999999998</v>
      </c>
      <c r="X468"/>
      <c r="Y468"/>
      <c r="Z468"/>
      <c r="AA468">
        <v>51.551070000000003</v>
      </c>
      <c r="AB468"/>
      <c r="AC468">
        <v>20.24633</v>
      </c>
      <c r="AD468">
        <v>44.778930000000003</v>
      </c>
      <c r="AE468">
        <v>88.884029999999996</v>
      </c>
      <c r="AF468"/>
      <c r="AG468"/>
      <c r="AH468">
        <v>55.143999999999998</v>
      </c>
      <c r="AI468"/>
      <c r="AJ468">
        <v>4.3748069999999997</v>
      </c>
      <c r="AK468">
        <v>56.26661</v>
      </c>
      <c r="AL468">
        <v>53.342329999999997</v>
      </c>
      <c r="AM468">
        <v>37.4054</v>
      </c>
      <c r="AN468">
        <v>28.865069999999999</v>
      </c>
      <c r="AO468"/>
      <c r="AP468">
        <v>27.516159999999999</v>
      </c>
      <c r="AQ468"/>
      <c r="AR468"/>
      <c r="AS468"/>
      <c r="AT468"/>
      <c r="AU468">
        <v>56.308570000000003</v>
      </c>
      <c r="AV468"/>
      <c r="AW468">
        <v>49.742719999999998</v>
      </c>
      <c r="AX468"/>
    </row>
    <row r="469" spans="1:50" x14ac:dyDescent="0.35">
      <c r="A469" s="75">
        <v>32112</v>
      </c>
      <c r="B469">
        <v>55.845930000000003</v>
      </c>
      <c r="C469">
        <v>57.231029999999997</v>
      </c>
      <c r="D469"/>
      <c r="E469">
        <v>56.467799999999997</v>
      </c>
      <c r="F469">
        <v>69.13843</v>
      </c>
      <c r="G469"/>
      <c r="H469"/>
      <c r="I469"/>
      <c r="J469"/>
      <c r="K469"/>
      <c r="L469">
        <v>60.045279999999998</v>
      </c>
      <c r="M469">
        <v>56.321350000000002</v>
      </c>
      <c r="N469"/>
      <c r="O469">
        <v>42.673020000000001</v>
      </c>
      <c r="P469"/>
      <c r="Q469"/>
      <c r="R469">
        <v>55.020710000000001</v>
      </c>
      <c r="S469">
        <v>63.392879999999998</v>
      </c>
      <c r="T469"/>
      <c r="U469">
        <v>55.315959999999997</v>
      </c>
      <c r="V469">
        <v>50.105539999999998</v>
      </c>
      <c r="W469">
        <v>20.84826</v>
      </c>
      <c r="X469"/>
      <c r="Y469"/>
      <c r="Z469"/>
      <c r="AA469">
        <v>51.551070000000003</v>
      </c>
      <c r="AB469"/>
      <c r="AC469">
        <v>20.448789999999999</v>
      </c>
      <c r="AD469">
        <v>44.877510000000001</v>
      </c>
      <c r="AE469">
        <v>88.778019999999998</v>
      </c>
      <c r="AF469"/>
      <c r="AG469"/>
      <c r="AH469">
        <v>55.261850000000003</v>
      </c>
      <c r="AI469"/>
      <c r="AJ469">
        <v>5.0158259999999997</v>
      </c>
      <c r="AK469">
        <v>56.08896</v>
      </c>
      <c r="AL469">
        <v>53.650799999999997</v>
      </c>
      <c r="AM469">
        <v>37.99689</v>
      </c>
      <c r="AN469">
        <v>29.139589999999998</v>
      </c>
      <c r="AO469"/>
      <c r="AP469">
        <v>27.753350000000001</v>
      </c>
      <c r="AQ469"/>
      <c r="AR469"/>
      <c r="AS469"/>
      <c r="AT469"/>
      <c r="AU469">
        <v>56.350940000000001</v>
      </c>
      <c r="AV469"/>
      <c r="AW469">
        <v>49.701439999999998</v>
      </c>
      <c r="AX469"/>
    </row>
    <row r="470" spans="1:50" x14ac:dyDescent="0.35">
      <c r="A470" s="75">
        <v>32143</v>
      </c>
      <c r="B470">
        <v>56.061709999999998</v>
      </c>
      <c r="C470">
        <v>57.282420000000002</v>
      </c>
      <c r="D470"/>
      <c r="E470">
        <v>56.44585</v>
      </c>
      <c r="F470">
        <v>69.306179999999998</v>
      </c>
      <c r="G470"/>
      <c r="H470"/>
      <c r="I470"/>
      <c r="J470"/>
      <c r="K470"/>
      <c r="L470">
        <v>60.384529999999998</v>
      </c>
      <c r="M470">
        <v>56.473889999999997</v>
      </c>
      <c r="N470"/>
      <c r="O470">
        <v>42.973320000000001</v>
      </c>
      <c r="P470"/>
      <c r="Q470"/>
      <c r="R470">
        <v>55.807020000000001</v>
      </c>
      <c r="S470">
        <v>63.578650000000003</v>
      </c>
      <c r="T470"/>
      <c r="U470">
        <v>55.442309999999999</v>
      </c>
      <c r="V470">
        <v>50.078060000000001</v>
      </c>
      <c r="W470">
        <v>20.7806</v>
      </c>
      <c r="X470"/>
      <c r="Y470"/>
      <c r="Z470"/>
      <c r="AA470">
        <v>51.981299999999997</v>
      </c>
      <c r="AB470"/>
      <c r="AC470">
        <v>20.651260000000001</v>
      </c>
      <c r="AD470">
        <v>45.17624</v>
      </c>
      <c r="AE470">
        <v>88.353290000000001</v>
      </c>
      <c r="AF470"/>
      <c r="AG470"/>
      <c r="AH470">
        <v>55.437260000000002</v>
      </c>
      <c r="AI470"/>
      <c r="AJ470">
        <v>5.7077879999999999</v>
      </c>
      <c r="AK470">
        <v>55.721310000000003</v>
      </c>
      <c r="AL470">
        <v>53.915959999999998</v>
      </c>
      <c r="AM470">
        <v>38.328890000000001</v>
      </c>
      <c r="AN470">
        <v>29.296859999999999</v>
      </c>
      <c r="AO470"/>
      <c r="AP470">
        <v>28.370139999999999</v>
      </c>
      <c r="AQ470"/>
      <c r="AR470"/>
      <c r="AS470"/>
      <c r="AT470"/>
      <c r="AU470">
        <v>56.631830000000001</v>
      </c>
      <c r="AV470"/>
      <c r="AW470">
        <v>49.86656</v>
      </c>
      <c r="AX470"/>
    </row>
    <row r="471" spans="1:50" x14ac:dyDescent="0.35">
      <c r="A471" s="75">
        <v>32174</v>
      </c>
      <c r="B471">
        <v>56.273470000000003</v>
      </c>
      <c r="C471">
        <v>57.461370000000002</v>
      </c>
      <c r="D471"/>
      <c r="E471">
        <v>56.863619999999997</v>
      </c>
      <c r="F471">
        <v>69.610479999999995</v>
      </c>
      <c r="G471"/>
      <c r="H471"/>
      <c r="I471"/>
      <c r="J471"/>
      <c r="K471"/>
      <c r="L471">
        <v>60.50544</v>
      </c>
      <c r="M471">
        <v>57.011670000000002</v>
      </c>
      <c r="N471"/>
      <c r="O471">
        <v>43.207180000000001</v>
      </c>
      <c r="P471"/>
      <c r="Q471"/>
      <c r="R471">
        <v>55.942909999999998</v>
      </c>
      <c r="S471">
        <v>63.721040000000002</v>
      </c>
      <c r="T471"/>
      <c r="U471">
        <v>55.579560000000001</v>
      </c>
      <c r="V471">
        <v>50.294359999999998</v>
      </c>
      <c r="W471">
        <v>20.629429999999999</v>
      </c>
      <c r="X471"/>
      <c r="Y471"/>
      <c r="Z471"/>
      <c r="AA471">
        <v>51.981299999999997</v>
      </c>
      <c r="AB471"/>
      <c r="AC471">
        <v>20.853719999999999</v>
      </c>
      <c r="AD471">
        <v>45.392389999999999</v>
      </c>
      <c r="AE471">
        <v>88.292770000000004</v>
      </c>
      <c r="AF471"/>
      <c r="AG471"/>
      <c r="AH471">
        <v>55.517119999999998</v>
      </c>
      <c r="AI471"/>
      <c r="AJ471">
        <v>6.2423400000000004</v>
      </c>
      <c r="AK471">
        <v>55.851669999999999</v>
      </c>
      <c r="AL471">
        <v>54.252780000000001</v>
      </c>
      <c r="AM471">
        <v>38.611739999999998</v>
      </c>
      <c r="AN471">
        <v>29.436620000000001</v>
      </c>
      <c r="AO471"/>
      <c r="AP471">
        <v>28.71838</v>
      </c>
      <c r="AQ471"/>
      <c r="AR471"/>
      <c r="AS471"/>
      <c r="AT471"/>
      <c r="AU471">
        <v>57.109490000000001</v>
      </c>
      <c r="AV471"/>
      <c r="AW471">
        <v>49.990400000000001</v>
      </c>
      <c r="AX471"/>
    </row>
    <row r="472" spans="1:50" x14ac:dyDescent="0.35">
      <c r="A472" s="75">
        <v>32203</v>
      </c>
      <c r="B472">
        <v>56.456859999999999</v>
      </c>
      <c r="C472">
        <v>57.520740000000004</v>
      </c>
      <c r="D472"/>
      <c r="E472">
        <v>57.363430000000001</v>
      </c>
      <c r="F472">
        <v>69.679429999999996</v>
      </c>
      <c r="G472"/>
      <c r="H472"/>
      <c r="I472"/>
      <c r="J472"/>
      <c r="K472"/>
      <c r="L472">
        <v>60.559989999999999</v>
      </c>
      <c r="M472">
        <v>57.266379999999998</v>
      </c>
      <c r="N472"/>
      <c r="O472">
        <v>43.514490000000002</v>
      </c>
      <c r="P472"/>
      <c r="Q472"/>
      <c r="R472">
        <v>56.306069999999998</v>
      </c>
      <c r="S472">
        <v>63.908290000000001</v>
      </c>
      <c r="T472"/>
      <c r="U472">
        <v>55.861370000000001</v>
      </c>
      <c r="V472">
        <v>50.52169</v>
      </c>
      <c r="W472">
        <v>21.414819999999999</v>
      </c>
      <c r="X472"/>
      <c r="Y472"/>
      <c r="Z472"/>
      <c r="AA472">
        <v>51.981299999999997</v>
      </c>
      <c r="AB472"/>
      <c r="AC472">
        <v>21.157419999999998</v>
      </c>
      <c r="AD472">
        <v>45.644620000000003</v>
      </c>
      <c r="AE472">
        <v>88.553920000000005</v>
      </c>
      <c r="AF472"/>
      <c r="AG472"/>
      <c r="AH472">
        <v>55.617570000000001</v>
      </c>
      <c r="AI472"/>
      <c r="AJ472">
        <v>6.6088940000000003</v>
      </c>
      <c r="AK472">
        <v>56.222810000000003</v>
      </c>
      <c r="AL472">
        <v>55.206530000000001</v>
      </c>
      <c r="AM472">
        <v>38.947159999999997</v>
      </c>
      <c r="AN472">
        <v>29.623529999999999</v>
      </c>
      <c r="AO472"/>
      <c r="AP472">
        <v>28.906949999999998</v>
      </c>
      <c r="AQ472"/>
      <c r="AR472"/>
      <c r="AS472"/>
      <c r="AT472"/>
      <c r="AU472">
        <v>57.381599999999999</v>
      </c>
      <c r="AV472"/>
      <c r="AW472">
        <v>50.320639999999997</v>
      </c>
      <c r="AX472"/>
    </row>
    <row r="473" spans="1:50" x14ac:dyDescent="0.35">
      <c r="A473" s="75">
        <v>32234</v>
      </c>
      <c r="B473">
        <v>56.495950000000001</v>
      </c>
      <c r="C473">
        <v>57.86383</v>
      </c>
      <c r="D473"/>
      <c r="E473">
        <v>57.448680000000003</v>
      </c>
      <c r="F473">
        <v>69.714479999999995</v>
      </c>
      <c r="G473"/>
      <c r="H473"/>
      <c r="I473"/>
      <c r="J473"/>
      <c r="K473"/>
      <c r="L473">
        <v>60.638449999999999</v>
      </c>
      <c r="M473">
        <v>57.465089999999996</v>
      </c>
      <c r="N473"/>
      <c r="O473">
        <v>43.632919999999999</v>
      </c>
      <c r="P473"/>
      <c r="Q473"/>
      <c r="R473">
        <v>56.841479999999997</v>
      </c>
      <c r="S473">
        <v>64.262410000000003</v>
      </c>
      <c r="T473"/>
      <c r="U473">
        <v>56.134770000000003</v>
      </c>
      <c r="V473">
        <v>51.451099999999997</v>
      </c>
      <c r="W473">
        <v>21.743649999999999</v>
      </c>
      <c r="X473"/>
      <c r="Y473"/>
      <c r="Z473"/>
      <c r="AA473">
        <v>52.270940000000003</v>
      </c>
      <c r="AB473"/>
      <c r="AC473">
        <v>21.461110000000001</v>
      </c>
      <c r="AD473">
        <v>45.75853</v>
      </c>
      <c r="AE473">
        <v>89.074150000000003</v>
      </c>
      <c r="AF473"/>
      <c r="AG473"/>
      <c r="AH473">
        <v>55.67465</v>
      </c>
      <c r="AI473"/>
      <c r="AJ473">
        <v>6.8160189999999998</v>
      </c>
      <c r="AK473">
        <v>56.36495</v>
      </c>
      <c r="AL473">
        <v>55.343040000000002</v>
      </c>
      <c r="AM473">
        <v>39.239550000000001</v>
      </c>
      <c r="AN473">
        <v>29.876570000000001</v>
      </c>
      <c r="AO473"/>
      <c r="AP473">
        <v>29.13918</v>
      </c>
      <c r="AQ473"/>
      <c r="AR473"/>
      <c r="AS473"/>
      <c r="AT473"/>
      <c r="AU473">
        <v>57.96895</v>
      </c>
      <c r="AV473"/>
      <c r="AW473">
        <v>50.527050000000003</v>
      </c>
      <c r="AX473"/>
    </row>
    <row r="474" spans="1:50" x14ac:dyDescent="0.35">
      <c r="A474" s="75">
        <v>32264</v>
      </c>
      <c r="B474">
        <v>56.4604</v>
      </c>
      <c r="C474">
        <v>57.995649999999998</v>
      </c>
      <c r="D474"/>
      <c r="E474">
        <v>57.746720000000003</v>
      </c>
      <c r="F474">
        <v>69.546149999999997</v>
      </c>
      <c r="G474"/>
      <c r="H474"/>
      <c r="I474"/>
      <c r="J474"/>
      <c r="K474"/>
      <c r="L474">
        <v>60.791890000000002</v>
      </c>
      <c r="M474">
        <v>58.158700000000003</v>
      </c>
      <c r="N474"/>
      <c r="O474">
        <v>43.912909999999997</v>
      </c>
      <c r="P474"/>
      <c r="Q474"/>
      <c r="R474">
        <v>57.44182</v>
      </c>
      <c r="S474">
        <v>64.417289999999994</v>
      </c>
      <c r="T474"/>
      <c r="U474">
        <v>56.292920000000002</v>
      </c>
      <c r="V474">
        <v>51.632869999999997</v>
      </c>
      <c r="W474">
        <v>21.833030000000001</v>
      </c>
      <c r="X474"/>
      <c r="Y474"/>
      <c r="Z474"/>
      <c r="AA474">
        <v>52.270940000000003</v>
      </c>
      <c r="AB474"/>
      <c r="AC474">
        <v>21.764800000000001</v>
      </c>
      <c r="AD474">
        <v>45.945329999999998</v>
      </c>
      <c r="AE474">
        <v>89.32696</v>
      </c>
      <c r="AF474"/>
      <c r="AG474"/>
      <c r="AH474">
        <v>55.762869999999999</v>
      </c>
      <c r="AI474"/>
      <c r="AJ474">
        <v>6.9607650000000003</v>
      </c>
      <c r="AK474">
        <v>56.44556</v>
      </c>
      <c r="AL474">
        <v>55.523359999999997</v>
      </c>
      <c r="AM474">
        <v>39.422069999999998</v>
      </c>
      <c r="AN474">
        <v>30.034770000000002</v>
      </c>
      <c r="AO474"/>
      <c r="AP474">
        <v>29.503399999999999</v>
      </c>
      <c r="AQ474"/>
      <c r="AR474"/>
      <c r="AS474"/>
      <c r="AT474"/>
      <c r="AU474">
        <v>58.22101</v>
      </c>
      <c r="AV474"/>
      <c r="AW474">
        <v>50.650889999999997</v>
      </c>
      <c r="AX474"/>
    </row>
    <row r="475" spans="1:50" x14ac:dyDescent="0.35">
      <c r="A475" s="75">
        <v>32295</v>
      </c>
      <c r="B475">
        <v>56.748759999999997</v>
      </c>
      <c r="C475">
        <v>58.156820000000003</v>
      </c>
      <c r="D475"/>
      <c r="E475">
        <v>57.868270000000003</v>
      </c>
      <c r="F475">
        <v>69.589100000000002</v>
      </c>
      <c r="G475"/>
      <c r="H475"/>
      <c r="I475"/>
      <c r="J475"/>
      <c r="K475"/>
      <c r="L475">
        <v>60.849789999999999</v>
      </c>
      <c r="M475">
        <v>58.112769999999998</v>
      </c>
      <c r="N475"/>
      <c r="O475">
        <v>44.14096</v>
      </c>
      <c r="P475"/>
      <c r="Q475"/>
      <c r="R475">
        <v>57.837470000000003</v>
      </c>
      <c r="S475">
        <v>64.579930000000004</v>
      </c>
      <c r="T475"/>
      <c r="U475">
        <v>56.39573</v>
      </c>
      <c r="V475">
        <v>51.801580000000001</v>
      </c>
      <c r="W475">
        <v>22.323350000000001</v>
      </c>
      <c r="X475"/>
      <c r="Y475"/>
      <c r="Z475"/>
      <c r="AA475">
        <v>52.270940000000003</v>
      </c>
      <c r="AB475"/>
      <c r="AC475">
        <v>22.0685</v>
      </c>
      <c r="AD475">
        <v>46.083080000000002</v>
      </c>
      <c r="AE475">
        <v>89.185670000000002</v>
      </c>
      <c r="AF475"/>
      <c r="AG475"/>
      <c r="AH475">
        <v>55.821080000000002</v>
      </c>
      <c r="AI475"/>
      <c r="AJ475">
        <v>7.0817589999999999</v>
      </c>
      <c r="AK475">
        <v>56.377670000000002</v>
      </c>
      <c r="AL475">
        <v>55.79898</v>
      </c>
      <c r="AM475">
        <v>39.55688</v>
      </c>
      <c r="AN475">
        <v>30.15615</v>
      </c>
      <c r="AO475"/>
      <c r="AP475">
        <v>29.606649999999998</v>
      </c>
      <c r="AQ475"/>
      <c r="AR475"/>
      <c r="AS475"/>
      <c r="AT475"/>
      <c r="AU475">
        <v>58.348239999999997</v>
      </c>
      <c r="AV475"/>
      <c r="AW475">
        <v>50.774729999999998</v>
      </c>
      <c r="AX475"/>
    </row>
    <row r="476" spans="1:50" x14ac:dyDescent="0.35">
      <c r="A476" s="75">
        <v>32325</v>
      </c>
      <c r="B476">
        <v>57.727069999999998</v>
      </c>
      <c r="C476">
        <v>58.371250000000003</v>
      </c>
      <c r="D476"/>
      <c r="E476">
        <v>58.18233</v>
      </c>
      <c r="F476">
        <v>69.57647</v>
      </c>
      <c r="G476"/>
      <c r="H476"/>
      <c r="I476"/>
      <c r="J476"/>
      <c r="K476"/>
      <c r="L476">
        <v>60.919800000000002</v>
      </c>
      <c r="M476">
        <v>57.743749999999999</v>
      </c>
      <c r="N476"/>
      <c r="O476">
        <v>44.392940000000003</v>
      </c>
      <c r="P476"/>
      <c r="Q476"/>
      <c r="R476">
        <v>57.933799999999998</v>
      </c>
      <c r="S476">
        <v>64.85463</v>
      </c>
      <c r="T476"/>
      <c r="U476">
        <v>56.512709999999998</v>
      </c>
      <c r="V476">
        <v>51.894289999999998</v>
      </c>
      <c r="W476">
        <v>22.170559999999998</v>
      </c>
      <c r="X476"/>
      <c r="Y476"/>
      <c r="Z476"/>
      <c r="AA476">
        <v>52.60239</v>
      </c>
      <c r="AB476"/>
      <c r="AC476">
        <v>22.169730000000001</v>
      </c>
      <c r="AD476">
        <v>46.178080000000001</v>
      </c>
      <c r="AE476">
        <v>89.142390000000006</v>
      </c>
      <c r="AF476"/>
      <c r="AG476"/>
      <c r="AH476">
        <v>56.043509999999998</v>
      </c>
      <c r="AI476"/>
      <c r="AJ476">
        <v>7.166455</v>
      </c>
      <c r="AK476">
        <v>56.540529999999997</v>
      </c>
      <c r="AL476">
        <v>55.718420000000002</v>
      </c>
      <c r="AM476">
        <v>39.701599999999999</v>
      </c>
      <c r="AN476">
        <v>30.281569999999999</v>
      </c>
      <c r="AO476"/>
      <c r="AP476">
        <v>29.781669999999998</v>
      </c>
      <c r="AQ476"/>
      <c r="AR476"/>
      <c r="AS476"/>
      <c r="AT476"/>
      <c r="AU476">
        <v>58.477449999999997</v>
      </c>
      <c r="AV476"/>
      <c r="AW476">
        <v>50.898569999999999</v>
      </c>
      <c r="AX476"/>
    </row>
    <row r="477" spans="1:50" x14ac:dyDescent="0.35">
      <c r="A477" s="75">
        <v>32356</v>
      </c>
      <c r="B477">
        <v>57.887039999999999</v>
      </c>
      <c r="C477">
        <v>58.492229999999999</v>
      </c>
      <c r="D477"/>
      <c r="E477">
        <v>58.349710000000002</v>
      </c>
      <c r="F477">
        <v>70.080420000000004</v>
      </c>
      <c r="G477"/>
      <c r="H477"/>
      <c r="I477"/>
      <c r="J477"/>
      <c r="K477"/>
      <c r="L477">
        <v>60.897790000000001</v>
      </c>
      <c r="M477">
        <v>58.148159999999997</v>
      </c>
      <c r="N477"/>
      <c r="O477">
        <v>44.541589999999999</v>
      </c>
      <c r="P477"/>
      <c r="Q477"/>
      <c r="R477">
        <v>58.093389999999999</v>
      </c>
      <c r="S477">
        <v>65.002440000000007</v>
      </c>
      <c r="T477"/>
      <c r="U477">
        <v>56.694830000000003</v>
      </c>
      <c r="V477">
        <v>52.610419999999998</v>
      </c>
      <c r="W477">
        <v>21.948129999999999</v>
      </c>
      <c r="X477"/>
      <c r="Y477"/>
      <c r="Z477"/>
      <c r="AA477">
        <v>52.60239</v>
      </c>
      <c r="AB477"/>
      <c r="AC477">
        <v>22.270959999999999</v>
      </c>
      <c r="AD477">
        <v>46.348700000000001</v>
      </c>
      <c r="AE477">
        <v>88.957629999999995</v>
      </c>
      <c r="AF477"/>
      <c r="AG477"/>
      <c r="AH477">
        <v>56.159390000000002</v>
      </c>
      <c r="AI477"/>
      <c r="AJ477">
        <v>7.2526169999999999</v>
      </c>
      <c r="AK477">
        <v>56.710599999999999</v>
      </c>
      <c r="AL477">
        <v>55.687660000000001</v>
      </c>
      <c r="AM477">
        <v>39.862430000000003</v>
      </c>
      <c r="AN477">
        <v>30.429120000000001</v>
      </c>
      <c r="AO477"/>
      <c r="AP477">
        <v>30.04636</v>
      </c>
      <c r="AQ477"/>
      <c r="AR477"/>
      <c r="AS477"/>
      <c r="AT477"/>
      <c r="AU477">
        <v>58.568080000000002</v>
      </c>
      <c r="AV477"/>
      <c r="AW477">
        <v>51.104970000000002</v>
      </c>
      <c r="AX477"/>
    </row>
    <row r="478" spans="1:50" x14ac:dyDescent="0.35">
      <c r="A478" s="75">
        <v>32387</v>
      </c>
      <c r="B478">
        <v>57.348909999999997</v>
      </c>
      <c r="C478">
        <v>58.558129999999998</v>
      </c>
      <c r="D478"/>
      <c r="E478">
        <v>58.481119999999997</v>
      </c>
      <c r="F478">
        <v>70.125360000000001</v>
      </c>
      <c r="G478"/>
      <c r="H478"/>
      <c r="I478"/>
      <c r="J478"/>
      <c r="K478"/>
      <c r="L478">
        <v>61.035910000000001</v>
      </c>
      <c r="M478">
        <v>58.502220000000001</v>
      </c>
      <c r="N478"/>
      <c r="O478">
        <v>44.792720000000003</v>
      </c>
      <c r="P478"/>
      <c r="Q478"/>
      <c r="R478">
        <v>58.912779999999998</v>
      </c>
      <c r="S478">
        <v>65.153530000000003</v>
      </c>
      <c r="T478"/>
      <c r="U478">
        <v>57.01023</v>
      </c>
      <c r="V478">
        <v>52.886760000000002</v>
      </c>
      <c r="W478">
        <v>22.65673</v>
      </c>
      <c r="X478"/>
      <c r="Y478"/>
      <c r="Z478"/>
      <c r="AA478">
        <v>52.60239</v>
      </c>
      <c r="AB478"/>
      <c r="AC478">
        <v>22.574660000000002</v>
      </c>
      <c r="AD478">
        <v>46.538110000000003</v>
      </c>
      <c r="AE478">
        <v>89.462280000000007</v>
      </c>
      <c r="AF478"/>
      <c r="AG478"/>
      <c r="AH478">
        <v>56.25423</v>
      </c>
      <c r="AI478"/>
      <c r="AJ478">
        <v>7.3020620000000003</v>
      </c>
      <c r="AK478">
        <v>56.896250000000002</v>
      </c>
      <c r="AL478">
        <v>56.623359999999998</v>
      </c>
      <c r="AM478">
        <v>40.142589999999998</v>
      </c>
      <c r="AN478">
        <v>30.67587</v>
      </c>
      <c r="AO478"/>
      <c r="AP478">
        <v>30.394960000000001</v>
      </c>
      <c r="AQ478"/>
      <c r="AR478"/>
      <c r="AS478"/>
      <c r="AT478"/>
      <c r="AU478">
        <v>59.121090000000002</v>
      </c>
      <c r="AV478"/>
      <c r="AW478">
        <v>51.476489999999998</v>
      </c>
      <c r="AX478"/>
    </row>
    <row r="479" spans="1:50" x14ac:dyDescent="0.35">
      <c r="A479" s="75">
        <v>32417</v>
      </c>
      <c r="B479">
        <v>57.15005</v>
      </c>
      <c r="C479">
        <v>58.5548</v>
      </c>
      <c r="D479"/>
      <c r="E479">
        <v>58.935470000000002</v>
      </c>
      <c r="F479">
        <v>70.219319999999996</v>
      </c>
      <c r="G479"/>
      <c r="H479"/>
      <c r="I479"/>
      <c r="J479"/>
      <c r="K479"/>
      <c r="L479">
        <v>61.160319999999999</v>
      </c>
      <c r="M479">
        <v>58.604280000000003</v>
      </c>
      <c r="N479"/>
      <c r="O479">
        <v>45.003129999999999</v>
      </c>
      <c r="P479"/>
      <c r="Q479"/>
      <c r="R479">
        <v>58.912199999999999</v>
      </c>
      <c r="S479">
        <v>65.370720000000006</v>
      </c>
      <c r="T479"/>
      <c r="U479">
        <v>57.345689999999998</v>
      </c>
      <c r="V479">
        <v>53.560749999999999</v>
      </c>
      <c r="W479">
        <v>23.36815</v>
      </c>
      <c r="X479"/>
      <c r="Y479"/>
      <c r="Z479"/>
      <c r="AA479">
        <v>52.922159999999998</v>
      </c>
      <c r="AB479"/>
      <c r="AC479">
        <v>23.080819999999999</v>
      </c>
      <c r="AD479">
        <v>46.907020000000003</v>
      </c>
      <c r="AE479">
        <v>89.737790000000004</v>
      </c>
      <c r="AF479"/>
      <c r="AG479"/>
      <c r="AH479">
        <v>56.362540000000003</v>
      </c>
      <c r="AI479"/>
      <c r="AJ479">
        <v>7.3553860000000002</v>
      </c>
      <c r="AK479">
        <v>56.8613</v>
      </c>
      <c r="AL479">
        <v>56.629429999999999</v>
      </c>
      <c r="AM479">
        <v>40.436729999999997</v>
      </c>
      <c r="AN479">
        <v>30.948599999999999</v>
      </c>
      <c r="AO479"/>
      <c r="AP479">
        <v>30.840920000000001</v>
      </c>
      <c r="AQ479"/>
      <c r="AR479"/>
      <c r="AS479"/>
      <c r="AT479"/>
      <c r="AU479">
        <v>59.661250000000003</v>
      </c>
      <c r="AV479"/>
      <c r="AW479">
        <v>51.806730000000002</v>
      </c>
      <c r="AX479"/>
    </row>
    <row r="480" spans="1:50" x14ac:dyDescent="0.35">
      <c r="A480" s="75">
        <v>32448</v>
      </c>
      <c r="B480">
        <v>57.342759999999998</v>
      </c>
      <c r="C480">
        <v>58.522309999999997</v>
      </c>
      <c r="D480"/>
      <c r="E480">
        <v>59.161389999999997</v>
      </c>
      <c r="F480">
        <v>70.554029999999997</v>
      </c>
      <c r="G480"/>
      <c r="H480"/>
      <c r="I480"/>
      <c r="J480"/>
      <c r="K480"/>
      <c r="L480">
        <v>61.31711</v>
      </c>
      <c r="M480">
        <v>59.116999999999997</v>
      </c>
      <c r="N480"/>
      <c r="O480">
        <v>45.208620000000003</v>
      </c>
      <c r="P480"/>
      <c r="Q480"/>
      <c r="R480">
        <v>59.04316</v>
      </c>
      <c r="S480">
        <v>65.450280000000006</v>
      </c>
      <c r="T480"/>
      <c r="U480">
        <v>57.516869999999997</v>
      </c>
      <c r="V480">
        <v>53.802680000000002</v>
      </c>
      <c r="W480">
        <v>23.465669999999999</v>
      </c>
      <c r="X480"/>
      <c r="Y480"/>
      <c r="Z480"/>
      <c r="AA480">
        <v>52.922159999999998</v>
      </c>
      <c r="AB480"/>
      <c r="AC480">
        <v>23.48574</v>
      </c>
      <c r="AD480">
        <v>47.309919999999998</v>
      </c>
      <c r="AE480">
        <v>89.934780000000003</v>
      </c>
      <c r="AF480"/>
      <c r="AG480"/>
      <c r="AH480">
        <v>56.527569999999997</v>
      </c>
      <c r="AI480"/>
      <c r="AJ480">
        <v>7.4287099999999997</v>
      </c>
      <c r="AK480">
        <v>56.96266</v>
      </c>
      <c r="AL480">
        <v>56.610939999999999</v>
      </c>
      <c r="AM480">
        <v>40.6233</v>
      </c>
      <c r="AN480">
        <v>31.161770000000001</v>
      </c>
      <c r="AO480"/>
      <c r="AP480">
        <v>31.492979999999999</v>
      </c>
      <c r="AQ480"/>
      <c r="AR480"/>
      <c r="AS480"/>
      <c r="AT480"/>
      <c r="AU480">
        <v>59.751379999999997</v>
      </c>
      <c r="AV480"/>
      <c r="AW480">
        <v>51.930579999999999</v>
      </c>
      <c r="AX480"/>
    </row>
    <row r="481" spans="1:50" x14ac:dyDescent="0.35">
      <c r="A481" s="75">
        <v>32478</v>
      </c>
      <c r="B481">
        <v>57.402349999999998</v>
      </c>
      <c r="C481">
        <v>58.734540000000003</v>
      </c>
      <c r="D481"/>
      <c r="E481">
        <v>59.239870000000003</v>
      </c>
      <c r="F481">
        <v>70.621960000000001</v>
      </c>
      <c r="G481"/>
      <c r="H481"/>
      <c r="I481"/>
      <c r="J481"/>
      <c r="K481"/>
      <c r="L481">
        <v>61.402419999999999</v>
      </c>
      <c r="M481">
        <v>59.048839999999998</v>
      </c>
      <c r="N481"/>
      <c r="O481">
        <v>45.432380000000002</v>
      </c>
      <c r="P481"/>
      <c r="Q481"/>
      <c r="R481">
        <v>59.588459999999998</v>
      </c>
      <c r="S481">
        <v>65.517719999999997</v>
      </c>
      <c r="T481"/>
      <c r="U481">
        <v>57.596139999999998</v>
      </c>
      <c r="V481">
        <v>53.91854</v>
      </c>
      <c r="W481">
        <v>23.697710000000001</v>
      </c>
      <c r="X481"/>
      <c r="Y481"/>
      <c r="Z481"/>
      <c r="AA481">
        <v>52.922159999999998</v>
      </c>
      <c r="AB481"/>
      <c r="AC481">
        <v>23.688210000000002</v>
      </c>
      <c r="AD481">
        <v>47.480899999999998</v>
      </c>
      <c r="AE481">
        <v>89.851079999999996</v>
      </c>
      <c r="AF481"/>
      <c r="AG481"/>
      <c r="AH481">
        <v>56.567909999999998</v>
      </c>
      <c r="AI481"/>
      <c r="AJ481">
        <v>7.5444779999999998</v>
      </c>
      <c r="AK481">
        <v>56.880009999999999</v>
      </c>
      <c r="AL481">
        <v>56.697240000000001</v>
      </c>
      <c r="AM481">
        <v>40.757710000000003</v>
      </c>
      <c r="AN481">
        <v>31.304279999999999</v>
      </c>
      <c r="AO481"/>
      <c r="AP481">
        <v>31.832039999999999</v>
      </c>
      <c r="AQ481"/>
      <c r="AR481"/>
      <c r="AS481"/>
      <c r="AT481"/>
      <c r="AU481">
        <v>59.851730000000003</v>
      </c>
      <c r="AV481"/>
      <c r="AW481">
        <v>52.013129999999997</v>
      </c>
      <c r="AX481"/>
    </row>
    <row r="482" spans="1:50" x14ac:dyDescent="0.35">
      <c r="A482" s="75">
        <v>32509</v>
      </c>
      <c r="B482">
        <v>57.703069999999997</v>
      </c>
      <c r="C482">
        <v>58.82302</v>
      </c>
      <c r="D482"/>
      <c r="E482">
        <v>59.459099999999999</v>
      </c>
      <c r="F482">
        <v>70.94117</v>
      </c>
      <c r="G482"/>
      <c r="H482"/>
      <c r="I482"/>
      <c r="J482"/>
      <c r="K482"/>
      <c r="L482">
        <v>61.863160000000001</v>
      </c>
      <c r="M482">
        <v>59.15558</v>
      </c>
      <c r="N482"/>
      <c r="O482">
        <v>46.026310000000002</v>
      </c>
      <c r="P482"/>
      <c r="Q482"/>
      <c r="R482">
        <v>59.883459999999999</v>
      </c>
      <c r="S482">
        <v>65.738159999999993</v>
      </c>
      <c r="T482"/>
      <c r="U482">
        <v>57.793849999999999</v>
      </c>
      <c r="V482">
        <v>54.273850000000003</v>
      </c>
      <c r="W482">
        <v>23.449839999999998</v>
      </c>
      <c r="X482"/>
      <c r="Y482"/>
      <c r="Z482"/>
      <c r="AA482">
        <v>53.570869999999999</v>
      </c>
      <c r="AB482"/>
      <c r="AC482">
        <v>24.2956</v>
      </c>
      <c r="AD482">
        <v>47.792450000000002</v>
      </c>
      <c r="AE482">
        <v>89.646900000000002</v>
      </c>
      <c r="AF482"/>
      <c r="AG482"/>
      <c r="AH482">
        <v>56.856659999999998</v>
      </c>
      <c r="AI482"/>
      <c r="AJ482">
        <v>7.7483120000000003</v>
      </c>
      <c r="AK482">
        <v>56.385460000000002</v>
      </c>
      <c r="AL482">
        <v>56.921550000000003</v>
      </c>
      <c r="AM482">
        <v>40.991639999999997</v>
      </c>
      <c r="AN482">
        <v>31.5745</v>
      </c>
      <c r="AO482"/>
      <c r="AP482">
        <v>32.584020000000002</v>
      </c>
      <c r="AQ482"/>
      <c r="AR482"/>
      <c r="AS482"/>
      <c r="AT482"/>
      <c r="AU482">
        <v>60.374450000000003</v>
      </c>
      <c r="AV482"/>
      <c r="AW482">
        <v>52.178260000000002</v>
      </c>
      <c r="AX482"/>
    </row>
    <row r="483" spans="1:50" x14ac:dyDescent="0.35">
      <c r="A483" s="75">
        <v>32540</v>
      </c>
      <c r="B483">
        <v>58.052959999999999</v>
      </c>
      <c r="C483">
        <v>59.099580000000003</v>
      </c>
      <c r="D483"/>
      <c r="E483">
        <v>59.850940000000001</v>
      </c>
      <c r="F483">
        <v>71.328670000000002</v>
      </c>
      <c r="G483"/>
      <c r="H483"/>
      <c r="I483"/>
      <c r="J483"/>
      <c r="K483"/>
      <c r="L483">
        <v>62.042110000000001</v>
      </c>
      <c r="M483">
        <v>59.678750000000001</v>
      </c>
      <c r="N483"/>
      <c r="O483">
        <v>46.228079999999999</v>
      </c>
      <c r="P483"/>
      <c r="Q483"/>
      <c r="R483">
        <v>60.174190000000003</v>
      </c>
      <c r="S483">
        <v>65.898899999999998</v>
      </c>
      <c r="T483"/>
      <c r="U483">
        <v>58.002029999999998</v>
      </c>
      <c r="V483">
        <v>54.699660000000002</v>
      </c>
      <c r="W483">
        <v>23.227270000000001</v>
      </c>
      <c r="X483"/>
      <c r="Y483"/>
      <c r="Z483"/>
      <c r="AA483">
        <v>53.570869999999999</v>
      </c>
      <c r="AB483"/>
      <c r="AC483">
        <v>24.59929</v>
      </c>
      <c r="AD483">
        <v>48.226950000000002</v>
      </c>
      <c r="AE483">
        <v>89.412180000000006</v>
      </c>
      <c r="AF483"/>
      <c r="AG483"/>
      <c r="AH483">
        <v>57.035049999999998</v>
      </c>
      <c r="AI483"/>
      <c r="AJ483">
        <v>7.9028640000000001</v>
      </c>
      <c r="AK483">
        <v>56.578279999999999</v>
      </c>
      <c r="AL483">
        <v>57.14396</v>
      </c>
      <c r="AM483">
        <v>41.186129999999999</v>
      </c>
      <c r="AN483">
        <v>31.770710000000001</v>
      </c>
      <c r="AO483"/>
      <c r="AP483">
        <v>33.262349999999998</v>
      </c>
      <c r="AQ483"/>
      <c r="AR483"/>
      <c r="AS483"/>
      <c r="AT483"/>
      <c r="AU483">
        <v>60.742469999999997</v>
      </c>
      <c r="AV483"/>
      <c r="AW483">
        <v>52.384659999999997</v>
      </c>
      <c r="AX483"/>
    </row>
    <row r="484" spans="1:50" x14ac:dyDescent="0.35">
      <c r="A484" s="75">
        <v>32568</v>
      </c>
      <c r="B484">
        <v>58.084679999999999</v>
      </c>
      <c r="C484">
        <v>59.175660000000001</v>
      </c>
      <c r="D484"/>
      <c r="E484">
        <v>60.239890000000003</v>
      </c>
      <c r="F484">
        <v>71.474819999999994</v>
      </c>
      <c r="G484"/>
      <c r="H484"/>
      <c r="I484"/>
      <c r="J484"/>
      <c r="K484"/>
      <c r="L484">
        <v>62.137650000000001</v>
      </c>
      <c r="M484">
        <v>60.013660000000002</v>
      </c>
      <c r="N484"/>
      <c r="O484">
        <v>46.515680000000003</v>
      </c>
      <c r="P484"/>
      <c r="Q484"/>
      <c r="R484">
        <v>60.902360000000002</v>
      </c>
      <c r="S484">
        <v>66.054739999999995</v>
      </c>
      <c r="T484"/>
      <c r="U484">
        <v>58.269019999999998</v>
      </c>
      <c r="V484">
        <v>54.931809999999999</v>
      </c>
      <c r="W484">
        <v>24.120650000000001</v>
      </c>
      <c r="X484"/>
      <c r="Y484"/>
      <c r="Z484"/>
      <c r="AA484">
        <v>53.570869999999999</v>
      </c>
      <c r="AB484"/>
      <c r="AC484">
        <v>24.902989999999999</v>
      </c>
      <c r="AD484">
        <v>48.506160000000001</v>
      </c>
      <c r="AE484">
        <v>89.761700000000005</v>
      </c>
      <c r="AF484"/>
      <c r="AG484"/>
      <c r="AH484">
        <v>57.227040000000002</v>
      </c>
      <c r="AI484"/>
      <c r="AJ484">
        <v>8.0151819999999994</v>
      </c>
      <c r="AK484">
        <v>56.871369999999999</v>
      </c>
      <c r="AL484">
        <v>57.816879999999998</v>
      </c>
      <c r="AM484">
        <v>41.420059999999999</v>
      </c>
      <c r="AN484">
        <v>31.949010000000001</v>
      </c>
      <c r="AO484"/>
      <c r="AP484">
        <v>33.360939999999999</v>
      </c>
      <c r="AQ484"/>
      <c r="AR484"/>
      <c r="AS484"/>
      <c r="AT484"/>
      <c r="AU484">
        <v>60.985610000000001</v>
      </c>
      <c r="AV484"/>
      <c r="AW484">
        <v>52.67362</v>
      </c>
      <c r="AX484"/>
    </row>
    <row r="485" spans="1:50" x14ac:dyDescent="0.35">
      <c r="A485" s="75">
        <v>32599</v>
      </c>
      <c r="B485">
        <v>58.022620000000003</v>
      </c>
      <c r="C485">
        <v>59.336469999999998</v>
      </c>
      <c r="D485"/>
      <c r="E485">
        <v>60.345739999999999</v>
      </c>
      <c r="F485">
        <v>71.629649999999998</v>
      </c>
      <c r="G485"/>
      <c r="H485"/>
      <c r="I485"/>
      <c r="J485"/>
      <c r="K485"/>
      <c r="L485">
        <v>62.51802</v>
      </c>
      <c r="M485">
        <v>60.246929999999999</v>
      </c>
      <c r="N485"/>
      <c r="O485">
        <v>46.792929999999998</v>
      </c>
      <c r="P485"/>
      <c r="Q485"/>
      <c r="R485">
        <v>61.338659999999997</v>
      </c>
      <c r="S485">
        <v>66.349140000000006</v>
      </c>
      <c r="T485"/>
      <c r="U485">
        <v>58.656790000000001</v>
      </c>
      <c r="V485">
        <v>55.887459999999997</v>
      </c>
      <c r="W485">
        <v>24.58004</v>
      </c>
      <c r="X485"/>
      <c r="Y485"/>
      <c r="Z485"/>
      <c r="AA485">
        <v>54.193910000000002</v>
      </c>
      <c r="AB485"/>
      <c r="AC485">
        <v>25.30791</v>
      </c>
      <c r="AD485">
        <v>48.752000000000002</v>
      </c>
      <c r="AE485">
        <v>91.344009999999997</v>
      </c>
      <c r="AF485"/>
      <c r="AG485"/>
      <c r="AH485">
        <v>57.409860000000002</v>
      </c>
      <c r="AI485"/>
      <c r="AJ485">
        <v>8.1206790000000009</v>
      </c>
      <c r="AK485">
        <v>57.138979999999997</v>
      </c>
      <c r="AL485">
        <v>58.023820000000001</v>
      </c>
      <c r="AM485">
        <v>41.753430000000002</v>
      </c>
      <c r="AN485">
        <v>32.261539999999997</v>
      </c>
      <c r="AO485"/>
      <c r="AP485">
        <v>33.798720000000003</v>
      </c>
      <c r="AQ485"/>
      <c r="AR485"/>
      <c r="AS485"/>
      <c r="AT485"/>
      <c r="AU485">
        <v>61.471139999999998</v>
      </c>
      <c r="AV485"/>
      <c r="AW485">
        <v>52.838740000000001</v>
      </c>
      <c r="AX485"/>
    </row>
    <row r="486" spans="1:50" x14ac:dyDescent="0.35">
      <c r="A486" s="75">
        <v>32629</v>
      </c>
      <c r="B486">
        <v>57.961779999999997</v>
      </c>
      <c r="C486">
        <v>59.47099</v>
      </c>
      <c r="D486"/>
      <c r="E486">
        <v>60.885240000000003</v>
      </c>
      <c r="F486">
        <v>71.653350000000003</v>
      </c>
      <c r="G486"/>
      <c r="H486"/>
      <c r="I486"/>
      <c r="J486"/>
      <c r="K486"/>
      <c r="L486">
        <v>62.572420000000001</v>
      </c>
      <c r="M486">
        <v>60.80988</v>
      </c>
      <c r="N486"/>
      <c r="O486">
        <v>46.95722</v>
      </c>
      <c r="P486"/>
      <c r="Q486"/>
      <c r="R486">
        <v>61.695050000000002</v>
      </c>
      <c r="S486">
        <v>66.53013</v>
      </c>
      <c r="T486"/>
      <c r="U486">
        <v>58.855530000000002</v>
      </c>
      <c r="V486">
        <v>56.175370000000001</v>
      </c>
      <c r="W486">
        <v>24.682670000000002</v>
      </c>
      <c r="X486"/>
      <c r="Y486"/>
      <c r="Z486"/>
      <c r="AA486">
        <v>54.193910000000002</v>
      </c>
      <c r="AB486"/>
      <c r="AC486">
        <v>25.71284</v>
      </c>
      <c r="AD486">
        <v>49.010759999999998</v>
      </c>
      <c r="AE486">
        <v>91.882440000000003</v>
      </c>
      <c r="AF486"/>
      <c r="AG486"/>
      <c r="AH486">
        <v>57.603789999999996</v>
      </c>
      <c r="AI486"/>
      <c r="AJ486">
        <v>8.2230469999999993</v>
      </c>
      <c r="AK486">
        <v>57.125570000000003</v>
      </c>
      <c r="AL486">
        <v>58.200839999999999</v>
      </c>
      <c r="AM486">
        <v>41.937390000000001</v>
      </c>
      <c r="AN486">
        <v>32.415579999999999</v>
      </c>
      <c r="AO486"/>
      <c r="AP486">
        <v>34.025970000000001</v>
      </c>
      <c r="AQ486"/>
      <c r="AR486"/>
      <c r="AS486"/>
      <c r="AT486"/>
      <c r="AU486">
        <v>61.715440000000001</v>
      </c>
      <c r="AV486"/>
      <c r="AW486">
        <v>52.962580000000003</v>
      </c>
      <c r="AX486"/>
    </row>
    <row r="487" spans="1:50" x14ac:dyDescent="0.35">
      <c r="A487" s="75">
        <v>32660</v>
      </c>
      <c r="B487">
        <v>58.394390000000001</v>
      </c>
      <c r="C487">
        <v>59.667209999999997</v>
      </c>
      <c r="D487"/>
      <c r="E487">
        <v>61.084899999999998</v>
      </c>
      <c r="F487">
        <v>71.733770000000007</v>
      </c>
      <c r="G487"/>
      <c r="H487"/>
      <c r="I487"/>
      <c r="J487"/>
      <c r="K487"/>
      <c r="L487">
        <v>62.620109999999997</v>
      </c>
      <c r="M487">
        <v>60.760449999999999</v>
      </c>
      <c r="N487"/>
      <c r="O487">
        <v>47.130740000000003</v>
      </c>
      <c r="P487"/>
      <c r="Q487"/>
      <c r="R487">
        <v>62.363889999999998</v>
      </c>
      <c r="S487">
        <v>66.632400000000004</v>
      </c>
      <c r="T487"/>
      <c r="U487">
        <v>58.955469999999998</v>
      </c>
      <c r="V487">
        <v>56.348230000000001</v>
      </c>
      <c r="W487">
        <v>24.98846</v>
      </c>
      <c r="X487"/>
      <c r="Y487"/>
      <c r="Z487"/>
      <c r="AA487">
        <v>54.193910000000002</v>
      </c>
      <c r="AB487"/>
      <c r="AC487">
        <v>26.219000000000001</v>
      </c>
      <c r="AD487">
        <v>49.169049999999999</v>
      </c>
      <c r="AE487">
        <v>91.973280000000003</v>
      </c>
      <c r="AF487"/>
      <c r="AG487"/>
      <c r="AH487">
        <v>57.793729999999996</v>
      </c>
      <c r="AI487"/>
      <c r="AJ487">
        <v>8.3136430000000008</v>
      </c>
      <c r="AK487">
        <v>57.01934</v>
      </c>
      <c r="AL487">
        <v>58.547350000000002</v>
      </c>
      <c r="AM487">
        <v>42.060969999999998</v>
      </c>
      <c r="AN487">
        <v>32.550229999999999</v>
      </c>
      <c r="AO487"/>
      <c r="AP487">
        <v>34.240560000000002</v>
      </c>
      <c r="AQ487"/>
      <c r="AR487"/>
      <c r="AS487"/>
      <c r="AT487"/>
      <c r="AU487">
        <v>62.050379999999997</v>
      </c>
      <c r="AV487"/>
      <c r="AW487">
        <v>53.045140000000004</v>
      </c>
      <c r="AX487"/>
    </row>
    <row r="488" spans="1:50" x14ac:dyDescent="0.35">
      <c r="A488" s="75">
        <v>32690</v>
      </c>
      <c r="B488">
        <v>59.247869999999999</v>
      </c>
      <c r="C488">
        <v>59.971080000000001</v>
      </c>
      <c r="D488"/>
      <c r="E488">
        <v>61.493090000000002</v>
      </c>
      <c r="F488">
        <v>71.739109999999997</v>
      </c>
      <c r="G488"/>
      <c r="H488"/>
      <c r="I488"/>
      <c r="J488"/>
      <c r="K488"/>
      <c r="L488">
        <v>62.582630000000002</v>
      </c>
      <c r="M488">
        <v>60.585470000000001</v>
      </c>
      <c r="N488"/>
      <c r="O488">
        <v>47.342689999999997</v>
      </c>
      <c r="P488"/>
      <c r="Q488"/>
      <c r="R488">
        <v>62.349170000000001</v>
      </c>
      <c r="S488">
        <v>66.902630000000002</v>
      </c>
      <c r="T488"/>
      <c r="U488">
        <v>59.09516</v>
      </c>
      <c r="V488">
        <v>56.47381</v>
      </c>
      <c r="W488">
        <v>24.934280000000001</v>
      </c>
      <c r="X488"/>
      <c r="Y488"/>
      <c r="Z488"/>
      <c r="AA488">
        <v>54.823259999999998</v>
      </c>
      <c r="AB488"/>
      <c r="AC488">
        <v>26.522690000000001</v>
      </c>
      <c r="AD488">
        <v>49.262900000000002</v>
      </c>
      <c r="AE488">
        <v>91.746520000000004</v>
      </c>
      <c r="AF488"/>
      <c r="AG488"/>
      <c r="AH488">
        <v>57.89058</v>
      </c>
      <c r="AI488"/>
      <c r="AJ488">
        <v>8.3981270000000006</v>
      </c>
      <c r="AK488">
        <v>57.099110000000003</v>
      </c>
      <c r="AL488">
        <v>58.495660000000001</v>
      </c>
      <c r="AM488">
        <v>42.22974</v>
      </c>
      <c r="AN488">
        <v>32.68656</v>
      </c>
      <c r="AO488"/>
      <c r="AP488">
        <v>34.408909999999999</v>
      </c>
      <c r="AQ488"/>
      <c r="AR488"/>
      <c r="AS488"/>
      <c r="AT488"/>
      <c r="AU488">
        <v>61.918059999999997</v>
      </c>
      <c r="AV488"/>
      <c r="AW488">
        <v>53.251539999999999</v>
      </c>
      <c r="AX488"/>
    </row>
    <row r="489" spans="1:50" x14ac:dyDescent="0.35">
      <c r="A489" s="75">
        <v>32721</v>
      </c>
      <c r="B489">
        <v>59.49606</v>
      </c>
      <c r="C489">
        <v>60.074190000000002</v>
      </c>
      <c r="D489"/>
      <c r="E489">
        <v>61.682380000000002</v>
      </c>
      <c r="F489">
        <v>72.284310000000005</v>
      </c>
      <c r="G489"/>
      <c r="H489"/>
      <c r="I489"/>
      <c r="J489"/>
      <c r="K489"/>
      <c r="L489">
        <v>62.613549999999996</v>
      </c>
      <c r="M489">
        <v>60.905140000000003</v>
      </c>
      <c r="N489"/>
      <c r="O489">
        <v>47.511400000000002</v>
      </c>
      <c r="P489"/>
      <c r="Q489"/>
      <c r="R489">
        <v>62.390709999999999</v>
      </c>
      <c r="S489">
        <v>67.01361</v>
      </c>
      <c r="T489"/>
      <c r="U489">
        <v>59.196770000000001</v>
      </c>
      <c r="V489">
        <v>56.679099999999998</v>
      </c>
      <c r="W489">
        <v>24.605460000000001</v>
      </c>
      <c r="X489"/>
      <c r="Y489"/>
      <c r="Z489"/>
      <c r="AA489">
        <v>54.823259999999998</v>
      </c>
      <c r="AB489"/>
      <c r="AC489">
        <v>26.82639</v>
      </c>
      <c r="AD489">
        <v>49.409790000000001</v>
      </c>
      <c r="AE489">
        <v>91.602779999999996</v>
      </c>
      <c r="AF489"/>
      <c r="AG489"/>
      <c r="AH489">
        <v>57.961030000000001</v>
      </c>
      <c r="AI489"/>
      <c r="AJ489">
        <v>8.4963169999999995</v>
      </c>
      <c r="AK489">
        <v>57.265790000000003</v>
      </c>
      <c r="AL489">
        <v>58.31026</v>
      </c>
      <c r="AM489">
        <v>42.352890000000002</v>
      </c>
      <c r="AN489">
        <v>32.811360000000001</v>
      </c>
      <c r="AO489"/>
      <c r="AP489">
        <v>34.62247</v>
      </c>
      <c r="AQ489"/>
      <c r="AR489"/>
      <c r="AS489"/>
      <c r="AT489"/>
      <c r="AU489">
        <v>62.221939999999996</v>
      </c>
      <c r="AV489"/>
      <c r="AW489">
        <v>53.375390000000003</v>
      </c>
      <c r="AX489"/>
    </row>
    <row r="490" spans="1:50" x14ac:dyDescent="0.35">
      <c r="A490" s="75">
        <v>32752</v>
      </c>
      <c r="B490">
        <v>58.721919999999997</v>
      </c>
      <c r="C490">
        <v>60.091839999999998</v>
      </c>
      <c r="D490"/>
      <c r="E490">
        <v>61.86741</v>
      </c>
      <c r="F490">
        <v>72.468010000000007</v>
      </c>
      <c r="G490"/>
      <c r="H490"/>
      <c r="I490"/>
      <c r="J490"/>
      <c r="K490"/>
      <c r="L490">
        <v>62.623910000000002</v>
      </c>
      <c r="M490">
        <v>61.17163</v>
      </c>
      <c r="N490"/>
      <c r="O490">
        <v>47.773609999999998</v>
      </c>
      <c r="P490"/>
      <c r="Q490"/>
      <c r="R490">
        <v>63.280470000000001</v>
      </c>
      <c r="S490">
        <v>67.105680000000007</v>
      </c>
      <c r="T490"/>
      <c r="U490">
        <v>59.475969999999997</v>
      </c>
      <c r="V490">
        <v>57.089619999999996</v>
      </c>
      <c r="W490">
        <v>25.643940000000001</v>
      </c>
      <c r="X490"/>
      <c r="Y490"/>
      <c r="Z490"/>
      <c r="AA490">
        <v>54.823259999999998</v>
      </c>
      <c r="AB490"/>
      <c r="AC490">
        <v>27.332550000000001</v>
      </c>
      <c r="AD490">
        <v>49.604419999999998</v>
      </c>
      <c r="AE490">
        <v>92.25591</v>
      </c>
      <c r="AF490"/>
      <c r="AG490"/>
      <c r="AH490">
        <v>58.096649999999997</v>
      </c>
      <c r="AI490"/>
      <c r="AJ490">
        <v>8.6214119999999994</v>
      </c>
      <c r="AK490">
        <v>57.540889999999997</v>
      </c>
      <c r="AL490">
        <v>58.949629999999999</v>
      </c>
      <c r="AM490">
        <v>42.626719999999999</v>
      </c>
      <c r="AN490">
        <v>33.041939999999997</v>
      </c>
      <c r="AO490"/>
      <c r="AP490">
        <v>34.712009999999999</v>
      </c>
      <c r="AQ490"/>
      <c r="AR490"/>
      <c r="AS490"/>
      <c r="AT490"/>
      <c r="AU490">
        <v>62.78604</v>
      </c>
      <c r="AV490"/>
      <c r="AW490">
        <v>53.664340000000003</v>
      </c>
      <c r="AX490"/>
    </row>
    <row r="491" spans="1:50" x14ac:dyDescent="0.35">
      <c r="A491" s="75">
        <v>32782</v>
      </c>
      <c r="B491">
        <v>58.640979999999999</v>
      </c>
      <c r="C491">
        <v>60.003259999999997</v>
      </c>
      <c r="D491"/>
      <c r="E491">
        <v>62.16583</v>
      </c>
      <c r="F491">
        <v>72.602170000000001</v>
      </c>
      <c r="G491"/>
      <c r="H491"/>
      <c r="I491"/>
      <c r="J491"/>
      <c r="K491"/>
      <c r="L491">
        <v>62.775730000000003</v>
      </c>
      <c r="M491">
        <v>61.462339999999998</v>
      </c>
      <c r="N491"/>
      <c r="O491">
        <v>48.034570000000002</v>
      </c>
      <c r="P491"/>
      <c r="Q491"/>
      <c r="R491">
        <v>63.449590000000001</v>
      </c>
      <c r="S491">
        <v>67.375209999999996</v>
      </c>
      <c r="T491"/>
      <c r="U491">
        <v>59.80733</v>
      </c>
      <c r="V491">
        <v>57.524830000000001</v>
      </c>
      <c r="W491">
        <v>26.256540000000001</v>
      </c>
      <c r="X491"/>
      <c r="Y491"/>
      <c r="Z491"/>
      <c r="AA491">
        <v>55.387070000000001</v>
      </c>
      <c r="AB491"/>
      <c r="AC491">
        <v>27.838709999999999</v>
      </c>
      <c r="AD491">
        <v>49.925820000000002</v>
      </c>
      <c r="AE491">
        <v>92.495919999999998</v>
      </c>
      <c r="AF491"/>
      <c r="AG491"/>
      <c r="AH491">
        <v>58.324309999999997</v>
      </c>
      <c r="AI491"/>
      <c r="AJ491">
        <v>8.7550980000000003</v>
      </c>
      <c r="AK491">
        <v>57.600380000000001</v>
      </c>
      <c r="AL491">
        <v>59.105589999999999</v>
      </c>
      <c r="AM491">
        <v>42.952550000000002</v>
      </c>
      <c r="AN491">
        <v>33.328859999999999</v>
      </c>
      <c r="AO491"/>
      <c r="AP491">
        <v>35.008620000000001</v>
      </c>
      <c r="AQ491"/>
      <c r="AR491"/>
      <c r="AS491"/>
      <c r="AT491"/>
      <c r="AU491">
        <v>63.434980000000003</v>
      </c>
      <c r="AV491"/>
      <c r="AW491">
        <v>54.035870000000003</v>
      </c>
      <c r="AX491"/>
    </row>
    <row r="492" spans="1:50" x14ac:dyDescent="0.35">
      <c r="A492" s="75">
        <v>32813</v>
      </c>
      <c r="B492">
        <v>58.661729999999999</v>
      </c>
      <c r="C492">
        <v>59.946980000000003</v>
      </c>
      <c r="D492"/>
      <c r="E492">
        <v>62.358339999999998</v>
      </c>
      <c r="F492">
        <v>73.658900000000003</v>
      </c>
      <c r="G492"/>
      <c r="H492"/>
      <c r="I492"/>
      <c r="J492"/>
      <c r="K492"/>
      <c r="L492">
        <v>62.891680000000001</v>
      </c>
      <c r="M492">
        <v>61.838479999999997</v>
      </c>
      <c r="N492"/>
      <c r="O492">
        <v>48.272219999999997</v>
      </c>
      <c r="P492"/>
      <c r="Q492"/>
      <c r="R492">
        <v>63.375810000000001</v>
      </c>
      <c r="S492">
        <v>67.459530000000001</v>
      </c>
      <c r="T492"/>
      <c r="U492">
        <v>59.979289999999999</v>
      </c>
      <c r="V492">
        <v>58.049909999999997</v>
      </c>
      <c r="W492">
        <v>26.444590000000002</v>
      </c>
      <c r="X492"/>
      <c r="Y492"/>
      <c r="Z492"/>
      <c r="AA492">
        <v>55.387070000000001</v>
      </c>
      <c r="AB492"/>
      <c r="AC492">
        <v>28.24363</v>
      </c>
      <c r="AD492">
        <v>50.199269999999999</v>
      </c>
      <c r="AE492">
        <v>92.4024</v>
      </c>
      <c r="AF492"/>
      <c r="AG492"/>
      <c r="AH492">
        <v>58.459859999999999</v>
      </c>
      <c r="AI492"/>
      <c r="AJ492">
        <v>8.8846900000000009</v>
      </c>
      <c r="AK492">
        <v>57.61544</v>
      </c>
      <c r="AL492">
        <v>59.117690000000003</v>
      </c>
      <c r="AM492">
        <v>43.145569999999999</v>
      </c>
      <c r="AN492">
        <v>33.55247</v>
      </c>
      <c r="AO492"/>
      <c r="AP492">
        <v>35.36497</v>
      </c>
      <c r="AQ492"/>
      <c r="AR492"/>
      <c r="AS492"/>
      <c r="AT492"/>
      <c r="AU492">
        <v>63.594819999999999</v>
      </c>
      <c r="AV492"/>
      <c r="AW492">
        <v>54.200989999999997</v>
      </c>
      <c r="AX492"/>
    </row>
    <row r="493" spans="1:50" x14ac:dyDescent="0.35">
      <c r="A493" s="75">
        <v>32843</v>
      </c>
      <c r="B493">
        <v>58.831560000000003</v>
      </c>
      <c r="C493">
        <v>60.125839999999997</v>
      </c>
      <c r="D493"/>
      <c r="E493">
        <v>62.469850000000001</v>
      </c>
      <c r="F493">
        <v>73.846059999999994</v>
      </c>
      <c r="G493"/>
      <c r="H493"/>
      <c r="I493"/>
      <c r="J493"/>
      <c r="K493"/>
      <c r="L493">
        <v>62.982239999999997</v>
      </c>
      <c r="M493">
        <v>61.785179999999997</v>
      </c>
      <c r="N493"/>
      <c r="O493">
        <v>48.454239999999999</v>
      </c>
      <c r="P493"/>
      <c r="Q493"/>
      <c r="R493">
        <v>63.688400000000001</v>
      </c>
      <c r="S493">
        <v>67.492710000000002</v>
      </c>
      <c r="T493"/>
      <c r="U493">
        <v>60.071379999999998</v>
      </c>
      <c r="V493">
        <v>58.161810000000003</v>
      </c>
      <c r="W493">
        <v>27.132819999999999</v>
      </c>
      <c r="X493"/>
      <c r="Y493"/>
      <c r="Z493"/>
      <c r="AA493">
        <v>55.387070000000001</v>
      </c>
      <c r="AB493"/>
      <c r="AC493">
        <v>28.547329999999999</v>
      </c>
      <c r="AD493">
        <v>50.316940000000002</v>
      </c>
      <c r="AE493">
        <v>92.536249999999995</v>
      </c>
      <c r="AF493"/>
      <c r="AG493"/>
      <c r="AH493">
        <v>58.498309999999996</v>
      </c>
      <c r="AI493"/>
      <c r="AJ493">
        <v>9.1477509999999995</v>
      </c>
      <c r="AK493">
        <v>57.580080000000002</v>
      </c>
      <c r="AL493">
        <v>59.211620000000003</v>
      </c>
      <c r="AM493">
        <v>43.307980000000001</v>
      </c>
      <c r="AN493">
        <v>33.696939999999998</v>
      </c>
      <c r="AO493"/>
      <c r="AP493">
        <v>35.553469999999997</v>
      </c>
      <c r="AQ493"/>
      <c r="AR493"/>
      <c r="AS493"/>
      <c r="AT493"/>
      <c r="AU493">
        <v>63.828310000000002</v>
      </c>
      <c r="AV493"/>
      <c r="AW493">
        <v>54.283549999999998</v>
      </c>
      <c r="AX493"/>
    </row>
    <row r="494" spans="1:50" x14ac:dyDescent="0.35">
      <c r="A494" s="75">
        <v>32874</v>
      </c>
      <c r="B494">
        <v>59.076039999999999</v>
      </c>
      <c r="C494">
        <v>60.311590000000002</v>
      </c>
      <c r="D494"/>
      <c r="E494">
        <v>62.62979</v>
      </c>
      <c r="F494">
        <v>74.20917</v>
      </c>
      <c r="G494"/>
      <c r="H494"/>
      <c r="I494"/>
      <c r="J494"/>
      <c r="K494"/>
      <c r="L494">
        <v>63.309519999999999</v>
      </c>
      <c r="M494">
        <v>61.614289999999997</v>
      </c>
      <c r="N494"/>
      <c r="O494">
        <v>48.808439999999997</v>
      </c>
      <c r="P494"/>
      <c r="Q494"/>
      <c r="R494">
        <v>64.791340000000005</v>
      </c>
      <c r="S494">
        <v>67.642560000000003</v>
      </c>
      <c r="T494"/>
      <c r="U494">
        <v>60.291879999999999</v>
      </c>
      <c r="V494">
        <v>58.403489999999998</v>
      </c>
      <c r="W494">
        <v>26.9831</v>
      </c>
      <c r="X494">
        <v>7.6017429999999999</v>
      </c>
      <c r="Y494"/>
      <c r="Z494"/>
      <c r="AA494">
        <v>55.940460000000002</v>
      </c>
      <c r="AB494"/>
      <c r="AC494">
        <v>28.851019999999998</v>
      </c>
      <c r="AD494">
        <v>50.822629999999997</v>
      </c>
      <c r="AE494">
        <v>92.474270000000004</v>
      </c>
      <c r="AF494">
        <v>42.558169999999997</v>
      </c>
      <c r="AG494"/>
      <c r="AH494">
        <v>58.795169999999999</v>
      </c>
      <c r="AI494"/>
      <c r="AJ494">
        <v>9.5849360000000008</v>
      </c>
      <c r="AK494">
        <v>57.325409999999998</v>
      </c>
      <c r="AL494">
        <v>59.221490000000003</v>
      </c>
      <c r="AM494">
        <v>43.62677</v>
      </c>
      <c r="AN494">
        <v>33.940849999999998</v>
      </c>
      <c r="AO494"/>
      <c r="AP494">
        <v>36.377450000000003</v>
      </c>
      <c r="AQ494"/>
      <c r="AR494"/>
      <c r="AS494"/>
      <c r="AT494"/>
      <c r="AU494">
        <v>65.292460000000005</v>
      </c>
      <c r="AV494"/>
      <c r="AW494">
        <v>54.48995</v>
      </c>
      <c r="AX494"/>
    </row>
    <row r="495" spans="1:50" x14ac:dyDescent="0.35">
      <c r="A495" s="75">
        <v>32905</v>
      </c>
      <c r="B495">
        <v>59.569400000000002</v>
      </c>
      <c r="C495">
        <v>60.589599999999997</v>
      </c>
      <c r="D495"/>
      <c r="E495">
        <v>62.964080000000003</v>
      </c>
      <c r="F495">
        <v>74.600129999999993</v>
      </c>
      <c r="G495"/>
      <c r="H495"/>
      <c r="I495"/>
      <c r="J495"/>
      <c r="K495"/>
      <c r="L495">
        <v>63.675759999999997</v>
      </c>
      <c r="M495">
        <v>61.851309999999998</v>
      </c>
      <c r="N495"/>
      <c r="O495">
        <v>49.322690000000001</v>
      </c>
      <c r="P495"/>
      <c r="Q495"/>
      <c r="R495">
        <v>65.00224</v>
      </c>
      <c r="S495">
        <v>67.82799</v>
      </c>
      <c r="T495"/>
      <c r="U495">
        <v>60.580770000000001</v>
      </c>
      <c r="V495">
        <v>58.774769999999997</v>
      </c>
      <c r="W495">
        <v>26.944379999999999</v>
      </c>
      <c r="X495">
        <v>7.8728550000000004</v>
      </c>
      <c r="Y495"/>
      <c r="Z495"/>
      <c r="AA495">
        <v>55.940460000000002</v>
      </c>
      <c r="AB495"/>
      <c r="AC495">
        <v>29.05348</v>
      </c>
      <c r="AD495">
        <v>51.206150000000001</v>
      </c>
      <c r="AE495">
        <v>92.299000000000007</v>
      </c>
      <c r="AF495">
        <v>42.799370000000003</v>
      </c>
      <c r="AG495"/>
      <c r="AH495">
        <v>58.913119999999999</v>
      </c>
      <c r="AI495"/>
      <c r="AJ495">
        <v>9.786206</v>
      </c>
      <c r="AK495">
        <v>57.53763</v>
      </c>
      <c r="AL495">
        <v>59.387920000000001</v>
      </c>
      <c r="AM495">
        <v>43.889719999999997</v>
      </c>
      <c r="AN495">
        <v>34.179650000000002</v>
      </c>
      <c r="AO495"/>
      <c r="AP495">
        <v>37.45008</v>
      </c>
      <c r="AQ495"/>
      <c r="AR495"/>
      <c r="AS495"/>
      <c r="AT495"/>
      <c r="AU495">
        <v>65.547799999999995</v>
      </c>
      <c r="AV495"/>
      <c r="AW495">
        <v>54.820189999999997</v>
      </c>
      <c r="AX495"/>
    </row>
    <row r="496" spans="1:50" x14ac:dyDescent="0.35">
      <c r="A496" s="75">
        <v>32933</v>
      </c>
      <c r="B496">
        <v>59.645310000000002</v>
      </c>
      <c r="C496">
        <v>60.74259</v>
      </c>
      <c r="D496"/>
      <c r="E496">
        <v>63.197090000000003</v>
      </c>
      <c r="F496">
        <v>74.876109999999997</v>
      </c>
      <c r="G496"/>
      <c r="H496"/>
      <c r="I496"/>
      <c r="J496"/>
      <c r="K496"/>
      <c r="L496">
        <v>63.675759999999997</v>
      </c>
      <c r="M496">
        <v>62.165320000000001</v>
      </c>
      <c r="N496"/>
      <c r="O496">
        <v>49.622590000000002</v>
      </c>
      <c r="P496"/>
      <c r="Q496"/>
      <c r="R496">
        <v>65.296559999999999</v>
      </c>
      <c r="S496">
        <v>68.080709999999996</v>
      </c>
      <c r="T496"/>
      <c r="U496">
        <v>60.95861</v>
      </c>
      <c r="V496">
        <v>59.453960000000002</v>
      </c>
      <c r="W496">
        <v>28.118780000000001</v>
      </c>
      <c r="X496">
        <v>8.0810440000000003</v>
      </c>
      <c r="Y496"/>
      <c r="Z496"/>
      <c r="AA496">
        <v>55.940460000000002</v>
      </c>
      <c r="AB496"/>
      <c r="AC496">
        <v>29.458410000000001</v>
      </c>
      <c r="AD496">
        <v>51.517569999999999</v>
      </c>
      <c r="AE496">
        <v>92.596549999999993</v>
      </c>
      <c r="AF496">
        <v>43.397100000000002</v>
      </c>
      <c r="AG496"/>
      <c r="AH496">
        <v>58.977640000000001</v>
      </c>
      <c r="AI496"/>
      <c r="AJ496">
        <v>9.9442810000000001</v>
      </c>
      <c r="AK496">
        <v>57.855119999999999</v>
      </c>
      <c r="AL496">
        <v>60.274090000000001</v>
      </c>
      <c r="AM496">
        <v>44.219160000000002</v>
      </c>
      <c r="AN496">
        <v>34.432200000000002</v>
      </c>
      <c r="AO496"/>
      <c r="AP496">
        <v>37.510269999999998</v>
      </c>
      <c r="AQ496"/>
      <c r="AR496"/>
      <c r="AS496"/>
      <c r="AT496"/>
      <c r="AU496">
        <v>66.506590000000003</v>
      </c>
      <c r="AV496"/>
      <c r="AW496">
        <v>55.274279999999997</v>
      </c>
      <c r="AX496"/>
    </row>
    <row r="497" spans="1:50" x14ac:dyDescent="0.35">
      <c r="A497" s="75">
        <v>32964</v>
      </c>
      <c r="B497">
        <v>59.826070000000001</v>
      </c>
      <c r="C497">
        <v>61.09111</v>
      </c>
      <c r="D497"/>
      <c r="E497">
        <v>63.272300000000001</v>
      </c>
      <c r="F497">
        <v>74.929320000000004</v>
      </c>
      <c r="G497"/>
      <c r="H497"/>
      <c r="I497"/>
      <c r="J497"/>
      <c r="K497"/>
      <c r="L497">
        <v>63.776249999999997</v>
      </c>
      <c r="M497">
        <v>62.237900000000003</v>
      </c>
      <c r="N497"/>
      <c r="O497">
        <v>49.946190000000001</v>
      </c>
      <c r="P497"/>
      <c r="Q497"/>
      <c r="R497">
        <v>65.579610000000002</v>
      </c>
      <c r="S497">
        <v>68.381839999999997</v>
      </c>
      <c r="T497"/>
      <c r="U497">
        <v>61.314120000000003</v>
      </c>
      <c r="V497">
        <v>61.426090000000002</v>
      </c>
      <c r="W497">
        <v>28.655609999999999</v>
      </c>
      <c r="X497">
        <v>8.3623290000000008</v>
      </c>
      <c r="Y497"/>
      <c r="Z497"/>
      <c r="AA497">
        <v>56.252220000000001</v>
      </c>
      <c r="AB497"/>
      <c r="AC497">
        <v>30.268260000000001</v>
      </c>
      <c r="AD497">
        <v>51.697470000000003</v>
      </c>
      <c r="AE497">
        <v>93.623440000000002</v>
      </c>
      <c r="AF497">
        <v>43.695430000000002</v>
      </c>
      <c r="AG497"/>
      <c r="AH497">
        <v>59.111629999999998</v>
      </c>
      <c r="AI497"/>
      <c r="AJ497">
        <v>10.125220000000001</v>
      </c>
      <c r="AK497">
        <v>58.151600000000002</v>
      </c>
      <c r="AL497">
        <v>60.359850000000002</v>
      </c>
      <c r="AM497">
        <v>44.551859999999998</v>
      </c>
      <c r="AN497">
        <v>34.801900000000003</v>
      </c>
      <c r="AO497"/>
      <c r="AP497">
        <v>37.914340000000003</v>
      </c>
      <c r="AQ497"/>
      <c r="AR497"/>
      <c r="AS497"/>
      <c r="AT497"/>
      <c r="AU497">
        <v>66.841610000000003</v>
      </c>
      <c r="AV497"/>
      <c r="AW497">
        <v>55.398119999999999</v>
      </c>
      <c r="AX497"/>
    </row>
    <row r="498" spans="1:50" x14ac:dyDescent="0.35">
      <c r="A498" s="75">
        <v>32994</v>
      </c>
      <c r="B498">
        <v>59.786740000000002</v>
      </c>
      <c r="C498">
        <v>61.23865</v>
      </c>
      <c r="D498"/>
      <c r="E498">
        <v>63.60369</v>
      </c>
      <c r="F498">
        <v>75.533720000000002</v>
      </c>
      <c r="G498"/>
      <c r="H498"/>
      <c r="I498"/>
      <c r="J498"/>
      <c r="K498"/>
      <c r="L498">
        <v>63.927930000000003</v>
      </c>
      <c r="M498">
        <v>62.861629999999998</v>
      </c>
      <c r="N498"/>
      <c r="O498">
        <v>50.168700000000001</v>
      </c>
      <c r="P498"/>
      <c r="Q498"/>
      <c r="R498">
        <v>65.848969999999994</v>
      </c>
      <c r="S498">
        <v>68.53904</v>
      </c>
      <c r="T498"/>
      <c r="U498">
        <v>61.47766</v>
      </c>
      <c r="V498">
        <v>61.927219999999998</v>
      </c>
      <c r="W498">
        <v>29.175940000000001</v>
      </c>
      <c r="X498">
        <v>8.3657620000000001</v>
      </c>
      <c r="Y498"/>
      <c r="Z498"/>
      <c r="AA498">
        <v>56.252220000000001</v>
      </c>
      <c r="AB498"/>
      <c r="AC498">
        <v>30.673190000000002</v>
      </c>
      <c r="AD498">
        <v>51.849870000000003</v>
      </c>
      <c r="AE498">
        <v>93.946520000000007</v>
      </c>
      <c r="AF498">
        <v>44.056190000000001</v>
      </c>
      <c r="AG498"/>
      <c r="AH498">
        <v>59.289670000000001</v>
      </c>
      <c r="AI498"/>
      <c r="AJ498">
        <v>10.33249</v>
      </c>
      <c r="AK498">
        <v>58.254840000000002</v>
      </c>
      <c r="AL498">
        <v>60.426679999999998</v>
      </c>
      <c r="AM498">
        <v>44.744779999999999</v>
      </c>
      <c r="AN498">
        <v>34.996020000000001</v>
      </c>
      <c r="AO498"/>
      <c r="AP498">
        <v>38.491390000000003</v>
      </c>
      <c r="AQ498"/>
      <c r="AR498"/>
      <c r="AS498"/>
      <c r="AT498"/>
      <c r="AU498">
        <v>67.260490000000004</v>
      </c>
      <c r="AV498"/>
      <c r="AW498">
        <v>55.48068</v>
      </c>
      <c r="AX498"/>
    </row>
    <row r="499" spans="1:50" x14ac:dyDescent="0.35">
      <c r="A499" s="75">
        <v>33025</v>
      </c>
      <c r="B499">
        <v>60.099350000000001</v>
      </c>
      <c r="C499">
        <v>61.3977</v>
      </c>
      <c r="D499"/>
      <c r="E499">
        <v>63.679079999999999</v>
      </c>
      <c r="F499">
        <v>75.623109999999997</v>
      </c>
      <c r="G499"/>
      <c r="H499"/>
      <c r="I499"/>
      <c r="J499"/>
      <c r="K499"/>
      <c r="L499">
        <v>64.043880000000001</v>
      </c>
      <c r="M499">
        <v>62.817149999999998</v>
      </c>
      <c r="N499"/>
      <c r="O499">
        <v>50.381979999999999</v>
      </c>
      <c r="P499"/>
      <c r="Q499"/>
      <c r="R499">
        <v>66.271000000000001</v>
      </c>
      <c r="S499">
        <v>68.693989999999999</v>
      </c>
      <c r="T499"/>
      <c r="U499">
        <v>61.640169999999998</v>
      </c>
      <c r="V499">
        <v>62.211669999999998</v>
      </c>
      <c r="W499">
        <v>29.83379</v>
      </c>
      <c r="X499">
        <v>8.3596140000000005</v>
      </c>
      <c r="Y499"/>
      <c r="Z499"/>
      <c r="AA499">
        <v>56.252220000000001</v>
      </c>
      <c r="AB499"/>
      <c r="AC499">
        <v>31.078119999999998</v>
      </c>
      <c r="AD499">
        <v>52.063459999999999</v>
      </c>
      <c r="AE499">
        <v>94.026629999999997</v>
      </c>
      <c r="AF499">
        <v>44.354520000000001</v>
      </c>
      <c r="AG499"/>
      <c r="AH499">
        <v>59.360480000000003</v>
      </c>
      <c r="AI499"/>
      <c r="AJ499">
        <v>10.562010000000001</v>
      </c>
      <c r="AK499">
        <v>58.198740000000001</v>
      </c>
      <c r="AL499">
        <v>60.62303</v>
      </c>
      <c r="AM499">
        <v>44.929259999999999</v>
      </c>
      <c r="AN499">
        <v>35.152439999999999</v>
      </c>
      <c r="AO499"/>
      <c r="AP499">
        <v>38.66489</v>
      </c>
      <c r="AQ499"/>
      <c r="AR499"/>
      <c r="AS499"/>
      <c r="AT499"/>
      <c r="AU499">
        <v>67.18571</v>
      </c>
      <c r="AV499"/>
      <c r="AW499">
        <v>55.645800000000001</v>
      </c>
      <c r="AX499"/>
    </row>
    <row r="500" spans="1:50" x14ac:dyDescent="0.35">
      <c r="A500" s="75">
        <v>33055</v>
      </c>
      <c r="B500">
        <v>60.975299999999997</v>
      </c>
      <c r="C500">
        <v>61.749079999999999</v>
      </c>
      <c r="D500"/>
      <c r="E500">
        <v>63.940219999999997</v>
      </c>
      <c r="F500">
        <v>75.681979999999996</v>
      </c>
      <c r="G500"/>
      <c r="H500"/>
      <c r="I500"/>
      <c r="J500"/>
      <c r="K500"/>
      <c r="L500">
        <v>64.072909999999993</v>
      </c>
      <c r="M500">
        <v>62.446390000000001</v>
      </c>
      <c r="N500"/>
      <c r="O500">
        <v>50.646180000000001</v>
      </c>
      <c r="P500"/>
      <c r="Q500"/>
      <c r="R500">
        <v>66.239729999999994</v>
      </c>
      <c r="S500">
        <v>68.849130000000002</v>
      </c>
      <c r="T500"/>
      <c r="U500">
        <v>61.831139999999998</v>
      </c>
      <c r="V500">
        <v>62.377899999999997</v>
      </c>
      <c r="W500">
        <v>29.60568</v>
      </c>
      <c r="X500">
        <v>8.5823540000000005</v>
      </c>
      <c r="Y500"/>
      <c r="Z500"/>
      <c r="AA500">
        <v>56.943899999999999</v>
      </c>
      <c r="AB500"/>
      <c r="AC500">
        <v>31.685510000000001</v>
      </c>
      <c r="AD500">
        <v>52.244529999999997</v>
      </c>
      <c r="AE500">
        <v>93.829899999999995</v>
      </c>
      <c r="AF500">
        <v>44.475119999999997</v>
      </c>
      <c r="AG500"/>
      <c r="AH500">
        <v>59.477460000000001</v>
      </c>
      <c r="AI500"/>
      <c r="AJ500">
        <v>10.759499999999999</v>
      </c>
      <c r="AK500">
        <v>58.366410000000002</v>
      </c>
      <c r="AL500">
        <v>60.600790000000003</v>
      </c>
      <c r="AM500">
        <v>45.11694</v>
      </c>
      <c r="AN500">
        <v>35.261800000000001</v>
      </c>
      <c r="AO500"/>
      <c r="AP500">
        <v>38.996969999999997</v>
      </c>
      <c r="AQ500"/>
      <c r="AR500"/>
      <c r="AS500"/>
      <c r="AT500"/>
      <c r="AU500">
        <v>67.61506</v>
      </c>
      <c r="AV500"/>
      <c r="AW500">
        <v>55.934759999999997</v>
      </c>
      <c r="AX500"/>
    </row>
    <row r="501" spans="1:50" x14ac:dyDescent="0.35">
      <c r="A501" s="75">
        <v>33086</v>
      </c>
      <c r="B501">
        <v>61.212910000000001</v>
      </c>
      <c r="C501">
        <v>61.784210000000002</v>
      </c>
      <c r="D501"/>
      <c r="E501">
        <v>64.175290000000004</v>
      </c>
      <c r="F501">
        <v>76.458889999999997</v>
      </c>
      <c r="G501"/>
      <c r="H501"/>
      <c r="I501"/>
      <c r="J501"/>
      <c r="K501"/>
      <c r="L501">
        <v>64.17062</v>
      </c>
      <c r="M501">
        <v>62.939019999999999</v>
      </c>
      <c r="N501"/>
      <c r="O501">
        <v>50.700530000000001</v>
      </c>
      <c r="P501"/>
      <c r="Q501"/>
      <c r="R501">
        <v>66.540539999999993</v>
      </c>
      <c r="S501">
        <v>69.054450000000003</v>
      </c>
      <c r="T501"/>
      <c r="U501">
        <v>62.111960000000003</v>
      </c>
      <c r="V501">
        <v>62.827100000000002</v>
      </c>
      <c r="W501">
        <v>29.350429999999999</v>
      </c>
      <c r="X501">
        <v>8.7180929999999996</v>
      </c>
      <c r="Y501"/>
      <c r="Z501"/>
      <c r="AA501">
        <v>56.943899999999999</v>
      </c>
      <c r="AB501"/>
      <c r="AC501">
        <v>32.191670000000002</v>
      </c>
      <c r="AD501">
        <v>52.494109999999999</v>
      </c>
      <c r="AE501">
        <v>93.724850000000004</v>
      </c>
      <c r="AF501">
        <v>44.593609999999998</v>
      </c>
      <c r="AG501"/>
      <c r="AH501">
        <v>59.675699999999999</v>
      </c>
      <c r="AI501"/>
      <c r="AJ501">
        <v>10.93816</v>
      </c>
      <c r="AK501">
        <v>58.485939999999999</v>
      </c>
      <c r="AL501">
        <v>60.462600000000002</v>
      </c>
      <c r="AM501">
        <v>45.355820000000001</v>
      </c>
      <c r="AN501">
        <v>35.437390000000001</v>
      </c>
      <c r="AO501"/>
      <c r="AP501">
        <v>39.384039999999999</v>
      </c>
      <c r="AQ501"/>
      <c r="AR501"/>
      <c r="AS501"/>
      <c r="AT501"/>
      <c r="AU501">
        <v>67.933009999999996</v>
      </c>
      <c r="AV501"/>
      <c r="AW501">
        <v>56.306280000000001</v>
      </c>
      <c r="AX501"/>
    </row>
    <row r="502" spans="1:50" x14ac:dyDescent="0.35">
      <c r="A502" s="75">
        <v>33117</v>
      </c>
      <c r="B502">
        <v>60.499949999999998</v>
      </c>
      <c r="C502">
        <v>61.80301</v>
      </c>
      <c r="D502"/>
      <c r="E502">
        <v>64.351780000000005</v>
      </c>
      <c r="F502">
        <v>76.635149999999996</v>
      </c>
      <c r="G502"/>
      <c r="H502"/>
      <c r="I502"/>
      <c r="J502"/>
      <c r="K502"/>
      <c r="L502">
        <v>64.395960000000002</v>
      </c>
      <c r="M502">
        <v>63.412619999999997</v>
      </c>
      <c r="N502"/>
      <c r="O502">
        <v>50.947299999999998</v>
      </c>
      <c r="P502"/>
      <c r="Q502"/>
      <c r="R502">
        <v>66.938500000000005</v>
      </c>
      <c r="S502">
        <v>69.265379999999993</v>
      </c>
      <c r="T502"/>
      <c r="U502">
        <v>62.441200000000002</v>
      </c>
      <c r="V502">
        <v>63.285339999999998</v>
      </c>
      <c r="W502">
        <v>30.60256</v>
      </c>
      <c r="X502">
        <v>8.8662729999999996</v>
      </c>
      <c r="Y502"/>
      <c r="Z502"/>
      <c r="AA502">
        <v>56.943899999999999</v>
      </c>
      <c r="AB502"/>
      <c r="AC502">
        <v>32.900289999999998</v>
      </c>
      <c r="AD502">
        <v>52.706040000000002</v>
      </c>
      <c r="AE502">
        <v>94.303139999999999</v>
      </c>
      <c r="AF502">
        <v>44.653910000000003</v>
      </c>
      <c r="AG502"/>
      <c r="AH502">
        <v>59.932189999999999</v>
      </c>
      <c r="AI502"/>
      <c r="AJ502">
        <v>11.126329999999999</v>
      </c>
      <c r="AK502">
        <v>58.908589999999997</v>
      </c>
      <c r="AL502">
        <v>61.155889999999999</v>
      </c>
      <c r="AM502">
        <v>45.713799999999999</v>
      </c>
      <c r="AN502">
        <v>35.806109999999997</v>
      </c>
      <c r="AO502"/>
      <c r="AP502">
        <v>39.614330000000002</v>
      </c>
      <c r="AQ502"/>
      <c r="AR502"/>
      <c r="AS502"/>
      <c r="AT502"/>
      <c r="AU502">
        <v>68.570700000000002</v>
      </c>
      <c r="AV502"/>
      <c r="AW502">
        <v>56.636519999999997</v>
      </c>
      <c r="AX502"/>
    </row>
    <row r="503" spans="1:50" x14ac:dyDescent="0.35">
      <c r="A503" s="75">
        <v>33147</v>
      </c>
      <c r="B503">
        <v>60.346229999999998</v>
      </c>
      <c r="C503">
        <v>61.752119999999998</v>
      </c>
      <c r="D503"/>
      <c r="E503">
        <v>64.748410000000007</v>
      </c>
      <c r="F503">
        <v>76.817409999999995</v>
      </c>
      <c r="G503"/>
      <c r="H503"/>
      <c r="I503"/>
      <c r="J503"/>
      <c r="K503"/>
      <c r="L503">
        <v>64.737530000000007</v>
      </c>
      <c r="M503">
        <v>63.449440000000003</v>
      </c>
      <c r="N503"/>
      <c r="O503">
        <v>51.19876</v>
      </c>
      <c r="P503"/>
      <c r="Q503"/>
      <c r="R503">
        <v>66.987009999999998</v>
      </c>
      <c r="S503">
        <v>69.526539999999997</v>
      </c>
      <c r="T503"/>
      <c r="U503">
        <v>62.743589999999998</v>
      </c>
      <c r="V503">
        <v>63.766970000000001</v>
      </c>
      <c r="W503">
        <v>31.517330000000001</v>
      </c>
      <c r="X503">
        <v>8.9666230000000002</v>
      </c>
      <c r="Y503"/>
      <c r="Z503"/>
      <c r="AA503">
        <v>57.202129999999997</v>
      </c>
      <c r="AB503"/>
      <c r="AC503">
        <v>33.406440000000003</v>
      </c>
      <c r="AD503">
        <v>53.055630000000001</v>
      </c>
      <c r="AE503">
        <v>94.664580000000001</v>
      </c>
      <c r="AF503">
        <v>44.832700000000003</v>
      </c>
      <c r="AG503"/>
      <c r="AH503">
        <v>60.374929999999999</v>
      </c>
      <c r="AI503"/>
      <c r="AJ503">
        <v>11.31803</v>
      </c>
      <c r="AK503">
        <v>59.039920000000002</v>
      </c>
      <c r="AL503">
        <v>61.562950000000001</v>
      </c>
      <c r="AM503">
        <v>46.048479999999998</v>
      </c>
      <c r="AN503">
        <v>36.152239999999999</v>
      </c>
      <c r="AO503"/>
      <c r="AP503">
        <v>39.97598</v>
      </c>
      <c r="AQ503"/>
      <c r="AR503"/>
      <c r="AS503"/>
      <c r="AT503"/>
      <c r="AU503">
        <v>69.072460000000007</v>
      </c>
      <c r="AV503"/>
      <c r="AW503">
        <v>56.884210000000003</v>
      </c>
      <c r="AX503"/>
    </row>
    <row r="504" spans="1:50" x14ac:dyDescent="0.35">
      <c r="A504" s="75">
        <v>33178</v>
      </c>
      <c r="B504">
        <v>60.458759999999998</v>
      </c>
      <c r="C504">
        <v>61.825009999999999</v>
      </c>
      <c r="D504"/>
      <c r="E504">
        <v>65.034949999999995</v>
      </c>
      <c r="F504">
        <v>78.036699999999996</v>
      </c>
      <c r="G504"/>
      <c r="H504"/>
      <c r="I504"/>
      <c r="J504"/>
      <c r="K504"/>
      <c r="L504">
        <v>64.665629999999993</v>
      </c>
      <c r="M504">
        <v>63.666379999999997</v>
      </c>
      <c r="N504"/>
      <c r="O504">
        <v>51.442869999999999</v>
      </c>
      <c r="P504"/>
      <c r="Q504"/>
      <c r="R504">
        <v>66.976219999999998</v>
      </c>
      <c r="S504">
        <v>69.607770000000002</v>
      </c>
      <c r="T504"/>
      <c r="U504">
        <v>62.894919999999999</v>
      </c>
      <c r="V504">
        <v>63.708550000000002</v>
      </c>
      <c r="W504">
        <v>32.030160000000002</v>
      </c>
      <c r="X504">
        <v>9.2432079999999992</v>
      </c>
      <c r="Y504"/>
      <c r="Z504"/>
      <c r="AA504">
        <v>57.202129999999997</v>
      </c>
      <c r="AB504"/>
      <c r="AC504">
        <v>33.710140000000003</v>
      </c>
      <c r="AD504">
        <v>53.436860000000003</v>
      </c>
      <c r="AE504">
        <v>94.911140000000003</v>
      </c>
      <c r="AF504">
        <v>45.072850000000003</v>
      </c>
      <c r="AG504"/>
      <c r="AH504">
        <v>60.444629999999997</v>
      </c>
      <c r="AI504"/>
      <c r="AJ504">
        <v>11.58431</v>
      </c>
      <c r="AK504">
        <v>59.096559999999997</v>
      </c>
      <c r="AL504">
        <v>61.648609999999998</v>
      </c>
      <c r="AM504">
        <v>46.277259999999998</v>
      </c>
      <c r="AN504">
        <v>36.359200000000001</v>
      </c>
      <c r="AO504"/>
      <c r="AP504">
        <v>40.500860000000003</v>
      </c>
      <c r="AQ504"/>
      <c r="AR504"/>
      <c r="AS504"/>
      <c r="AT504"/>
      <c r="AU504">
        <v>69.461200000000005</v>
      </c>
      <c r="AV504"/>
      <c r="AW504">
        <v>57.049329999999998</v>
      </c>
      <c r="AX504"/>
    </row>
    <row r="505" spans="1:50" x14ac:dyDescent="0.35">
      <c r="A505" s="75">
        <v>33208</v>
      </c>
      <c r="B505">
        <v>60.631219999999999</v>
      </c>
      <c r="C505">
        <v>62.036799999999999</v>
      </c>
      <c r="D505"/>
      <c r="E505">
        <v>65.027799999999999</v>
      </c>
      <c r="F505">
        <v>78.122799999999998</v>
      </c>
      <c r="G505"/>
      <c r="H505"/>
      <c r="I505"/>
      <c r="J505"/>
      <c r="K505"/>
      <c r="L505">
        <v>64.721779999999995</v>
      </c>
      <c r="M505">
        <v>63.548949999999998</v>
      </c>
      <c r="N505"/>
      <c r="O505">
        <v>51.676189999999998</v>
      </c>
      <c r="P505"/>
      <c r="Q505"/>
      <c r="R505">
        <v>66.980369999999994</v>
      </c>
      <c r="S505">
        <v>69.696190000000001</v>
      </c>
      <c r="T505"/>
      <c r="U505">
        <v>62.954729999999998</v>
      </c>
      <c r="V505">
        <v>63.746490000000001</v>
      </c>
      <c r="W505">
        <v>32.71837</v>
      </c>
      <c r="X505">
        <v>9.1583109999999994</v>
      </c>
      <c r="Y505"/>
      <c r="Z505"/>
      <c r="AA505">
        <v>57.202129999999997</v>
      </c>
      <c r="AB505"/>
      <c r="AC505">
        <v>34.013840000000002</v>
      </c>
      <c r="AD505">
        <v>53.562069999999999</v>
      </c>
      <c r="AE505">
        <v>95.041700000000006</v>
      </c>
      <c r="AF505">
        <v>45.193449999999999</v>
      </c>
      <c r="AG505"/>
      <c r="AH505">
        <v>60.446300000000001</v>
      </c>
      <c r="AI505"/>
      <c r="AJ505">
        <v>11.91736</v>
      </c>
      <c r="AK505">
        <v>59.033549999999998</v>
      </c>
      <c r="AL505">
        <v>61.586930000000002</v>
      </c>
      <c r="AM505">
        <v>46.418460000000003</v>
      </c>
      <c r="AN505">
        <v>36.472389999999997</v>
      </c>
      <c r="AO505"/>
      <c r="AP505">
        <v>40.66536</v>
      </c>
      <c r="AQ505"/>
      <c r="AR505"/>
      <c r="AS505"/>
      <c r="AT505"/>
      <c r="AU505">
        <v>69.658529999999999</v>
      </c>
      <c r="AV505"/>
      <c r="AW505">
        <v>57.090609999999998</v>
      </c>
      <c r="AX505"/>
    </row>
    <row r="506" spans="1:50" x14ac:dyDescent="0.35">
      <c r="A506" s="75">
        <v>33239</v>
      </c>
      <c r="B506">
        <v>61.051740000000002</v>
      </c>
      <c r="C506">
        <v>62.858919999999998</v>
      </c>
      <c r="D506"/>
      <c r="E506">
        <v>66.600020000000001</v>
      </c>
      <c r="F506">
        <v>78.551230000000004</v>
      </c>
      <c r="G506"/>
      <c r="H506"/>
      <c r="I506"/>
      <c r="J506"/>
      <c r="K506"/>
      <c r="L506">
        <v>65.008510000000001</v>
      </c>
      <c r="M506">
        <v>63.561109999999999</v>
      </c>
      <c r="N506"/>
      <c r="O506">
        <v>52.481900000000003</v>
      </c>
      <c r="P506"/>
      <c r="Q506"/>
      <c r="R506">
        <v>68.137540000000001</v>
      </c>
      <c r="S506">
        <v>70.031419999999997</v>
      </c>
      <c r="T506"/>
      <c r="U506">
        <v>63.314169999999997</v>
      </c>
      <c r="V506">
        <v>63.871630000000003</v>
      </c>
      <c r="W506">
        <v>32.712220000000002</v>
      </c>
      <c r="X506">
        <v>10.09615</v>
      </c>
      <c r="Y506"/>
      <c r="Z506"/>
      <c r="AA506">
        <v>57.891869999999997</v>
      </c>
      <c r="AB506"/>
      <c r="AC506">
        <v>34.216299999999997</v>
      </c>
      <c r="AD506">
        <v>53.637439999999998</v>
      </c>
      <c r="AE506">
        <v>94.912949999999995</v>
      </c>
      <c r="AF506">
        <v>46.150880000000001</v>
      </c>
      <c r="AG506"/>
      <c r="AH506">
        <v>60.673949999999998</v>
      </c>
      <c r="AI506"/>
      <c r="AJ506">
        <v>12.23424</v>
      </c>
      <c r="AK506">
        <v>58.867269999999998</v>
      </c>
      <c r="AL506">
        <v>61.689410000000002</v>
      </c>
      <c r="AM506">
        <v>46.798839999999998</v>
      </c>
      <c r="AN506">
        <v>36.750100000000003</v>
      </c>
      <c r="AO506"/>
      <c r="AP506">
        <v>42.103200000000001</v>
      </c>
      <c r="AQ506"/>
      <c r="AR506"/>
      <c r="AS506"/>
      <c r="AT506"/>
      <c r="AU506">
        <v>71.169499999999999</v>
      </c>
      <c r="AV506"/>
      <c r="AW506">
        <v>57.544690000000003</v>
      </c>
      <c r="AX506"/>
    </row>
    <row r="507" spans="1:50" x14ac:dyDescent="0.35">
      <c r="A507" s="75">
        <v>33270</v>
      </c>
      <c r="B507">
        <v>61.524859999999997</v>
      </c>
      <c r="C507">
        <v>63.133000000000003</v>
      </c>
      <c r="D507"/>
      <c r="E507">
        <v>66.996700000000004</v>
      </c>
      <c r="F507">
        <v>79.327610000000007</v>
      </c>
      <c r="G507"/>
      <c r="H507"/>
      <c r="I507"/>
      <c r="J507"/>
      <c r="K507"/>
      <c r="L507">
        <v>65.311859999999996</v>
      </c>
      <c r="M507">
        <v>63.864550000000001</v>
      </c>
      <c r="N507"/>
      <c r="O507">
        <v>52.797080000000001</v>
      </c>
      <c r="P507"/>
      <c r="Q507"/>
      <c r="R507">
        <v>68.571150000000003</v>
      </c>
      <c r="S507">
        <v>70.268590000000003</v>
      </c>
      <c r="T507"/>
      <c r="U507">
        <v>63.626620000000003</v>
      </c>
      <c r="V507">
        <v>64.260549999999995</v>
      </c>
      <c r="W507">
        <v>32.419350000000001</v>
      </c>
      <c r="X507">
        <v>10.4582</v>
      </c>
      <c r="Y507"/>
      <c r="Z507"/>
      <c r="AA507">
        <v>57.891869999999997</v>
      </c>
      <c r="AB507"/>
      <c r="AC507">
        <v>34.51999</v>
      </c>
      <c r="AD507">
        <v>54.065579999999997</v>
      </c>
      <c r="AE507">
        <v>94.741460000000004</v>
      </c>
      <c r="AF507">
        <v>46.630119999999998</v>
      </c>
      <c r="AG507"/>
      <c r="AH507">
        <v>60.760289999999998</v>
      </c>
      <c r="AI507"/>
      <c r="AJ507">
        <v>12.47842</v>
      </c>
      <c r="AK507">
        <v>58.98865</v>
      </c>
      <c r="AL507">
        <v>61.958660000000002</v>
      </c>
      <c r="AM507">
        <v>47.103029999999997</v>
      </c>
      <c r="AN507">
        <v>37.031379999999999</v>
      </c>
      <c r="AO507"/>
      <c r="AP507">
        <v>42.86571</v>
      </c>
      <c r="AQ507"/>
      <c r="AR507"/>
      <c r="AS507"/>
      <c r="AT507"/>
      <c r="AU507">
        <v>73.939430000000002</v>
      </c>
      <c r="AV507"/>
      <c r="AW507">
        <v>57.91621</v>
      </c>
      <c r="AX507"/>
    </row>
    <row r="508" spans="1:50" x14ac:dyDescent="0.35">
      <c r="A508" s="75">
        <v>33298</v>
      </c>
      <c r="B508">
        <v>61.721290000000003</v>
      </c>
      <c r="C508">
        <v>63.312739999999998</v>
      </c>
      <c r="D508"/>
      <c r="E508">
        <v>67.483149999999995</v>
      </c>
      <c r="F508">
        <v>79.536689999999993</v>
      </c>
      <c r="G508"/>
      <c r="H508"/>
      <c r="I508"/>
      <c r="J508"/>
      <c r="K508"/>
      <c r="L508">
        <v>65.439790000000002</v>
      </c>
      <c r="M508">
        <v>64.180160000000001</v>
      </c>
      <c r="N508"/>
      <c r="O508">
        <v>53.097090000000001</v>
      </c>
      <c r="P508"/>
      <c r="Q508"/>
      <c r="R508">
        <v>68.822270000000003</v>
      </c>
      <c r="S508">
        <v>70.454629999999995</v>
      </c>
      <c r="T508"/>
      <c r="U508">
        <v>63.908810000000003</v>
      </c>
      <c r="V508">
        <v>64.586089999999999</v>
      </c>
      <c r="W508">
        <v>33.217919999999999</v>
      </c>
      <c r="X508">
        <v>10.94392</v>
      </c>
      <c r="Y508"/>
      <c r="Z508"/>
      <c r="AA508">
        <v>57.891869999999997</v>
      </c>
      <c r="AB508"/>
      <c r="AC508">
        <v>35.127380000000002</v>
      </c>
      <c r="AD508">
        <v>54.39517</v>
      </c>
      <c r="AE508">
        <v>95.29401</v>
      </c>
      <c r="AF508">
        <v>47.22784</v>
      </c>
      <c r="AG508"/>
      <c r="AH508">
        <v>60.866370000000003</v>
      </c>
      <c r="AI508"/>
      <c r="AJ508">
        <v>12.687620000000001</v>
      </c>
      <c r="AK508">
        <v>59.36665</v>
      </c>
      <c r="AL508">
        <v>62.487659999999998</v>
      </c>
      <c r="AM508">
        <v>47.379829999999998</v>
      </c>
      <c r="AN508">
        <v>37.25808</v>
      </c>
      <c r="AO508"/>
      <c r="AP508">
        <v>43.288600000000002</v>
      </c>
      <c r="AQ508"/>
      <c r="AR508"/>
      <c r="AS508"/>
      <c r="AT508"/>
      <c r="AU508">
        <v>74.314850000000007</v>
      </c>
      <c r="AV508"/>
      <c r="AW508">
        <v>58.163890000000002</v>
      </c>
      <c r="AX508"/>
    </row>
    <row r="509" spans="1:50" x14ac:dyDescent="0.35">
      <c r="A509" s="75">
        <v>33329</v>
      </c>
      <c r="B509">
        <v>61.73359</v>
      </c>
      <c r="C509">
        <v>63.427720000000001</v>
      </c>
      <c r="D509"/>
      <c r="E509">
        <v>67.52731</v>
      </c>
      <c r="F509">
        <v>79.715710000000001</v>
      </c>
      <c r="G509"/>
      <c r="H509"/>
      <c r="I509"/>
      <c r="J509"/>
      <c r="K509"/>
      <c r="L509">
        <v>65.680729999999997</v>
      </c>
      <c r="M509">
        <v>64.251279999999994</v>
      </c>
      <c r="N509"/>
      <c r="O509">
        <v>53.386969999999998</v>
      </c>
      <c r="P509"/>
      <c r="Q509"/>
      <c r="R509">
        <v>69.098619999999997</v>
      </c>
      <c r="S509">
        <v>70.648070000000004</v>
      </c>
      <c r="T509"/>
      <c r="U509">
        <v>64.118480000000005</v>
      </c>
      <c r="V509">
        <v>65.192310000000006</v>
      </c>
      <c r="W509">
        <v>34.393500000000003</v>
      </c>
      <c r="X509">
        <v>11.45585</v>
      </c>
      <c r="Y509"/>
      <c r="Z509"/>
      <c r="AA509">
        <v>58.394500000000001</v>
      </c>
      <c r="AB509"/>
      <c r="AC509">
        <v>35.937240000000003</v>
      </c>
      <c r="AD509">
        <v>54.605879999999999</v>
      </c>
      <c r="AE509">
        <v>95.968320000000006</v>
      </c>
      <c r="AF509">
        <v>47.46799</v>
      </c>
      <c r="AG509"/>
      <c r="AH509">
        <v>61.043529999999997</v>
      </c>
      <c r="AI509"/>
      <c r="AJ509">
        <v>12.830679999999999</v>
      </c>
      <c r="AK509">
        <v>59.442450000000001</v>
      </c>
      <c r="AL509">
        <v>62.718649999999997</v>
      </c>
      <c r="AM509">
        <v>47.626719999999999</v>
      </c>
      <c r="AN509">
        <v>37.558329999999998</v>
      </c>
      <c r="AO509"/>
      <c r="AP509">
        <v>43.854100000000003</v>
      </c>
      <c r="AQ509"/>
      <c r="AR509"/>
      <c r="AS509"/>
      <c r="AT509"/>
      <c r="AU509">
        <v>74.90634</v>
      </c>
      <c r="AV509"/>
      <c r="AW509">
        <v>58.246459999999999</v>
      </c>
      <c r="AX509"/>
    </row>
    <row r="510" spans="1:50" x14ac:dyDescent="0.35">
      <c r="A510" s="75">
        <v>33359</v>
      </c>
      <c r="B510">
        <v>61.668320000000001</v>
      </c>
      <c r="C510">
        <v>63.629420000000003</v>
      </c>
      <c r="D510"/>
      <c r="E510">
        <v>67.756659999999997</v>
      </c>
      <c r="F510">
        <v>80.584609999999998</v>
      </c>
      <c r="G510"/>
      <c r="H510"/>
      <c r="I510"/>
      <c r="J510"/>
      <c r="K510"/>
      <c r="L510">
        <v>65.832849999999993</v>
      </c>
      <c r="M510">
        <v>64.716489999999993</v>
      </c>
      <c r="N510"/>
      <c r="O510">
        <v>53.58549</v>
      </c>
      <c r="P510"/>
      <c r="Q510"/>
      <c r="R510">
        <v>69.51473</v>
      </c>
      <c r="S510">
        <v>70.839160000000007</v>
      </c>
      <c r="T510"/>
      <c r="U510">
        <v>64.306139999999999</v>
      </c>
      <c r="V510">
        <v>65.331130000000002</v>
      </c>
      <c r="W510">
        <v>34.575530000000001</v>
      </c>
      <c r="X510">
        <v>11.47808</v>
      </c>
      <c r="Y510"/>
      <c r="Z510"/>
      <c r="AA510">
        <v>58.394500000000001</v>
      </c>
      <c r="AB510"/>
      <c r="AC510">
        <v>36.645859999999999</v>
      </c>
      <c r="AD510">
        <v>55.047199999999997</v>
      </c>
      <c r="AE510">
        <v>96.565309999999997</v>
      </c>
      <c r="AF510">
        <v>47.767380000000003</v>
      </c>
      <c r="AG510"/>
      <c r="AH510">
        <v>61.369210000000002</v>
      </c>
      <c r="AI510"/>
      <c r="AJ510">
        <v>12.955209999999999</v>
      </c>
      <c r="AK510">
        <v>59.55791</v>
      </c>
      <c r="AL510">
        <v>62.774859999999997</v>
      </c>
      <c r="AM510">
        <v>47.83079</v>
      </c>
      <c r="AN510">
        <v>37.788150000000002</v>
      </c>
      <c r="AO510"/>
      <c r="AP510">
        <v>44.220840000000003</v>
      </c>
      <c r="AQ510"/>
      <c r="AR510"/>
      <c r="AS510"/>
      <c r="AT510"/>
      <c r="AU510">
        <v>74.906139999999994</v>
      </c>
      <c r="AV510"/>
      <c r="AW510">
        <v>58.32902</v>
      </c>
      <c r="AX510"/>
    </row>
    <row r="511" spans="1:50" x14ac:dyDescent="0.35">
      <c r="A511" s="75">
        <v>33390</v>
      </c>
      <c r="B511">
        <v>61.976759999999999</v>
      </c>
      <c r="C511">
        <v>63.850940000000001</v>
      </c>
      <c r="D511"/>
      <c r="E511">
        <v>67.863730000000004</v>
      </c>
      <c r="F511">
        <v>80.744039999999998</v>
      </c>
      <c r="G511"/>
      <c r="H511"/>
      <c r="I511"/>
      <c r="J511"/>
      <c r="K511"/>
      <c r="L511">
        <v>66.235830000000007</v>
      </c>
      <c r="M511">
        <v>64.764039999999994</v>
      </c>
      <c r="N511"/>
      <c r="O511">
        <v>53.767359999999996</v>
      </c>
      <c r="P511"/>
      <c r="Q511"/>
      <c r="R511">
        <v>69.488230000000001</v>
      </c>
      <c r="S511">
        <v>71.014719999999997</v>
      </c>
      <c r="T511"/>
      <c r="U511">
        <v>64.437889999999996</v>
      </c>
      <c r="V511">
        <v>65.549970000000002</v>
      </c>
      <c r="W511">
        <v>35.128450000000001</v>
      </c>
      <c r="X511">
        <v>11.48597</v>
      </c>
      <c r="Y511"/>
      <c r="Z511"/>
      <c r="AA511">
        <v>58.394500000000001</v>
      </c>
      <c r="AB511"/>
      <c r="AC511">
        <v>37.556939999999997</v>
      </c>
      <c r="AD511">
        <v>55.296810000000001</v>
      </c>
      <c r="AE511">
        <v>96.468509999999995</v>
      </c>
      <c r="AF511">
        <v>48.124960000000002</v>
      </c>
      <c r="AG511"/>
      <c r="AH511">
        <v>61.448740000000001</v>
      </c>
      <c r="AI511"/>
      <c r="AJ511">
        <v>13.09033</v>
      </c>
      <c r="AK511">
        <v>59.575789999999998</v>
      </c>
      <c r="AL511">
        <v>62.850929999999998</v>
      </c>
      <c r="AM511">
        <v>48.000309999999999</v>
      </c>
      <c r="AN511">
        <v>38.02478</v>
      </c>
      <c r="AO511"/>
      <c r="AP511">
        <v>44.448439999999998</v>
      </c>
      <c r="AQ511"/>
      <c r="AR511"/>
      <c r="AS511"/>
      <c r="AT511"/>
      <c r="AU511">
        <v>74.666730000000001</v>
      </c>
      <c r="AV511"/>
      <c r="AW511">
        <v>58.411580000000001</v>
      </c>
      <c r="AX511"/>
    </row>
    <row r="512" spans="1:50" x14ac:dyDescent="0.35">
      <c r="A512" s="75">
        <v>33420</v>
      </c>
      <c r="B512">
        <v>62.94914</v>
      </c>
      <c r="C512">
        <v>64.166079999999994</v>
      </c>
      <c r="D512"/>
      <c r="E512">
        <v>67.983689999999996</v>
      </c>
      <c r="F512">
        <v>80.964780000000005</v>
      </c>
      <c r="G512"/>
      <c r="H512"/>
      <c r="I512"/>
      <c r="J512"/>
      <c r="K512"/>
      <c r="L512">
        <v>66.766229999999993</v>
      </c>
      <c r="M512">
        <v>64.399429999999995</v>
      </c>
      <c r="N512"/>
      <c r="O512">
        <v>53.998179999999998</v>
      </c>
      <c r="P512"/>
      <c r="Q512"/>
      <c r="R512">
        <v>69.185419999999993</v>
      </c>
      <c r="S512">
        <v>71.196070000000006</v>
      </c>
      <c r="T512"/>
      <c r="U512">
        <v>64.620080000000002</v>
      </c>
      <c r="V512">
        <v>65.425820000000002</v>
      </c>
      <c r="W512">
        <v>35.141910000000003</v>
      </c>
      <c r="X512">
        <v>11.90789</v>
      </c>
      <c r="Y512"/>
      <c r="Z512"/>
      <c r="AA512">
        <v>59.176569999999998</v>
      </c>
      <c r="AB512"/>
      <c r="AC512">
        <v>38.872959999999999</v>
      </c>
      <c r="AD512">
        <v>55.494630000000001</v>
      </c>
      <c r="AE512">
        <v>96.345209999999994</v>
      </c>
      <c r="AF512">
        <v>48.484659999999998</v>
      </c>
      <c r="AG512"/>
      <c r="AH512">
        <v>61.724789999999999</v>
      </c>
      <c r="AI512"/>
      <c r="AJ512">
        <v>13.217750000000001</v>
      </c>
      <c r="AK512">
        <v>60.011310000000002</v>
      </c>
      <c r="AL512">
        <v>62.680990000000001</v>
      </c>
      <c r="AM512">
        <v>48.188850000000002</v>
      </c>
      <c r="AN512">
        <v>38.222659999999998</v>
      </c>
      <c r="AO512"/>
      <c r="AP512">
        <v>44.744909999999997</v>
      </c>
      <c r="AQ512"/>
      <c r="AR512"/>
      <c r="AS512"/>
      <c r="AT512"/>
      <c r="AU512">
        <v>74.528369999999995</v>
      </c>
      <c r="AV512"/>
      <c r="AW512">
        <v>58.617980000000003</v>
      </c>
      <c r="AX512"/>
    </row>
    <row r="513" spans="1:50" x14ac:dyDescent="0.35">
      <c r="A513" s="75">
        <v>33451</v>
      </c>
      <c r="B513">
        <v>63.323349999999998</v>
      </c>
      <c r="C513">
        <v>64.292559999999995</v>
      </c>
      <c r="D513"/>
      <c r="E513">
        <v>68.288730000000001</v>
      </c>
      <c r="F513">
        <v>81.561329999999998</v>
      </c>
      <c r="G513"/>
      <c r="H513"/>
      <c r="I513"/>
      <c r="J513"/>
      <c r="K513"/>
      <c r="L513">
        <v>66.881789999999995</v>
      </c>
      <c r="M513">
        <v>64.549000000000007</v>
      </c>
      <c r="N513"/>
      <c r="O513">
        <v>54.153390000000002</v>
      </c>
      <c r="P513"/>
      <c r="Q513"/>
      <c r="R513">
        <v>69.305599999999998</v>
      </c>
      <c r="S513">
        <v>71.347499999999997</v>
      </c>
      <c r="T513"/>
      <c r="U513">
        <v>64.820130000000006</v>
      </c>
      <c r="V513">
        <v>65.519459999999995</v>
      </c>
      <c r="W513">
        <v>35.07544</v>
      </c>
      <c r="X513">
        <v>11.87926</v>
      </c>
      <c r="Y513"/>
      <c r="Z513"/>
      <c r="AA513">
        <v>59.176569999999998</v>
      </c>
      <c r="AB513"/>
      <c r="AC513">
        <v>39.682810000000003</v>
      </c>
      <c r="AD513">
        <v>55.637970000000003</v>
      </c>
      <c r="AE513">
        <v>96.251900000000006</v>
      </c>
      <c r="AF513">
        <v>48.605260000000001</v>
      </c>
      <c r="AG513"/>
      <c r="AH513">
        <v>61.853520000000003</v>
      </c>
      <c r="AI513"/>
      <c r="AJ513">
        <v>13.33572</v>
      </c>
      <c r="AK513">
        <v>60.275539999999999</v>
      </c>
      <c r="AL513">
        <v>62.63597</v>
      </c>
      <c r="AM513">
        <v>48.381459999999997</v>
      </c>
      <c r="AN513">
        <v>38.382129999999997</v>
      </c>
      <c r="AO513"/>
      <c r="AP513">
        <v>44.991840000000003</v>
      </c>
      <c r="AQ513"/>
      <c r="AR513"/>
      <c r="AS513"/>
      <c r="AT513"/>
      <c r="AU513">
        <v>74.548869999999994</v>
      </c>
      <c r="AV513"/>
      <c r="AW513">
        <v>58.906939999999999</v>
      </c>
      <c r="AX513"/>
    </row>
    <row r="514" spans="1:50" x14ac:dyDescent="0.35">
      <c r="A514" s="75">
        <v>33482</v>
      </c>
      <c r="B514">
        <v>62.718200000000003</v>
      </c>
      <c r="C514">
        <v>64.381540000000001</v>
      </c>
      <c r="D514"/>
      <c r="E514">
        <v>68.254490000000004</v>
      </c>
      <c r="F514">
        <v>81.711200000000005</v>
      </c>
      <c r="G514"/>
      <c r="H514"/>
      <c r="I514"/>
      <c r="J514"/>
      <c r="K514"/>
      <c r="L514">
        <v>66.897379999999998</v>
      </c>
      <c r="M514">
        <v>65.020089999999996</v>
      </c>
      <c r="N514"/>
      <c r="O514">
        <v>54.456829999999997</v>
      </c>
      <c r="P514"/>
      <c r="Q514"/>
      <c r="R514">
        <v>69.566909999999993</v>
      </c>
      <c r="S514">
        <v>71.532539999999997</v>
      </c>
      <c r="T514"/>
      <c r="U514">
        <v>65.096689999999995</v>
      </c>
      <c r="V514">
        <v>65.951890000000006</v>
      </c>
      <c r="W514">
        <v>36.561160000000001</v>
      </c>
      <c r="X514">
        <v>12.09084</v>
      </c>
      <c r="Y514"/>
      <c r="Z514"/>
      <c r="AA514">
        <v>59.176569999999998</v>
      </c>
      <c r="AB514"/>
      <c r="AC514">
        <v>40.290199999999999</v>
      </c>
      <c r="AD514">
        <v>55.870620000000002</v>
      </c>
      <c r="AE514">
        <v>96.856759999999994</v>
      </c>
      <c r="AF514">
        <v>48.724800000000002</v>
      </c>
      <c r="AG514"/>
      <c r="AH514">
        <v>62.017420000000001</v>
      </c>
      <c r="AI514"/>
      <c r="AJ514">
        <v>13.510070000000001</v>
      </c>
      <c r="AK514">
        <v>60.848080000000003</v>
      </c>
      <c r="AL514">
        <v>63.172080000000001</v>
      </c>
      <c r="AM514">
        <v>48.69585</v>
      </c>
      <c r="AN514">
        <v>38.705590000000001</v>
      </c>
      <c r="AO514"/>
      <c r="AP514">
        <v>45.288499999999999</v>
      </c>
      <c r="AQ514"/>
      <c r="AR514"/>
      <c r="AS514"/>
      <c r="AT514"/>
      <c r="AU514">
        <v>75.775760000000005</v>
      </c>
      <c r="AV514"/>
      <c r="AW514">
        <v>59.195900000000002</v>
      </c>
      <c r="AX514"/>
    </row>
    <row r="515" spans="1:50" x14ac:dyDescent="0.35">
      <c r="A515" s="75">
        <v>33512</v>
      </c>
      <c r="B515">
        <v>62.53387</v>
      </c>
      <c r="C515">
        <v>64.606129999999993</v>
      </c>
      <c r="D515"/>
      <c r="E515">
        <v>68.423929999999999</v>
      </c>
      <c r="F515">
        <v>81.759749999999997</v>
      </c>
      <c r="G515"/>
      <c r="H515"/>
      <c r="I515"/>
      <c r="J515"/>
      <c r="K515"/>
      <c r="L515">
        <v>68.043890000000005</v>
      </c>
      <c r="M515">
        <v>65.135639999999995</v>
      </c>
      <c r="N515"/>
      <c r="O515">
        <v>54.801940000000002</v>
      </c>
      <c r="P515"/>
      <c r="Q515"/>
      <c r="R515">
        <v>69.684970000000007</v>
      </c>
      <c r="S515">
        <v>71.816090000000003</v>
      </c>
      <c r="T515"/>
      <c r="U515">
        <v>65.445210000000003</v>
      </c>
      <c r="V515">
        <v>66.216650000000001</v>
      </c>
      <c r="W515">
        <v>37.412439999999997</v>
      </c>
      <c r="X515">
        <v>12.193059999999999</v>
      </c>
      <c r="Y515"/>
      <c r="Z515"/>
      <c r="AA515">
        <v>59.707279999999997</v>
      </c>
      <c r="AB515"/>
      <c r="AC515">
        <v>40.290199999999999</v>
      </c>
      <c r="AD515">
        <v>56.115470000000002</v>
      </c>
      <c r="AE515">
        <v>97.367080000000001</v>
      </c>
      <c r="AF515">
        <v>48.963889999999999</v>
      </c>
      <c r="AG515"/>
      <c r="AH515">
        <v>62.234360000000002</v>
      </c>
      <c r="AI515"/>
      <c r="AJ515">
        <v>13.68866</v>
      </c>
      <c r="AK515">
        <v>60.952970000000001</v>
      </c>
      <c r="AL515">
        <v>63.232840000000003</v>
      </c>
      <c r="AM515">
        <v>49.058019999999999</v>
      </c>
      <c r="AN515">
        <v>39.151820000000001</v>
      </c>
      <c r="AO515"/>
      <c r="AP515">
        <v>45.668129999999998</v>
      </c>
      <c r="AQ515"/>
      <c r="AR515"/>
      <c r="AS515"/>
      <c r="AT515"/>
      <c r="AU515">
        <v>76.211780000000005</v>
      </c>
      <c r="AV515"/>
      <c r="AW515">
        <v>59.402299999999997</v>
      </c>
      <c r="AX515"/>
    </row>
    <row r="516" spans="1:50" x14ac:dyDescent="0.35">
      <c r="A516" s="75">
        <v>33543</v>
      </c>
      <c r="B516">
        <v>62.728020000000001</v>
      </c>
      <c r="C516">
        <v>64.732820000000004</v>
      </c>
      <c r="D516"/>
      <c r="E516">
        <v>68.706000000000003</v>
      </c>
      <c r="F516">
        <v>82.744870000000006</v>
      </c>
      <c r="G516"/>
      <c r="H516"/>
      <c r="I516"/>
      <c r="J516"/>
      <c r="K516"/>
      <c r="L516">
        <v>68.267489999999995</v>
      </c>
      <c r="M516">
        <v>65.455569999999994</v>
      </c>
      <c r="N516"/>
      <c r="O516">
        <v>55.122669999999999</v>
      </c>
      <c r="P516"/>
      <c r="Q516"/>
      <c r="R516">
        <v>69.716470000000001</v>
      </c>
      <c r="S516">
        <v>72.017650000000003</v>
      </c>
      <c r="T516"/>
      <c r="U516">
        <v>65.654309999999995</v>
      </c>
      <c r="V516">
        <v>66.428259999999995</v>
      </c>
      <c r="W516">
        <v>38.008850000000002</v>
      </c>
      <c r="X516">
        <v>12.35304</v>
      </c>
      <c r="Y516"/>
      <c r="Z516"/>
      <c r="AA516">
        <v>59.707279999999997</v>
      </c>
      <c r="AB516"/>
      <c r="AC516">
        <v>40.492660000000001</v>
      </c>
      <c r="AD516">
        <v>56.46181</v>
      </c>
      <c r="AE516">
        <v>97.412750000000003</v>
      </c>
      <c r="AF516">
        <v>49.263289999999998</v>
      </c>
      <c r="AG516"/>
      <c r="AH516">
        <v>62.45711</v>
      </c>
      <c r="AI516"/>
      <c r="AJ516">
        <v>13.95811</v>
      </c>
      <c r="AK516">
        <v>61.023650000000004</v>
      </c>
      <c r="AL516">
        <v>63.226619999999997</v>
      </c>
      <c r="AM516">
        <v>49.320259999999998</v>
      </c>
      <c r="AN516">
        <v>39.432749999999999</v>
      </c>
      <c r="AO516"/>
      <c r="AP516">
        <v>46.056480000000001</v>
      </c>
      <c r="AQ516"/>
      <c r="AR516"/>
      <c r="AS516"/>
      <c r="AT516"/>
      <c r="AU516">
        <v>76.420969999999997</v>
      </c>
      <c r="AV516"/>
      <c r="AW516">
        <v>59.608699999999999</v>
      </c>
      <c r="AX516"/>
    </row>
    <row r="517" spans="1:50" x14ac:dyDescent="0.35">
      <c r="A517" s="75">
        <v>33573</v>
      </c>
      <c r="B517">
        <v>62.79589</v>
      </c>
      <c r="C517">
        <v>64.853260000000006</v>
      </c>
      <c r="D517"/>
      <c r="E517">
        <v>68.494619999999998</v>
      </c>
      <c r="F517">
        <v>82.782390000000007</v>
      </c>
      <c r="G517"/>
      <c r="H517"/>
      <c r="I517"/>
      <c r="J517"/>
      <c r="K517"/>
      <c r="L517">
        <v>68.465639999999993</v>
      </c>
      <c r="M517">
        <v>65.364779999999996</v>
      </c>
      <c r="N517"/>
      <c r="O517">
        <v>55.334299999999999</v>
      </c>
      <c r="P517"/>
      <c r="Q517"/>
      <c r="R517">
        <v>70.203190000000006</v>
      </c>
      <c r="S517">
        <v>72.116640000000004</v>
      </c>
      <c r="T517"/>
      <c r="U517">
        <v>65.700509999999994</v>
      </c>
      <c r="V517">
        <v>66.503020000000006</v>
      </c>
      <c r="W517">
        <v>38.632840000000002</v>
      </c>
      <c r="X517">
        <v>12.402240000000001</v>
      </c>
      <c r="Y517"/>
      <c r="Z517"/>
      <c r="AA517">
        <v>59.707279999999997</v>
      </c>
      <c r="AB517"/>
      <c r="AC517">
        <v>40.593890000000002</v>
      </c>
      <c r="AD517">
        <v>56.598860000000002</v>
      </c>
      <c r="AE517">
        <v>97.505880000000005</v>
      </c>
      <c r="AF517">
        <v>49.382840000000002</v>
      </c>
      <c r="AG517"/>
      <c r="AH517">
        <v>62.58905</v>
      </c>
      <c r="AI517"/>
      <c r="AJ517">
        <v>14.228</v>
      </c>
      <c r="AK517">
        <v>60.906999999999996</v>
      </c>
      <c r="AL517">
        <v>63.29739</v>
      </c>
      <c r="AM517">
        <v>49.466239999999999</v>
      </c>
      <c r="AN517">
        <v>39.633270000000003</v>
      </c>
      <c r="AO517"/>
      <c r="AP517">
        <v>46.377719999999997</v>
      </c>
      <c r="AQ517"/>
      <c r="AR517"/>
      <c r="AS517"/>
      <c r="AT517"/>
      <c r="AU517">
        <v>76.667370000000005</v>
      </c>
      <c r="AV517"/>
      <c r="AW517">
        <v>59.608699999999999</v>
      </c>
      <c r="AX517"/>
    </row>
    <row r="518" spans="1:50" x14ac:dyDescent="0.35">
      <c r="A518" s="75">
        <v>33604</v>
      </c>
      <c r="B518">
        <v>63.395310000000002</v>
      </c>
      <c r="C518">
        <v>65.20684</v>
      </c>
      <c r="D518"/>
      <c r="E518">
        <v>68.612139999999997</v>
      </c>
      <c r="F518">
        <v>83.317620000000005</v>
      </c>
      <c r="G518"/>
      <c r="H518"/>
      <c r="I518"/>
      <c r="J518"/>
      <c r="K518"/>
      <c r="L518">
        <v>68.900639999999996</v>
      </c>
      <c r="M518">
        <v>65.15849</v>
      </c>
      <c r="N518"/>
      <c r="O518">
        <v>55.945410000000003</v>
      </c>
      <c r="P518"/>
      <c r="Q518"/>
      <c r="R518">
        <v>70.598680000000002</v>
      </c>
      <c r="S518">
        <v>72.230199999999996</v>
      </c>
      <c r="T518"/>
      <c r="U518">
        <v>65.85848</v>
      </c>
      <c r="V518">
        <v>66.467619999999997</v>
      </c>
      <c r="W518">
        <v>38.416440000000001</v>
      </c>
      <c r="X518">
        <v>13.286199999999999</v>
      </c>
      <c r="Y518"/>
      <c r="Z518"/>
      <c r="AA518">
        <v>60.304209999999998</v>
      </c>
      <c r="AB518"/>
      <c r="AC518">
        <v>40.290199999999999</v>
      </c>
      <c r="AD518">
        <v>56.947029999999998</v>
      </c>
      <c r="AE518">
        <v>97.086650000000006</v>
      </c>
      <c r="AF518">
        <v>49.683280000000003</v>
      </c>
      <c r="AG518"/>
      <c r="AH518">
        <v>63.174790000000002</v>
      </c>
      <c r="AI518"/>
      <c r="AJ518">
        <v>14.5097</v>
      </c>
      <c r="AK518">
        <v>60.840389999999999</v>
      </c>
      <c r="AL518">
        <v>63.165080000000003</v>
      </c>
      <c r="AM518">
        <v>49.726280000000003</v>
      </c>
      <c r="AN518">
        <v>39.976399999999998</v>
      </c>
      <c r="AO518"/>
      <c r="AP518">
        <v>47.47775</v>
      </c>
      <c r="AQ518"/>
      <c r="AR518"/>
      <c r="AS518"/>
      <c r="AT518"/>
      <c r="AU518">
        <v>76.997569999999996</v>
      </c>
      <c r="AV518"/>
      <c r="AW518">
        <v>59.815109999999997</v>
      </c>
      <c r="AX518"/>
    </row>
    <row r="519" spans="1:50" x14ac:dyDescent="0.35">
      <c r="A519" s="75">
        <v>33635</v>
      </c>
      <c r="B519">
        <v>64.133030000000005</v>
      </c>
      <c r="C519">
        <v>65.453220000000002</v>
      </c>
      <c r="D519"/>
      <c r="E519">
        <v>68.763229999999993</v>
      </c>
      <c r="F519">
        <v>83.997410000000002</v>
      </c>
      <c r="G519"/>
      <c r="H519"/>
      <c r="I519"/>
      <c r="J519"/>
      <c r="K519"/>
      <c r="L519">
        <v>69.237530000000007</v>
      </c>
      <c r="M519">
        <v>65.568839999999994</v>
      </c>
      <c r="N519"/>
      <c r="O519">
        <v>56.517110000000002</v>
      </c>
      <c r="P519"/>
      <c r="Q519"/>
      <c r="R519">
        <v>70.834789999999998</v>
      </c>
      <c r="S519">
        <v>72.582400000000007</v>
      </c>
      <c r="T519"/>
      <c r="U519">
        <v>66.136030000000005</v>
      </c>
      <c r="V519">
        <v>66.805790000000002</v>
      </c>
      <c r="W519">
        <v>38.502459999999999</v>
      </c>
      <c r="X519">
        <v>13.70669</v>
      </c>
      <c r="Y519"/>
      <c r="Z519"/>
      <c r="AA519">
        <v>60.304209999999998</v>
      </c>
      <c r="AB519"/>
      <c r="AC519">
        <v>40.492660000000001</v>
      </c>
      <c r="AD519">
        <v>57.292180000000002</v>
      </c>
      <c r="AE519">
        <v>97.123900000000006</v>
      </c>
      <c r="AF519">
        <v>50.041919999999998</v>
      </c>
      <c r="AG519"/>
      <c r="AH519">
        <v>63.418039999999998</v>
      </c>
      <c r="AI519"/>
      <c r="AJ519">
        <v>14.70524</v>
      </c>
      <c r="AK519">
        <v>61.161409999999997</v>
      </c>
      <c r="AL519">
        <v>63.363799999999998</v>
      </c>
      <c r="AM519">
        <v>49.998530000000002</v>
      </c>
      <c r="AN519">
        <v>40.260190000000001</v>
      </c>
      <c r="AO519"/>
      <c r="AP519">
        <v>48.124879999999997</v>
      </c>
      <c r="AQ519"/>
      <c r="AR519"/>
      <c r="AS519"/>
      <c r="AT519"/>
      <c r="AU519">
        <v>77.095249999999993</v>
      </c>
      <c r="AV519"/>
      <c r="AW519">
        <v>60.10407</v>
      </c>
      <c r="AX519"/>
    </row>
    <row r="520" spans="1:50" x14ac:dyDescent="0.35">
      <c r="A520" s="75">
        <v>33664</v>
      </c>
      <c r="B520">
        <v>64.37527</v>
      </c>
      <c r="C520">
        <v>65.719830000000002</v>
      </c>
      <c r="D520"/>
      <c r="E520">
        <v>69.036469999999994</v>
      </c>
      <c r="F520">
        <v>84.250870000000006</v>
      </c>
      <c r="G520"/>
      <c r="H520"/>
      <c r="I520"/>
      <c r="J520"/>
      <c r="K520"/>
      <c r="L520">
        <v>69.645229999999998</v>
      </c>
      <c r="M520">
        <v>65.883889999999994</v>
      </c>
      <c r="N520"/>
      <c r="O520">
        <v>56.842100000000002</v>
      </c>
      <c r="P520"/>
      <c r="Q520"/>
      <c r="R520">
        <v>71.134309999999999</v>
      </c>
      <c r="S520">
        <v>72.84281</v>
      </c>
      <c r="T520"/>
      <c r="U520">
        <v>66.486019999999996</v>
      </c>
      <c r="V520">
        <v>66.987309999999994</v>
      </c>
      <c r="W520">
        <v>39.595570000000002</v>
      </c>
      <c r="X520">
        <v>13.91222</v>
      </c>
      <c r="Y520"/>
      <c r="Z520"/>
      <c r="AA520">
        <v>60.304209999999998</v>
      </c>
      <c r="AB520"/>
      <c r="AC520">
        <v>40.695129999999999</v>
      </c>
      <c r="AD520">
        <v>57.619450000000001</v>
      </c>
      <c r="AE520">
        <v>97.736580000000004</v>
      </c>
      <c r="AF520">
        <v>50.819499999999998</v>
      </c>
      <c r="AG520"/>
      <c r="AH520">
        <v>63.522970000000001</v>
      </c>
      <c r="AI520"/>
      <c r="AJ520">
        <v>14.85984</v>
      </c>
      <c r="AK520">
        <v>61.738419999999998</v>
      </c>
      <c r="AL520">
        <v>64.000320000000002</v>
      </c>
      <c r="AM520">
        <v>50.324219999999997</v>
      </c>
      <c r="AN520">
        <v>40.547800000000002</v>
      </c>
      <c r="AO520"/>
      <c r="AP520">
        <v>48.530259999999998</v>
      </c>
      <c r="AQ520"/>
      <c r="AR520"/>
      <c r="AS520"/>
      <c r="AT520"/>
      <c r="AU520">
        <v>77.557140000000004</v>
      </c>
      <c r="AV520"/>
      <c r="AW520">
        <v>60.434310000000004</v>
      </c>
      <c r="AX520"/>
    </row>
    <row r="521" spans="1:50" x14ac:dyDescent="0.35">
      <c r="A521" s="75">
        <v>33695</v>
      </c>
      <c r="B521">
        <v>64.3065</v>
      </c>
      <c r="C521">
        <v>65.648449999999997</v>
      </c>
      <c r="D521"/>
      <c r="E521">
        <v>69.080889999999997</v>
      </c>
      <c r="F521">
        <v>84.39067</v>
      </c>
      <c r="G521"/>
      <c r="H521"/>
      <c r="I521"/>
      <c r="J521"/>
      <c r="K521"/>
      <c r="L521">
        <v>69.905339999999995</v>
      </c>
      <c r="M521">
        <v>66.052279999999996</v>
      </c>
      <c r="N521"/>
      <c r="O521">
        <v>57.105379999999997</v>
      </c>
      <c r="P521"/>
      <c r="Q521"/>
      <c r="R521">
        <v>71.379570000000001</v>
      </c>
      <c r="S521">
        <v>72.995949999999993</v>
      </c>
      <c r="T521"/>
      <c r="U521">
        <v>66.775670000000005</v>
      </c>
      <c r="V521">
        <v>68.223699999999994</v>
      </c>
      <c r="W521">
        <v>40.314990000000002</v>
      </c>
      <c r="X521">
        <v>14.08841</v>
      </c>
      <c r="Y521"/>
      <c r="Z521"/>
      <c r="AA521">
        <v>60.840179999999997</v>
      </c>
      <c r="AB521"/>
      <c r="AC521">
        <v>41.504980000000003</v>
      </c>
      <c r="AD521">
        <v>57.835340000000002</v>
      </c>
      <c r="AE521">
        <v>98.784469999999999</v>
      </c>
      <c r="AF521">
        <v>51.000399999999999</v>
      </c>
      <c r="AG521"/>
      <c r="AH521">
        <v>63.733260000000001</v>
      </c>
      <c r="AI521"/>
      <c r="AJ521">
        <v>15.01064</v>
      </c>
      <c r="AK521">
        <v>61.938920000000003</v>
      </c>
      <c r="AL521">
        <v>64.249979999999994</v>
      </c>
      <c r="AM521">
        <v>50.598190000000002</v>
      </c>
      <c r="AN521">
        <v>40.8812</v>
      </c>
      <c r="AO521"/>
      <c r="AP521">
        <v>48.851309999999998</v>
      </c>
      <c r="AQ521"/>
      <c r="AR521"/>
      <c r="AS521"/>
      <c r="AT521"/>
      <c r="AU521">
        <v>77.749039999999994</v>
      </c>
      <c r="AV521"/>
      <c r="AW521">
        <v>60.516869999999997</v>
      </c>
      <c r="AX521"/>
    </row>
    <row r="522" spans="1:50" x14ac:dyDescent="0.35">
      <c r="A522" s="75">
        <v>33725</v>
      </c>
      <c r="B522">
        <v>64.467770000000002</v>
      </c>
      <c r="C522">
        <v>65.85136</v>
      </c>
      <c r="D522"/>
      <c r="E522">
        <v>69.130549999999999</v>
      </c>
      <c r="F522">
        <v>84.760310000000004</v>
      </c>
      <c r="G522"/>
      <c r="H522"/>
      <c r="I522"/>
      <c r="J522"/>
      <c r="K522"/>
      <c r="L522">
        <v>70.078069999999997</v>
      </c>
      <c r="M522">
        <v>66.488029999999995</v>
      </c>
      <c r="N522"/>
      <c r="O522">
        <v>57.289389999999997</v>
      </c>
      <c r="P522"/>
      <c r="Q522"/>
      <c r="R522">
        <v>71.485900000000001</v>
      </c>
      <c r="S522">
        <v>73.225059999999999</v>
      </c>
      <c r="T522"/>
      <c r="U522">
        <v>66.899870000000007</v>
      </c>
      <c r="V522">
        <v>68.431470000000004</v>
      </c>
      <c r="W522">
        <v>40.419280000000001</v>
      </c>
      <c r="X522">
        <v>14.21899</v>
      </c>
      <c r="Y522"/>
      <c r="Z522"/>
      <c r="AA522">
        <v>60.840179999999997</v>
      </c>
      <c r="AB522"/>
      <c r="AC522">
        <v>41.808669999999999</v>
      </c>
      <c r="AD522">
        <v>58.151539999999997</v>
      </c>
      <c r="AE522">
        <v>99.030079999999998</v>
      </c>
      <c r="AF522">
        <v>51.238430000000001</v>
      </c>
      <c r="AG522"/>
      <c r="AH522">
        <v>64.040520000000001</v>
      </c>
      <c r="AI522"/>
      <c r="AJ522">
        <v>15.165190000000001</v>
      </c>
      <c r="AK522">
        <v>62.027760000000001</v>
      </c>
      <c r="AL522">
        <v>64.340109999999996</v>
      </c>
      <c r="AM522">
        <v>50.753990000000002</v>
      </c>
      <c r="AN522">
        <v>41.084380000000003</v>
      </c>
      <c r="AO522"/>
      <c r="AP522">
        <v>49.69173</v>
      </c>
      <c r="AQ522"/>
      <c r="AR522"/>
      <c r="AS522"/>
      <c r="AT522"/>
      <c r="AU522">
        <v>77.672389999999993</v>
      </c>
      <c r="AV522"/>
      <c r="AW522">
        <v>60.558149999999998</v>
      </c>
      <c r="AX522"/>
    </row>
    <row r="523" spans="1:50" x14ac:dyDescent="0.35">
      <c r="A523" s="75">
        <v>33756</v>
      </c>
      <c r="B523">
        <v>64.810310000000001</v>
      </c>
      <c r="C523">
        <v>66.175219999999996</v>
      </c>
      <c r="D523"/>
      <c r="E523">
        <v>69.125209999999996</v>
      </c>
      <c r="F523">
        <v>84.911699999999996</v>
      </c>
      <c r="G523"/>
      <c r="H523"/>
      <c r="I523"/>
      <c r="J523"/>
      <c r="K523"/>
      <c r="L523">
        <v>70.284869999999998</v>
      </c>
      <c r="M523">
        <v>66.495249999999999</v>
      </c>
      <c r="N523"/>
      <c r="O523">
        <v>57.449489999999997</v>
      </c>
      <c r="P523"/>
      <c r="Q523"/>
      <c r="R523">
        <v>71.912710000000004</v>
      </c>
      <c r="S523">
        <v>73.348290000000006</v>
      </c>
      <c r="T523"/>
      <c r="U523">
        <v>67.01343</v>
      </c>
      <c r="V523">
        <v>68.478560000000002</v>
      </c>
      <c r="W523">
        <v>41.093020000000003</v>
      </c>
      <c r="X523">
        <v>14.357609999999999</v>
      </c>
      <c r="Y523"/>
      <c r="Z523"/>
      <c r="AA523">
        <v>60.840179999999997</v>
      </c>
      <c r="AB523"/>
      <c r="AC523">
        <v>42.011139999999997</v>
      </c>
      <c r="AD523">
        <v>58.301900000000003</v>
      </c>
      <c r="AE523">
        <v>99.256290000000007</v>
      </c>
      <c r="AF523">
        <v>51.29768</v>
      </c>
      <c r="AG523"/>
      <c r="AH523">
        <v>64.141360000000006</v>
      </c>
      <c r="AI523"/>
      <c r="AJ523">
        <v>15.29946</v>
      </c>
      <c r="AK523">
        <v>61.773060000000001</v>
      </c>
      <c r="AL523">
        <v>64.420410000000004</v>
      </c>
      <c r="AM523">
        <v>50.890970000000003</v>
      </c>
      <c r="AN523">
        <v>41.241160000000001</v>
      </c>
      <c r="AO523"/>
      <c r="AP523">
        <v>50.170409999999997</v>
      </c>
      <c r="AQ523"/>
      <c r="AR523"/>
      <c r="AS523"/>
      <c r="AT523"/>
      <c r="AU523">
        <v>77.36206</v>
      </c>
      <c r="AV523"/>
      <c r="AW523">
        <v>60.640709999999999</v>
      </c>
      <c r="AX523"/>
    </row>
    <row r="524" spans="1:50" x14ac:dyDescent="0.35">
      <c r="A524" s="75">
        <v>33786</v>
      </c>
      <c r="B524">
        <v>65.798429999999996</v>
      </c>
      <c r="C524">
        <v>66.529920000000004</v>
      </c>
      <c r="D524"/>
      <c r="E524">
        <v>69.232039999999998</v>
      </c>
      <c r="F524">
        <v>84.923860000000005</v>
      </c>
      <c r="G524"/>
      <c r="H524"/>
      <c r="I524"/>
      <c r="J524"/>
      <c r="K524"/>
      <c r="L524">
        <v>70.654439999999994</v>
      </c>
      <c r="M524">
        <v>66.209209999999999</v>
      </c>
      <c r="N524"/>
      <c r="O524">
        <v>57.645449999999997</v>
      </c>
      <c r="P524"/>
      <c r="Q524"/>
      <c r="R524">
        <v>71.835530000000006</v>
      </c>
      <c r="S524">
        <v>73.486400000000003</v>
      </c>
      <c r="T524"/>
      <c r="U524">
        <v>67.102530000000002</v>
      </c>
      <c r="V524">
        <v>68.325749999999999</v>
      </c>
      <c r="W524">
        <v>40.86985</v>
      </c>
      <c r="X524">
        <v>14.47148</v>
      </c>
      <c r="Y524"/>
      <c r="Z524"/>
      <c r="AA524">
        <v>61.289769999999997</v>
      </c>
      <c r="AB524"/>
      <c r="AC524">
        <v>42.416060000000002</v>
      </c>
      <c r="AD524">
        <v>58.48104</v>
      </c>
      <c r="AE524">
        <v>98.656649999999999</v>
      </c>
      <c r="AF524">
        <v>51.357979999999998</v>
      </c>
      <c r="AG524"/>
      <c r="AH524">
        <v>64.307040000000001</v>
      </c>
      <c r="AI524"/>
      <c r="AJ524">
        <v>15.424580000000001</v>
      </c>
      <c r="AK524">
        <v>62.216200000000001</v>
      </c>
      <c r="AL524">
        <v>64.526979999999995</v>
      </c>
      <c r="AM524">
        <v>51.019959999999998</v>
      </c>
      <c r="AN524">
        <v>41.421300000000002</v>
      </c>
      <c r="AO524"/>
      <c r="AP524">
        <v>50.42747</v>
      </c>
      <c r="AQ524"/>
      <c r="AR524"/>
      <c r="AS524"/>
      <c r="AT524"/>
      <c r="AU524">
        <v>77.447040000000001</v>
      </c>
      <c r="AV524"/>
      <c r="AW524">
        <v>60.80583</v>
      </c>
      <c r="AX524"/>
    </row>
    <row r="525" spans="1:50" x14ac:dyDescent="0.35">
      <c r="A525" s="75">
        <v>33817</v>
      </c>
      <c r="B525">
        <v>66.081829999999997</v>
      </c>
      <c r="C525">
        <v>66.58323</v>
      </c>
      <c r="D525"/>
      <c r="E525">
        <v>69.330470000000005</v>
      </c>
      <c r="F525">
        <v>85.46884</v>
      </c>
      <c r="G525"/>
      <c r="H525"/>
      <c r="I525"/>
      <c r="J525"/>
      <c r="K525"/>
      <c r="L525">
        <v>70.815079999999995</v>
      </c>
      <c r="M525">
        <v>66.37867</v>
      </c>
      <c r="N525"/>
      <c r="O525">
        <v>57.904829999999997</v>
      </c>
      <c r="P525"/>
      <c r="Q525"/>
      <c r="R525">
        <v>71.80744</v>
      </c>
      <c r="S525">
        <v>73.631389999999996</v>
      </c>
      <c r="T525"/>
      <c r="U525">
        <v>67.254130000000004</v>
      </c>
      <c r="V525">
        <v>68.41977</v>
      </c>
      <c r="W525">
        <v>40.667540000000002</v>
      </c>
      <c r="X525">
        <v>14.56298</v>
      </c>
      <c r="Y525"/>
      <c r="Z525"/>
      <c r="AA525">
        <v>61.289769999999997</v>
      </c>
      <c r="AB525"/>
      <c r="AC525">
        <v>42.922220000000003</v>
      </c>
      <c r="AD525">
        <v>58.72054</v>
      </c>
      <c r="AE525">
        <v>98.704530000000005</v>
      </c>
      <c r="AF525">
        <v>51.357979999999998</v>
      </c>
      <c r="AG525"/>
      <c r="AH525">
        <v>64.405280000000005</v>
      </c>
      <c r="AI525"/>
      <c r="AJ525">
        <v>15.559620000000001</v>
      </c>
      <c r="AK525">
        <v>62.503309999999999</v>
      </c>
      <c r="AL525">
        <v>64.321979999999996</v>
      </c>
      <c r="AM525">
        <v>51.193669999999997</v>
      </c>
      <c r="AN525">
        <v>41.618560000000002</v>
      </c>
      <c r="AO525"/>
      <c r="AP525">
        <v>50.671129999999998</v>
      </c>
      <c r="AQ525"/>
      <c r="AR525"/>
      <c r="AS525"/>
      <c r="AT525"/>
      <c r="AU525">
        <v>77.599260000000001</v>
      </c>
      <c r="AV525"/>
      <c r="AW525">
        <v>60.970950000000002</v>
      </c>
      <c r="AX525"/>
    </row>
    <row r="526" spans="1:50" x14ac:dyDescent="0.35">
      <c r="A526" s="75">
        <v>33848</v>
      </c>
      <c r="B526">
        <v>65.404589999999999</v>
      </c>
      <c r="C526">
        <v>66.574939999999998</v>
      </c>
      <c r="D526"/>
      <c r="E526">
        <v>69.445909999999998</v>
      </c>
      <c r="F526">
        <v>85.570239999999998</v>
      </c>
      <c r="G526"/>
      <c r="H526"/>
      <c r="I526"/>
      <c r="J526"/>
      <c r="K526"/>
      <c r="L526">
        <v>70.877290000000002</v>
      </c>
      <c r="M526">
        <v>66.685699999999997</v>
      </c>
      <c r="N526"/>
      <c r="O526">
        <v>58.373249999999999</v>
      </c>
      <c r="P526"/>
      <c r="Q526"/>
      <c r="R526">
        <v>72.279150000000001</v>
      </c>
      <c r="S526">
        <v>73.832239999999999</v>
      </c>
      <c r="T526"/>
      <c r="U526">
        <v>67.452060000000003</v>
      </c>
      <c r="V526">
        <v>68.797169999999994</v>
      </c>
      <c r="W526">
        <v>42.062109999999997</v>
      </c>
      <c r="X526">
        <v>14.83128</v>
      </c>
      <c r="Y526"/>
      <c r="Z526"/>
      <c r="AA526">
        <v>61.289769999999997</v>
      </c>
      <c r="AB526"/>
      <c r="AC526">
        <v>43.327150000000003</v>
      </c>
      <c r="AD526">
        <v>58.823869999999999</v>
      </c>
      <c r="AE526">
        <v>99.223920000000007</v>
      </c>
      <c r="AF526">
        <v>51.477519999999998</v>
      </c>
      <c r="AG526"/>
      <c r="AH526">
        <v>64.648439999999994</v>
      </c>
      <c r="AI526"/>
      <c r="AJ526">
        <v>15.738440000000001</v>
      </c>
      <c r="AK526">
        <v>63.110100000000003</v>
      </c>
      <c r="AL526">
        <v>64.81277</v>
      </c>
      <c r="AM526">
        <v>51.48854</v>
      </c>
      <c r="AN526">
        <v>41.988140000000001</v>
      </c>
      <c r="AO526"/>
      <c r="AP526">
        <v>50.928330000000003</v>
      </c>
      <c r="AQ526"/>
      <c r="AR526"/>
      <c r="AS526"/>
      <c r="AT526"/>
      <c r="AU526">
        <v>79.18817</v>
      </c>
      <c r="AV526"/>
      <c r="AW526">
        <v>61.136069999999997</v>
      </c>
      <c r="AX526"/>
    </row>
    <row r="527" spans="1:50" x14ac:dyDescent="0.35">
      <c r="A527" s="75">
        <v>33878</v>
      </c>
      <c r="B527">
        <v>65.28398</v>
      </c>
      <c r="C527">
        <v>66.757300000000001</v>
      </c>
      <c r="D527"/>
      <c r="E527">
        <v>69.593670000000003</v>
      </c>
      <c r="F527">
        <v>85.623949999999994</v>
      </c>
      <c r="G527"/>
      <c r="H527"/>
      <c r="I527"/>
      <c r="J527"/>
      <c r="K527"/>
      <c r="L527">
        <v>70.873310000000004</v>
      </c>
      <c r="M527">
        <v>66.560360000000003</v>
      </c>
      <c r="N527"/>
      <c r="O527">
        <v>58.636290000000002</v>
      </c>
      <c r="P527"/>
      <c r="Q527"/>
      <c r="R527">
        <v>72.626170000000002</v>
      </c>
      <c r="S527">
        <v>73.971530000000001</v>
      </c>
      <c r="T527"/>
      <c r="U527">
        <v>67.707840000000004</v>
      </c>
      <c r="V527">
        <v>68.990520000000004</v>
      </c>
      <c r="W527">
        <v>43.507620000000003</v>
      </c>
      <c r="X527">
        <v>15.076499999999999</v>
      </c>
      <c r="Y527"/>
      <c r="Z527"/>
      <c r="AA527">
        <v>61.743029999999997</v>
      </c>
      <c r="AB527"/>
      <c r="AC527">
        <v>43.327150000000003</v>
      </c>
      <c r="AD527">
        <v>59.084980000000002</v>
      </c>
      <c r="AE527">
        <v>99.289619999999999</v>
      </c>
      <c r="AF527">
        <v>51.65737</v>
      </c>
      <c r="AG527"/>
      <c r="AH527">
        <v>64.938299999999998</v>
      </c>
      <c r="AI527"/>
      <c r="AJ527">
        <v>15.86003</v>
      </c>
      <c r="AK527">
        <v>63.144240000000003</v>
      </c>
      <c r="AL527">
        <v>64.951170000000005</v>
      </c>
      <c r="AM527">
        <v>51.801400000000001</v>
      </c>
      <c r="AN527">
        <v>42.319580000000002</v>
      </c>
      <c r="AO527"/>
      <c r="AP527">
        <v>51.402140000000003</v>
      </c>
      <c r="AQ527"/>
      <c r="AR527"/>
      <c r="AS527"/>
      <c r="AT527"/>
      <c r="AU527">
        <v>79.356229999999996</v>
      </c>
      <c r="AV527"/>
      <c r="AW527">
        <v>61.507599999999996</v>
      </c>
      <c r="AX527"/>
    </row>
    <row r="528" spans="1:50" x14ac:dyDescent="0.35">
      <c r="A528" s="75">
        <v>33909</v>
      </c>
      <c r="B528">
        <v>65.471230000000006</v>
      </c>
      <c r="C528">
        <v>66.971599999999995</v>
      </c>
      <c r="D528"/>
      <c r="E528">
        <v>69.900210000000001</v>
      </c>
      <c r="F528">
        <v>86.588459999999998</v>
      </c>
      <c r="G528"/>
      <c r="H528"/>
      <c r="I528"/>
      <c r="J528"/>
      <c r="K528"/>
      <c r="L528">
        <v>71.197580000000002</v>
      </c>
      <c r="M528">
        <v>66.788960000000003</v>
      </c>
      <c r="N528"/>
      <c r="O528">
        <v>58.948529999999998</v>
      </c>
      <c r="P528"/>
      <c r="Q528"/>
      <c r="R528">
        <v>72.715190000000007</v>
      </c>
      <c r="S528">
        <v>74.031949999999995</v>
      </c>
      <c r="T528"/>
      <c r="U528">
        <v>67.889020000000002</v>
      </c>
      <c r="V528">
        <v>68.810730000000007</v>
      </c>
      <c r="W528">
        <v>44.100940000000001</v>
      </c>
      <c r="X528">
        <v>15.289859999999999</v>
      </c>
      <c r="Y528"/>
      <c r="Z528"/>
      <c r="AA528">
        <v>61.743029999999997</v>
      </c>
      <c r="AB528">
        <v>37.496949999999998</v>
      </c>
      <c r="AC528">
        <v>43.73207</v>
      </c>
      <c r="AD528">
        <v>59.617400000000004</v>
      </c>
      <c r="AE528">
        <v>99.580029999999994</v>
      </c>
      <c r="AF528">
        <v>51.776919999999997</v>
      </c>
      <c r="AG528"/>
      <c r="AH528">
        <v>65.151309999999995</v>
      </c>
      <c r="AI528"/>
      <c r="AJ528">
        <v>15.99259</v>
      </c>
      <c r="AK528">
        <v>63.152230000000003</v>
      </c>
      <c r="AL528">
        <v>64.965879999999999</v>
      </c>
      <c r="AM528">
        <v>52.024650000000001</v>
      </c>
      <c r="AN528">
        <v>42.602310000000003</v>
      </c>
      <c r="AO528"/>
      <c r="AP528">
        <v>51.852249999999998</v>
      </c>
      <c r="AQ528"/>
      <c r="AR528"/>
      <c r="AS528"/>
      <c r="AT528"/>
      <c r="AU528">
        <v>79.016779999999997</v>
      </c>
      <c r="AV528"/>
      <c r="AW528">
        <v>61.631439999999998</v>
      </c>
      <c r="AX528"/>
    </row>
    <row r="529" spans="1:50" x14ac:dyDescent="0.35">
      <c r="A529" s="75">
        <v>33939</v>
      </c>
      <c r="B529">
        <v>65.622640000000004</v>
      </c>
      <c r="C529">
        <v>67.037729999999996</v>
      </c>
      <c r="D529"/>
      <c r="E529">
        <v>69.858680000000007</v>
      </c>
      <c r="F529">
        <v>86.643169999999998</v>
      </c>
      <c r="G529"/>
      <c r="H529"/>
      <c r="I529"/>
      <c r="J529"/>
      <c r="K529"/>
      <c r="L529">
        <v>71.338200000000001</v>
      </c>
      <c r="M529">
        <v>66.724289999999996</v>
      </c>
      <c r="N529"/>
      <c r="O529">
        <v>59.087229999999998</v>
      </c>
      <c r="P529"/>
      <c r="Q529"/>
      <c r="R529">
        <v>72.477969999999999</v>
      </c>
      <c r="S529">
        <v>74.092460000000003</v>
      </c>
      <c r="T529"/>
      <c r="U529">
        <v>67.883889999999994</v>
      </c>
      <c r="V529">
        <v>68.388019999999997</v>
      </c>
      <c r="W529">
        <v>44.813870000000001</v>
      </c>
      <c r="X529">
        <v>15.46866</v>
      </c>
      <c r="Y529"/>
      <c r="Z529"/>
      <c r="AA529">
        <v>61.743029999999997</v>
      </c>
      <c r="AB529">
        <v>37.745550000000001</v>
      </c>
      <c r="AC529">
        <v>44.137</v>
      </c>
      <c r="AD529">
        <v>59.822139999999997</v>
      </c>
      <c r="AE529">
        <v>99.674030000000002</v>
      </c>
      <c r="AF529">
        <v>51.896459999999998</v>
      </c>
      <c r="AG529"/>
      <c r="AH529">
        <v>65.200329999999994</v>
      </c>
      <c r="AI529"/>
      <c r="AJ529">
        <v>16.174340000000001</v>
      </c>
      <c r="AK529">
        <v>62.964199999999998</v>
      </c>
      <c r="AL529">
        <v>65.087199999999996</v>
      </c>
      <c r="AM529">
        <v>52.111640000000001</v>
      </c>
      <c r="AN529">
        <v>42.737099999999998</v>
      </c>
      <c r="AO529"/>
      <c r="AP529">
        <v>52.050649999999997</v>
      </c>
      <c r="AQ529"/>
      <c r="AR529"/>
      <c r="AS529"/>
      <c r="AT529"/>
      <c r="AU529">
        <v>79.220349999999996</v>
      </c>
      <c r="AV529"/>
      <c r="AW529">
        <v>61.590159999999997</v>
      </c>
      <c r="AX529"/>
    </row>
    <row r="530" spans="1:50" x14ac:dyDescent="0.35">
      <c r="A530" s="75">
        <v>33970</v>
      </c>
      <c r="B530">
        <v>66.43853</v>
      </c>
      <c r="C530">
        <v>67.487070000000003</v>
      </c>
      <c r="D530"/>
      <c r="E530">
        <v>70.021060000000006</v>
      </c>
      <c r="F530">
        <v>87.802210000000002</v>
      </c>
      <c r="G530"/>
      <c r="H530"/>
      <c r="I530"/>
      <c r="J530"/>
      <c r="K530"/>
      <c r="L530">
        <v>72.714889999999997</v>
      </c>
      <c r="M530">
        <v>66.535960000000003</v>
      </c>
      <c r="N530"/>
      <c r="O530">
        <v>59.501860000000001</v>
      </c>
      <c r="P530"/>
      <c r="Q530"/>
      <c r="R530">
        <v>72.838489999999993</v>
      </c>
      <c r="S530">
        <v>74.298670000000001</v>
      </c>
      <c r="T530"/>
      <c r="U530">
        <v>68.118589999999998</v>
      </c>
      <c r="V530">
        <v>67.644400000000005</v>
      </c>
      <c r="W530">
        <v>44.348550000000003</v>
      </c>
      <c r="X530">
        <v>16.357220000000002</v>
      </c>
      <c r="Y530"/>
      <c r="Z530"/>
      <c r="AA530">
        <v>62.201329999999999</v>
      </c>
      <c r="AB530">
        <v>37.952710000000003</v>
      </c>
      <c r="AC530">
        <v>44.845619999999997</v>
      </c>
      <c r="AD530">
        <v>60.17765</v>
      </c>
      <c r="AE530">
        <v>98.941760000000002</v>
      </c>
      <c r="AF530">
        <v>52.257210000000001</v>
      </c>
      <c r="AG530"/>
      <c r="AH530">
        <v>65.874830000000003</v>
      </c>
      <c r="AI530"/>
      <c r="AJ530">
        <v>16.386849999999999</v>
      </c>
      <c r="AK530">
        <v>63.011099999999999</v>
      </c>
      <c r="AL530">
        <v>65.182010000000005</v>
      </c>
      <c r="AM530">
        <v>52.392800000000001</v>
      </c>
      <c r="AN530">
        <v>43.123159999999999</v>
      </c>
      <c r="AO530"/>
      <c r="AP530">
        <v>53.164619999999999</v>
      </c>
      <c r="AQ530"/>
      <c r="AR530"/>
      <c r="AS530"/>
      <c r="AT530"/>
      <c r="AU530">
        <v>80.565960000000004</v>
      </c>
      <c r="AV530"/>
      <c r="AW530">
        <v>61.87912</v>
      </c>
      <c r="AX530"/>
    </row>
    <row r="531" spans="1:50" x14ac:dyDescent="0.35">
      <c r="A531" s="75">
        <v>34001</v>
      </c>
      <c r="B531">
        <v>66.91234</v>
      </c>
      <c r="C531">
        <v>67.808909999999997</v>
      </c>
      <c r="D531"/>
      <c r="E531">
        <v>70.286119999999997</v>
      </c>
      <c r="F531">
        <v>88.480500000000006</v>
      </c>
      <c r="G531"/>
      <c r="H531"/>
      <c r="I531"/>
      <c r="J531"/>
      <c r="K531"/>
      <c r="L531">
        <v>73.356989999999996</v>
      </c>
      <c r="M531">
        <v>66.796239999999997</v>
      </c>
      <c r="N531"/>
      <c r="O531">
        <v>59.871220000000001</v>
      </c>
      <c r="P531"/>
      <c r="Q531"/>
      <c r="R531">
        <v>73.072559999999996</v>
      </c>
      <c r="S531">
        <v>74.693449999999999</v>
      </c>
      <c r="T531"/>
      <c r="U531">
        <v>68.470089999999999</v>
      </c>
      <c r="V531">
        <v>68.023740000000004</v>
      </c>
      <c r="W531">
        <v>44.499809999999997</v>
      </c>
      <c r="X531">
        <v>16.65136</v>
      </c>
      <c r="Y531"/>
      <c r="Z531"/>
      <c r="AA531">
        <v>62.201329999999999</v>
      </c>
      <c r="AB531">
        <v>38.118450000000003</v>
      </c>
      <c r="AC531">
        <v>45.453009999999999</v>
      </c>
      <c r="AD531">
        <v>60.443860000000001</v>
      </c>
      <c r="AE531">
        <v>98.915080000000003</v>
      </c>
      <c r="AF531">
        <v>52.734340000000003</v>
      </c>
      <c r="AG531"/>
      <c r="AH531">
        <v>66.154780000000002</v>
      </c>
      <c r="AI531"/>
      <c r="AJ531">
        <v>16.562090000000001</v>
      </c>
      <c r="AK531">
        <v>63.500540000000001</v>
      </c>
      <c r="AL531">
        <v>65.466740000000001</v>
      </c>
      <c r="AM531">
        <v>52.708489999999998</v>
      </c>
      <c r="AN531">
        <v>43.45158</v>
      </c>
      <c r="AO531"/>
      <c r="AP531">
        <v>53.854399999999998</v>
      </c>
      <c r="AQ531"/>
      <c r="AR531"/>
      <c r="AS531"/>
      <c r="AT531"/>
      <c r="AU531">
        <v>80.795940000000002</v>
      </c>
      <c r="AV531"/>
      <c r="AW531">
        <v>62.250639999999997</v>
      </c>
      <c r="AX531"/>
    </row>
    <row r="532" spans="1:50" x14ac:dyDescent="0.35">
      <c r="A532" s="75">
        <v>34029</v>
      </c>
      <c r="B532">
        <v>67.245069999999998</v>
      </c>
      <c r="C532">
        <v>68.039100000000005</v>
      </c>
      <c r="D532"/>
      <c r="E532">
        <v>70.295000000000002</v>
      </c>
      <c r="F532">
        <v>88.626810000000006</v>
      </c>
      <c r="G532"/>
      <c r="H532"/>
      <c r="I532"/>
      <c r="J532"/>
      <c r="K532"/>
      <c r="L532">
        <v>73.574809999999999</v>
      </c>
      <c r="M532">
        <v>66.999129999999994</v>
      </c>
      <c r="N532"/>
      <c r="O532">
        <v>60.202559999999998</v>
      </c>
      <c r="P532"/>
      <c r="Q532"/>
      <c r="R532">
        <v>73.169169999999994</v>
      </c>
      <c r="S532">
        <v>74.98751</v>
      </c>
      <c r="T532"/>
      <c r="U532">
        <v>68.704030000000003</v>
      </c>
      <c r="V532">
        <v>68.20093</v>
      </c>
      <c r="W532">
        <v>46.728760000000001</v>
      </c>
      <c r="X532">
        <v>16.808610000000002</v>
      </c>
      <c r="Y532"/>
      <c r="Z532"/>
      <c r="AA532">
        <v>62.201329999999999</v>
      </c>
      <c r="AB532">
        <v>38.242739999999998</v>
      </c>
      <c r="AC532">
        <v>46.161630000000002</v>
      </c>
      <c r="AD532">
        <v>60.680500000000002</v>
      </c>
      <c r="AE532">
        <v>99.168170000000003</v>
      </c>
      <c r="AF532">
        <v>53.512970000000003</v>
      </c>
      <c r="AG532"/>
      <c r="AH532">
        <v>66.365840000000006</v>
      </c>
      <c r="AI532"/>
      <c r="AJ532">
        <v>16.719740000000002</v>
      </c>
      <c r="AK532">
        <v>63.873690000000003</v>
      </c>
      <c r="AL532">
        <v>66.213769999999997</v>
      </c>
      <c r="AM532">
        <v>52.972630000000002</v>
      </c>
      <c r="AN532">
        <v>43.724229999999999</v>
      </c>
      <c r="AO532"/>
      <c r="AP532">
        <v>54.255020000000002</v>
      </c>
      <c r="AQ532"/>
      <c r="AR532"/>
      <c r="AS532"/>
      <c r="AT532"/>
      <c r="AU532">
        <v>81.165980000000005</v>
      </c>
      <c r="AV532"/>
      <c r="AW532">
        <v>62.49832</v>
      </c>
      <c r="AX532"/>
    </row>
    <row r="533" spans="1:50" x14ac:dyDescent="0.35">
      <c r="A533" s="75">
        <v>34060</v>
      </c>
      <c r="B533">
        <v>67.233149999999995</v>
      </c>
      <c r="C533">
        <v>68.175049999999999</v>
      </c>
      <c r="D533"/>
      <c r="E533">
        <v>70.324100000000001</v>
      </c>
      <c r="F533">
        <v>88.671819999999997</v>
      </c>
      <c r="G533"/>
      <c r="H533"/>
      <c r="I533"/>
      <c r="J533"/>
      <c r="K533"/>
      <c r="L533">
        <v>73.732439999999997</v>
      </c>
      <c r="M533">
        <v>67.063609999999997</v>
      </c>
      <c r="N533"/>
      <c r="O533">
        <v>60.610010000000003</v>
      </c>
      <c r="P533"/>
      <c r="Q533"/>
      <c r="R533">
        <v>73.446399999999997</v>
      </c>
      <c r="S533">
        <v>75.119919999999993</v>
      </c>
      <c r="T533"/>
      <c r="U533">
        <v>68.967730000000003</v>
      </c>
      <c r="V533">
        <v>68.91489</v>
      </c>
      <c r="W533">
        <v>47.32329</v>
      </c>
      <c r="X533">
        <v>16.989560000000001</v>
      </c>
      <c r="Y533"/>
      <c r="Z533"/>
      <c r="AA533">
        <v>61.835369999999998</v>
      </c>
      <c r="AB533">
        <v>38.408479999999997</v>
      </c>
      <c r="AC533">
        <v>46.870249999999999</v>
      </c>
      <c r="AD533">
        <v>60.900950000000002</v>
      </c>
      <c r="AE533">
        <v>100.2176</v>
      </c>
      <c r="AF533">
        <v>53.75206</v>
      </c>
      <c r="AG533"/>
      <c r="AH533">
        <v>66.488699999999994</v>
      </c>
      <c r="AI533"/>
      <c r="AJ533">
        <v>16.83887</v>
      </c>
      <c r="AK533">
        <v>64.181150000000002</v>
      </c>
      <c r="AL533">
        <v>66.277600000000007</v>
      </c>
      <c r="AM533">
        <v>53.242100000000001</v>
      </c>
      <c r="AN533">
        <v>44.014099999999999</v>
      </c>
      <c r="AO533"/>
      <c r="AP533">
        <v>54.776069999999997</v>
      </c>
      <c r="AQ533"/>
      <c r="AR533"/>
      <c r="AS533"/>
      <c r="AT533"/>
      <c r="AU533">
        <v>81.591139999999996</v>
      </c>
      <c r="AV533"/>
      <c r="AW533">
        <v>62.622169999999997</v>
      </c>
      <c r="AX533"/>
    </row>
    <row r="534" spans="1:50" x14ac:dyDescent="0.35">
      <c r="A534" s="75">
        <v>34090</v>
      </c>
      <c r="B534">
        <v>67.270939999999996</v>
      </c>
      <c r="C534">
        <v>68.305019999999999</v>
      </c>
      <c r="D534"/>
      <c r="E534">
        <v>70.351140000000001</v>
      </c>
      <c r="F534">
        <v>88.894459999999995</v>
      </c>
      <c r="G534"/>
      <c r="H534"/>
      <c r="I534"/>
      <c r="J534"/>
      <c r="K534"/>
      <c r="L534">
        <v>73.841139999999996</v>
      </c>
      <c r="M534">
        <v>67.495620000000002</v>
      </c>
      <c r="N534"/>
      <c r="O534">
        <v>60.839469999999999</v>
      </c>
      <c r="P534"/>
      <c r="Q534"/>
      <c r="R534">
        <v>73.650440000000003</v>
      </c>
      <c r="S534">
        <v>75.219809999999995</v>
      </c>
      <c r="T534"/>
      <c r="U534">
        <v>69.028440000000003</v>
      </c>
      <c r="V534">
        <v>69.13306</v>
      </c>
      <c r="W534">
        <v>47.658230000000003</v>
      </c>
      <c r="X534">
        <v>17.105989999999998</v>
      </c>
      <c r="Y534"/>
      <c r="Z534"/>
      <c r="AA534">
        <v>61.835369999999998</v>
      </c>
      <c r="AB534">
        <v>38.491340000000001</v>
      </c>
      <c r="AC534">
        <v>47.173949999999998</v>
      </c>
      <c r="AD534">
        <v>61.135350000000003</v>
      </c>
      <c r="AE534">
        <v>100.28319999999999</v>
      </c>
      <c r="AF534">
        <v>53.93085</v>
      </c>
      <c r="AG534"/>
      <c r="AH534">
        <v>66.667439999999999</v>
      </c>
      <c r="AI534"/>
      <c r="AJ534">
        <v>16.926490000000001</v>
      </c>
      <c r="AK534">
        <v>64.213560000000001</v>
      </c>
      <c r="AL534">
        <v>66.3309</v>
      </c>
      <c r="AM534">
        <v>53.366759999999999</v>
      </c>
      <c r="AN534">
        <v>44.232869999999998</v>
      </c>
      <c r="AO534"/>
      <c r="AP534">
        <v>55.150230000000001</v>
      </c>
      <c r="AQ534"/>
      <c r="AR534"/>
      <c r="AS534"/>
      <c r="AT534"/>
      <c r="AU534">
        <v>81.386970000000005</v>
      </c>
      <c r="AV534"/>
      <c r="AW534">
        <v>62.622169999999997</v>
      </c>
      <c r="AX534"/>
    </row>
    <row r="535" spans="1:50" x14ac:dyDescent="0.35">
      <c r="A535" s="75">
        <v>34121</v>
      </c>
      <c r="B535">
        <v>67.536680000000004</v>
      </c>
      <c r="C535">
        <v>68.461609999999993</v>
      </c>
      <c r="D535"/>
      <c r="E535">
        <v>70.281490000000005</v>
      </c>
      <c r="F535">
        <v>88.910730000000001</v>
      </c>
      <c r="G535"/>
      <c r="H535"/>
      <c r="I535"/>
      <c r="J535"/>
      <c r="K535"/>
      <c r="L535">
        <v>74.062830000000005</v>
      </c>
      <c r="M535">
        <v>67.583969999999994</v>
      </c>
      <c r="N535"/>
      <c r="O535">
        <v>61.117690000000003</v>
      </c>
      <c r="P535"/>
      <c r="Q535"/>
      <c r="R535">
        <v>73.523780000000002</v>
      </c>
      <c r="S535">
        <v>75.313580000000002</v>
      </c>
      <c r="T535"/>
      <c r="U535">
        <v>69.122249999999994</v>
      </c>
      <c r="V535">
        <v>69.112690000000001</v>
      </c>
      <c r="W535">
        <v>48.328270000000003</v>
      </c>
      <c r="X535">
        <v>17.237649999999999</v>
      </c>
      <c r="Y535"/>
      <c r="Z535"/>
      <c r="AA535">
        <v>61.835369999999998</v>
      </c>
      <c r="AB535">
        <v>38.491340000000001</v>
      </c>
      <c r="AC535">
        <v>47.37641</v>
      </c>
      <c r="AD535">
        <v>61.450290000000003</v>
      </c>
      <c r="AE535">
        <v>100.46420000000001</v>
      </c>
      <c r="AF535">
        <v>54.051450000000003</v>
      </c>
      <c r="AG535"/>
      <c r="AH535">
        <v>66.756820000000005</v>
      </c>
      <c r="AI535"/>
      <c r="AJ535">
        <v>17.022729999999999</v>
      </c>
      <c r="AK535">
        <v>63.929720000000003</v>
      </c>
      <c r="AL535">
        <v>66.443219999999997</v>
      </c>
      <c r="AM535">
        <v>53.495820000000002</v>
      </c>
      <c r="AN535">
        <v>44.423090000000002</v>
      </c>
      <c r="AO535"/>
      <c r="AP535">
        <v>55.443600000000004</v>
      </c>
      <c r="AQ535"/>
      <c r="AR535"/>
      <c r="AS535"/>
      <c r="AT535"/>
      <c r="AU535">
        <v>81.189769999999996</v>
      </c>
      <c r="AV535"/>
      <c r="AW535">
        <v>62.663440000000001</v>
      </c>
      <c r="AX535"/>
    </row>
    <row r="536" spans="1:50" x14ac:dyDescent="0.35">
      <c r="A536" s="75">
        <v>34151</v>
      </c>
      <c r="B536">
        <v>68.430049999999994</v>
      </c>
      <c r="C536">
        <v>68.862170000000006</v>
      </c>
      <c r="D536"/>
      <c r="E536">
        <v>70.523060000000001</v>
      </c>
      <c r="F536">
        <v>88.97139</v>
      </c>
      <c r="G536"/>
      <c r="H536"/>
      <c r="I536"/>
      <c r="J536"/>
      <c r="K536"/>
      <c r="L536">
        <v>74.613799999999998</v>
      </c>
      <c r="M536">
        <v>67.376180000000005</v>
      </c>
      <c r="N536"/>
      <c r="O536">
        <v>61.298839999999998</v>
      </c>
      <c r="P536"/>
      <c r="Q536"/>
      <c r="R536">
        <v>73.260990000000007</v>
      </c>
      <c r="S536">
        <v>75.327160000000006</v>
      </c>
      <c r="T536"/>
      <c r="U536">
        <v>69.228030000000004</v>
      </c>
      <c r="V536">
        <v>68.982910000000004</v>
      </c>
      <c r="W536">
        <v>47.592269999999999</v>
      </c>
      <c r="X536">
        <v>17.39095</v>
      </c>
      <c r="Y536"/>
      <c r="Z536"/>
      <c r="AA536">
        <v>62.291020000000003</v>
      </c>
      <c r="AB536">
        <v>39.029969999999999</v>
      </c>
      <c r="AC536">
        <v>47.477649999999997</v>
      </c>
      <c r="AD536">
        <v>61.715380000000003</v>
      </c>
      <c r="AE536">
        <v>100.23</v>
      </c>
      <c r="AF536">
        <v>54.111759999999997</v>
      </c>
      <c r="AG536"/>
      <c r="AH536">
        <v>67.038610000000006</v>
      </c>
      <c r="AI536"/>
      <c r="AJ536">
        <v>17.102219999999999</v>
      </c>
      <c r="AK536">
        <v>64.475700000000003</v>
      </c>
      <c r="AL536">
        <v>66.213359999999994</v>
      </c>
      <c r="AM536">
        <v>53.645969999999998</v>
      </c>
      <c r="AN536">
        <v>44.66489</v>
      </c>
      <c r="AO536"/>
      <c r="AP536">
        <v>55.523449999999997</v>
      </c>
      <c r="AQ536"/>
      <c r="AR536"/>
      <c r="AS536"/>
      <c r="AT536"/>
      <c r="AU536">
        <v>80.917959999999994</v>
      </c>
      <c r="AV536"/>
      <c r="AW536">
        <v>62.746009999999998</v>
      </c>
      <c r="AX536"/>
    </row>
    <row r="537" spans="1:50" x14ac:dyDescent="0.35">
      <c r="A537" s="75">
        <v>34182</v>
      </c>
      <c r="B537">
        <v>68.724969999999999</v>
      </c>
      <c r="C537">
        <v>69.032859999999999</v>
      </c>
      <c r="D537"/>
      <c r="E537">
        <v>70.740799999999993</v>
      </c>
      <c r="F537">
        <v>89.536670000000001</v>
      </c>
      <c r="G537"/>
      <c r="H537"/>
      <c r="I537"/>
      <c r="J537"/>
      <c r="K537"/>
      <c r="L537">
        <v>74.705889999999997</v>
      </c>
      <c r="M537">
        <v>67.458240000000004</v>
      </c>
      <c r="N537"/>
      <c r="O537">
        <v>61.415840000000003</v>
      </c>
      <c r="P537"/>
      <c r="Q537"/>
      <c r="R537">
        <v>73.174629999999993</v>
      </c>
      <c r="S537">
        <v>75.4512</v>
      </c>
      <c r="T537"/>
      <c r="U537">
        <v>69.419510000000002</v>
      </c>
      <c r="V537">
        <v>69.359949999999998</v>
      </c>
      <c r="W537">
        <v>47.529580000000003</v>
      </c>
      <c r="X537">
        <v>17.593360000000001</v>
      </c>
      <c r="Y537"/>
      <c r="Z537"/>
      <c r="AA537">
        <v>62.291020000000003</v>
      </c>
      <c r="AB537">
        <v>39.320010000000003</v>
      </c>
      <c r="AC537">
        <v>47.78134</v>
      </c>
      <c r="AD537">
        <v>61.854089999999999</v>
      </c>
      <c r="AE537">
        <v>100.17489999999999</v>
      </c>
      <c r="AF537">
        <v>54.172049999999999</v>
      </c>
      <c r="AG537"/>
      <c r="AH537">
        <v>67.263630000000006</v>
      </c>
      <c r="AI537"/>
      <c r="AJ537">
        <v>17.213650000000001</v>
      </c>
      <c r="AK537">
        <v>64.919730000000001</v>
      </c>
      <c r="AL537">
        <v>66.164779999999993</v>
      </c>
      <c r="AM537">
        <v>53.861420000000003</v>
      </c>
      <c r="AN537">
        <v>44.910550000000001</v>
      </c>
      <c r="AO537"/>
      <c r="AP537">
        <v>55.838000000000001</v>
      </c>
      <c r="AQ537"/>
      <c r="AR537"/>
      <c r="AS537"/>
      <c r="AT537"/>
      <c r="AU537">
        <v>81.106579999999994</v>
      </c>
      <c r="AV537"/>
      <c r="AW537">
        <v>62.993690000000001</v>
      </c>
      <c r="AX537"/>
    </row>
    <row r="538" spans="1:50" x14ac:dyDescent="0.35">
      <c r="A538" s="75">
        <v>34213</v>
      </c>
      <c r="B538">
        <v>68.033590000000004</v>
      </c>
      <c r="C538">
        <v>68.897270000000006</v>
      </c>
      <c r="D538"/>
      <c r="E538">
        <v>70.778400000000005</v>
      </c>
      <c r="F538">
        <v>89.589190000000002</v>
      </c>
      <c r="G538"/>
      <c r="H538"/>
      <c r="I538"/>
      <c r="J538"/>
      <c r="K538"/>
      <c r="L538">
        <v>74.671949999999995</v>
      </c>
      <c r="M538">
        <v>67.721450000000004</v>
      </c>
      <c r="N538"/>
      <c r="O538">
        <v>61.594110000000001</v>
      </c>
      <c r="P538"/>
      <c r="Q538"/>
      <c r="R538">
        <v>73.381360000000001</v>
      </c>
      <c r="S538">
        <v>75.679739999999995</v>
      </c>
      <c r="T538"/>
      <c r="U538">
        <v>69.576419999999999</v>
      </c>
      <c r="V538">
        <v>69.758510000000001</v>
      </c>
      <c r="W538">
        <v>48.941130000000001</v>
      </c>
      <c r="X538">
        <v>18.09215</v>
      </c>
      <c r="Y538"/>
      <c r="Z538"/>
      <c r="AA538">
        <v>62.291020000000003</v>
      </c>
      <c r="AB538">
        <v>39.444310000000002</v>
      </c>
      <c r="AC538">
        <v>48.287500000000001</v>
      </c>
      <c r="AD538">
        <v>62.000390000000003</v>
      </c>
      <c r="AE538">
        <v>100.5656</v>
      </c>
      <c r="AF538">
        <v>54.172049999999999</v>
      </c>
      <c r="AG538"/>
      <c r="AH538">
        <v>67.384969999999996</v>
      </c>
      <c r="AI538"/>
      <c r="AJ538">
        <v>17.367920000000002</v>
      </c>
      <c r="AK538">
        <v>65.46387</v>
      </c>
      <c r="AL538">
        <v>66.525180000000006</v>
      </c>
      <c r="AM538">
        <v>54.092979999999997</v>
      </c>
      <c r="AN538">
        <v>45.217680000000001</v>
      </c>
      <c r="AO538"/>
      <c r="AP538">
        <v>55.977589999999999</v>
      </c>
      <c r="AQ538"/>
      <c r="AR538"/>
      <c r="AS538"/>
      <c r="AT538"/>
      <c r="AU538">
        <v>82.170900000000003</v>
      </c>
      <c r="AV538"/>
      <c r="AW538">
        <v>63.117530000000002</v>
      </c>
      <c r="AX538"/>
    </row>
    <row r="539" spans="1:50" x14ac:dyDescent="0.35">
      <c r="A539" s="75">
        <v>34243</v>
      </c>
      <c r="B539">
        <v>68.004300000000001</v>
      </c>
      <c r="C539">
        <v>68.984250000000003</v>
      </c>
      <c r="D539"/>
      <c r="E539">
        <v>71.015720000000002</v>
      </c>
      <c r="F539">
        <v>89.651700000000005</v>
      </c>
      <c r="G539"/>
      <c r="H539"/>
      <c r="I539"/>
      <c r="J539"/>
      <c r="K539"/>
      <c r="L539">
        <v>74.635850000000005</v>
      </c>
      <c r="M539">
        <v>67.854839999999996</v>
      </c>
      <c r="N539"/>
      <c r="O539">
        <v>61.829140000000002</v>
      </c>
      <c r="P539"/>
      <c r="Q539"/>
      <c r="R539">
        <v>73.461920000000006</v>
      </c>
      <c r="S539">
        <v>75.782259999999994</v>
      </c>
      <c r="T539"/>
      <c r="U539">
        <v>69.777240000000006</v>
      </c>
      <c r="V539">
        <v>69.800539999999998</v>
      </c>
      <c r="W539">
        <v>49.803989999999999</v>
      </c>
      <c r="X539">
        <v>18.310320000000001</v>
      </c>
      <c r="Y539"/>
      <c r="Z539"/>
      <c r="AA539">
        <v>62.605759999999997</v>
      </c>
      <c r="AB539">
        <v>39.568600000000004</v>
      </c>
      <c r="AC539">
        <v>49.097349999999999</v>
      </c>
      <c r="AD539">
        <v>62.344410000000003</v>
      </c>
      <c r="AE539">
        <v>100.80159999999999</v>
      </c>
      <c r="AF539">
        <v>54.412199999999999</v>
      </c>
      <c r="AG539"/>
      <c r="AH539">
        <v>67.61994</v>
      </c>
      <c r="AI539"/>
      <c r="AJ539">
        <v>17.471450000000001</v>
      </c>
      <c r="AK539">
        <v>65.416619999999995</v>
      </c>
      <c r="AL539">
        <v>66.576549999999997</v>
      </c>
      <c r="AM539">
        <v>54.360010000000003</v>
      </c>
      <c r="AN539">
        <v>45.527360000000002</v>
      </c>
      <c r="AO539"/>
      <c r="AP539">
        <v>56.277149999999999</v>
      </c>
      <c r="AQ539"/>
      <c r="AR539"/>
      <c r="AS539"/>
      <c r="AT539"/>
      <c r="AU539">
        <v>82.649959999999993</v>
      </c>
      <c r="AV539"/>
      <c r="AW539">
        <v>63.365209999999998</v>
      </c>
      <c r="AX539"/>
    </row>
    <row r="540" spans="1:50" x14ac:dyDescent="0.35">
      <c r="A540" s="75">
        <v>34274</v>
      </c>
      <c r="B540">
        <v>68.229299999999995</v>
      </c>
      <c r="C540">
        <v>69.068439999999995</v>
      </c>
      <c r="D540"/>
      <c r="E540">
        <v>71.362799999999993</v>
      </c>
      <c r="F540">
        <v>89.506540000000001</v>
      </c>
      <c r="G540"/>
      <c r="H540"/>
      <c r="I540"/>
      <c r="J540"/>
      <c r="K540"/>
      <c r="L540">
        <v>74.733840000000001</v>
      </c>
      <c r="M540">
        <v>68.066220000000001</v>
      </c>
      <c r="N540"/>
      <c r="O540">
        <v>61.942219999999999</v>
      </c>
      <c r="P540"/>
      <c r="Q540"/>
      <c r="R540">
        <v>73.4619</v>
      </c>
      <c r="S540">
        <v>75.790390000000002</v>
      </c>
      <c r="T540"/>
      <c r="U540">
        <v>69.903390000000002</v>
      </c>
      <c r="V540">
        <v>69.770709999999994</v>
      </c>
      <c r="W540">
        <v>50.034300000000002</v>
      </c>
      <c r="X540">
        <v>18.436350000000001</v>
      </c>
      <c r="Y540"/>
      <c r="Z540"/>
      <c r="AA540">
        <v>62.605759999999997</v>
      </c>
      <c r="AB540">
        <v>39.568600000000004</v>
      </c>
      <c r="AC540">
        <v>49.401049999999998</v>
      </c>
      <c r="AD540">
        <v>62.575859999999999</v>
      </c>
      <c r="AE540">
        <v>100.75149999999999</v>
      </c>
      <c r="AF540">
        <v>54.412199999999999</v>
      </c>
      <c r="AG540"/>
      <c r="AH540">
        <v>67.809470000000005</v>
      </c>
      <c r="AI540"/>
      <c r="AJ540">
        <v>17.555420000000002</v>
      </c>
      <c r="AK540">
        <v>65.432810000000003</v>
      </c>
      <c r="AL540">
        <v>66.656970000000001</v>
      </c>
      <c r="AM540">
        <v>54.547580000000004</v>
      </c>
      <c r="AN540">
        <v>45.774929999999998</v>
      </c>
      <c r="AO540"/>
      <c r="AP540">
        <v>56.603090000000002</v>
      </c>
      <c r="AQ540"/>
      <c r="AR540"/>
      <c r="AS540"/>
      <c r="AT540"/>
      <c r="AU540">
        <v>82.661959999999993</v>
      </c>
      <c r="AV540"/>
      <c r="AW540">
        <v>63.530329999999999</v>
      </c>
      <c r="AX540"/>
    </row>
    <row r="541" spans="1:50" x14ac:dyDescent="0.35">
      <c r="A541" s="75">
        <v>34304</v>
      </c>
      <c r="B541">
        <v>68.387550000000005</v>
      </c>
      <c r="C541">
        <v>69.152829999999994</v>
      </c>
      <c r="D541"/>
      <c r="E541">
        <v>71.169640000000001</v>
      </c>
      <c r="F541">
        <v>89.497870000000006</v>
      </c>
      <c r="G541"/>
      <c r="H541"/>
      <c r="I541"/>
      <c r="J541"/>
      <c r="K541"/>
      <c r="L541">
        <v>74.987849999999995</v>
      </c>
      <c r="M541">
        <v>68.017359999999996</v>
      </c>
      <c r="N541"/>
      <c r="O541">
        <v>62.044269999999997</v>
      </c>
      <c r="P541"/>
      <c r="Q541"/>
      <c r="R541">
        <v>73.559939999999997</v>
      </c>
      <c r="S541">
        <v>75.827259999999995</v>
      </c>
      <c r="T541"/>
      <c r="U541">
        <v>69.916560000000004</v>
      </c>
      <c r="V541">
        <v>69.803330000000003</v>
      </c>
      <c r="W541">
        <v>50.712730000000001</v>
      </c>
      <c r="X541">
        <v>18.67747</v>
      </c>
      <c r="Y541"/>
      <c r="Z541"/>
      <c r="AA541">
        <v>62.605759999999997</v>
      </c>
      <c r="AB541">
        <v>39.48574</v>
      </c>
      <c r="AC541">
        <v>49.907200000000003</v>
      </c>
      <c r="AD541">
        <v>62.671050000000001</v>
      </c>
      <c r="AE541">
        <v>100.54349999999999</v>
      </c>
      <c r="AF541">
        <v>54.53069</v>
      </c>
      <c r="AG541"/>
      <c r="AH541">
        <v>67.87106</v>
      </c>
      <c r="AI541"/>
      <c r="AJ541">
        <v>17.656130000000001</v>
      </c>
      <c r="AK541">
        <v>65.088809999999995</v>
      </c>
      <c r="AL541">
        <v>66.624009999999998</v>
      </c>
      <c r="AM541">
        <v>54.634320000000002</v>
      </c>
      <c r="AN541">
        <v>45.956969999999998</v>
      </c>
      <c r="AO541"/>
      <c r="AP541">
        <v>56.668129999999998</v>
      </c>
      <c r="AQ541"/>
      <c r="AR541"/>
      <c r="AS541"/>
      <c r="AT541"/>
      <c r="AU541">
        <v>82.319379999999995</v>
      </c>
      <c r="AV541"/>
      <c r="AW541">
        <v>63.530329999999999</v>
      </c>
      <c r="AX541"/>
    </row>
    <row r="542" spans="1:50" x14ac:dyDescent="0.35">
      <c r="A542" s="75">
        <v>34335</v>
      </c>
      <c r="B542">
        <v>68.848190000000002</v>
      </c>
      <c r="C542">
        <v>69.508709999999994</v>
      </c>
      <c r="D542"/>
      <c r="E542">
        <v>71.177170000000004</v>
      </c>
      <c r="F542">
        <v>90.183279999999996</v>
      </c>
      <c r="G542"/>
      <c r="H542"/>
      <c r="I542"/>
      <c r="J542"/>
      <c r="K542"/>
      <c r="L542">
        <v>75.189520000000002</v>
      </c>
      <c r="M542">
        <v>67.929119999999998</v>
      </c>
      <c r="N542"/>
      <c r="O542">
        <v>62.516359999999999</v>
      </c>
      <c r="P542"/>
      <c r="Q542"/>
      <c r="R542">
        <v>73.267049999999998</v>
      </c>
      <c r="S542">
        <v>75.96987</v>
      </c>
      <c r="T542"/>
      <c r="U542">
        <v>69.974220000000003</v>
      </c>
      <c r="V542">
        <v>69.404259999999994</v>
      </c>
      <c r="W542">
        <v>50.427909999999997</v>
      </c>
      <c r="X542">
        <v>19.321860000000001</v>
      </c>
      <c r="Y542"/>
      <c r="Z542"/>
      <c r="AA542">
        <v>63.018560000000001</v>
      </c>
      <c r="AB542">
        <v>39.568600000000004</v>
      </c>
      <c r="AC542">
        <v>50.312130000000003</v>
      </c>
      <c r="AD542">
        <v>62.896070000000002</v>
      </c>
      <c r="AE542">
        <v>100.00239999999999</v>
      </c>
      <c r="AF542">
        <v>55.128419999999998</v>
      </c>
      <c r="AG542"/>
      <c r="AH542">
        <v>68.04222</v>
      </c>
      <c r="AI542"/>
      <c r="AJ542">
        <v>17.771730000000002</v>
      </c>
      <c r="AK542">
        <v>65.265690000000006</v>
      </c>
      <c r="AL542">
        <v>66.457530000000006</v>
      </c>
      <c r="AM542">
        <v>54.801400000000001</v>
      </c>
      <c r="AN542">
        <v>46.197659999999999</v>
      </c>
      <c r="AO542"/>
      <c r="AP542">
        <v>57.5152</v>
      </c>
      <c r="AQ542"/>
      <c r="AR542"/>
      <c r="AS542"/>
      <c r="AT542"/>
      <c r="AU542">
        <v>82.539709999999999</v>
      </c>
      <c r="AV542">
        <v>0.32922960000000001</v>
      </c>
      <c r="AW542">
        <v>63.695450000000001</v>
      </c>
      <c r="AX542"/>
    </row>
    <row r="543" spans="1:50" x14ac:dyDescent="0.35">
      <c r="A543" s="75">
        <v>34366</v>
      </c>
      <c r="B543">
        <v>69.379109999999997</v>
      </c>
      <c r="C543">
        <v>69.817459999999997</v>
      </c>
      <c r="D543"/>
      <c r="E543">
        <v>70.462010000000006</v>
      </c>
      <c r="F543">
        <v>90.604960000000005</v>
      </c>
      <c r="G543"/>
      <c r="H543"/>
      <c r="I543"/>
      <c r="J543"/>
      <c r="K543"/>
      <c r="L543">
        <v>75.79083</v>
      </c>
      <c r="M543">
        <v>68.21651</v>
      </c>
      <c r="N543"/>
      <c r="O543">
        <v>62.734850000000002</v>
      </c>
      <c r="P543"/>
      <c r="Q543"/>
      <c r="R543">
        <v>73.5732</v>
      </c>
      <c r="S543">
        <v>76.203320000000005</v>
      </c>
      <c r="T543"/>
      <c r="U543">
        <v>70.223979999999997</v>
      </c>
      <c r="V543">
        <v>69.85136</v>
      </c>
      <c r="W543">
        <v>50.269799999999996</v>
      </c>
      <c r="X543">
        <v>19.59948</v>
      </c>
      <c r="Y543"/>
      <c r="Z543"/>
      <c r="AA543">
        <v>63.018560000000001</v>
      </c>
      <c r="AB543">
        <v>39.527169999999998</v>
      </c>
      <c r="AC543">
        <v>50.514600000000002</v>
      </c>
      <c r="AD543">
        <v>63.200069999999997</v>
      </c>
      <c r="AE543">
        <v>99.844729999999998</v>
      </c>
      <c r="AF543">
        <v>55.667960000000001</v>
      </c>
      <c r="AG543"/>
      <c r="AH543">
        <v>68.258319999999998</v>
      </c>
      <c r="AI543"/>
      <c r="AJ543">
        <v>17.914999999999999</v>
      </c>
      <c r="AK543">
        <v>65.625829999999993</v>
      </c>
      <c r="AL543">
        <v>66.658770000000004</v>
      </c>
      <c r="AM543">
        <v>55.071649999999998</v>
      </c>
      <c r="AN543">
        <v>46.566029999999998</v>
      </c>
      <c r="AO543"/>
      <c r="AP543">
        <v>57.99427</v>
      </c>
      <c r="AQ543"/>
      <c r="AR543"/>
      <c r="AS543"/>
      <c r="AT543"/>
      <c r="AU543">
        <v>82.606610000000003</v>
      </c>
      <c r="AV543">
        <v>0.34598679999999998</v>
      </c>
      <c r="AW543">
        <v>63.984409999999997</v>
      </c>
      <c r="AX543"/>
    </row>
    <row r="544" spans="1:50" x14ac:dyDescent="0.35">
      <c r="A544" s="75">
        <v>34394</v>
      </c>
      <c r="B544">
        <v>69.583579999999998</v>
      </c>
      <c r="C544">
        <v>69.970749999999995</v>
      </c>
      <c r="D544"/>
      <c r="E544">
        <v>70.557490000000001</v>
      </c>
      <c r="F544">
        <v>90.671930000000003</v>
      </c>
      <c r="G544"/>
      <c r="H544"/>
      <c r="I544"/>
      <c r="J544"/>
      <c r="K544"/>
      <c r="L544">
        <v>75.908199999999994</v>
      </c>
      <c r="M544">
        <v>68.308760000000007</v>
      </c>
      <c r="N544"/>
      <c r="O544">
        <v>63.063600000000001</v>
      </c>
      <c r="P544"/>
      <c r="Q544"/>
      <c r="R544">
        <v>73.680080000000004</v>
      </c>
      <c r="S544">
        <v>76.428470000000004</v>
      </c>
      <c r="T544"/>
      <c r="U544">
        <v>70.509519999999995</v>
      </c>
      <c r="V544">
        <v>70.057270000000003</v>
      </c>
      <c r="W544">
        <v>51.87847</v>
      </c>
      <c r="X544">
        <v>19.808730000000001</v>
      </c>
      <c r="Y544"/>
      <c r="Z544"/>
      <c r="AA544">
        <v>63.018560000000001</v>
      </c>
      <c r="AB544">
        <v>39.651470000000003</v>
      </c>
      <c r="AC544">
        <v>51.02075</v>
      </c>
      <c r="AD544">
        <v>63.382240000000003</v>
      </c>
      <c r="AE544">
        <v>100.3064</v>
      </c>
      <c r="AF544">
        <v>56.265689999999999</v>
      </c>
      <c r="AG544"/>
      <c r="AH544">
        <v>68.322800000000001</v>
      </c>
      <c r="AI544"/>
      <c r="AJ544">
        <v>18.02684</v>
      </c>
      <c r="AK544">
        <v>66.032589999999999</v>
      </c>
      <c r="AL544">
        <v>66.961439999999996</v>
      </c>
      <c r="AM544">
        <v>55.374609999999997</v>
      </c>
      <c r="AN544">
        <v>46.858899999999998</v>
      </c>
      <c r="AO544"/>
      <c r="AP544">
        <v>58.317779999999999</v>
      </c>
      <c r="AQ544"/>
      <c r="AR544"/>
      <c r="AS544"/>
      <c r="AT544"/>
      <c r="AU544">
        <v>83.053730000000002</v>
      </c>
      <c r="AV544">
        <v>0.36274390000000001</v>
      </c>
      <c r="AW544">
        <v>64.31465</v>
      </c>
      <c r="AX544"/>
    </row>
    <row r="545" spans="1:50" x14ac:dyDescent="0.35">
      <c r="A545" s="75">
        <v>34425</v>
      </c>
      <c r="B545">
        <v>69.499049999999997</v>
      </c>
      <c r="C545">
        <v>70.144660000000002</v>
      </c>
      <c r="D545"/>
      <c r="E545">
        <v>70.503529999999998</v>
      </c>
      <c r="F545">
        <v>90.744529999999997</v>
      </c>
      <c r="G545"/>
      <c r="H545"/>
      <c r="I545"/>
      <c r="J545"/>
      <c r="K545"/>
      <c r="L545">
        <v>75.939899999999994</v>
      </c>
      <c r="M545">
        <v>68.500470000000007</v>
      </c>
      <c r="N545"/>
      <c r="O545">
        <v>63.243180000000002</v>
      </c>
      <c r="P545"/>
      <c r="Q545"/>
      <c r="R545">
        <v>73.698539999999994</v>
      </c>
      <c r="S545">
        <v>76.553759999999997</v>
      </c>
      <c r="T545"/>
      <c r="U545">
        <v>70.680729999999997</v>
      </c>
      <c r="V545">
        <v>70.783169999999998</v>
      </c>
      <c r="W545">
        <v>52.555840000000003</v>
      </c>
      <c r="X545">
        <v>20.058209999999999</v>
      </c>
      <c r="Y545"/>
      <c r="Z545"/>
      <c r="AA545">
        <v>63.31324</v>
      </c>
      <c r="AB545">
        <v>39.692900000000002</v>
      </c>
      <c r="AC545">
        <v>52.134300000000003</v>
      </c>
      <c r="AD545">
        <v>63.485570000000003</v>
      </c>
      <c r="AE545">
        <v>101.1191</v>
      </c>
      <c r="AF545">
        <v>56.445529999999998</v>
      </c>
      <c r="AG545"/>
      <c r="AH545">
        <v>68.362359999999995</v>
      </c>
      <c r="AI545"/>
      <c r="AJ545">
        <v>18.129159999999999</v>
      </c>
      <c r="AK545">
        <v>66.179119999999998</v>
      </c>
      <c r="AL545">
        <v>67.128739999999993</v>
      </c>
      <c r="AM545">
        <v>55.785089999999997</v>
      </c>
      <c r="AN545">
        <v>47.567860000000003</v>
      </c>
      <c r="AO545"/>
      <c r="AP545">
        <v>58.560169999999999</v>
      </c>
      <c r="AQ545"/>
      <c r="AR545"/>
      <c r="AS545"/>
      <c r="AT545"/>
      <c r="AU545">
        <v>83.346549999999993</v>
      </c>
      <c r="AV545">
        <v>0.43223699999999998</v>
      </c>
      <c r="AW545">
        <v>64.355930000000001</v>
      </c>
      <c r="AX545"/>
    </row>
    <row r="546" spans="1:50" x14ac:dyDescent="0.35">
      <c r="A546" s="75">
        <v>34455</v>
      </c>
      <c r="B546">
        <v>69.45926</v>
      </c>
      <c r="C546">
        <v>70.251050000000006</v>
      </c>
      <c r="D546"/>
      <c r="E546">
        <v>70.241690000000006</v>
      </c>
      <c r="F546">
        <v>90.00385</v>
      </c>
      <c r="G546"/>
      <c r="H546"/>
      <c r="I546"/>
      <c r="J546"/>
      <c r="K546"/>
      <c r="L546">
        <v>76.082539999999995</v>
      </c>
      <c r="M546">
        <v>68.841220000000007</v>
      </c>
      <c r="N546"/>
      <c r="O546">
        <v>63.469180000000001</v>
      </c>
      <c r="P546"/>
      <c r="Q546"/>
      <c r="R546">
        <v>73.664550000000006</v>
      </c>
      <c r="S546">
        <v>76.622100000000003</v>
      </c>
      <c r="T546"/>
      <c r="U546">
        <v>70.798789999999997</v>
      </c>
      <c r="V546">
        <v>70.974109999999996</v>
      </c>
      <c r="W546">
        <v>52.46161</v>
      </c>
      <c r="X546">
        <v>20.230779999999999</v>
      </c>
      <c r="Y546"/>
      <c r="Z546"/>
      <c r="AA546">
        <v>63.31324</v>
      </c>
      <c r="AB546">
        <v>39.775770000000001</v>
      </c>
      <c r="AC546">
        <v>52.94415</v>
      </c>
      <c r="AD546">
        <v>63.950209999999998</v>
      </c>
      <c r="AE546">
        <v>101.4688</v>
      </c>
      <c r="AF546">
        <v>56.685679999999998</v>
      </c>
      <c r="AG546"/>
      <c r="AH546">
        <v>68.459680000000006</v>
      </c>
      <c r="AI546"/>
      <c r="AJ546">
        <v>18.221209999999999</v>
      </c>
      <c r="AK546">
        <v>66.166020000000003</v>
      </c>
      <c r="AL546">
        <v>67.108149999999995</v>
      </c>
      <c r="AM546">
        <v>56.020229999999998</v>
      </c>
      <c r="AN546">
        <v>47.980029999999999</v>
      </c>
      <c r="AO546"/>
      <c r="AP546">
        <v>58.700949999999999</v>
      </c>
      <c r="AQ546"/>
      <c r="AR546"/>
      <c r="AS546"/>
      <c r="AT546"/>
      <c r="AU546">
        <v>83.459770000000006</v>
      </c>
      <c r="AV546">
        <v>0.46969430000000001</v>
      </c>
      <c r="AW546">
        <v>64.397220000000004</v>
      </c>
      <c r="AX546"/>
    </row>
    <row r="547" spans="1:50" x14ac:dyDescent="0.35">
      <c r="A547" s="75">
        <v>34486</v>
      </c>
      <c r="B547">
        <v>69.707040000000006</v>
      </c>
      <c r="C547">
        <v>70.339330000000004</v>
      </c>
      <c r="D547"/>
      <c r="E547">
        <v>70.306669999999997</v>
      </c>
      <c r="F547">
        <v>90.020979999999994</v>
      </c>
      <c r="G547"/>
      <c r="H547"/>
      <c r="I547"/>
      <c r="J547"/>
      <c r="K547"/>
      <c r="L547">
        <v>76.161360000000002</v>
      </c>
      <c r="M547">
        <v>68.893910000000005</v>
      </c>
      <c r="N547"/>
      <c r="O547">
        <v>63.615780000000001</v>
      </c>
      <c r="P547"/>
      <c r="Q547"/>
      <c r="R547">
        <v>74.652209999999997</v>
      </c>
      <c r="S547">
        <v>76.645390000000006</v>
      </c>
      <c r="T547"/>
      <c r="U547">
        <v>70.848979999999997</v>
      </c>
      <c r="V547">
        <v>70.960300000000004</v>
      </c>
      <c r="W547">
        <v>53.020339999999997</v>
      </c>
      <c r="X547">
        <v>20.420580000000001</v>
      </c>
      <c r="Y547"/>
      <c r="Z547"/>
      <c r="AA547">
        <v>63.31324</v>
      </c>
      <c r="AB547">
        <v>39.858629999999998</v>
      </c>
      <c r="AC547">
        <v>53.754010000000001</v>
      </c>
      <c r="AD547">
        <v>63.992150000000002</v>
      </c>
      <c r="AE547">
        <v>101.3729</v>
      </c>
      <c r="AF547">
        <v>57.103560000000002</v>
      </c>
      <c r="AG547"/>
      <c r="AH547">
        <v>68.496049999999997</v>
      </c>
      <c r="AI547"/>
      <c r="AJ547">
        <v>18.307230000000001</v>
      </c>
      <c r="AK547">
        <v>65.830470000000005</v>
      </c>
      <c r="AL547">
        <v>67.247669999999999</v>
      </c>
      <c r="AM547">
        <v>56.153469999999999</v>
      </c>
      <c r="AN547">
        <v>48.175739999999998</v>
      </c>
      <c r="AO547"/>
      <c r="AP547">
        <v>58.882719999999999</v>
      </c>
      <c r="AQ547"/>
      <c r="AR547"/>
      <c r="AS547"/>
      <c r="AT547"/>
      <c r="AU547">
        <v>83.368979999999993</v>
      </c>
      <c r="AV547">
        <v>0.48842289999999999</v>
      </c>
      <c r="AW547">
        <v>64.479770000000002</v>
      </c>
      <c r="AX547"/>
    </row>
    <row r="548" spans="1:50" x14ac:dyDescent="0.35">
      <c r="A548" s="75">
        <v>34516</v>
      </c>
      <c r="B548">
        <v>70.574780000000004</v>
      </c>
      <c r="C548">
        <v>70.729950000000002</v>
      </c>
      <c r="D548"/>
      <c r="E548">
        <v>70.481800000000007</v>
      </c>
      <c r="F548">
        <v>90.034769999999995</v>
      </c>
      <c r="G548"/>
      <c r="H548"/>
      <c r="I548"/>
      <c r="J548"/>
      <c r="K548"/>
      <c r="L548">
        <v>76.445260000000005</v>
      </c>
      <c r="M548">
        <v>68.664370000000005</v>
      </c>
      <c r="N548"/>
      <c r="O548">
        <v>63.725540000000002</v>
      </c>
      <c r="P548"/>
      <c r="Q548"/>
      <c r="R548">
        <v>74.649320000000003</v>
      </c>
      <c r="S548">
        <v>76.68544</v>
      </c>
      <c r="T548"/>
      <c r="U548">
        <v>70.872889999999998</v>
      </c>
      <c r="V548">
        <v>70.604060000000004</v>
      </c>
      <c r="W548">
        <v>52.51652</v>
      </c>
      <c r="X548">
        <v>20.63513</v>
      </c>
      <c r="Y548"/>
      <c r="Z548"/>
      <c r="AA548">
        <v>63.900199999999998</v>
      </c>
      <c r="AB548">
        <v>39.900069999999999</v>
      </c>
      <c r="AC548">
        <v>54.361400000000003</v>
      </c>
      <c r="AD548">
        <v>64.161000000000001</v>
      </c>
      <c r="AE548">
        <v>100.8789</v>
      </c>
      <c r="AF548">
        <v>57.284469999999999</v>
      </c>
      <c r="AG548"/>
      <c r="AH548">
        <v>68.758830000000003</v>
      </c>
      <c r="AI548"/>
      <c r="AJ548">
        <v>18.369810000000001</v>
      </c>
      <c r="AK548">
        <v>66.200010000000006</v>
      </c>
      <c r="AL548">
        <v>67.254710000000003</v>
      </c>
      <c r="AM548">
        <v>56.282159999999998</v>
      </c>
      <c r="AN548">
        <v>48.411149999999999</v>
      </c>
      <c r="AO548"/>
      <c r="AP548">
        <v>59.01529</v>
      </c>
      <c r="AQ548"/>
      <c r="AR548"/>
      <c r="AS548"/>
      <c r="AT548"/>
      <c r="AU548">
        <v>83.219250000000002</v>
      </c>
      <c r="AV548">
        <v>0.51010869999999997</v>
      </c>
      <c r="AW548">
        <v>64.562340000000006</v>
      </c>
      <c r="AX548"/>
    </row>
    <row r="549" spans="1:50" x14ac:dyDescent="0.35">
      <c r="A549" s="75">
        <v>34547</v>
      </c>
      <c r="B549">
        <v>71.016549999999995</v>
      </c>
      <c r="C549">
        <v>70.765940000000001</v>
      </c>
      <c r="D549"/>
      <c r="E549">
        <v>70.576580000000007</v>
      </c>
      <c r="F549">
        <v>90.530370000000005</v>
      </c>
      <c r="G549"/>
      <c r="H549"/>
      <c r="I549"/>
      <c r="J549"/>
      <c r="K549"/>
      <c r="L549">
        <v>76.673580000000001</v>
      </c>
      <c r="M549">
        <v>68.862110000000001</v>
      </c>
      <c r="N549"/>
      <c r="O549">
        <v>64.038510000000002</v>
      </c>
      <c r="P549"/>
      <c r="Q549"/>
      <c r="R549">
        <v>74.930940000000007</v>
      </c>
      <c r="S549">
        <v>76.754829999999998</v>
      </c>
      <c r="T549"/>
      <c r="U549">
        <v>71.073400000000007</v>
      </c>
      <c r="V549">
        <v>70.90522</v>
      </c>
      <c r="W549">
        <v>52.730080000000001</v>
      </c>
      <c r="X549">
        <v>20.922969999999999</v>
      </c>
      <c r="Y549"/>
      <c r="Z549"/>
      <c r="AA549">
        <v>63.900199999999998</v>
      </c>
      <c r="AB549">
        <v>39.900069999999999</v>
      </c>
      <c r="AC549">
        <v>54.665089999999999</v>
      </c>
      <c r="AD549">
        <v>64.282830000000004</v>
      </c>
      <c r="AE549">
        <v>100.9042</v>
      </c>
      <c r="AF549">
        <v>57.463259999999998</v>
      </c>
      <c r="AG549"/>
      <c r="AH549">
        <v>68.805220000000006</v>
      </c>
      <c r="AI549"/>
      <c r="AJ549">
        <v>18.452839999999998</v>
      </c>
      <c r="AK549">
        <v>66.568280000000001</v>
      </c>
      <c r="AL549">
        <v>67.148939999999996</v>
      </c>
      <c r="AM549">
        <v>56.52093</v>
      </c>
      <c r="AN549">
        <v>48.711359999999999</v>
      </c>
      <c r="AO549"/>
      <c r="AP549">
        <v>59.204880000000003</v>
      </c>
      <c r="AQ549"/>
      <c r="AR549"/>
      <c r="AS549"/>
      <c r="AT549"/>
      <c r="AU549">
        <v>83.141390000000001</v>
      </c>
      <c r="AV549">
        <v>0.53080870000000002</v>
      </c>
      <c r="AW549">
        <v>64.810019999999994</v>
      </c>
      <c r="AX549"/>
    </row>
    <row r="550" spans="1:50" x14ac:dyDescent="0.35">
      <c r="A550" s="75">
        <v>34578</v>
      </c>
      <c r="B550">
        <v>70.273060000000001</v>
      </c>
      <c r="C550">
        <v>70.632729999999995</v>
      </c>
      <c r="D550"/>
      <c r="E550">
        <v>70.868549999999999</v>
      </c>
      <c r="F550">
        <v>90.536860000000004</v>
      </c>
      <c r="G550"/>
      <c r="H550"/>
      <c r="I550"/>
      <c r="J550"/>
      <c r="K550"/>
      <c r="L550">
        <v>76.554289999999995</v>
      </c>
      <c r="M550">
        <v>68.981129999999993</v>
      </c>
      <c r="N550"/>
      <c r="O550">
        <v>64.256609999999995</v>
      </c>
      <c r="P550"/>
      <c r="Q550"/>
      <c r="R550">
        <v>75.205960000000005</v>
      </c>
      <c r="S550">
        <v>76.959760000000003</v>
      </c>
      <c r="T550"/>
      <c r="U550">
        <v>71.27713</v>
      </c>
      <c r="V550">
        <v>71.206130000000002</v>
      </c>
      <c r="W550">
        <v>54.386850000000003</v>
      </c>
      <c r="X550">
        <v>21.27779</v>
      </c>
      <c r="Y550"/>
      <c r="Z550"/>
      <c r="AA550">
        <v>63.900199999999998</v>
      </c>
      <c r="AB550">
        <v>39.982939999999999</v>
      </c>
      <c r="AC550">
        <v>55.171250000000001</v>
      </c>
      <c r="AD550">
        <v>64.450649999999996</v>
      </c>
      <c r="AE550">
        <v>101.3605</v>
      </c>
      <c r="AF550">
        <v>57.402949999999997</v>
      </c>
      <c r="AG550"/>
      <c r="AH550">
        <v>69.018810000000002</v>
      </c>
      <c r="AI550"/>
      <c r="AJ550">
        <v>18.589639999999999</v>
      </c>
      <c r="AK550">
        <v>67.178200000000004</v>
      </c>
      <c r="AL550">
        <v>67.658630000000002</v>
      </c>
      <c r="AM550">
        <v>56.813960000000002</v>
      </c>
      <c r="AN550">
        <v>49.090850000000003</v>
      </c>
      <c r="AO550"/>
      <c r="AP550">
        <v>59.380249999999997</v>
      </c>
      <c r="AQ550"/>
      <c r="AR550"/>
      <c r="AS550"/>
      <c r="AT550"/>
      <c r="AU550">
        <v>84.21593</v>
      </c>
      <c r="AV550">
        <v>0.56284460000000003</v>
      </c>
      <c r="AW550">
        <v>65.016419999999997</v>
      </c>
      <c r="AX550"/>
    </row>
    <row r="551" spans="1:50" x14ac:dyDescent="0.35">
      <c r="A551" s="75">
        <v>34608</v>
      </c>
      <c r="B551">
        <v>70.144750000000002</v>
      </c>
      <c r="C551">
        <v>70.559290000000004</v>
      </c>
      <c r="D551"/>
      <c r="E551">
        <v>70.757469999999998</v>
      </c>
      <c r="F551">
        <v>90.536299999999997</v>
      </c>
      <c r="G551"/>
      <c r="H551"/>
      <c r="I551"/>
      <c r="J551"/>
      <c r="K551"/>
      <c r="L551">
        <v>76.413470000000004</v>
      </c>
      <c r="M551">
        <v>69.178749999999994</v>
      </c>
      <c r="N551"/>
      <c r="O551">
        <v>64.542559999999995</v>
      </c>
      <c r="P551"/>
      <c r="Q551"/>
      <c r="R551">
        <v>75.422659999999993</v>
      </c>
      <c r="S551">
        <v>77.041020000000003</v>
      </c>
      <c r="T551"/>
      <c r="U551">
        <v>71.436319999999995</v>
      </c>
      <c r="V551">
        <v>71.40307</v>
      </c>
      <c r="W551">
        <v>55.180790000000002</v>
      </c>
      <c r="X551">
        <v>21.591809999999999</v>
      </c>
      <c r="Y551"/>
      <c r="Z551"/>
      <c r="AA551">
        <v>64.128079999999997</v>
      </c>
      <c r="AB551">
        <v>39.941499999999998</v>
      </c>
      <c r="AC551">
        <v>55.778640000000003</v>
      </c>
      <c r="AD551">
        <v>64.761740000000003</v>
      </c>
      <c r="AE551">
        <v>101.5732</v>
      </c>
      <c r="AF551">
        <v>57.463259999999998</v>
      </c>
      <c r="AG551"/>
      <c r="AH551">
        <v>69.107799999999997</v>
      </c>
      <c r="AI551"/>
      <c r="AJ551">
        <v>18.674939999999999</v>
      </c>
      <c r="AK551">
        <v>67.217320000000001</v>
      </c>
      <c r="AL551">
        <v>67.75497</v>
      </c>
      <c r="AM551">
        <v>57.074840000000002</v>
      </c>
      <c r="AN551">
        <v>49.435250000000003</v>
      </c>
      <c r="AO551"/>
      <c r="AP551">
        <v>59.807560000000002</v>
      </c>
      <c r="AQ551"/>
      <c r="AR551"/>
      <c r="AS551"/>
      <c r="AT551"/>
      <c r="AU551">
        <v>84.55265</v>
      </c>
      <c r="AV551">
        <v>0.59438749999999996</v>
      </c>
      <c r="AW551">
        <v>65.222819999999999</v>
      </c>
      <c r="AX551"/>
    </row>
    <row r="552" spans="1:50" x14ac:dyDescent="0.35">
      <c r="A552" s="75">
        <v>34639</v>
      </c>
      <c r="B552">
        <v>70.202740000000006</v>
      </c>
      <c r="C552">
        <v>70.704930000000004</v>
      </c>
      <c r="D552"/>
      <c r="E552">
        <v>71.137860000000003</v>
      </c>
      <c r="F552">
        <v>90.659030000000001</v>
      </c>
      <c r="G552"/>
      <c r="H552"/>
      <c r="I552"/>
      <c r="J552"/>
      <c r="K552"/>
      <c r="L552">
        <v>76.565100000000001</v>
      </c>
      <c r="M552">
        <v>69.370540000000005</v>
      </c>
      <c r="N552"/>
      <c r="O552">
        <v>64.612639999999999</v>
      </c>
      <c r="P552"/>
      <c r="Q552"/>
      <c r="R552">
        <v>75.389449999999997</v>
      </c>
      <c r="S552">
        <v>77.165009999999995</v>
      </c>
      <c r="T552"/>
      <c r="U552">
        <v>71.545320000000004</v>
      </c>
      <c r="V552">
        <v>71.47963</v>
      </c>
      <c r="W552">
        <v>55.43159</v>
      </c>
      <c r="X552">
        <v>21.937049999999999</v>
      </c>
      <c r="Y552"/>
      <c r="Z552"/>
      <c r="AA552">
        <v>64.128079999999997</v>
      </c>
      <c r="AB552">
        <v>40.024369999999998</v>
      </c>
      <c r="AC552">
        <v>56.183570000000003</v>
      </c>
      <c r="AD552">
        <v>65.026920000000004</v>
      </c>
      <c r="AE552">
        <v>101.5665</v>
      </c>
      <c r="AF552">
        <v>57.644159999999999</v>
      </c>
      <c r="AG552"/>
      <c r="AH552">
        <v>69.339759999999998</v>
      </c>
      <c r="AI552"/>
      <c r="AJ552">
        <v>18.766729999999999</v>
      </c>
      <c r="AK552">
        <v>67.072720000000004</v>
      </c>
      <c r="AL552">
        <v>67.747410000000002</v>
      </c>
      <c r="AM552">
        <v>57.279220000000002</v>
      </c>
      <c r="AN552">
        <v>49.769159999999999</v>
      </c>
      <c r="AO552"/>
      <c r="AP552">
        <v>59.986130000000003</v>
      </c>
      <c r="AQ552"/>
      <c r="AR552"/>
      <c r="AS552"/>
      <c r="AT552"/>
      <c r="AU552">
        <v>84.495069999999998</v>
      </c>
      <c r="AV552">
        <v>0.62494470000000002</v>
      </c>
      <c r="AW552">
        <v>65.30538</v>
      </c>
      <c r="AX552"/>
    </row>
    <row r="553" spans="1:50" x14ac:dyDescent="0.35">
      <c r="A553" s="75">
        <v>34669</v>
      </c>
      <c r="B553">
        <v>70.250510000000006</v>
      </c>
      <c r="C553">
        <v>70.7273</v>
      </c>
      <c r="D553"/>
      <c r="E553">
        <v>71.260120000000001</v>
      </c>
      <c r="F553">
        <v>90.651759999999996</v>
      </c>
      <c r="G553"/>
      <c r="H553"/>
      <c r="I553"/>
      <c r="J553"/>
      <c r="K553"/>
      <c r="L553">
        <v>76.793319999999994</v>
      </c>
      <c r="M553">
        <v>69.423419999999993</v>
      </c>
      <c r="N553"/>
      <c r="O553">
        <v>64.770120000000006</v>
      </c>
      <c r="P553"/>
      <c r="Q553"/>
      <c r="R553">
        <v>75.3857</v>
      </c>
      <c r="S553">
        <v>77.238780000000006</v>
      </c>
      <c r="T553"/>
      <c r="U553">
        <v>71.536969999999997</v>
      </c>
      <c r="V553">
        <v>71.709490000000002</v>
      </c>
      <c r="W553">
        <v>56.052120000000002</v>
      </c>
      <c r="X553">
        <v>22.250150000000001</v>
      </c>
      <c r="Y553"/>
      <c r="Z553"/>
      <c r="AA553">
        <v>64.128079999999997</v>
      </c>
      <c r="AB553">
        <v>40.107230000000001</v>
      </c>
      <c r="AC553">
        <v>56.689720000000001</v>
      </c>
      <c r="AD553">
        <v>65.138450000000006</v>
      </c>
      <c r="AE553">
        <v>101.5796</v>
      </c>
      <c r="AF553">
        <v>57.704459999999997</v>
      </c>
      <c r="AG553"/>
      <c r="AH553">
        <v>69.422039999999996</v>
      </c>
      <c r="AI553"/>
      <c r="AJ553">
        <v>18.912939999999999</v>
      </c>
      <c r="AK553">
        <v>66.813159999999996</v>
      </c>
      <c r="AL553">
        <v>67.836669999999998</v>
      </c>
      <c r="AM553">
        <v>57.442570000000003</v>
      </c>
      <c r="AN553">
        <v>50.166260000000001</v>
      </c>
      <c r="AO553"/>
      <c r="AP553">
        <v>60.0227</v>
      </c>
      <c r="AQ553"/>
      <c r="AR553"/>
      <c r="AS553"/>
      <c r="AT553"/>
      <c r="AU553">
        <v>84.391530000000003</v>
      </c>
      <c r="AV553">
        <v>0.66240200000000005</v>
      </c>
      <c r="AW553">
        <v>65.181539999999998</v>
      </c>
      <c r="AX553"/>
    </row>
    <row r="554" spans="1:50" x14ac:dyDescent="0.35">
      <c r="A554" s="75">
        <v>34700</v>
      </c>
      <c r="B554">
        <v>70.747730000000004</v>
      </c>
      <c r="C554">
        <v>70.937860000000001</v>
      </c>
      <c r="D554"/>
      <c r="E554">
        <v>71.367890000000003</v>
      </c>
      <c r="F554">
        <v>90.997219999999999</v>
      </c>
      <c r="G554"/>
      <c r="H554"/>
      <c r="I554">
        <v>22.922070000000001</v>
      </c>
      <c r="J554">
        <v>17.17257</v>
      </c>
      <c r="K554">
        <v>64.400000000000006</v>
      </c>
      <c r="L554">
        <v>77.03201</v>
      </c>
      <c r="M554">
        <v>69.283029999999997</v>
      </c>
      <c r="N554"/>
      <c r="O554">
        <v>65.196209999999994</v>
      </c>
      <c r="P554"/>
      <c r="Q554"/>
      <c r="R554">
        <v>75.860209999999995</v>
      </c>
      <c r="S554">
        <v>77.209320000000005</v>
      </c>
      <c r="T554"/>
      <c r="U554">
        <v>71.702430000000007</v>
      </c>
      <c r="V554">
        <v>71.525729999999996</v>
      </c>
      <c r="W554">
        <v>55.849679999999999</v>
      </c>
      <c r="X554">
        <v>22.921060000000001</v>
      </c>
      <c r="Y554"/>
      <c r="Z554"/>
      <c r="AA554">
        <v>64.476489999999998</v>
      </c>
      <c r="AB554">
        <v>40.314399999999999</v>
      </c>
      <c r="AC554">
        <v>57.094650000000001</v>
      </c>
      <c r="AD554">
        <v>65.363680000000002</v>
      </c>
      <c r="AE554">
        <v>101.0986</v>
      </c>
      <c r="AF554">
        <v>58.301130000000001</v>
      </c>
      <c r="AG554">
        <v>47.264600000000002</v>
      </c>
      <c r="AH554">
        <v>69.7453</v>
      </c>
      <c r="AI554">
        <v>35.468209999999999</v>
      </c>
      <c r="AJ554">
        <v>19.554950000000002</v>
      </c>
      <c r="AK554">
        <v>66.880889999999994</v>
      </c>
      <c r="AL554">
        <v>68.016199999999998</v>
      </c>
      <c r="AM554">
        <v>57.758830000000003</v>
      </c>
      <c r="AN554">
        <v>50.441699999999997</v>
      </c>
      <c r="AO554">
        <v>35.669550000000001</v>
      </c>
      <c r="AP554">
        <v>60.658799999999999</v>
      </c>
      <c r="AQ554"/>
      <c r="AR554"/>
      <c r="AS554">
        <v>39.723700000000001</v>
      </c>
      <c r="AT554"/>
      <c r="AU554">
        <v>84.594549999999998</v>
      </c>
      <c r="AV554">
        <v>0.70725210000000005</v>
      </c>
      <c r="AW554">
        <v>65.511780000000002</v>
      </c>
      <c r="AX554"/>
    </row>
    <row r="555" spans="1:50" x14ac:dyDescent="0.35">
      <c r="A555" s="75">
        <v>34731</v>
      </c>
      <c r="B555">
        <v>71.114519999999999</v>
      </c>
      <c r="C555">
        <v>71.174260000000004</v>
      </c>
      <c r="D555"/>
      <c r="E555">
        <v>71.686199999999999</v>
      </c>
      <c r="F555">
        <v>91.848110000000005</v>
      </c>
      <c r="G555"/>
      <c r="H555"/>
      <c r="I555">
        <v>23.355340000000002</v>
      </c>
      <c r="J555">
        <v>17.439450000000001</v>
      </c>
      <c r="K555">
        <v>64.900000000000006</v>
      </c>
      <c r="L555">
        <v>77.419899999999998</v>
      </c>
      <c r="M555">
        <v>69.525509999999997</v>
      </c>
      <c r="N555"/>
      <c r="O555">
        <v>65.498419999999996</v>
      </c>
      <c r="P555"/>
      <c r="Q555"/>
      <c r="R555">
        <v>76.166719999999998</v>
      </c>
      <c r="S555">
        <v>77.488659999999996</v>
      </c>
      <c r="T555"/>
      <c r="U555">
        <v>72.027900000000002</v>
      </c>
      <c r="V555">
        <v>72.031809999999993</v>
      </c>
      <c r="W555">
        <v>55.494639999999997</v>
      </c>
      <c r="X555">
        <v>23.506070000000001</v>
      </c>
      <c r="Y555"/>
      <c r="Z555"/>
      <c r="AA555">
        <v>64.476489999999998</v>
      </c>
      <c r="AB555">
        <v>40.314399999999999</v>
      </c>
      <c r="AC555">
        <v>57.398350000000001</v>
      </c>
      <c r="AD555">
        <v>65.853999999999999</v>
      </c>
      <c r="AE555">
        <v>100.878</v>
      </c>
      <c r="AF555">
        <v>58.420679999999997</v>
      </c>
      <c r="AG555">
        <v>48.298699999999997</v>
      </c>
      <c r="AH555">
        <v>69.825609999999998</v>
      </c>
      <c r="AI555">
        <v>36.208530000000003</v>
      </c>
      <c r="AJ555">
        <v>20.35773</v>
      </c>
      <c r="AK555">
        <v>67.265299999999996</v>
      </c>
      <c r="AL555">
        <v>68.19408</v>
      </c>
      <c r="AM555">
        <v>58.134590000000003</v>
      </c>
      <c r="AN555">
        <v>50.791240000000002</v>
      </c>
      <c r="AO555">
        <v>36.535559999999997</v>
      </c>
      <c r="AP555">
        <v>61.060040000000001</v>
      </c>
      <c r="AQ555"/>
      <c r="AR555"/>
      <c r="AS555">
        <v>40.071719999999999</v>
      </c>
      <c r="AT555"/>
      <c r="AU555">
        <v>84.862629999999996</v>
      </c>
      <c r="AV555">
        <v>0.72943080000000005</v>
      </c>
      <c r="AW555">
        <v>65.883309999999994</v>
      </c>
      <c r="AX555"/>
    </row>
    <row r="556" spans="1:50" x14ac:dyDescent="0.35">
      <c r="A556" s="75">
        <v>34759</v>
      </c>
      <c r="B556">
        <v>71.38946</v>
      </c>
      <c r="C556">
        <v>71.191959999999995</v>
      </c>
      <c r="D556"/>
      <c r="E556">
        <v>71.874790000000004</v>
      </c>
      <c r="F556">
        <v>92.053089999999997</v>
      </c>
      <c r="G556"/>
      <c r="H556"/>
      <c r="I556">
        <v>24.270910000000001</v>
      </c>
      <c r="J556">
        <v>17.600010000000001</v>
      </c>
      <c r="K556">
        <v>65.2</v>
      </c>
      <c r="L556">
        <v>77.462630000000004</v>
      </c>
      <c r="M556">
        <v>69.813839999999999</v>
      </c>
      <c r="N556"/>
      <c r="O556">
        <v>65.831069999999997</v>
      </c>
      <c r="P556"/>
      <c r="Q556"/>
      <c r="R556">
        <v>76.243350000000007</v>
      </c>
      <c r="S556">
        <v>77.768230000000003</v>
      </c>
      <c r="T556"/>
      <c r="U556">
        <v>72.317359999999994</v>
      </c>
      <c r="V556">
        <v>72.285809999999998</v>
      </c>
      <c r="W556">
        <v>57.336480000000002</v>
      </c>
      <c r="X556">
        <v>24.466049999999999</v>
      </c>
      <c r="Y556"/>
      <c r="Z556"/>
      <c r="AA556">
        <v>64.476489999999998</v>
      </c>
      <c r="AB556">
        <v>40.272970000000001</v>
      </c>
      <c r="AC556">
        <v>57.499580000000002</v>
      </c>
      <c r="AD556">
        <v>66.34348</v>
      </c>
      <c r="AE556">
        <v>101.1048</v>
      </c>
      <c r="AF556">
        <v>59.020519999999998</v>
      </c>
      <c r="AG556">
        <v>49.189500000000002</v>
      </c>
      <c r="AH556">
        <v>69.87679</v>
      </c>
      <c r="AI556">
        <v>37.593029999999999</v>
      </c>
      <c r="AJ556">
        <v>21.538039999999999</v>
      </c>
      <c r="AK556">
        <v>67.637249999999995</v>
      </c>
      <c r="AL556">
        <v>68.687290000000004</v>
      </c>
      <c r="AM556">
        <v>58.576889999999999</v>
      </c>
      <c r="AN556">
        <v>51.138530000000003</v>
      </c>
      <c r="AO556">
        <v>37.301439999999999</v>
      </c>
      <c r="AP556">
        <v>61.323349999999998</v>
      </c>
      <c r="AQ556"/>
      <c r="AR556"/>
      <c r="AS556">
        <v>40.420999999999999</v>
      </c>
      <c r="AT556"/>
      <c r="AU556">
        <v>85.164230000000003</v>
      </c>
      <c r="AV556">
        <v>0.76146659999999999</v>
      </c>
      <c r="AW556">
        <v>66.213549999999998</v>
      </c>
      <c r="AX556"/>
    </row>
    <row r="557" spans="1:50" x14ac:dyDescent="0.35">
      <c r="A557" s="75">
        <v>34790</v>
      </c>
      <c r="B557">
        <v>71.444850000000002</v>
      </c>
      <c r="C557">
        <v>71.39264</v>
      </c>
      <c r="D557"/>
      <c r="E557">
        <v>71.983220000000003</v>
      </c>
      <c r="F557">
        <v>92.151889999999995</v>
      </c>
      <c r="G557"/>
      <c r="H557"/>
      <c r="I557">
        <v>24.818619999999999</v>
      </c>
      <c r="J557">
        <v>17.771419999999999</v>
      </c>
      <c r="K557">
        <v>66.099999999999994</v>
      </c>
      <c r="L557">
        <v>77.543499999999995</v>
      </c>
      <c r="M557">
        <v>69.959919999999997</v>
      </c>
      <c r="N557"/>
      <c r="O557">
        <v>66.250799999999998</v>
      </c>
      <c r="P557"/>
      <c r="Q557"/>
      <c r="R557">
        <v>76.319969999999998</v>
      </c>
      <c r="S557">
        <v>77.854510000000005</v>
      </c>
      <c r="T557"/>
      <c r="U557">
        <v>72.531599999999997</v>
      </c>
      <c r="V557">
        <v>73.171400000000006</v>
      </c>
      <c r="W557">
        <v>57.879530000000003</v>
      </c>
      <c r="X557">
        <v>25.134679999999999</v>
      </c>
      <c r="Y557"/>
      <c r="Z557"/>
      <c r="AA557">
        <v>65.152820000000006</v>
      </c>
      <c r="AB557">
        <v>40.148670000000003</v>
      </c>
      <c r="AC557">
        <v>58.005740000000003</v>
      </c>
      <c r="AD557">
        <v>66.576840000000004</v>
      </c>
      <c r="AE557">
        <v>101.5908</v>
      </c>
      <c r="AF557">
        <v>59.49765</v>
      </c>
      <c r="AG557">
        <v>50.420099999999998</v>
      </c>
      <c r="AH557">
        <v>69.894720000000007</v>
      </c>
      <c r="AI557">
        <v>38.419879999999999</v>
      </c>
      <c r="AJ557">
        <v>23.214400000000001</v>
      </c>
      <c r="AK557">
        <v>67.784419999999997</v>
      </c>
      <c r="AL557">
        <v>68.712370000000007</v>
      </c>
      <c r="AM557">
        <v>59.063139999999997</v>
      </c>
      <c r="AN557">
        <v>51.540030000000002</v>
      </c>
      <c r="AO557">
        <v>38.059840000000001</v>
      </c>
      <c r="AP557">
        <v>61.659080000000003</v>
      </c>
      <c r="AQ557"/>
      <c r="AR557"/>
      <c r="AS557">
        <v>40.778399999999998</v>
      </c>
      <c r="AT557"/>
      <c r="AU557">
        <v>85.690349999999995</v>
      </c>
      <c r="AV557">
        <v>0.81025959999999997</v>
      </c>
      <c r="AW557">
        <v>66.337389999999999</v>
      </c>
      <c r="AX557"/>
    </row>
    <row r="558" spans="1:50" x14ac:dyDescent="0.35">
      <c r="A558" s="75">
        <v>34820</v>
      </c>
      <c r="B558">
        <v>71.138570000000001</v>
      </c>
      <c r="C558">
        <v>71.305059999999997</v>
      </c>
      <c r="D558"/>
      <c r="E558">
        <v>72.152500000000003</v>
      </c>
      <c r="F558">
        <v>91.984750000000005</v>
      </c>
      <c r="G558"/>
      <c r="H558"/>
      <c r="I558">
        <v>25.276409999999998</v>
      </c>
      <c r="J558">
        <v>17.975380000000001</v>
      </c>
      <c r="K558">
        <v>66.5</v>
      </c>
      <c r="L558">
        <v>77.470569999999995</v>
      </c>
      <c r="M558">
        <v>70.287450000000007</v>
      </c>
      <c r="N558"/>
      <c r="O558">
        <v>66.463579999999993</v>
      </c>
      <c r="P558"/>
      <c r="Q558"/>
      <c r="R558">
        <v>76.473219999999998</v>
      </c>
      <c r="S558">
        <v>77.897989999999993</v>
      </c>
      <c r="T558"/>
      <c r="U558">
        <v>72.610659999999996</v>
      </c>
      <c r="V558">
        <v>73.339500000000001</v>
      </c>
      <c r="W558">
        <v>57.59845</v>
      </c>
      <c r="X558">
        <v>25.74943</v>
      </c>
      <c r="Y558"/>
      <c r="Z558"/>
      <c r="AA558">
        <v>65.152820000000006</v>
      </c>
      <c r="AB558">
        <v>40.148670000000003</v>
      </c>
      <c r="AC558">
        <v>58.714359999999999</v>
      </c>
      <c r="AD558">
        <v>66.955780000000004</v>
      </c>
      <c r="AE558">
        <v>101.724</v>
      </c>
      <c r="AF558">
        <v>59.737789999999997</v>
      </c>
      <c r="AG558">
        <v>51.957799999999999</v>
      </c>
      <c r="AH558">
        <v>69.988</v>
      </c>
      <c r="AI558">
        <v>39.371729999999999</v>
      </c>
      <c r="AJ558">
        <v>24.144850000000002</v>
      </c>
      <c r="AK558">
        <v>67.649010000000004</v>
      </c>
      <c r="AL558">
        <v>68.796040000000005</v>
      </c>
      <c r="AM558">
        <v>59.303820000000002</v>
      </c>
      <c r="AN558">
        <v>51.750839999999997</v>
      </c>
      <c r="AO558">
        <v>38.830190000000002</v>
      </c>
      <c r="AP558">
        <v>61.941070000000003</v>
      </c>
      <c r="AQ558"/>
      <c r="AR558"/>
      <c r="AS558">
        <v>41.044580000000003</v>
      </c>
      <c r="AT558"/>
      <c r="AU558">
        <v>85.68365</v>
      </c>
      <c r="AV558">
        <v>0.84525260000000002</v>
      </c>
      <c r="AW558">
        <v>66.37867</v>
      </c>
      <c r="AX558"/>
    </row>
    <row r="559" spans="1:50" x14ac:dyDescent="0.35">
      <c r="A559" s="75">
        <v>34851</v>
      </c>
      <c r="B559">
        <v>71.413640000000001</v>
      </c>
      <c r="C559">
        <v>71.539389999999997</v>
      </c>
      <c r="D559"/>
      <c r="E559">
        <v>72.135829999999999</v>
      </c>
      <c r="F559">
        <v>92.002570000000006</v>
      </c>
      <c r="G559"/>
      <c r="H559"/>
      <c r="I559">
        <v>25.69332</v>
      </c>
      <c r="J559">
        <v>18.184760000000001</v>
      </c>
      <c r="K559">
        <v>66.900000000000006</v>
      </c>
      <c r="L559">
        <v>77.57938</v>
      </c>
      <c r="M559">
        <v>70.266589999999994</v>
      </c>
      <c r="N559"/>
      <c r="O559">
        <v>66.664760000000001</v>
      </c>
      <c r="P559"/>
      <c r="Q559"/>
      <c r="R559">
        <v>76.932980000000001</v>
      </c>
      <c r="S559">
        <v>77.945239999999998</v>
      </c>
      <c r="T559"/>
      <c r="U559">
        <v>72.692989999999995</v>
      </c>
      <c r="V559">
        <v>73.558400000000006</v>
      </c>
      <c r="W559">
        <v>58.28913</v>
      </c>
      <c r="X559">
        <v>26.184909999999999</v>
      </c>
      <c r="Y559"/>
      <c r="Z559"/>
      <c r="AA559">
        <v>65.152820000000006</v>
      </c>
      <c r="AB559">
        <v>40.272970000000001</v>
      </c>
      <c r="AC559">
        <v>59.018050000000002</v>
      </c>
      <c r="AD559">
        <v>67.402010000000004</v>
      </c>
      <c r="AE559">
        <v>101.68049999999999</v>
      </c>
      <c r="AF559">
        <v>59.798099999999998</v>
      </c>
      <c r="AG559">
        <v>52.668900000000001</v>
      </c>
      <c r="AH559">
        <v>70.047290000000004</v>
      </c>
      <c r="AI559">
        <v>39.785159999999998</v>
      </c>
      <c r="AJ559">
        <v>24.823270000000001</v>
      </c>
      <c r="AK559">
        <v>67.465739999999997</v>
      </c>
      <c r="AL559">
        <v>68.979609999999994</v>
      </c>
      <c r="AM559">
        <v>59.512079999999997</v>
      </c>
      <c r="AN559">
        <v>52.004849999999998</v>
      </c>
      <c r="AO559">
        <v>39.365859999999998</v>
      </c>
      <c r="AP559">
        <v>62.22195</v>
      </c>
      <c r="AQ559"/>
      <c r="AR559"/>
      <c r="AS559">
        <v>41.406910000000003</v>
      </c>
      <c r="AT559"/>
      <c r="AU559">
        <v>85.626679999999993</v>
      </c>
      <c r="AV559">
        <v>0.87433119999999998</v>
      </c>
      <c r="AW559">
        <v>66.419939999999997</v>
      </c>
      <c r="AX559"/>
    </row>
    <row r="560" spans="1:50" x14ac:dyDescent="0.35">
      <c r="A560" s="75">
        <v>34881</v>
      </c>
      <c r="B560">
        <v>72.099220000000003</v>
      </c>
      <c r="C560">
        <v>71.976669999999999</v>
      </c>
      <c r="D560"/>
      <c r="E560">
        <v>72.401920000000004</v>
      </c>
      <c r="F560">
        <v>92.028239999999997</v>
      </c>
      <c r="G560"/>
      <c r="H560"/>
      <c r="I560">
        <v>26.085709999999999</v>
      </c>
      <c r="J560">
        <v>18.410419999999998</v>
      </c>
      <c r="K560">
        <v>67.400000000000006</v>
      </c>
      <c r="L560">
        <v>78.002390000000005</v>
      </c>
      <c r="M560">
        <v>69.835530000000006</v>
      </c>
      <c r="N560"/>
      <c r="O560">
        <v>66.823729999999998</v>
      </c>
      <c r="P560"/>
      <c r="Q560"/>
      <c r="R560">
        <v>76.856350000000006</v>
      </c>
      <c r="S560">
        <v>77.887280000000004</v>
      </c>
      <c r="T560"/>
      <c r="U560">
        <v>72.742490000000004</v>
      </c>
      <c r="V560">
        <v>73.210139999999996</v>
      </c>
      <c r="W560">
        <v>57.453949999999999</v>
      </c>
      <c r="X560">
        <v>26.607389999999999</v>
      </c>
      <c r="Y560"/>
      <c r="Z560"/>
      <c r="AA560">
        <v>65.621309999999994</v>
      </c>
      <c r="AB560">
        <v>40.314399999999999</v>
      </c>
      <c r="AC560">
        <v>59.22052</v>
      </c>
      <c r="AD560">
        <v>67.545270000000002</v>
      </c>
      <c r="AE560">
        <v>101.3489</v>
      </c>
      <c r="AF560">
        <v>60.097490000000001</v>
      </c>
      <c r="AG560">
        <v>53.6494</v>
      </c>
      <c r="AH560">
        <v>70.057239999999993</v>
      </c>
      <c r="AI560">
        <v>40.64085</v>
      </c>
      <c r="AJ560">
        <v>25.262060000000002</v>
      </c>
      <c r="AK560">
        <v>67.701949999999997</v>
      </c>
      <c r="AL560">
        <v>68.853819999999999</v>
      </c>
      <c r="AM560">
        <v>59.678089999999997</v>
      </c>
      <c r="AN560">
        <v>52.183700000000002</v>
      </c>
      <c r="AO560">
        <v>39.948189999999997</v>
      </c>
      <c r="AP560">
        <v>62.39085</v>
      </c>
      <c r="AQ560"/>
      <c r="AR560"/>
      <c r="AS560">
        <v>41.828270000000003</v>
      </c>
      <c r="AT560"/>
      <c r="AU560">
        <v>85.640079999999998</v>
      </c>
      <c r="AV560">
        <v>0.90242420000000001</v>
      </c>
      <c r="AW560">
        <v>66.502510000000001</v>
      </c>
      <c r="AX560"/>
    </row>
    <row r="561" spans="1:50" x14ac:dyDescent="0.35">
      <c r="A561" s="75">
        <v>34912</v>
      </c>
      <c r="B561">
        <v>72.649990000000003</v>
      </c>
      <c r="C561">
        <v>72.042079999999999</v>
      </c>
      <c r="D561"/>
      <c r="E561">
        <v>72.436350000000004</v>
      </c>
      <c r="F561">
        <v>92.580420000000004</v>
      </c>
      <c r="G561"/>
      <c r="H561"/>
      <c r="I561">
        <v>26.412700000000001</v>
      </c>
      <c r="J561">
        <v>18.71527</v>
      </c>
      <c r="K561">
        <v>67.599999999999994</v>
      </c>
      <c r="L561">
        <v>78.139470000000003</v>
      </c>
      <c r="M561">
        <v>69.947090000000003</v>
      </c>
      <c r="N561"/>
      <c r="O561">
        <v>66.903030000000001</v>
      </c>
      <c r="P561"/>
      <c r="Q561"/>
      <c r="R561">
        <v>76.856350000000006</v>
      </c>
      <c r="S561">
        <v>78.407970000000006</v>
      </c>
      <c r="T561"/>
      <c r="U561">
        <v>72.932119999999998</v>
      </c>
      <c r="V561">
        <v>73.480419999999995</v>
      </c>
      <c r="W561">
        <v>57.64508</v>
      </c>
      <c r="X561">
        <v>26.88898</v>
      </c>
      <c r="Y561"/>
      <c r="Z561"/>
      <c r="AA561">
        <v>65.621309999999994</v>
      </c>
      <c r="AB561">
        <v>40.438699999999997</v>
      </c>
      <c r="AC561">
        <v>59.929139999999997</v>
      </c>
      <c r="AD561">
        <v>67.810370000000006</v>
      </c>
      <c r="AE561">
        <v>101.2338</v>
      </c>
      <c r="AF561">
        <v>60.395820000000001</v>
      </c>
      <c r="AG561">
        <v>54.759</v>
      </c>
      <c r="AH561">
        <v>70.075969999999998</v>
      </c>
      <c r="AI561">
        <v>41.313879999999997</v>
      </c>
      <c r="AJ561">
        <v>25.695599999999999</v>
      </c>
      <c r="AK561">
        <v>67.967269999999999</v>
      </c>
      <c r="AL561">
        <v>68.795940000000002</v>
      </c>
      <c r="AM561">
        <v>59.952309999999997</v>
      </c>
      <c r="AN561">
        <v>52.513649999999998</v>
      </c>
      <c r="AO561">
        <v>40.50564</v>
      </c>
      <c r="AP561">
        <v>62.413919999999997</v>
      </c>
      <c r="AQ561"/>
      <c r="AR561"/>
      <c r="AS561">
        <v>41.86262</v>
      </c>
      <c r="AT561"/>
      <c r="AU561">
        <v>85.579769999999996</v>
      </c>
      <c r="AV561">
        <v>0.9453028</v>
      </c>
      <c r="AW561">
        <v>66.708910000000003</v>
      </c>
      <c r="AX561"/>
    </row>
    <row r="562" spans="1:50" x14ac:dyDescent="0.35">
      <c r="A562" s="75">
        <v>34943</v>
      </c>
      <c r="B562">
        <v>71.6614</v>
      </c>
      <c r="C562">
        <v>71.848640000000003</v>
      </c>
      <c r="D562"/>
      <c r="E562">
        <v>72.572010000000006</v>
      </c>
      <c r="F562">
        <v>92.604929999999996</v>
      </c>
      <c r="G562"/>
      <c r="H562"/>
      <c r="I562">
        <v>26.707000000000001</v>
      </c>
      <c r="J562">
        <v>19.1221</v>
      </c>
      <c r="K562">
        <v>68</v>
      </c>
      <c r="L562">
        <v>78.146100000000004</v>
      </c>
      <c r="M562">
        <v>70.38955</v>
      </c>
      <c r="N562"/>
      <c r="O562">
        <v>67.118120000000005</v>
      </c>
      <c r="P562"/>
      <c r="Q562"/>
      <c r="R562">
        <v>77.009609999999995</v>
      </c>
      <c r="S562">
        <v>78.750050000000002</v>
      </c>
      <c r="T562"/>
      <c r="U562">
        <v>73.188860000000005</v>
      </c>
      <c r="V562">
        <v>73.914400000000001</v>
      </c>
      <c r="W562">
        <v>59.206180000000003</v>
      </c>
      <c r="X562">
        <v>27.394659999999998</v>
      </c>
      <c r="Y562"/>
      <c r="Z562"/>
      <c r="AA562">
        <v>65.621309999999994</v>
      </c>
      <c r="AB562">
        <v>40.480130000000003</v>
      </c>
      <c r="AC562">
        <v>60.334060000000001</v>
      </c>
      <c r="AD562">
        <v>67.963679999999997</v>
      </c>
      <c r="AE562">
        <v>101.9734</v>
      </c>
      <c r="AF562">
        <v>60.575670000000002</v>
      </c>
      <c r="AG562">
        <v>55.704999999999998</v>
      </c>
      <c r="AH562">
        <v>70.205470000000005</v>
      </c>
      <c r="AI562">
        <v>42.717610000000001</v>
      </c>
      <c r="AJ562">
        <v>26.243269999999999</v>
      </c>
      <c r="AK562">
        <v>68.632480000000001</v>
      </c>
      <c r="AL562">
        <v>69.313800000000001</v>
      </c>
      <c r="AM562">
        <v>60.354259999999996</v>
      </c>
      <c r="AN562">
        <v>52.991570000000003</v>
      </c>
      <c r="AO562">
        <v>41.584310000000002</v>
      </c>
      <c r="AP562">
        <v>62.616309999999999</v>
      </c>
      <c r="AQ562"/>
      <c r="AR562"/>
      <c r="AS562">
        <v>41.809449999999998</v>
      </c>
      <c r="AT562"/>
      <c r="AU562">
        <v>86.320350000000005</v>
      </c>
      <c r="AV562">
        <v>1.024653</v>
      </c>
      <c r="AW562">
        <v>66.915310000000005</v>
      </c>
      <c r="AX562"/>
    </row>
    <row r="563" spans="1:50" x14ac:dyDescent="0.35">
      <c r="A563" s="75">
        <v>34973</v>
      </c>
      <c r="B563">
        <v>71.434179999999998</v>
      </c>
      <c r="C563">
        <v>71.809049999999999</v>
      </c>
      <c r="D563"/>
      <c r="E563">
        <v>72.543279999999996</v>
      </c>
      <c r="F563">
        <v>92.592240000000004</v>
      </c>
      <c r="G563"/>
      <c r="H563"/>
      <c r="I563">
        <v>27.001290000000001</v>
      </c>
      <c r="J563">
        <v>19.620059999999999</v>
      </c>
      <c r="K563">
        <v>68.400000000000006</v>
      </c>
      <c r="L563">
        <v>77.969080000000005</v>
      </c>
      <c r="M563">
        <v>70.492530000000002</v>
      </c>
      <c r="N563"/>
      <c r="O563">
        <v>67.372900000000001</v>
      </c>
      <c r="P563"/>
      <c r="Q563"/>
      <c r="R563">
        <v>77.009609999999995</v>
      </c>
      <c r="S563">
        <v>78.852800000000002</v>
      </c>
      <c r="T563"/>
      <c r="U563">
        <v>73.328710000000001</v>
      </c>
      <c r="V563">
        <v>73.610079999999996</v>
      </c>
      <c r="W563">
        <v>60.066070000000003</v>
      </c>
      <c r="X563">
        <v>27.976310000000002</v>
      </c>
      <c r="Y563"/>
      <c r="Z563"/>
      <c r="AA563">
        <v>65.699449999999999</v>
      </c>
      <c r="AB563">
        <v>40.6873</v>
      </c>
      <c r="AC563">
        <v>60.941459999999999</v>
      </c>
      <c r="AD563">
        <v>68.245109999999997</v>
      </c>
      <c r="AE563">
        <v>101.9007</v>
      </c>
      <c r="AF563">
        <v>60.63597</v>
      </c>
      <c r="AG563">
        <v>56.608800000000002</v>
      </c>
      <c r="AH563">
        <v>70.254940000000005</v>
      </c>
      <c r="AI563">
        <v>43.48677</v>
      </c>
      <c r="AJ563">
        <v>26.6815</v>
      </c>
      <c r="AK563">
        <v>68.606470000000002</v>
      </c>
      <c r="AL563">
        <v>69.368759999999995</v>
      </c>
      <c r="AM563">
        <v>60.64611</v>
      </c>
      <c r="AN563">
        <v>53.287260000000003</v>
      </c>
      <c r="AO563">
        <v>42.204810000000002</v>
      </c>
      <c r="AP563">
        <v>62.863750000000003</v>
      </c>
      <c r="AQ563"/>
      <c r="AR563"/>
      <c r="AS563">
        <v>42.015610000000002</v>
      </c>
      <c r="AT563"/>
      <c r="AU563">
        <v>86.782799999999995</v>
      </c>
      <c r="AV563">
        <v>1.0906960000000001</v>
      </c>
      <c r="AW563">
        <v>67.204279999999997</v>
      </c>
      <c r="AX563"/>
    </row>
    <row r="564" spans="1:50" x14ac:dyDescent="0.35">
      <c r="A564" s="75">
        <v>35004</v>
      </c>
      <c r="B564">
        <v>71.493179999999995</v>
      </c>
      <c r="C564">
        <v>71.963049999999996</v>
      </c>
      <c r="D564"/>
      <c r="E564">
        <v>72.87473</v>
      </c>
      <c r="F564">
        <v>92.653409999999994</v>
      </c>
      <c r="G564"/>
      <c r="H564"/>
      <c r="I564">
        <v>27.303750000000001</v>
      </c>
      <c r="J564">
        <v>19.825099999999999</v>
      </c>
      <c r="K564">
        <v>68.900000000000006</v>
      </c>
      <c r="L564">
        <v>77.958470000000005</v>
      </c>
      <c r="M564">
        <v>70.646770000000004</v>
      </c>
      <c r="N564"/>
      <c r="O564">
        <v>67.433850000000007</v>
      </c>
      <c r="P564"/>
      <c r="Q564"/>
      <c r="R564">
        <v>76.856350000000006</v>
      </c>
      <c r="S564">
        <v>78.855189999999993</v>
      </c>
      <c r="T564"/>
      <c r="U564">
        <v>73.431399999999996</v>
      </c>
      <c r="V564">
        <v>73.649569999999997</v>
      </c>
      <c r="W564">
        <v>60.32058</v>
      </c>
      <c r="X564">
        <v>28.390519999999999</v>
      </c>
      <c r="Y564"/>
      <c r="Z564"/>
      <c r="AA564">
        <v>65.699449999999999</v>
      </c>
      <c r="AB564">
        <v>40.811599999999999</v>
      </c>
      <c r="AC564">
        <v>61.447609999999997</v>
      </c>
      <c r="AD564">
        <v>68.701620000000005</v>
      </c>
      <c r="AE564">
        <v>101.9714</v>
      </c>
      <c r="AF564">
        <v>60.81476</v>
      </c>
      <c r="AG564">
        <v>58.073399999999999</v>
      </c>
      <c r="AH564">
        <v>70.412610000000001</v>
      </c>
      <c r="AI564">
        <v>43.506</v>
      </c>
      <c r="AJ564">
        <v>27.167649999999998</v>
      </c>
      <c r="AK564">
        <v>68.53246</v>
      </c>
      <c r="AL564">
        <v>69.322760000000002</v>
      </c>
      <c r="AM564">
        <v>60.869430000000001</v>
      </c>
      <c r="AN564">
        <v>53.557209999999998</v>
      </c>
      <c r="AO564">
        <v>42.750369999999997</v>
      </c>
      <c r="AP564">
        <v>62.947839999999999</v>
      </c>
      <c r="AQ564"/>
      <c r="AR564"/>
      <c r="AS564">
        <v>42.272419999999997</v>
      </c>
      <c r="AT564"/>
      <c r="AU564">
        <v>86.836420000000004</v>
      </c>
      <c r="AV564">
        <v>1.139489</v>
      </c>
      <c r="AW564">
        <v>67.286829999999995</v>
      </c>
      <c r="AX564"/>
    </row>
    <row r="565" spans="1:50" x14ac:dyDescent="0.35">
      <c r="A565" s="75">
        <v>35034</v>
      </c>
      <c r="B565">
        <v>71.470129999999997</v>
      </c>
      <c r="C565">
        <v>71.847380000000001</v>
      </c>
      <c r="D565"/>
      <c r="E565">
        <v>72.526229999999998</v>
      </c>
      <c r="F565">
        <v>92.653019999999998</v>
      </c>
      <c r="G565"/>
      <c r="H565"/>
      <c r="I565">
        <v>27.548999999999999</v>
      </c>
      <c r="J565">
        <v>20.013870000000001</v>
      </c>
      <c r="K565">
        <v>69.2</v>
      </c>
      <c r="L565">
        <v>78.259379999999993</v>
      </c>
      <c r="M565">
        <v>70.615229999999997</v>
      </c>
      <c r="N565"/>
      <c r="O565">
        <v>67.604050000000001</v>
      </c>
      <c r="P565"/>
      <c r="Q565"/>
      <c r="R565">
        <v>76.856350000000006</v>
      </c>
      <c r="S565">
        <v>78.884349999999998</v>
      </c>
      <c r="T565"/>
      <c r="U565">
        <v>73.395949999999999</v>
      </c>
      <c r="V565">
        <v>73.845889999999997</v>
      </c>
      <c r="W565">
        <v>61.08502</v>
      </c>
      <c r="X565">
        <v>28.721550000000001</v>
      </c>
      <c r="Y565"/>
      <c r="Z565"/>
      <c r="AA565">
        <v>65.699449999999999</v>
      </c>
      <c r="AB565">
        <v>40.853029999999997</v>
      </c>
      <c r="AC565">
        <v>62.358699999999999</v>
      </c>
      <c r="AD565">
        <v>68.780559999999994</v>
      </c>
      <c r="AE565">
        <v>101.90049999999999</v>
      </c>
      <c r="AF565">
        <v>61.11627</v>
      </c>
      <c r="AG565">
        <v>59.131399999999999</v>
      </c>
      <c r="AH565">
        <v>70.429919999999996</v>
      </c>
      <c r="AI565">
        <v>44.082880000000003</v>
      </c>
      <c r="AJ565">
        <v>27.934979999999999</v>
      </c>
      <c r="AK565">
        <v>68.287739999999999</v>
      </c>
      <c r="AL565">
        <v>69.321619999999996</v>
      </c>
      <c r="AM565">
        <v>61.033659999999998</v>
      </c>
      <c r="AN565">
        <v>53.820920000000001</v>
      </c>
      <c r="AO565">
        <v>43.388559999999998</v>
      </c>
      <c r="AP565">
        <v>62.850859999999997</v>
      </c>
      <c r="AQ565"/>
      <c r="AR565"/>
      <c r="AS565">
        <v>42.728549999999998</v>
      </c>
      <c r="AT565"/>
      <c r="AU565">
        <v>86.598489999999998</v>
      </c>
      <c r="AV565">
        <v>1.1823680000000001</v>
      </c>
      <c r="AW565">
        <v>67.162989999999994</v>
      </c>
      <c r="AX565"/>
    </row>
    <row r="566" spans="1:50" x14ac:dyDescent="0.35">
      <c r="A566" s="75">
        <v>35065</v>
      </c>
      <c r="B566">
        <v>71.732820000000004</v>
      </c>
      <c r="C566">
        <v>72.484790000000004</v>
      </c>
      <c r="D566"/>
      <c r="E566">
        <v>72.668710000000004</v>
      </c>
      <c r="F566">
        <v>92.733339999999998</v>
      </c>
      <c r="G566"/>
      <c r="H566"/>
      <c r="I566">
        <v>27.76972</v>
      </c>
      <c r="J566">
        <v>20.443480000000001</v>
      </c>
      <c r="K566">
        <v>70.3</v>
      </c>
      <c r="L566">
        <v>79.256919999999994</v>
      </c>
      <c r="M566">
        <v>70.501779999999997</v>
      </c>
      <c r="N566">
        <v>75.099999999999994</v>
      </c>
      <c r="O566">
        <v>67.778660000000002</v>
      </c>
      <c r="P566"/>
      <c r="Q566"/>
      <c r="R566">
        <v>76.473219999999998</v>
      </c>
      <c r="S566">
        <v>78.982320000000001</v>
      </c>
      <c r="T566"/>
      <c r="U566">
        <v>73.612120000000004</v>
      </c>
      <c r="V566">
        <v>73.437349999999995</v>
      </c>
      <c r="W566">
        <v>61.00103</v>
      </c>
      <c r="X566">
        <v>29.89677</v>
      </c>
      <c r="Y566"/>
      <c r="Z566"/>
      <c r="AA566">
        <v>65.952770000000001</v>
      </c>
      <c r="AB566">
        <v>40.894460000000002</v>
      </c>
      <c r="AC566">
        <v>62.662390000000002</v>
      </c>
      <c r="AD566">
        <v>69.040040000000005</v>
      </c>
      <c r="AE566">
        <v>101.423</v>
      </c>
      <c r="AF566">
        <v>61.534149999999997</v>
      </c>
      <c r="AG566">
        <v>59.960500000000003</v>
      </c>
      <c r="AH566">
        <v>70.440129999999996</v>
      </c>
      <c r="AI566">
        <v>45.919260000000001</v>
      </c>
      <c r="AJ566">
        <v>28.911539999999999</v>
      </c>
      <c r="AK566">
        <v>69.360950000000003</v>
      </c>
      <c r="AL566">
        <v>70.020750000000007</v>
      </c>
      <c r="AM566">
        <v>61.443840000000002</v>
      </c>
      <c r="AN566">
        <v>54.346029999999999</v>
      </c>
      <c r="AO566">
        <v>44.80677</v>
      </c>
      <c r="AP566">
        <v>63.18909</v>
      </c>
      <c r="AQ566"/>
      <c r="AR566"/>
      <c r="AS566">
        <v>42.992899999999999</v>
      </c>
      <c r="AT566"/>
      <c r="AU566">
        <v>87.131309999999999</v>
      </c>
      <c r="AV566">
        <v>1.2769969999999999</v>
      </c>
      <c r="AW566">
        <v>67.45196</v>
      </c>
      <c r="AX566"/>
    </row>
    <row r="567" spans="1:50" x14ac:dyDescent="0.35">
      <c r="A567" s="75">
        <v>35096</v>
      </c>
      <c r="B567">
        <v>72.106080000000006</v>
      </c>
      <c r="C567">
        <v>72.613720000000001</v>
      </c>
      <c r="D567"/>
      <c r="E567">
        <v>72.787360000000007</v>
      </c>
      <c r="F567">
        <v>92.928709999999995</v>
      </c>
      <c r="G567"/>
      <c r="H567"/>
      <c r="I567">
        <v>28.325600000000001</v>
      </c>
      <c r="J567">
        <v>20.772200000000002</v>
      </c>
      <c r="K567">
        <v>70.599999999999994</v>
      </c>
      <c r="L567">
        <v>79.734920000000002</v>
      </c>
      <c r="M567">
        <v>70.876959999999997</v>
      </c>
      <c r="N567">
        <v>75.42</v>
      </c>
      <c r="O567">
        <v>68.116829999999993</v>
      </c>
      <c r="P567"/>
      <c r="Q567"/>
      <c r="R567">
        <v>76.779730000000001</v>
      </c>
      <c r="S567">
        <v>79.281829999999999</v>
      </c>
      <c r="T567"/>
      <c r="U567">
        <v>73.885429999999999</v>
      </c>
      <c r="V567">
        <v>73.840289999999996</v>
      </c>
      <c r="W567">
        <v>60.631329999999998</v>
      </c>
      <c r="X567">
        <v>30.6951</v>
      </c>
      <c r="Y567"/>
      <c r="Z567"/>
      <c r="AA567">
        <v>65.952770000000001</v>
      </c>
      <c r="AB567">
        <v>40.935899999999997</v>
      </c>
      <c r="AC567">
        <v>63.269779999999997</v>
      </c>
      <c r="AD567">
        <v>69.334130000000002</v>
      </c>
      <c r="AE567">
        <v>101.1208</v>
      </c>
      <c r="AF567">
        <v>61.712940000000003</v>
      </c>
      <c r="AG567">
        <v>60.737200000000001</v>
      </c>
      <c r="AH567">
        <v>70.543199999999999</v>
      </c>
      <c r="AI567">
        <v>46.611510000000003</v>
      </c>
      <c r="AJ567">
        <v>29.56542</v>
      </c>
      <c r="AK567">
        <v>69.650589999999994</v>
      </c>
      <c r="AL567">
        <v>70.137590000000003</v>
      </c>
      <c r="AM567">
        <v>61.779089999999997</v>
      </c>
      <c r="AN567">
        <v>54.724539999999998</v>
      </c>
      <c r="AO567">
        <v>45.42454</v>
      </c>
      <c r="AP567">
        <v>63.545499999999997</v>
      </c>
      <c r="AQ567"/>
      <c r="AR567"/>
      <c r="AS567">
        <v>43.27084</v>
      </c>
      <c r="AT567"/>
      <c r="AU567">
        <v>87.218440000000001</v>
      </c>
      <c r="AV567">
        <v>1.328254</v>
      </c>
      <c r="AW567">
        <v>67.782200000000003</v>
      </c>
      <c r="AX567"/>
    </row>
    <row r="568" spans="1:50" x14ac:dyDescent="0.35">
      <c r="A568" s="75">
        <v>35125</v>
      </c>
      <c r="B568">
        <v>72.423969999999997</v>
      </c>
      <c r="C568">
        <v>72.570880000000002</v>
      </c>
      <c r="D568"/>
      <c r="E568">
        <v>73.053020000000004</v>
      </c>
      <c r="F568">
        <v>92.963059999999999</v>
      </c>
      <c r="G568"/>
      <c r="H568"/>
      <c r="I568">
        <v>29.60904</v>
      </c>
      <c r="J568">
        <v>20.945779999999999</v>
      </c>
      <c r="K568">
        <v>71</v>
      </c>
      <c r="L568">
        <v>79.618989999999997</v>
      </c>
      <c r="M568">
        <v>71.292320000000004</v>
      </c>
      <c r="N568">
        <v>75.69</v>
      </c>
      <c r="O568">
        <v>68.446449999999999</v>
      </c>
      <c r="P568"/>
      <c r="Q568"/>
      <c r="R568">
        <v>76.703100000000006</v>
      </c>
      <c r="S568">
        <v>79.725859999999997</v>
      </c>
      <c r="T568"/>
      <c r="U568">
        <v>74.151889999999995</v>
      </c>
      <c r="V568">
        <v>74.142510000000001</v>
      </c>
      <c r="W568">
        <v>62.350909999999999</v>
      </c>
      <c r="X568">
        <v>31.331959999999999</v>
      </c>
      <c r="Y568"/>
      <c r="Z568"/>
      <c r="AA568">
        <v>65.952770000000001</v>
      </c>
      <c r="AB568">
        <v>40.977330000000002</v>
      </c>
      <c r="AC568">
        <v>63.573480000000004</v>
      </c>
      <c r="AD568">
        <v>69.606499999999997</v>
      </c>
      <c r="AE568">
        <v>101.51479999999999</v>
      </c>
      <c r="AF568">
        <v>62.373080000000002</v>
      </c>
      <c r="AG568">
        <v>61.8048</v>
      </c>
      <c r="AH568">
        <v>70.550839999999994</v>
      </c>
      <c r="AI568">
        <v>47.053780000000003</v>
      </c>
      <c r="AJ568">
        <v>30.210129999999999</v>
      </c>
      <c r="AK568">
        <v>70.230879999999999</v>
      </c>
      <c r="AL568">
        <v>70.455849999999998</v>
      </c>
      <c r="AM568">
        <v>62.151769999999999</v>
      </c>
      <c r="AN568">
        <v>55.052320000000002</v>
      </c>
      <c r="AO568">
        <v>45.842089999999999</v>
      </c>
      <c r="AP568">
        <v>63.865459999999999</v>
      </c>
      <c r="AQ568"/>
      <c r="AR568"/>
      <c r="AS568">
        <v>43.497689999999999</v>
      </c>
      <c r="AT568"/>
      <c r="AU568">
        <v>87.439610000000002</v>
      </c>
      <c r="AV568">
        <v>1.3829610000000001</v>
      </c>
      <c r="AW568">
        <v>68.071160000000006</v>
      </c>
      <c r="AX568"/>
    </row>
    <row r="569" spans="1:50" x14ac:dyDescent="0.35">
      <c r="A569" s="75">
        <v>35156</v>
      </c>
      <c r="B569">
        <v>72.291799999999995</v>
      </c>
      <c r="C569">
        <v>72.571560000000005</v>
      </c>
      <c r="D569"/>
      <c r="E569">
        <v>73.031009999999995</v>
      </c>
      <c r="F569">
        <v>92.961060000000003</v>
      </c>
      <c r="G569"/>
      <c r="H569"/>
      <c r="I569">
        <v>30.246670000000002</v>
      </c>
      <c r="J569">
        <v>21.091149999999999</v>
      </c>
      <c r="K569">
        <v>71.400000000000006</v>
      </c>
      <c r="L569">
        <v>79.485950000000003</v>
      </c>
      <c r="M569">
        <v>71.391630000000006</v>
      </c>
      <c r="N569">
        <v>75.72</v>
      </c>
      <c r="O569">
        <v>68.699700000000007</v>
      </c>
      <c r="P569"/>
      <c r="Q569"/>
      <c r="R569">
        <v>76.779730000000001</v>
      </c>
      <c r="S569">
        <v>79.788570000000007</v>
      </c>
      <c r="T569"/>
      <c r="U569">
        <v>74.259640000000005</v>
      </c>
      <c r="V569">
        <v>74.545460000000006</v>
      </c>
      <c r="W569">
        <v>62.898209999999999</v>
      </c>
      <c r="X569">
        <v>31.85089</v>
      </c>
      <c r="Y569"/>
      <c r="Z569"/>
      <c r="AA569">
        <v>66.005570000000006</v>
      </c>
      <c r="AB569">
        <v>41.01876</v>
      </c>
      <c r="AC569">
        <v>64.484570000000005</v>
      </c>
      <c r="AD569">
        <v>69.762789999999995</v>
      </c>
      <c r="AE569">
        <v>102.06319999999999</v>
      </c>
      <c r="AF569">
        <v>62.611109999999996</v>
      </c>
      <c r="AG569">
        <v>62.401299999999999</v>
      </c>
      <c r="AH569">
        <v>70.613219999999998</v>
      </c>
      <c r="AI569">
        <v>47.332610000000003</v>
      </c>
      <c r="AJ569">
        <v>30.912179999999999</v>
      </c>
      <c r="AK569">
        <v>70.429429999999996</v>
      </c>
      <c r="AL569">
        <v>70.503360000000001</v>
      </c>
      <c r="AM569">
        <v>62.419980000000002</v>
      </c>
      <c r="AN569">
        <v>55.351230000000001</v>
      </c>
      <c r="AO569">
        <v>46.551969999999997</v>
      </c>
      <c r="AP569">
        <v>64.032629999999997</v>
      </c>
      <c r="AQ569"/>
      <c r="AR569"/>
      <c r="AS569">
        <v>43.663580000000003</v>
      </c>
      <c r="AT569"/>
      <c r="AU569">
        <v>87.523380000000003</v>
      </c>
      <c r="AV569">
        <v>1.46034</v>
      </c>
      <c r="AW569">
        <v>68.112440000000007</v>
      </c>
      <c r="AX569"/>
    </row>
    <row r="570" spans="1:50" x14ac:dyDescent="0.35">
      <c r="A570" s="75">
        <v>35186</v>
      </c>
      <c r="B570">
        <v>72.156260000000003</v>
      </c>
      <c r="C570">
        <v>72.374889999999994</v>
      </c>
      <c r="D570"/>
      <c r="E570">
        <v>73.199929999999995</v>
      </c>
      <c r="F570">
        <v>92.679789999999997</v>
      </c>
      <c r="G570"/>
      <c r="H570"/>
      <c r="I570">
        <v>30.908829999999998</v>
      </c>
      <c r="J570">
        <v>21.404679999999999</v>
      </c>
      <c r="K570">
        <v>71.8</v>
      </c>
      <c r="L570">
        <v>79.670180000000002</v>
      </c>
      <c r="M570">
        <v>71.682289999999995</v>
      </c>
      <c r="N570">
        <v>75.88</v>
      </c>
      <c r="O570">
        <v>68.827240000000003</v>
      </c>
      <c r="P570"/>
      <c r="Q570"/>
      <c r="R570">
        <v>76.856350000000006</v>
      </c>
      <c r="S570">
        <v>79.863050000000001</v>
      </c>
      <c r="T570"/>
      <c r="U570">
        <v>74.366789999999995</v>
      </c>
      <c r="V570">
        <v>74.746930000000006</v>
      </c>
      <c r="W570">
        <v>62.631360000000001</v>
      </c>
      <c r="X570">
        <v>32.528559999999999</v>
      </c>
      <c r="Y570"/>
      <c r="Z570"/>
      <c r="AA570">
        <v>66.005570000000006</v>
      </c>
      <c r="AB570">
        <v>41.10163</v>
      </c>
      <c r="AC570">
        <v>65.901799999999994</v>
      </c>
      <c r="AD570">
        <v>70.007850000000005</v>
      </c>
      <c r="AE570">
        <v>102.27800000000001</v>
      </c>
      <c r="AF570">
        <v>62.789909999999999</v>
      </c>
      <c r="AG570">
        <v>62.809899999999999</v>
      </c>
      <c r="AH570">
        <v>70.657749999999993</v>
      </c>
      <c r="AI570">
        <v>47.630659999999999</v>
      </c>
      <c r="AJ570">
        <v>31.420719999999999</v>
      </c>
      <c r="AK570">
        <v>70.394030000000001</v>
      </c>
      <c r="AL570">
        <v>70.524320000000003</v>
      </c>
      <c r="AM570">
        <v>62.640619999999998</v>
      </c>
      <c r="AN570">
        <v>55.630009999999999</v>
      </c>
      <c r="AO570">
        <v>47.261249999999997</v>
      </c>
      <c r="AP570">
        <v>64.113519999999994</v>
      </c>
      <c r="AQ570"/>
      <c r="AR570"/>
      <c r="AS570">
        <v>43.79954</v>
      </c>
      <c r="AT570"/>
      <c r="AU570">
        <v>87.3994</v>
      </c>
      <c r="AV570">
        <v>1.5288470000000001</v>
      </c>
      <c r="AW570">
        <v>68.153720000000007</v>
      </c>
      <c r="AX570"/>
    </row>
    <row r="571" spans="1:50" x14ac:dyDescent="0.35">
      <c r="A571" s="75">
        <v>35217</v>
      </c>
      <c r="B571">
        <v>72.469480000000004</v>
      </c>
      <c r="C571">
        <v>72.439899999999994</v>
      </c>
      <c r="D571"/>
      <c r="E571">
        <v>73.21105</v>
      </c>
      <c r="F571">
        <v>92.699420000000003</v>
      </c>
      <c r="G571"/>
      <c r="H571"/>
      <c r="I571">
        <v>31.521940000000001</v>
      </c>
      <c r="J571">
        <v>21.584769999999999</v>
      </c>
      <c r="K571">
        <v>72.2</v>
      </c>
      <c r="L571">
        <v>79.872020000000006</v>
      </c>
      <c r="M571">
        <v>71.684489999999997</v>
      </c>
      <c r="N571">
        <v>76</v>
      </c>
      <c r="O571">
        <v>68.974590000000006</v>
      </c>
      <c r="P571"/>
      <c r="Q571"/>
      <c r="R571">
        <v>76.856350000000006</v>
      </c>
      <c r="S571">
        <v>79.916939999999997</v>
      </c>
      <c r="T571"/>
      <c r="U571">
        <v>74.429159999999996</v>
      </c>
      <c r="V571">
        <v>74.847660000000005</v>
      </c>
      <c r="W571">
        <v>63.233530000000002</v>
      </c>
      <c r="X571">
        <v>32.841079999999998</v>
      </c>
      <c r="Y571"/>
      <c r="Z571"/>
      <c r="AA571">
        <v>66.005570000000006</v>
      </c>
      <c r="AB571">
        <v>41.10163</v>
      </c>
      <c r="AC571">
        <v>66.610429999999994</v>
      </c>
      <c r="AD571">
        <v>70.154830000000004</v>
      </c>
      <c r="AE571">
        <v>102.2482</v>
      </c>
      <c r="AF571">
        <v>62.90945</v>
      </c>
      <c r="AG571">
        <v>63.949800000000003</v>
      </c>
      <c r="AH571">
        <v>70.64725</v>
      </c>
      <c r="AI571">
        <v>48.274839999999998</v>
      </c>
      <c r="AJ571">
        <v>31.925180000000001</v>
      </c>
      <c r="AK571">
        <v>70.150700000000001</v>
      </c>
      <c r="AL571">
        <v>70.665790000000001</v>
      </c>
      <c r="AM571">
        <v>62.828220000000002</v>
      </c>
      <c r="AN571">
        <v>55.892949999999999</v>
      </c>
      <c r="AO571">
        <v>47.936070000000001</v>
      </c>
      <c r="AP571">
        <v>64.408060000000006</v>
      </c>
      <c r="AQ571"/>
      <c r="AR571"/>
      <c r="AS571">
        <v>44.156309999999998</v>
      </c>
      <c r="AT571"/>
      <c r="AU571">
        <v>87.174869999999999</v>
      </c>
      <c r="AV571">
        <v>1.5899620000000001</v>
      </c>
      <c r="AW571">
        <v>68.194999999999993</v>
      </c>
      <c r="AX571"/>
    </row>
    <row r="572" spans="1:50" x14ac:dyDescent="0.35">
      <c r="A572" s="75">
        <v>35247</v>
      </c>
      <c r="B572">
        <v>73.186840000000004</v>
      </c>
      <c r="C572">
        <v>73.154240000000001</v>
      </c>
      <c r="D572"/>
      <c r="E572">
        <v>73.420010000000005</v>
      </c>
      <c r="F572">
        <v>92.730739999999997</v>
      </c>
      <c r="G572"/>
      <c r="H572"/>
      <c r="I572">
        <v>31.930679999999999</v>
      </c>
      <c r="J572">
        <v>21.8126</v>
      </c>
      <c r="K572">
        <v>72.8</v>
      </c>
      <c r="L572">
        <v>79.983029999999999</v>
      </c>
      <c r="M572">
        <v>71.328310000000002</v>
      </c>
      <c r="N572">
        <v>76.040000000000006</v>
      </c>
      <c r="O572">
        <v>69.084919999999997</v>
      </c>
      <c r="P572"/>
      <c r="Q572"/>
      <c r="R572">
        <v>76.856350000000006</v>
      </c>
      <c r="S572">
        <v>79.770690000000002</v>
      </c>
      <c r="T572"/>
      <c r="U572">
        <v>74.449860000000001</v>
      </c>
      <c r="V572">
        <v>74.444720000000004</v>
      </c>
      <c r="W572">
        <v>62.355499999999999</v>
      </c>
      <c r="X572">
        <v>33.03651</v>
      </c>
      <c r="Y572"/>
      <c r="Z572"/>
      <c r="AA572">
        <v>66.39546</v>
      </c>
      <c r="AB572">
        <v>41.225929999999998</v>
      </c>
      <c r="AC572">
        <v>66.711659999999995</v>
      </c>
      <c r="AD572">
        <v>70.280789999999996</v>
      </c>
      <c r="AE572">
        <v>101.86199999999999</v>
      </c>
      <c r="AF572">
        <v>63.030050000000003</v>
      </c>
      <c r="AG572">
        <v>64.943299999999994</v>
      </c>
      <c r="AH572">
        <v>70.701589999999996</v>
      </c>
      <c r="AI572">
        <v>48.91901</v>
      </c>
      <c r="AJ572">
        <v>32.397709999999996</v>
      </c>
      <c r="AK572">
        <v>70.268460000000005</v>
      </c>
      <c r="AL572">
        <v>70.525790000000001</v>
      </c>
      <c r="AM572">
        <v>62.96951</v>
      </c>
      <c r="AN572">
        <v>56.040579999999999</v>
      </c>
      <c r="AO572">
        <v>48.483159999999998</v>
      </c>
      <c r="AP572">
        <v>64.456609999999998</v>
      </c>
      <c r="AQ572"/>
      <c r="AR572"/>
      <c r="AS572">
        <v>44.191800000000001</v>
      </c>
      <c r="AT572"/>
      <c r="AU572">
        <v>86.632000000000005</v>
      </c>
      <c r="AV572">
        <v>1.6446689999999999</v>
      </c>
      <c r="AW572">
        <v>68.318839999999994</v>
      </c>
      <c r="AX572"/>
    </row>
    <row r="573" spans="1:50" x14ac:dyDescent="0.35">
      <c r="A573" s="75">
        <v>35278</v>
      </c>
      <c r="B573">
        <v>73.666790000000006</v>
      </c>
      <c r="C573">
        <v>73.520359999999997</v>
      </c>
      <c r="D573"/>
      <c r="E573">
        <v>73.461539999999999</v>
      </c>
      <c r="F573">
        <v>93.175290000000004</v>
      </c>
      <c r="G573"/>
      <c r="H573"/>
      <c r="I573">
        <v>32.290370000000003</v>
      </c>
      <c r="J573">
        <v>22.029579999999999</v>
      </c>
      <c r="K573">
        <v>73</v>
      </c>
      <c r="L573">
        <v>80.08672</v>
      </c>
      <c r="M573">
        <v>71.549880000000002</v>
      </c>
      <c r="N573">
        <v>76.12</v>
      </c>
      <c r="O573">
        <v>69.154560000000004</v>
      </c>
      <c r="P573"/>
      <c r="Q573"/>
      <c r="R573">
        <v>76.856350000000006</v>
      </c>
      <c r="S573">
        <v>79.828379999999996</v>
      </c>
      <c r="T573"/>
      <c r="U573">
        <v>74.542360000000002</v>
      </c>
      <c r="V573">
        <v>74.746930000000006</v>
      </c>
      <c r="W573">
        <v>62.392980000000001</v>
      </c>
      <c r="X573">
        <v>33.221490000000003</v>
      </c>
      <c r="Y573"/>
      <c r="Z573"/>
      <c r="AA573">
        <v>66.39546</v>
      </c>
      <c r="AB573">
        <v>41.308799999999998</v>
      </c>
      <c r="AC573">
        <v>66.711659999999995</v>
      </c>
      <c r="AD573">
        <v>70.409739999999999</v>
      </c>
      <c r="AE573">
        <v>101.646</v>
      </c>
      <c r="AF573">
        <v>63.329439999999998</v>
      </c>
      <c r="AG573">
        <v>65.293899999999994</v>
      </c>
      <c r="AH573">
        <v>70.778509999999997</v>
      </c>
      <c r="AI573">
        <v>49.399740000000001</v>
      </c>
      <c r="AJ573">
        <v>32.858359999999998</v>
      </c>
      <c r="AK573">
        <v>70.366140000000001</v>
      </c>
      <c r="AL573">
        <v>70.599059999999994</v>
      </c>
      <c r="AM573">
        <v>63.178019999999997</v>
      </c>
      <c r="AN573">
        <v>56.326810000000002</v>
      </c>
      <c r="AO573">
        <v>48.932540000000003</v>
      </c>
      <c r="AP573">
        <v>64.611540000000005</v>
      </c>
      <c r="AQ573"/>
      <c r="AR573"/>
      <c r="AS573">
        <v>44.290489999999998</v>
      </c>
      <c r="AT573"/>
      <c r="AU573">
        <v>86.377319999999997</v>
      </c>
      <c r="AV573">
        <v>1.7190909999999999</v>
      </c>
      <c r="AW573">
        <v>68.442679999999996</v>
      </c>
      <c r="AX573"/>
    </row>
    <row r="574" spans="1:50" x14ac:dyDescent="0.35">
      <c r="A574" s="75">
        <v>35309</v>
      </c>
      <c r="B574">
        <v>72.861369999999994</v>
      </c>
      <c r="C574">
        <v>73.224209999999999</v>
      </c>
      <c r="D574"/>
      <c r="E574">
        <v>73.564499999999995</v>
      </c>
      <c r="F574">
        <v>93.184330000000003</v>
      </c>
      <c r="G574"/>
      <c r="H574"/>
      <c r="I574">
        <v>32.658230000000003</v>
      </c>
      <c r="J574">
        <v>22.1858</v>
      </c>
      <c r="K574">
        <v>73.2</v>
      </c>
      <c r="L574">
        <v>80.064800000000005</v>
      </c>
      <c r="M574">
        <v>71.889759999999995</v>
      </c>
      <c r="N574">
        <v>76.25</v>
      </c>
      <c r="O574">
        <v>69.288799999999995</v>
      </c>
      <c r="P574"/>
      <c r="Q574"/>
      <c r="R574">
        <v>77.009609999999995</v>
      </c>
      <c r="S574">
        <v>79.973619999999997</v>
      </c>
      <c r="T574"/>
      <c r="U574">
        <v>74.791730000000001</v>
      </c>
      <c r="V574">
        <v>75.250619999999998</v>
      </c>
      <c r="W574">
        <v>63.999160000000003</v>
      </c>
      <c r="X574">
        <v>33.633960000000002</v>
      </c>
      <c r="Y574"/>
      <c r="Z574"/>
      <c r="AA574">
        <v>66.39546</v>
      </c>
      <c r="AB574">
        <v>41.474530000000001</v>
      </c>
      <c r="AC574">
        <v>66.914119999999997</v>
      </c>
      <c r="AD574">
        <v>70.489710000000002</v>
      </c>
      <c r="AE574">
        <v>102.24930000000001</v>
      </c>
      <c r="AF574">
        <v>63.450049999999997</v>
      </c>
      <c r="AG574">
        <v>65.811999999999998</v>
      </c>
      <c r="AH574">
        <v>70.813490000000002</v>
      </c>
      <c r="AI574">
        <v>50.111220000000003</v>
      </c>
      <c r="AJ574">
        <v>33.43882</v>
      </c>
      <c r="AK574">
        <v>71.070999999999998</v>
      </c>
      <c r="AL574">
        <v>71.00027</v>
      </c>
      <c r="AM574">
        <v>63.557920000000003</v>
      </c>
      <c r="AN574">
        <v>56.770650000000003</v>
      </c>
      <c r="AO574">
        <v>49.759619999999998</v>
      </c>
      <c r="AP574">
        <v>64.737049999999996</v>
      </c>
      <c r="AQ574"/>
      <c r="AR574"/>
      <c r="AS574">
        <v>44.373390000000001</v>
      </c>
      <c r="AT574"/>
      <c r="AU574">
        <v>86.816310000000001</v>
      </c>
      <c r="AV574">
        <v>1.8413200000000001</v>
      </c>
      <c r="AW574">
        <v>68.690359999999998</v>
      </c>
      <c r="AX574"/>
    </row>
    <row r="575" spans="1:50" x14ac:dyDescent="0.35">
      <c r="A575" s="75">
        <v>35339</v>
      </c>
      <c r="B575">
        <v>72.583510000000004</v>
      </c>
      <c r="C575">
        <v>73.238720000000001</v>
      </c>
      <c r="D575"/>
      <c r="E575">
        <v>73.543139999999994</v>
      </c>
      <c r="F575">
        <v>93.128820000000005</v>
      </c>
      <c r="G575"/>
      <c r="H575"/>
      <c r="I575">
        <v>33.091500000000003</v>
      </c>
      <c r="J575">
        <v>22.446169999999999</v>
      </c>
      <c r="K575">
        <v>73.5</v>
      </c>
      <c r="L575">
        <v>79.995109999999997</v>
      </c>
      <c r="M575">
        <v>71.896360000000001</v>
      </c>
      <c r="N575">
        <v>76.31</v>
      </c>
      <c r="O575">
        <v>69.425330000000002</v>
      </c>
      <c r="P575"/>
      <c r="Q575"/>
      <c r="R575">
        <v>77.086240000000004</v>
      </c>
      <c r="S575">
        <v>80.078419999999994</v>
      </c>
      <c r="T575"/>
      <c r="U575">
        <v>74.959879999999998</v>
      </c>
      <c r="V575">
        <v>75.351349999999996</v>
      </c>
      <c r="W575">
        <v>65.073070000000001</v>
      </c>
      <c r="X575">
        <v>34.029690000000002</v>
      </c>
      <c r="Y575"/>
      <c r="Z575"/>
      <c r="AA575">
        <v>66.888580000000005</v>
      </c>
      <c r="AB575">
        <v>41.391660000000002</v>
      </c>
      <c r="AC575">
        <v>67.521510000000006</v>
      </c>
      <c r="AD575">
        <v>70.556049999999999</v>
      </c>
      <c r="AE575">
        <v>102.45820000000001</v>
      </c>
      <c r="AF575">
        <v>63.569600000000001</v>
      </c>
      <c r="AG575">
        <v>66.028800000000004</v>
      </c>
      <c r="AH575">
        <v>70.875129999999999</v>
      </c>
      <c r="AI575">
        <v>50.649639999999998</v>
      </c>
      <c r="AJ575">
        <v>33.82752</v>
      </c>
      <c r="AK575">
        <v>71.213880000000003</v>
      </c>
      <c r="AL575">
        <v>71.13458</v>
      </c>
      <c r="AM575">
        <v>63.866070000000001</v>
      </c>
      <c r="AN575">
        <v>57.141370000000002</v>
      </c>
      <c r="AO575">
        <v>50.553750000000001</v>
      </c>
      <c r="AP575">
        <v>65.020250000000004</v>
      </c>
      <c r="AQ575"/>
      <c r="AR575"/>
      <c r="AS575">
        <v>44.634619999999998</v>
      </c>
      <c r="AT575"/>
      <c r="AU575">
        <v>86.947010000000006</v>
      </c>
      <c r="AV575">
        <v>1.961084</v>
      </c>
      <c r="AW575">
        <v>68.938040000000001</v>
      </c>
      <c r="AX575"/>
    </row>
    <row r="576" spans="1:50" x14ac:dyDescent="0.35">
      <c r="A576" s="75">
        <v>35370</v>
      </c>
      <c r="B576">
        <v>72.738659999999996</v>
      </c>
      <c r="C576">
        <v>73.444569999999999</v>
      </c>
      <c r="D576"/>
      <c r="E576">
        <v>73.861130000000003</v>
      </c>
      <c r="F576">
        <v>93.083250000000007</v>
      </c>
      <c r="G576"/>
      <c r="H576"/>
      <c r="I576">
        <v>33.38579</v>
      </c>
      <c r="J576">
        <v>22.642530000000001</v>
      </c>
      <c r="K576">
        <v>73.8</v>
      </c>
      <c r="L576">
        <v>79.914460000000005</v>
      </c>
      <c r="M576">
        <v>72.144840000000002</v>
      </c>
      <c r="N576">
        <v>76.260000000000005</v>
      </c>
      <c r="O576">
        <v>69.461439999999996</v>
      </c>
      <c r="P576"/>
      <c r="Q576"/>
      <c r="R576">
        <v>76.856350000000006</v>
      </c>
      <c r="S576">
        <v>79.849879999999999</v>
      </c>
      <c r="T576"/>
      <c r="U576">
        <v>75.020579999999995</v>
      </c>
      <c r="V576">
        <v>75.452089999999998</v>
      </c>
      <c r="W576">
        <v>65.279250000000005</v>
      </c>
      <c r="X576">
        <v>34.292029999999997</v>
      </c>
      <c r="Y576"/>
      <c r="Z576"/>
      <c r="AA576">
        <v>66.888580000000005</v>
      </c>
      <c r="AB576">
        <v>41.391660000000002</v>
      </c>
      <c r="AC576">
        <v>68.027670000000001</v>
      </c>
      <c r="AD576">
        <v>70.84308</v>
      </c>
      <c r="AE576">
        <v>102.4302</v>
      </c>
      <c r="AF576">
        <v>63.569600000000001</v>
      </c>
      <c r="AG576">
        <v>66.379900000000006</v>
      </c>
      <c r="AH576">
        <v>71.013930000000002</v>
      </c>
      <c r="AI576">
        <v>51.216900000000003</v>
      </c>
      <c r="AJ576">
        <v>34.261369999999999</v>
      </c>
      <c r="AK576">
        <v>71.106089999999995</v>
      </c>
      <c r="AL576">
        <v>71.081280000000007</v>
      </c>
      <c r="AM576">
        <v>64.048389999999998</v>
      </c>
      <c r="AN576">
        <v>57.379730000000002</v>
      </c>
      <c r="AO576">
        <v>50.923609999999996</v>
      </c>
      <c r="AP576">
        <v>65.338430000000002</v>
      </c>
      <c r="AQ576"/>
      <c r="AR576"/>
      <c r="AS576">
        <v>44.806840000000001</v>
      </c>
      <c r="AT576"/>
      <c r="AU576">
        <v>86.890039999999999</v>
      </c>
      <c r="AV576">
        <v>2.04487</v>
      </c>
      <c r="AW576">
        <v>69.020610000000005</v>
      </c>
      <c r="AX576"/>
    </row>
    <row r="577" spans="1:50" x14ac:dyDescent="0.35">
      <c r="A577" s="75">
        <v>35400</v>
      </c>
      <c r="B577">
        <v>72.836669999999998</v>
      </c>
      <c r="C577">
        <v>73.556470000000004</v>
      </c>
      <c r="D577"/>
      <c r="E577">
        <v>73.857529999999997</v>
      </c>
      <c r="F577">
        <v>93.071330000000003</v>
      </c>
      <c r="G577"/>
      <c r="H577"/>
      <c r="I577">
        <v>33.598329999999997</v>
      </c>
      <c r="J577">
        <v>22.806349999999998</v>
      </c>
      <c r="K577">
        <v>74.099999999999994</v>
      </c>
      <c r="L577">
        <v>80.210120000000003</v>
      </c>
      <c r="M577">
        <v>72.175250000000005</v>
      </c>
      <c r="N577">
        <v>76.42</v>
      </c>
      <c r="O577">
        <v>69.624610000000004</v>
      </c>
      <c r="P577"/>
      <c r="Q577"/>
      <c r="R577">
        <v>76.932980000000001</v>
      </c>
      <c r="S577">
        <v>79.965829999999997</v>
      </c>
      <c r="T577"/>
      <c r="U577">
        <v>75.010750000000002</v>
      </c>
      <c r="V577">
        <v>75.653559999999999</v>
      </c>
      <c r="W577">
        <v>66.092160000000007</v>
      </c>
      <c r="X577">
        <v>34.613280000000003</v>
      </c>
      <c r="Y577"/>
      <c r="Z577"/>
      <c r="AA577">
        <v>66.888580000000005</v>
      </c>
      <c r="AB577">
        <v>41.350230000000003</v>
      </c>
      <c r="AC577">
        <v>68.736289999999997</v>
      </c>
      <c r="AD577">
        <v>70.925420000000003</v>
      </c>
      <c r="AE577">
        <v>102.2141</v>
      </c>
      <c r="AF577">
        <v>63.628839999999997</v>
      </c>
      <c r="AG577">
        <v>66.781999999999996</v>
      </c>
      <c r="AH577">
        <v>71.070049999999995</v>
      </c>
      <c r="AI577">
        <v>51.438029999999998</v>
      </c>
      <c r="AJ577">
        <v>35.423050000000003</v>
      </c>
      <c r="AK577">
        <v>70.897030000000001</v>
      </c>
      <c r="AL577">
        <v>71.147989999999993</v>
      </c>
      <c r="AM577">
        <v>64.249470000000002</v>
      </c>
      <c r="AN577">
        <v>57.705460000000002</v>
      </c>
      <c r="AO577">
        <v>51.2729</v>
      </c>
      <c r="AP577">
        <v>65.144260000000003</v>
      </c>
      <c r="AQ577"/>
      <c r="AR577"/>
      <c r="AS577">
        <v>45.055810000000001</v>
      </c>
      <c r="AT577"/>
      <c r="AU577">
        <v>86.635350000000003</v>
      </c>
      <c r="AV577">
        <v>2.1325989999999999</v>
      </c>
      <c r="AW577">
        <v>68.938040000000001</v>
      </c>
      <c r="AX577"/>
    </row>
    <row r="578" spans="1:50" x14ac:dyDescent="0.35">
      <c r="A578" s="75">
        <v>35431</v>
      </c>
      <c r="B578">
        <v>72.928309999999996</v>
      </c>
      <c r="C578">
        <v>73.834720000000004</v>
      </c>
      <c r="D578"/>
      <c r="E578">
        <v>73.965100000000007</v>
      </c>
      <c r="F578">
        <v>93.157089999999997</v>
      </c>
      <c r="G578"/>
      <c r="H578"/>
      <c r="I578">
        <v>33.859920000000002</v>
      </c>
      <c r="J578">
        <v>23.2837</v>
      </c>
      <c r="K578">
        <v>74.900000000000006</v>
      </c>
      <c r="L578">
        <v>80.721159999999998</v>
      </c>
      <c r="M578">
        <v>72.150459999999995</v>
      </c>
      <c r="N578">
        <v>76.39</v>
      </c>
      <c r="O578">
        <v>69.895099999999999</v>
      </c>
      <c r="P578"/>
      <c r="Q578"/>
      <c r="R578">
        <v>76.779730000000001</v>
      </c>
      <c r="S578">
        <v>79.814440000000005</v>
      </c>
      <c r="T578"/>
      <c r="U578">
        <v>75.099969999999999</v>
      </c>
      <c r="V578">
        <v>74.948400000000007</v>
      </c>
      <c r="W578">
        <v>65.546390000000002</v>
      </c>
      <c r="X578">
        <v>35.97007</v>
      </c>
      <c r="Y578"/>
      <c r="Z578"/>
      <c r="AA578">
        <v>66.443240000000003</v>
      </c>
      <c r="AB578">
        <v>41.43309</v>
      </c>
      <c r="AC578">
        <v>68.938749999999999</v>
      </c>
      <c r="AD578">
        <v>71.145529999999994</v>
      </c>
      <c r="AE578">
        <v>101.8544</v>
      </c>
      <c r="AF578">
        <v>63.867930000000001</v>
      </c>
      <c r="AG578">
        <v>67.364999999999995</v>
      </c>
      <c r="AH578">
        <v>71.188239999999993</v>
      </c>
      <c r="AI578">
        <v>52.303350000000002</v>
      </c>
      <c r="AJ578">
        <v>36.200740000000003</v>
      </c>
      <c r="AK578">
        <v>70.471320000000006</v>
      </c>
      <c r="AL578">
        <v>71.221369999999993</v>
      </c>
      <c r="AM578">
        <v>64.502359999999996</v>
      </c>
      <c r="AN578">
        <v>58.02328</v>
      </c>
      <c r="AO578">
        <v>52.71978</v>
      </c>
      <c r="AP578">
        <v>66.895259999999993</v>
      </c>
      <c r="AQ578"/>
      <c r="AR578"/>
      <c r="AS578">
        <v>45.588290000000001</v>
      </c>
      <c r="AT578"/>
      <c r="AU578">
        <v>86.558279999999996</v>
      </c>
      <c r="AV578">
        <v>2.2651780000000001</v>
      </c>
      <c r="AW578">
        <v>69.144450000000006</v>
      </c>
      <c r="AX578"/>
    </row>
    <row r="579" spans="1:50" x14ac:dyDescent="0.35">
      <c r="A579" s="75">
        <v>35462</v>
      </c>
      <c r="B579">
        <v>73.143259999999998</v>
      </c>
      <c r="C579">
        <v>73.981340000000003</v>
      </c>
      <c r="D579"/>
      <c r="E579">
        <v>74.102590000000006</v>
      </c>
      <c r="F579">
        <v>93.339380000000006</v>
      </c>
      <c r="G579"/>
      <c r="H579"/>
      <c r="I579">
        <v>34.513910000000003</v>
      </c>
      <c r="J579">
        <v>23.50827</v>
      </c>
      <c r="K579">
        <v>75.3</v>
      </c>
      <c r="L579">
        <v>80.881709999999998</v>
      </c>
      <c r="M579">
        <v>72.17362</v>
      </c>
      <c r="N579">
        <v>76.69</v>
      </c>
      <c r="O579">
        <v>70.062830000000005</v>
      </c>
      <c r="P579"/>
      <c r="Q579"/>
      <c r="R579">
        <v>76.932980000000001</v>
      </c>
      <c r="S579">
        <v>80.239750000000001</v>
      </c>
      <c r="T579"/>
      <c r="U579">
        <v>75.330520000000007</v>
      </c>
      <c r="V579">
        <v>75.250619999999998</v>
      </c>
      <c r="W579">
        <v>65.280630000000002</v>
      </c>
      <c r="X579">
        <v>36.80442</v>
      </c>
      <c r="Y579"/>
      <c r="Z579"/>
      <c r="AA579">
        <v>66.93562</v>
      </c>
      <c r="AB579">
        <v>41.391660000000002</v>
      </c>
      <c r="AC579">
        <v>69.546139999999994</v>
      </c>
      <c r="AD579">
        <v>71.253479999999996</v>
      </c>
      <c r="AE579">
        <v>101.5762</v>
      </c>
      <c r="AF579">
        <v>64.107020000000006</v>
      </c>
      <c r="AG579">
        <v>68.327399999999997</v>
      </c>
      <c r="AH579">
        <v>71.373090000000005</v>
      </c>
      <c r="AI579">
        <v>52.409109999999998</v>
      </c>
      <c r="AJ579">
        <v>36.86103</v>
      </c>
      <c r="AK579">
        <v>70.776970000000006</v>
      </c>
      <c r="AL579">
        <v>71.590130000000002</v>
      </c>
      <c r="AM579">
        <v>64.805880000000002</v>
      </c>
      <c r="AN579">
        <v>58.336590000000001</v>
      </c>
      <c r="AO579">
        <v>53.550040000000003</v>
      </c>
      <c r="AP579">
        <v>67.188270000000003</v>
      </c>
      <c r="AQ579"/>
      <c r="AR579"/>
      <c r="AS579">
        <v>45.771410000000003</v>
      </c>
      <c r="AT579"/>
      <c r="AU579">
        <v>86.424229999999994</v>
      </c>
      <c r="AV579">
        <v>2.3494570000000001</v>
      </c>
      <c r="AW579">
        <v>69.474689999999995</v>
      </c>
      <c r="AX579"/>
    </row>
    <row r="580" spans="1:50" x14ac:dyDescent="0.35">
      <c r="A580" s="75">
        <v>35490</v>
      </c>
      <c r="B580">
        <v>73.247699999999995</v>
      </c>
      <c r="C580">
        <v>73.738979999999998</v>
      </c>
      <c r="D580"/>
      <c r="E580">
        <v>74.253190000000004</v>
      </c>
      <c r="F580">
        <v>93.396289999999993</v>
      </c>
      <c r="G580"/>
      <c r="H580"/>
      <c r="I580">
        <v>35.903619999999997</v>
      </c>
      <c r="J580">
        <v>23.813120000000001</v>
      </c>
      <c r="K580">
        <v>75.5</v>
      </c>
      <c r="L580">
        <v>80.990549999999999</v>
      </c>
      <c r="M580">
        <v>72.297359999999998</v>
      </c>
      <c r="N580">
        <v>76.94</v>
      </c>
      <c r="O580">
        <v>70.258799999999994</v>
      </c>
      <c r="P580"/>
      <c r="Q580"/>
      <c r="R580">
        <v>77.162859999999995</v>
      </c>
      <c r="S580">
        <v>80.498180000000005</v>
      </c>
      <c r="T580"/>
      <c r="U580">
        <v>75.608040000000003</v>
      </c>
      <c r="V580">
        <v>75.653559999999999</v>
      </c>
      <c r="W580">
        <v>67.339020000000005</v>
      </c>
      <c r="X580">
        <v>37.472880000000004</v>
      </c>
      <c r="Y580"/>
      <c r="Z580"/>
      <c r="AA580">
        <v>67.050560000000004</v>
      </c>
      <c r="AB580">
        <v>41.43309</v>
      </c>
      <c r="AC580">
        <v>70.052300000000002</v>
      </c>
      <c r="AD580">
        <v>71.504620000000003</v>
      </c>
      <c r="AE580">
        <v>101.9486</v>
      </c>
      <c r="AF580">
        <v>64.527019999999993</v>
      </c>
      <c r="AG580">
        <v>68.678299999999993</v>
      </c>
      <c r="AH580">
        <v>71.351020000000005</v>
      </c>
      <c r="AI580">
        <v>52.716769999999997</v>
      </c>
      <c r="AJ580">
        <v>37.39911</v>
      </c>
      <c r="AK580">
        <v>71.562259999999995</v>
      </c>
      <c r="AL580">
        <v>71.763980000000004</v>
      </c>
      <c r="AM580">
        <v>65.165419999999997</v>
      </c>
      <c r="AN580">
        <v>58.691079999999999</v>
      </c>
      <c r="AO580">
        <v>54.210340000000002</v>
      </c>
      <c r="AP580">
        <v>67.412750000000003</v>
      </c>
      <c r="AQ580"/>
      <c r="AR580"/>
      <c r="AS580">
        <v>46.023240000000001</v>
      </c>
      <c r="AT580"/>
      <c r="AU580">
        <v>86.906790000000001</v>
      </c>
      <c r="AV580">
        <v>2.4342290000000002</v>
      </c>
      <c r="AW580">
        <v>69.763649999999998</v>
      </c>
      <c r="AX580"/>
    </row>
    <row r="581" spans="1:50" x14ac:dyDescent="0.35">
      <c r="A581" s="75">
        <v>35521</v>
      </c>
      <c r="B581">
        <v>73.229010000000002</v>
      </c>
      <c r="C581">
        <v>73.515690000000006</v>
      </c>
      <c r="D581"/>
      <c r="E581">
        <v>74.412639999999996</v>
      </c>
      <c r="F581">
        <v>93.436869999999999</v>
      </c>
      <c r="G581"/>
      <c r="H581"/>
      <c r="I581">
        <v>36.467680000000001</v>
      </c>
      <c r="J581">
        <v>24.173300000000001</v>
      </c>
      <c r="K581">
        <v>76.099999999999994</v>
      </c>
      <c r="L581">
        <v>80.791480000000007</v>
      </c>
      <c r="M581">
        <v>72.494309999999999</v>
      </c>
      <c r="N581">
        <v>76.89</v>
      </c>
      <c r="O581">
        <v>70.406450000000007</v>
      </c>
      <c r="P581"/>
      <c r="Q581"/>
      <c r="R581">
        <v>77.546000000000006</v>
      </c>
      <c r="S581">
        <v>80.559929999999994</v>
      </c>
      <c r="T581"/>
      <c r="U581">
        <v>75.900260000000003</v>
      </c>
      <c r="V581">
        <v>75.955770000000001</v>
      </c>
      <c r="W581">
        <v>67.894049999999993</v>
      </c>
      <c r="X581">
        <v>38.029220000000002</v>
      </c>
      <c r="Y581"/>
      <c r="Z581"/>
      <c r="AA581">
        <v>66.995519999999999</v>
      </c>
      <c r="AB581">
        <v>41.43309</v>
      </c>
      <c r="AC581">
        <v>70.760930000000002</v>
      </c>
      <c r="AD581">
        <v>71.606049999999996</v>
      </c>
      <c r="AE581">
        <v>103.7175</v>
      </c>
      <c r="AF581">
        <v>64.706860000000006</v>
      </c>
      <c r="AG581">
        <v>69.391199999999998</v>
      </c>
      <c r="AH581">
        <v>71.391220000000004</v>
      </c>
      <c r="AI581">
        <v>53.428249999999998</v>
      </c>
      <c r="AJ581">
        <v>37.886839999999999</v>
      </c>
      <c r="AK581">
        <v>71.682460000000006</v>
      </c>
      <c r="AL581">
        <v>71.95138</v>
      </c>
      <c r="AM581">
        <v>65.514259999999993</v>
      </c>
      <c r="AN581">
        <v>58.974299999999999</v>
      </c>
      <c r="AO581">
        <v>54.743299999999998</v>
      </c>
      <c r="AP581">
        <v>67.564089999999993</v>
      </c>
      <c r="AQ581"/>
      <c r="AR581"/>
      <c r="AS581">
        <v>46.412239999999997</v>
      </c>
      <c r="AT581"/>
      <c r="AU581">
        <v>87.302220000000005</v>
      </c>
      <c r="AV581">
        <v>2.5682860000000001</v>
      </c>
      <c r="AW581">
        <v>69.92877</v>
      </c>
      <c r="AX581"/>
    </row>
    <row r="582" spans="1:50" x14ac:dyDescent="0.35">
      <c r="A582" s="75">
        <v>35551</v>
      </c>
      <c r="B582">
        <v>73.357439999999997</v>
      </c>
      <c r="C582">
        <v>73.371380000000002</v>
      </c>
      <c r="D582"/>
      <c r="E582">
        <v>74.455780000000004</v>
      </c>
      <c r="F582">
        <v>93.082419999999999</v>
      </c>
      <c r="G582"/>
      <c r="H582"/>
      <c r="I582">
        <v>37.138010000000001</v>
      </c>
      <c r="J582">
        <v>24.309989999999999</v>
      </c>
      <c r="K582">
        <v>76.5</v>
      </c>
      <c r="L582">
        <v>80.942009999999996</v>
      </c>
      <c r="M582">
        <v>72.897710000000004</v>
      </c>
      <c r="N582">
        <v>77.069999999999993</v>
      </c>
      <c r="O582">
        <v>70.532060000000001</v>
      </c>
      <c r="P582"/>
      <c r="Q582"/>
      <c r="R582">
        <v>77.622619999999998</v>
      </c>
      <c r="S582">
        <v>80.589860000000002</v>
      </c>
      <c r="T582"/>
      <c r="U582">
        <v>75.958209999999994</v>
      </c>
      <c r="V582">
        <v>76.157250000000005</v>
      </c>
      <c r="W582">
        <v>67.843770000000006</v>
      </c>
      <c r="X582">
        <v>38.415700000000001</v>
      </c>
      <c r="Y582"/>
      <c r="Z582"/>
      <c r="AA582">
        <v>67.212540000000004</v>
      </c>
      <c r="AB582">
        <v>41.43309</v>
      </c>
      <c r="AC582">
        <v>71.064620000000005</v>
      </c>
      <c r="AD582">
        <v>71.879840000000002</v>
      </c>
      <c r="AE582">
        <v>103.9841</v>
      </c>
      <c r="AF582">
        <v>64.885649999999998</v>
      </c>
      <c r="AG582">
        <v>70.553299999999993</v>
      </c>
      <c r="AH582">
        <v>71.471019999999996</v>
      </c>
      <c r="AI582">
        <v>53.601320000000001</v>
      </c>
      <c r="AJ582">
        <v>38.319099999999999</v>
      </c>
      <c r="AK582">
        <v>71.70599</v>
      </c>
      <c r="AL582">
        <v>71.832499999999996</v>
      </c>
      <c r="AM582">
        <v>65.707579999999993</v>
      </c>
      <c r="AN582">
        <v>59.302639999999997</v>
      </c>
      <c r="AO582">
        <v>55.059040000000003</v>
      </c>
      <c r="AP582">
        <v>67.744429999999994</v>
      </c>
      <c r="AQ582"/>
      <c r="AR582"/>
      <c r="AS582">
        <v>46.692500000000003</v>
      </c>
      <c r="AT582"/>
      <c r="AU582">
        <v>87.191630000000004</v>
      </c>
      <c r="AV582">
        <v>2.7181150000000001</v>
      </c>
      <c r="AW582">
        <v>69.88749</v>
      </c>
      <c r="AX582"/>
    </row>
    <row r="583" spans="1:50" x14ac:dyDescent="0.35">
      <c r="A583" s="75">
        <v>35582</v>
      </c>
      <c r="B583">
        <v>73.379840000000002</v>
      </c>
      <c r="C583">
        <v>73.449629999999999</v>
      </c>
      <c r="D583"/>
      <c r="E583">
        <v>74.589070000000007</v>
      </c>
      <c r="F583">
        <v>93.074330000000003</v>
      </c>
      <c r="G583"/>
      <c r="H583"/>
      <c r="I583">
        <v>37.693899999999999</v>
      </c>
      <c r="J583">
        <v>24.471640000000001</v>
      </c>
      <c r="K583">
        <v>77.2</v>
      </c>
      <c r="L583">
        <v>81.037300000000002</v>
      </c>
      <c r="M583">
        <v>73.036379999999994</v>
      </c>
      <c r="N583">
        <v>77.099999999999994</v>
      </c>
      <c r="O583">
        <v>70.647670000000005</v>
      </c>
      <c r="P583"/>
      <c r="Q583"/>
      <c r="R583">
        <v>77.775869999999998</v>
      </c>
      <c r="S583">
        <v>80.590100000000007</v>
      </c>
      <c r="T583"/>
      <c r="U583">
        <v>75.950760000000002</v>
      </c>
      <c r="V583">
        <v>76.157250000000005</v>
      </c>
      <c r="W583">
        <v>68.059430000000006</v>
      </c>
      <c r="X583">
        <v>38.798270000000002</v>
      </c>
      <c r="Y583"/>
      <c r="Z583"/>
      <c r="AA583">
        <v>67.334130000000002</v>
      </c>
      <c r="AB583">
        <v>41.640259999999998</v>
      </c>
      <c r="AC583">
        <v>72.076930000000004</v>
      </c>
      <c r="AD583">
        <v>71.902860000000004</v>
      </c>
      <c r="AE583">
        <v>103.97369999999999</v>
      </c>
      <c r="AF583">
        <v>65.005200000000002</v>
      </c>
      <c r="AG583">
        <v>71.081599999999995</v>
      </c>
      <c r="AH583">
        <v>71.475350000000006</v>
      </c>
      <c r="AI583">
        <v>53.764769999999999</v>
      </c>
      <c r="AJ583">
        <v>38.712330000000001</v>
      </c>
      <c r="AK583">
        <v>71.261399999999995</v>
      </c>
      <c r="AL583">
        <v>72.129689999999997</v>
      </c>
      <c r="AM583">
        <v>65.820819999999998</v>
      </c>
      <c r="AN583">
        <v>59.491379999999999</v>
      </c>
      <c r="AO583">
        <v>55.460769999999997</v>
      </c>
      <c r="AP583">
        <v>67.813320000000004</v>
      </c>
      <c r="AQ583"/>
      <c r="AR583"/>
      <c r="AS583">
        <v>46.772410000000001</v>
      </c>
      <c r="AT583"/>
      <c r="AU583">
        <v>87.198329999999999</v>
      </c>
      <c r="AV583">
        <v>2.813237</v>
      </c>
      <c r="AW583">
        <v>69.846209999999999</v>
      </c>
      <c r="AX583"/>
    </row>
    <row r="584" spans="1:50" x14ac:dyDescent="0.35">
      <c r="A584" s="75">
        <v>35612</v>
      </c>
      <c r="B584">
        <v>73.415229999999994</v>
      </c>
      <c r="C584">
        <v>74.152829999999994</v>
      </c>
      <c r="D584"/>
      <c r="E584">
        <v>74.585229999999996</v>
      </c>
      <c r="F584">
        <v>93.087549999999993</v>
      </c>
      <c r="G584"/>
      <c r="H584"/>
      <c r="I584">
        <v>38.069929999999999</v>
      </c>
      <c r="J584">
        <v>24.78951</v>
      </c>
      <c r="K584">
        <v>78.5</v>
      </c>
      <c r="L584">
        <v>81.957329999999999</v>
      </c>
      <c r="M584">
        <v>72.70993</v>
      </c>
      <c r="N584">
        <v>77.19</v>
      </c>
      <c r="O584">
        <v>70.874070000000003</v>
      </c>
      <c r="P584"/>
      <c r="Q584"/>
      <c r="R584">
        <v>77.775869999999998</v>
      </c>
      <c r="S584">
        <v>80.423000000000002</v>
      </c>
      <c r="T584"/>
      <c r="U584">
        <v>76.046459999999996</v>
      </c>
      <c r="V584">
        <v>75.754300000000001</v>
      </c>
      <c r="W584">
        <v>66.900009999999995</v>
      </c>
      <c r="X584">
        <v>38.993639999999999</v>
      </c>
      <c r="Y584"/>
      <c r="Z584"/>
      <c r="AA584">
        <v>67.063770000000005</v>
      </c>
      <c r="AB584">
        <v>41.723129999999998</v>
      </c>
      <c r="AC584">
        <v>72.988020000000006</v>
      </c>
      <c r="AD584">
        <v>71.974559999999997</v>
      </c>
      <c r="AE584">
        <v>103.66549999999999</v>
      </c>
      <c r="AF584">
        <v>65.124740000000003</v>
      </c>
      <c r="AG584">
        <v>71.539000000000001</v>
      </c>
      <c r="AH584">
        <v>71.604550000000003</v>
      </c>
      <c r="AI584">
        <v>55.081960000000002</v>
      </c>
      <c r="AJ584">
        <v>39.068840000000002</v>
      </c>
      <c r="AK584">
        <v>71.317750000000004</v>
      </c>
      <c r="AL584">
        <v>72.127600000000001</v>
      </c>
      <c r="AM584">
        <v>66.051119999999997</v>
      </c>
      <c r="AN584">
        <v>59.892069999999997</v>
      </c>
      <c r="AO584">
        <v>56.054459999999999</v>
      </c>
      <c r="AP584">
        <v>67.905680000000004</v>
      </c>
      <c r="AQ584"/>
      <c r="AR584"/>
      <c r="AS584">
        <v>47.009340000000002</v>
      </c>
      <c r="AT584"/>
      <c r="AU584">
        <v>86.688969999999998</v>
      </c>
      <c r="AV584">
        <v>3.001509</v>
      </c>
      <c r="AW584">
        <v>69.970050000000001</v>
      </c>
      <c r="AX584"/>
    </row>
    <row r="585" spans="1:50" x14ac:dyDescent="0.35">
      <c r="A585" s="75">
        <v>35643</v>
      </c>
      <c r="B585">
        <v>73.427490000000006</v>
      </c>
      <c r="C585">
        <v>74.429500000000004</v>
      </c>
      <c r="D585"/>
      <c r="E585">
        <v>74.644469999999998</v>
      </c>
      <c r="F585">
        <v>93.269289999999998</v>
      </c>
      <c r="G585"/>
      <c r="H585"/>
      <c r="I585">
        <v>38.372399999999999</v>
      </c>
      <c r="J585">
        <v>24.997810000000001</v>
      </c>
      <c r="K585">
        <v>79</v>
      </c>
      <c r="L585">
        <v>82.006320000000002</v>
      </c>
      <c r="M585">
        <v>72.861140000000006</v>
      </c>
      <c r="N585">
        <v>77.31</v>
      </c>
      <c r="O585">
        <v>71.034649999999999</v>
      </c>
      <c r="P585"/>
      <c r="Q585"/>
      <c r="R585">
        <v>77.775869999999998</v>
      </c>
      <c r="S585">
        <v>80.640010000000004</v>
      </c>
      <c r="T585"/>
      <c r="U585">
        <v>76.106039999999993</v>
      </c>
      <c r="V585">
        <v>76.157250000000005</v>
      </c>
      <c r="W585">
        <v>66.947100000000006</v>
      </c>
      <c r="X585">
        <v>39.127209999999998</v>
      </c>
      <c r="Y585"/>
      <c r="Z585"/>
      <c r="AA585">
        <v>67.053989999999999</v>
      </c>
      <c r="AB585">
        <v>41.764560000000003</v>
      </c>
      <c r="AC585">
        <v>72.886790000000005</v>
      </c>
      <c r="AD585">
        <v>72.096850000000003</v>
      </c>
      <c r="AE585">
        <v>103.4579</v>
      </c>
      <c r="AF585">
        <v>65.364890000000003</v>
      </c>
      <c r="AG585">
        <v>71.948999999999998</v>
      </c>
      <c r="AH585">
        <v>71.665509999999998</v>
      </c>
      <c r="AI585">
        <v>56.504919999999998</v>
      </c>
      <c r="AJ585">
        <v>39.417259999999999</v>
      </c>
      <c r="AK585">
        <v>71.494590000000002</v>
      </c>
      <c r="AL585">
        <v>71.92492</v>
      </c>
      <c r="AM585">
        <v>66.271100000000004</v>
      </c>
      <c r="AN585">
        <v>60.313380000000002</v>
      </c>
      <c r="AO585">
        <v>56.52243</v>
      </c>
      <c r="AP585">
        <v>68.030519999999996</v>
      </c>
      <c r="AQ585"/>
      <c r="AR585"/>
      <c r="AS585">
        <v>47.404609999999998</v>
      </c>
      <c r="AT585"/>
      <c r="AU585">
        <v>86.672219999999996</v>
      </c>
      <c r="AV585">
        <v>3.1991450000000001</v>
      </c>
      <c r="AW585">
        <v>70.011330000000001</v>
      </c>
      <c r="AX585"/>
    </row>
    <row r="586" spans="1:50" x14ac:dyDescent="0.35">
      <c r="A586" s="75">
        <v>35674</v>
      </c>
      <c r="B586">
        <v>73.491330000000005</v>
      </c>
      <c r="C586">
        <v>73.931340000000006</v>
      </c>
      <c r="D586"/>
      <c r="E586">
        <v>74.759979999999999</v>
      </c>
      <c r="F586">
        <v>93.264480000000006</v>
      </c>
      <c r="G586"/>
      <c r="H586"/>
      <c r="I586">
        <v>38.658520000000003</v>
      </c>
      <c r="J586">
        <v>25.13993</v>
      </c>
      <c r="K586">
        <v>79.5</v>
      </c>
      <c r="L586">
        <v>81.819900000000004</v>
      </c>
      <c r="M586">
        <v>73.233490000000003</v>
      </c>
      <c r="N586">
        <v>77.400000000000006</v>
      </c>
      <c r="O586">
        <v>71.047300000000007</v>
      </c>
      <c r="P586"/>
      <c r="Q586"/>
      <c r="R586">
        <v>77.929130000000001</v>
      </c>
      <c r="S586">
        <v>80.772769999999994</v>
      </c>
      <c r="T586"/>
      <c r="U586">
        <v>76.343149999999994</v>
      </c>
      <c r="V586">
        <v>76.560199999999995</v>
      </c>
      <c r="W586">
        <v>68.732129999999998</v>
      </c>
      <c r="X586">
        <v>39.56738</v>
      </c>
      <c r="Y586"/>
      <c r="Z586"/>
      <c r="AA586">
        <v>67.368290000000002</v>
      </c>
      <c r="AB586">
        <v>41.84742</v>
      </c>
      <c r="AC586">
        <v>72.785560000000004</v>
      </c>
      <c r="AD586">
        <v>72.193020000000004</v>
      </c>
      <c r="AE586">
        <v>104.5886</v>
      </c>
      <c r="AF586">
        <v>65.605040000000002</v>
      </c>
      <c r="AG586">
        <v>72.305800000000005</v>
      </c>
      <c r="AH586">
        <v>71.789510000000007</v>
      </c>
      <c r="AI586">
        <v>57.139479999999999</v>
      </c>
      <c r="AJ586">
        <v>39.927669999999999</v>
      </c>
      <c r="AK586">
        <v>72.300359999999998</v>
      </c>
      <c r="AL586">
        <v>72.509519999999995</v>
      </c>
      <c r="AM586">
        <v>66.682559999999995</v>
      </c>
      <c r="AN586">
        <v>60.841920000000002</v>
      </c>
      <c r="AO586">
        <v>57.418469999999999</v>
      </c>
      <c r="AP586">
        <v>68.129549999999995</v>
      </c>
      <c r="AQ586"/>
      <c r="AR586"/>
      <c r="AS586">
        <v>47.609279999999998</v>
      </c>
      <c r="AT586"/>
      <c r="AU586">
        <v>87.774720000000002</v>
      </c>
      <c r="AV586">
        <v>3.4574029999999998</v>
      </c>
      <c r="AW586">
        <v>70.176450000000003</v>
      </c>
      <c r="AX586"/>
    </row>
    <row r="587" spans="1:50" x14ac:dyDescent="0.35">
      <c r="A587" s="75">
        <v>35704</v>
      </c>
      <c r="B587">
        <v>73.657169999999994</v>
      </c>
      <c r="C587">
        <v>73.944890000000001</v>
      </c>
      <c r="D587"/>
      <c r="E587">
        <v>74.794719999999998</v>
      </c>
      <c r="F587">
        <v>93.225809999999996</v>
      </c>
      <c r="G587"/>
      <c r="H587"/>
      <c r="I587">
        <v>39.050910000000002</v>
      </c>
      <c r="J587">
        <v>25.343879999999999</v>
      </c>
      <c r="K587">
        <v>79.900000000000006</v>
      </c>
      <c r="L587">
        <v>81.682310000000001</v>
      </c>
      <c r="M587">
        <v>73.255549999999999</v>
      </c>
      <c r="N587">
        <v>77.400000000000006</v>
      </c>
      <c r="O587">
        <v>71.095330000000004</v>
      </c>
      <c r="P587"/>
      <c r="Q587"/>
      <c r="R587">
        <v>78.23563</v>
      </c>
      <c r="S587">
        <v>80.646630000000002</v>
      </c>
      <c r="T587"/>
      <c r="U587">
        <v>76.560760000000002</v>
      </c>
      <c r="V587">
        <v>76.660929999999993</v>
      </c>
      <c r="W587">
        <v>69.292439999999999</v>
      </c>
      <c r="X587">
        <v>39.955530000000003</v>
      </c>
      <c r="Y587"/>
      <c r="Z587"/>
      <c r="AA587">
        <v>67.698549999999997</v>
      </c>
      <c r="AB587">
        <v>41.888860000000001</v>
      </c>
      <c r="AC587">
        <v>73.696640000000002</v>
      </c>
      <c r="AD587">
        <v>72.397419999999997</v>
      </c>
      <c r="AE587">
        <v>104.917</v>
      </c>
      <c r="AF587">
        <v>65.723529999999997</v>
      </c>
      <c r="AG587">
        <v>72.552999999999997</v>
      </c>
      <c r="AH587">
        <v>72.016720000000007</v>
      </c>
      <c r="AI587">
        <v>57.312550000000002</v>
      </c>
      <c r="AJ587">
        <v>40.287039999999998</v>
      </c>
      <c r="AK587">
        <v>72.403319999999994</v>
      </c>
      <c r="AL587">
        <v>72.580250000000007</v>
      </c>
      <c r="AM587">
        <v>67.052800000000005</v>
      </c>
      <c r="AN587">
        <v>61.273400000000002</v>
      </c>
      <c r="AO587">
        <v>57.894710000000003</v>
      </c>
      <c r="AP587">
        <v>68.203699999999998</v>
      </c>
      <c r="AQ587"/>
      <c r="AR587"/>
      <c r="AS587">
        <v>47.989690000000003</v>
      </c>
      <c r="AT587"/>
      <c r="AU587">
        <v>88.032749999999993</v>
      </c>
      <c r="AV587">
        <v>3.7176330000000002</v>
      </c>
      <c r="AW587">
        <v>70.506690000000006</v>
      </c>
      <c r="AX587"/>
    </row>
    <row r="588" spans="1:50" x14ac:dyDescent="0.35">
      <c r="A588" s="75">
        <v>35735</v>
      </c>
      <c r="B588">
        <v>73.611819999999994</v>
      </c>
      <c r="C588">
        <v>74.119150000000005</v>
      </c>
      <c r="D588"/>
      <c r="E588">
        <v>74.64931</v>
      </c>
      <c r="F588">
        <v>93.185109999999995</v>
      </c>
      <c r="G588"/>
      <c r="H588"/>
      <c r="I588">
        <v>39.30433</v>
      </c>
      <c r="J588">
        <v>25.574960000000001</v>
      </c>
      <c r="K588">
        <v>80.3</v>
      </c>
      <c r="L588">
        <v>81.694659999999999</v>
      </c>
      <c r="M588">
        <v>73.421440000000004</v>
      </c>
      <c r="N588">
        <v>77.47</v>
      </c>
      <c r="O588">
        <v>71.199910000000003</v>
      </c>
      <c r="P588"/>
      <c r="Q588"/>
      <c r="R588">
        <v>78.23563</v>
      </c>
      <c r="S588">
        <v>80.625730000000004</v>
      </c>
      <c r="T588"/>
      <c r="U588">
        <v>76.586709999999997</v>
      </c>
      <c r="V588">
        <v>76.963139999999996</v>
      </c>
      <c r="W588">
        <v>69.366669999999999</v>
      </c>
      <c r="X588">
        <v>40.310200000000002</v>
      </c>
      <c r="Y588"/>
      <c r="Z588"/>
      <c r="AA588">
        <v>67.889690000000002</v>
      </c>
      <c r="AB588">
        <v>41.888860000000001</v>
      </c>
      <c r="AC588">
        <v>73.595410000000001</v>
      </c>
      <c r="AD588">
        <v>72.698869999999999</v>
      </c>
      <c r="AE588">
        <v>104.7996</v>
      </c>
      <c r="AF588">
        <v>65.784890000000004</v>
      </c>
      <c r="AG588">
        <v>72.938900000000004</v>
      </c>
      <c r="AH588">
        <v>72.059880000000007</v>
      </c>
      <c r="AI588">
        <v>57.437539999999998</v>
      </c>
      <c r="AJ588">
        <v>40.701500000000003</v>
      </c>
      <c r="AK588">
        <v>72.331919999999997</v>
      </c>
      <c r="AL588">
        <v>72.643050000000002</v>
      </c>
      <c r="AM588">
        <v>67.243740000000003</v>
      </c>
      <c r="AN588">
        <v>61.66357</v>
      </c>
      <c r="AO588">
        <v>58.40643</v>
      </c>
      <c r="AP588">
        <v>68.302539999999993</v>
      </c>
      <c r="AQ588"/>
      <c r="AR588"/>
      <c r="AS588">
        <v>48.291310000000003</v>
      </c>
      <c r="AT588"/>
      <c r="AU588">
        <v>87.97578</v>
      </c>
      <c r="AV588">
        <v>3.9142830000000002</v>
      </c>
      <c r="AW588">
        <v>70.506690000000006</v>
      </c>
      <c r="AX588"/>
    </row>
    <row r="589" spans="1:50" x14ac:dyDescent="0.35">
      <c r="A589" s="75">
        <v>35765</v>
      </c>
      <c r="B589">
        <v>73.787000000000006</v>
      </c>
      <c r="C589">
        <v>74.186080000000004</v>
      </c>
      <c r="D589"/>
      <c r="E589">
        <v>74.584879999999998</v>
      </c>
      <c r="F589">
        <v>93.207629999999995</v>
      </c>
      <c r="G589"/>
      <c r="H589"/>
      <c r="I589">
        <v>39.590440000000001</v>
      </c>
      <c r="J589">
        <v>25.718170000000001</v>
      </c>
      <c r="K589">
        <v>80.7</v>
      </c>
      <c r="L589">
        <v>81.886470000000003</v>
      </c>
      <c r="M589">
        <v>73.432559999999995</v>
      </c>
      <c r="N589">
        <v>77.59</v>
      </c>
      <c r="O589">
        <v>71.3065</v>
      </c>
      <c r="P589"/>
      <c r="Q589"/>
      <c r="R589">
        <v>78.312259999999995</v>
      </c>
      <c r="S589">
        <v>80.741039999999998</v>
      </c>
      <c r="T589"/>
      <c r="U589">
        <v>76.583370000000002</v>
      </c>
      <c r="V589">
        <v>77.063879999999997</v>
      </c>
      <c r="W589">
        <v>70.083860000000001</v>
      </c>
      <c r="X589">
        <v>40.639850000000003</v>
      </c>
      <c r="Y589"/>
      <c r="Z589"/>
      <c r="AA589">
        <v>68.071110000000004</v>
      </c>
      <c r="AB589">
        <v>41.84742</v>
      </c>
      <c r="AC589">
        <v>73.392939999999996</v>
      </c>
      <c r="AD589">
        <v>72.665170000000003</v>
      </c>
      <c r="AE589">
        <v>104.7084</v>
      </c>
      <c r="AF589">
        <v>66.083219999999997</v>
      </c>
      <c r="AG589">
        <v>73.120099999999994</v>
      </c>
      <c r="AH589">
        <v>72.042209999999997</v>
      </c>
      <c r="AI589">
        <v>57.533679999999997</v>
      </c>
      <c r="AJ589">
        <v>41.238399999999999</v>
      </c>
      <c r="AK589">
        <v>72.108639999999994</v>
      </c>
      <c r="AL589">
        <v>72.690669999999997</v>
      </c>
      <c r="AM589">
        <v>67.424359999999993</v>
      </c>
      <c r="AN589">
        <v>62.021830000000001</v>
      </c>
      <c r="AO589">
        <v>58.765599999999999</v>
      </c>
      <c r="AP589">
        <v>68.344089999999994</v>
      </c>
      <c r="AQ589"/>
      <c r="AR589"/>
      <c r="AS589">
        <v>48.4861</v>
      </c>
      <c r="AT589"/>
      <c r="AU589">
        <v>87.945629999999994</v>
      </c>
      <c r="AV589">
        <v>4.1015699999999997</v>
      </c>
      <c r="AW589">
        <v>70.465419999999995</v>
      </c>
      <c r="AX589"/>
    </row>
    <row r="590" spans="1:50" x14ac:dyDescent="0.35">
      <c r="A590" s="75">
        <v>35796</v>
      </c>
      <c r="B590">
        <v>73.832639999999998</v>
      </c>
      <c r="C590">
        <v>74.601510000000005</v>
      </c>
      <c r="D590"/>
      <c r="E590">
        <v>74.89555</v>
      </c>
      <c r="F590">
        <v>93.260310000000004</v>
      </c>
      <c r="G590"/>
      <c r="H590"/>
      <c r="I590">
        <v>39.98283</v>
      </c>
      <c r="J590">
        <v>26.106560000000002</v>
      </c>
      <c r="K590">
        <v>82</v>
      </c>
      <c r="L590">
        <v>81.904600000000002</v>
      </c>
      <c r="M590">
        <v>73.080290000000005</v>
      </c>
      <c r="N590">
        <v>77.430000000000007</v>
      </c>
      <c r="O590">
        <v>71.599969999999999</v>
      </c>
      <c r="P590">
        <v>59.990630000000003</v>
      </c>
      <c r="Q590"/>
      <c r="R590">
        <v>78.23563</v>
      </c>
      <c r="S590">
        <v>80.449110000000005</v>
      </c>
      <c r="T590"/>
      <c r="U590">
        <v>76.570149999999998</v>
      </c>
      <c r="V590">
        <v>76.257990000000007</v>
      </c>
      <c r="W590">
        <v>68.970470000000006</v>
      </c>
      <c r="X590">
        <v>41.861220000000003</v>
      </c>
      <c r="Y590"/>
      <c r="Z590"/>
      <c r="AA590">
        <v>67.557789999999997</v>
      </c>
      <c r="AB590">
        <v>42.096020000000003</v>
      </c>
      <c r="AC590">
        <v>73.595410000000001</v>
      </c>
      <c r="AD590">
        <v>72.863259999999997</v>
      </c>
      <c r="AE590">
        <v>103.9162</v>
      </c>
      <c r="AF590">
        <v>67.279730000000001</v>
      </c>
      <c r="AG590">
        <v>73.469899999999996</v>
      </c>
      <c r="AH590">
        <v>72.178880000000007</v>
      </c>
      <c r="AI590">
        <v>58.12979</v>
      </c>
      <c r="AJ590">
        <v>42.134320000000002</v>
      </c>
      <c r="AK590">
        <v>71.755589999999998</v>
      </c>
      <c r="AL590">
        <v>72.736810000000006</v>
      </c>
      <c r="AM590">
        <v>67.653549999999996</v>
      </c>
      <c r="AN590">
        <v>62.247509999999998</v>
      </c>
      <c r="AO590">
        <v>60.441209999999998</v>
      </c>
      <c r="AP590">
        <v>68.306079999999994</v>
      </c>
      <c r="AQ590"/>
      <c r="AR590"/>
      <c r="AS590">
        <v>49.524030000000003</v>
      </c>
      <c r="AT590"/>
      <c r="AU590">
        <v>86.779449999999997</v>
      </c>
      <c r="AV590">
        <v>4.3903850000000002</v>
      </c>
      <c r="AW590">
        <v>70.671809999999994</v>
      </c>
      <c r="AX590"/>
    </row>
    <row r="591" spans="1:50" x14ac:dyDescent="0.35">
      <c r="A591" s="75">
        <v>35827</v>
      </c>
      <c r="B591">
        <v>73.975629999999995</v>
      </c>
      <c r="C591">
        <v>74.861890000000002</v>
      </c>
      <c r="D591"/>
      <c r="E591">
        <v>75.256829999999994</v>
      </c>
      <c r="F591">
        <v>93.413960000000003</v>
      </c>
      <c r="G591"/>
      <c r="H591"/>
      <c r="I591">
        <v>40.64499</v>
      </c>
      <c r="J591">
        <v>26.398389999999999</v>
      </c>
      <c r="K591">
        <v>82.7</v>
      </c>
      <c r="L591">
        <v>82.221339999999998</v>
      </c>
      <c r="M591">
        <v>73.540229999999994</v>
      </c>
      <c r="N591">
        <v>77.78</v>
      </c>
      <c r="O591">
        <v>71.743799999999993</v>
      </c>
      <c r="P591">
        <v>60.671700000000001</v>
      </c>
      <c r="Q591"/>
      <c r="R591">
        <v>78.159000000000006</v>
      </c>
      <c r="S591">
        <v>80.867270000000005</v>
      </c>
      <c r="T591"/>
      <c r="U591">
        <v>76.871520000000004</v>
      </c>
      <c r="V591">
        <v>76.560199999999995</v>
      </c>
      <c r="W591">
        <v>68.591719999999995</v>
      </c>
      <c r="X591">
        <v>42.714010000000002</v>
      </c>
      <c r="Y591"/>
      <c r="Z591"/>
      <c r="AA591">
        <v>67.925349999999995</v>
      </c>
      <c r="AB591">
        <v>42.013159999999999</v>
      </c>
      <c r="AC591">
        <v>73.595410000000001</v>
      </c>
      <c r="AD591">
        <v>73.132279999999994</v>
      </c>
      <c r="AE591">
        <v>103.7388</v>
      </c>
      <c r="AF591">
        <v>67.938820000000007</v>
      </c>
      <c r="AG591">
        <v>74.305800000000005</v>
      </c>
      <c r="AH591">
        <v>72.209140000000005</v>
      </c>
      <c r="AI591">
        <v>58.197090000000003</v>
      </c>
      <c r="AJ591">
        <v>42.883290000000002</v>
      </c>
      <c r="AK591">
        <v>72.266850000000005</v>
      </c>
      <c r="AL591">
        <v>73.179249999999996</v>
      </c>
      <c r="AM591">
        <v>68.03398</v>
      </c>
      <c r="AN591">
        <v>62.657339999999998</v>
      </c>
      <c r="AO591">
        <v>61.865920000000003</v>
      </c>
      <c r="AP591">
        <v>68.186890000000005</v>
      </c>
      <c r="AQ591"/>
      <c r="AR591"/>
      <c r="AS591">
        <v>49.818080000000002</v>
      </c>
      <c r="AT591"/>
      <c r="AU591">
        <v>86.632000000000005</v>
      </c>
      <c r="AV591">
        <v>4.562392</v>
      </c>
      <c r="AW591">
        <v>71.043329999999997</v>
      </c>
      <c r="AX591"/>
    </row>
    <row r="592" spans="1:50" x14ac:dyDescent="0.35">
      <c r="A592" s="75">
        <v>35855</v>
      </c>
      <c r="B592">
        <v>74.07405</v>
      </c>
      <c r="C592">
        <v>74.7547</v>
      </c>
      <c r="D592"/>
      <c r="E592">
        <v>75.399169999999998</v>
      </c>
      <c r="F592">
        <v>93.452569999999994</v>
      </c>
      <c r="G592"/>
      <c r="H592"/>
      <c r="I592">
        <v>42.157319999999999</v>
      </c>
      <c r="J592">
        <v>26.607769999999999</v>
      </c>
      <c r="K592">
        <v>82.9</v>
      </c>
      <c r="L592">
        <v>82.186800000000005</v>
      </c>
      <c r="M592">
        <v>73.809600000000003</v>
      </c>
      <c r="N592">
        <v>77.98</v>
      </c>
      <c r="O592">
        <v>71.868740000000003</v>
      </c>
      <c r="P592">
        <v>61.409520000000001</v>
      </c>
      <c r="Q592"/>
      <c r="R592">
        <v>78.465519999999998</v>
      </c>
      <c r="S592">
        <v>81.092089999999999</v>
      </c>
      <c r="T592"/>
      <c r="U592">
        <v>77.087909999999994</v>
      </c>
      <c r="V592">
        <v>76.862409999999997</v>
      </c>
      <c r="W592">
        <v>70.929490000000001</v>
      </c>
      <c r="X592">
        <v>43.271850000000001</v>
      </c>
      <c r="Y592"/>
      <c r="Z592"/>
      <c r="AA592">
        <v>68.349680000000006</v>
      </c>
      <c r="AB592">
        <v>42.220320000000001</v>
      </c>
      <c r="AC592">
        <v>73.392939999999996</v>
      </c>
      <c r="AD592">
        <v>73.440309999999997</v>
      </c>
      <c r="AE592">
        <v>104.1465</v>
      </c>
      <c r="AF592">
        <v>68.4773</v>
      </c>
      <c r="AG592">
        <v>74.917000000000002</v>
      </c>
      <c r="AH592">
        <v>72.252250000000004</v>
      </c>
      <c r="AI592">
        <v>58.32208</v>
      </c>
      <c r="AJ592">
        <v>43.397599999999997</v>
      </c>
      <c r="AK592">
        <v>72.982830000000007</v>
      </c>
      <c r="AL592">
        <v>73.599209999999999</v>
      </c>
      <c r="AM592">
        <v>68.369969999999995</v>
      </c>
      <c r="AN592">
        <v>63.030639999999998</v>
      </c>
      <c r="AO592">
        <v>62.344790000000003</v>
      </c>
      <c r="AP592">
        <v>68.389849999999996</v>
      </c>
      <c r="AQ592"/>
      <c r="AR592"/>
      <c r="AS592">
        <v>50.086179999999999</v>
      </c>
      <c r="AT592"/>
      <c r="AU592">
        <v>86.873279999999994</v>
      </c>
      <c r="AV592">
        <v>4.7600290000000003</v>
      </c>
      <c r="AW592">
        <v>71.249740000000003</v>
      </c>
      <c r="AX592"/>
    </row>
    <row r="593" spans="1:50" x14ac:dyDescent="0.35">
      <c r="A593" s="75">
        <v>35886</v>
      </c>
      <c r="B593">
        <v>74.252880000000005</v>
      </c>
      <c r="C593">
        <v>74.880359999999996</v>
      </c>
      <c r="D593"/>
      <c r="E593">
        <v>75.325909999999993</v>
      </c>
      <c r="F593">
        <v>93.481639999999999</v>
      </c>
      <c r="G593"/>
      <c r="H593"/>
      <c r="I593">
        <v>42.844009999999997</v>
      </c>
      <c r="J593">
        <v>26.768329999999999</v>
      </c>
      <c r="K593">
        <v>83.3</v>
      </c>
      <c r="L593">
        <v>82.194980000000001</v>
      </c>
      <c r="M593">
        <v>73.908010000000004</v>
      </c>
      <c r="N593">
        <v>78.099999999999994</v>
      </c>
      <c r="O593">
        <v>72.119690000000006</v>
      </c>
      <c r="P593">
        <v>61.693300000000001</v>
      </c>
      <c r="Q593"/>
      <c r="R593">
        <v>78.925269999999998</v>
      </c>
      <c r="S593">
        <v>81.210440000000006</v>
      </c>
      <c r="T593"/>
      <c r="U593">
        <v>77.25573</v>
      </c>
      <c r="V593">
        <v>77.164619999999999</v>
      </c>
      <c r="W593">
        <v>72.105959999999996</v>
      </c>
      <c r="X593">
        <v>43.726210000000002</v>
      </c>
      <c r="Y593"/>
      <c r="Z593"/>
      <c r="AA593">
        <v>68.531170000000003</v>
      </c>
      <c r="AB593">
        <v>42.386049999999997</v>
      </c>
      <c r="AC593">
        <v>74.506489999999999</v>
      </c>
      <c r="AD593">
        <v>73.490210000000005</v>
      </c>
      <c r="AE593">
        <v>104.5968</v>
      </c>
      <c r="AF593">
        <v>68.596850000000003</v>
      </c>
      <c r="AG593">
        <v>75.655500000000004</v>
      </c>
      <c r="AH593">
        <v>72.19059</v>
      </c>
      <c r="AI593">
        <v>58.879730000000002</v>
      </c>
      <c r="AJ593">
        <v>43.840020000000003</v>
      </c>
      <c r="AK593">
        <v>73.105440000000002</v>
      </c>
      <c r="AL593">
        <v>73.767060000000001</v>
      </c>
      <c r="AM593">
        <v>68.668880000000001</v>
      </c>
      <c r="AN593">
        <v>63.402050000000003</v>
      </c>
      <c r="AO593">
        <v>62.776000000000003</v>
      </c>
      <c r="AP593">
        <v>68.893600000000006</v>
      </c>
      <c r="AQ593"/>
      <c r="AR593"/>
      <c r="AS593">
        <v>50.233629999999998</v>
      </c>
      <c r="AT593"/>
      <c r="AU593">
        <v>87.024079999999998</v>
      </c>
      <c r="AV593">
        <v>5.0281440000000002</v>
      </c>
      <c r="AW593">
        <v>71.414860000000004</v>
      </c>
      <c r="AX593"/>
    </row>
    <row r="594" spans="1:50" x14ac:dyDescent="0.35">
      <c r="A594" s="75">
        <v>35916</v>
      </c>
      <c r="B594">
        <v>74.233199999999997</v>
      </c>
      <c r="C594">
        <v>75.205119999999994</v>
      </c>
      <c r="D594"/>
      <c r="E594">
        <v>75.467590000000001</v>
      </c>
      <c r="F594">
        <v>93.243129999999994</v>
      </c>
      <c r="G594"/>
      <c r="H594"/>
      <c r="I594">
        <v>43.506160000000001</v>
      </c>
      <c r="J594">
        <v>26.921299999999999</v>
      </c>
      <c r="K594">
        <v>83.5</v>
      </c>
      <c r="L594">
        <v>82.270009999999999</v>
      </c>
      <c r="M594">
        <v>74.281419999999997</v>
      </c>
      <c r="N594">
        <v>78.239999999999995</v>
      </c>
      <c r="O594">
        <v>72.281620000000004</v>
      </c>
      <c r="P594">
        <v>61.92033</v>
      </c>
      <c r="Q594"/>
      <c r="R594">
        <v>78.772019999999998</v>
      </c>
      <c r="S594">
        <v>81.252700000000004</v>
      </c>
      <c r="T594"/>
      <c r="U594">
        <v>77.332369999999997</v>
      </c>
      <c r="V594">
        <v>77.466830000000002</v>
      </c>
      <c r="W594">
        <v>71.972620000000006</v>
      </c>
      <c r="X594">
        <v>44.109470000000002</v>
      </c>
      <c r="Y594"/>
      <c r="Z594"/>
      <c r="AA594">
        <v>68.722380000000001</v>
      </c>
      <c r="AB594">
        <v>42.468919999999997</v>
      </c>
      <c r="AC594">
        <v>74.607730000000004</v>
      </c>
      <c r="AD594">
        <v>73.675060000000002</v>
      </c>
      <c r="AE594">
        <v>104.6219</v>
      </c>
      <c r="AF594">
        <v>68.4773</v>
      </c>
      <c r="AG594">
        <v>76.6066</v>
      </c>
      <c r="AH594">
        <v>72.330110000000005</v>
      </c>
      <c r="AI594">
        <v>59.014330000000001</v>
      </c>
      <c r="AJ594">
        <v>44.215260000000001</v>
      </c>
      <c r="AK594">
        <v>73.003619999999998</v>
      </c>
      <c r="AL594">
        <v>73.746030000000005</v>
      </c>
      <c r="AM594">
        <v>68.854230000000001</v>
      </c>
      <c r="AN594">
        <v>63.717799999999997</v>
      </c>
      <c r="AO594">
        <v>63.048360000000002</v>
      </c>
      <c r="AP594">
        <v>69.390079999999998</v>
      </c>
      <c r="AQ594"/>
      <c r="AR594"/>
      <c r="AS594">
        <v>50.372750000000003</v>
      </c>
      <c r="AT594"/>
      <c r="AU594">
        <v>87.13467</v>
      </c>
      <c r="AV594">
        <v>5.2696440000000004</v>
      </c>
      <c r="AW594">
        <v>71.456140000000005</v>
      </c>
      <c r="AX594"/>
    </row>
    <row r="595" spans="1:50" x14ac:dyDescent="0.35">
      <c r="A595" s="75">
        <v>35947</v>
      </c>
      <c r="B595">
        <v>74.258030000000005</v>
      </c>
      <c r="C595">
        <v>75.211910000000003</v>
      </c>
      <c r="D595"/>
      <c r="E595">
        <v>75.463719999999995</v>
      </c>
      <c r="F595">
        <v>93.248540000000006</v>
      </c>
      <c r="G595"/>
      <c r="H595"/>
      <c r="I595">
        <v>44.021169999999998</v>
      </c>
      <c r="J595">
        <v>27.140450000000001</v>
      </c>
      <c r="K595">
        <v>83.8</v>
      </c>
      <c r="L595">
        <v>82.410809999999998</v>
      </c>
      <c r="M595">
        <v>74.336399999999998</v>
      </c>
      <c r="N595">
        <v>78.34</v>
      </c>
      <c r="O595">
        <v>72.428349999999995</v>
      </c>
      <c r="P595">
        <v>62.204099999999997</v>
      </c>
      <c r="Q595"/>
      <c r="R595">
        <v>78.925269999999998</v>
      </c>
      <c r="S595">
        <v>81.324070000000006</v>
      </c>
      <c r="T595"/>
      <c r="U595">
        <v>77.317980000000006</v>
      </c>
      <c r="V595">
        <v>77.366100000000003</v>
      </c>
      <c r="W595">
        <v>72.49812</v>
      </c>
      <c r="X595">
        <v>44.330419999999997</v>
      </c>
      <c r="Y595"/>
      <c r="Z595"/>
      <c r="AA595">
        <v>68.958920000000006</v>
      </c>
      <c r="AB595">
        <v>42.551789999999997</v>
      </c>
      <c r="AC595">
        <v>75.215119999999999</v>
      </c>
      <c r="AD595">
        <v>73.755009999999999</v>
      </c>
      <c r="AE595">
        <v>104.53959999999999</v>
      </c>
      <c r="AF595">
        <v>68.356700000000004</v>
      </c>
      <c r="AG595">
        <v>77.0214</v>
      </c>
      <c r="AH595">
        <v>72.334350000000001</v>
      </c>
      <c r="AI595">
        <v>59.610430000000001</v>
      </c>
      <c r="AJ595">
        <v>44.612250000000003</v>
      </c>
      <c r="AK595">
        <v>72.705280000000002</v>
      </c>
      <c r="AL595">
        <v>73.933269999999993</v>
      </c>
      <c r="AM595">
        <v>68.972499999999997</v>
      </c>
      <c r="AN595">
        <v>63.96846</v>
      </c>
      <c r="AO595">
        <v>63.397539999999999</v>
      </c>
      <c r="AP595">
        <v>69.508989999999997</v>
      </c>
      <c r="AQ595"/>
      <c r="AR595"/>
      <c r="AS595">
        <v>50.465510000000002</v>
      </c>
      <c r="AT595"/>
      <c r="AU595">
        <v>86.836420000000004</v>
      </c>
      <c r="AV595">
        <v>5.496359</v>
      </c>
      <c r="AW595">
        <v>71.414860000000004</v>
      </c>
      <c r="AX595"/>
    </row>
    <row r="596" spans="1:50" x14ac:dyDescent="0.35">
      <c r="A596" s="75">
        <v>35977</v>
      </c>
      <c r="B596">
        <v>74.240719999999996</v>
      </c>
      <c r="C596">
        <v>75.458979999999997</v>
      </c>
      <c r="D596"/>
      <c r="E596">
        <v>75.588449999999995</v>
      </c>
      <c r="F596">
        <v>93.253169999999997</v>
      </c>
      <c r="G596"/>
      <c r="H596"/>
      <c r="I596">
        <v>44.413559999999997</v>
      </c>
      <c r="J596">
        <v>27.53426</v>
      </c>
      <c r="K596">
        <v>84.6</v>
      </c>
      <c r="L596">
        <v>82.889920000000004</v>
      </c>
      <c r="M596">
        <v>74.059529999999995</v>
      </c>
      <c r="N596">
        <v>78.39</v>
      </c>
      <c r="O596">
        <v>72.70814</v>
      </c>
      <c r="P596">
        <v>62.374369999999999</v>
      </c>
      <c r="Q596"/>
      <c r="R596">
        <v>78.772019999999998</v>
      </c>
      <c r="S596">
        <v>81.108549999999994</v>
      </c>
      <c r="T596"/>
      <c r="U596">
        <v>77.346980000000002</v>
      </c>
      <c r="V596">
        <v>76.761669999999995</v>
      </c>
      <c r="W596">
        <v>71.24606</v>
      </c>
      <c r="X596">
        <v>44.584739999999996</v>
      </c>
      <c r="Y596"/>
      <c r="Z596"/>
      <c r="AA596">
        <v>68.741969999999995</v>
      </c>
      <c r="AB596">
        <v>42.593220000000002</v>
      </c>
      <c r="AC596">
        <v>75.113879999999995</v>
      </c>
      <c r="AD596">
        <v>73.835369999999998</v>
      </c>
      <c r="AE596">
        <v>104.13720000000001</v>
      </c>
      <c r="AF596">
        <v>68.356700000000004</v>
      </c>
      <c r="AG596">
        <v>77.708500000000001</v>
      </c>
      <c r="AH596">
        <v>72.510779999999997</v>
      </c>
      <c r="AI596">
        <v>59.821950000000001</v>
      </c>
      <c r="AJ596">
        <v>44.989130000000003</v>
      </c>
      <c r="AK596">
        <v>72.926730000000006</v>
      </c>
      <c r="AL596">
        <v>73.771199999999993</v>
      </c>
      <c r="AM596">
        <v>69.107529999999997</v>
      </c>
      <c r="AN596">
        <v>64.158349999999999</v>
      </c>
      <c r="AO596">
        <v>63.984810000000003</v>
      </c>
      <c r="AP596">
        <v>69.648200000000003</v>
      </c>
      <c r="AQ596"/>
      <c r="AR596"/>
      <c r="AS596">
        <v>50.608359999999998</v>
      </c>
      <c r="AT596"/>
      <c r="AU596">
        <v>86.504660000000001</v>
      </c>
      <c r="AV596">
        <v>5.6895600000000002</v>
      </c>
      <c r="AW596">
        <v>71.538700000000006</v>
      </c>
      <c r="AX596"/>
    </row>
    <row r="597" spans="1:50" x14ac:dyDescent="0.35">
      <c r="A597" s="75">
        <v>36008</v>
      </c>
      <c r="B597">
        <v>74.370729999999995</v>
      </c>
      <c r="C597">
        <v>75.434719999999999</v>
      </c>
      <c r="D597"/>
      <c r="E597">
        <v>75.699929999999995</v>
      </c>
      <c r="F597">
        <v>93.693629999999999</v>
      </c>
      <c r="G597"/>
      <c r="H597"/>
      <c r="I597">
        <v>44.846820000000001</v>
      </c>
      <c r="J597">
        <v>27.832599999999999</v>
      </c>
      <c r="K597">
        <v>84.7</v>
      </c>
      <c r="L597">
        <v>82.821619999999996</v>
      </c>
      <c r="M597">
        <v>74.319609999999997</v>
      </c>
      <c r="N597">
        <v>78.55</v>
      </c>
      <c r="O597">
        <v>72.954700000000003</v>
      </c>
      <c r="P597">
        <v>62.487879999999997</v>
      </c>
      <c r="Q597"/>
      <c r="R597">
        <v>78.925269999999998</v>
      </c>
      <c r="S597">
        <v>81.331199999999995</v>
      </c>
      <c r="T597"/>
      <c r="U597">
        <v>77.493970000000004</v>
      </c>
      <c r="V597">
        <v>77.063879999999997</v>
      </c>
      <c r="W597">
        <v>71.328630000000004</v>
      </c>
      <c r="X597">
        <v>44.621279999999999</v>
      </c>
      <c r="Y597"/>
      <c r="Z597"/>
      <c r="AA597">
        <v>68.983149999999995</v>
      </c>
      <c r="AB597">
        <v>42.344619999999999</v>
      </c>
      <c r="AC597">
        <v>75.31635</v>
      </c>
      <c r="AD597">
        <v>73.952370000000002</v>
      </c>
      <c r="AE597">
        <v>104.0421</v>
      </c>
      <c r="AF597">
        <v>68.177909999999997</v>
      </c>
      <c r="AG597">
        <v>77.867199999999997</v>
      </c>
      <c r="AH597">
        <v>72.527370000000005</v>
      </c>
      <c r="AI597">
        <v>60.043089999999999</v>
      </c>
      <c r="AJ597">
        <v>45.465009999999999</v>
      </c>
      <c r="AK597">
        <v>73.053870000000003</v>
      </c>
      <c r="AL597">
        <v>73.702449999999999</v>
      </c>
      <c r="AM597">
        <v>69.351879999999994</v>
      </c>
      <c r="AN597">
        <v>64.487920000000003</v>
      </c>
      <c r="AO597">
        <v>64.427809999999994</v>
      </c>
      <c r="AP597">
        <v>69.534580000000005</v>
      </c>
      <c r="AQ597"/>
      <c r="AR597"/>
      <c r="AS597">
        <v>50.62509</v>
      </c>
      <c r="AT597"/>
      <c r="AU597">
        <v>86.042209999999997</v>
      </c>
      <c r="AV597">
        <v>5.9586610000000002</v>
      </c>
      <c r="AW597">
        <v>71.745099999999994</v>
      </c>
      <c r="AX597"/>
    </row>
    <row r="598" spans="1:50" x14ac:dyDescent="0.35">
      <c r="A598" s="75">
        <v>36039</v>
      </c>
      <c r="B598">
        <v>74.42004</v>
      </c>
      <c r="C598">
        <v>75.458290000000005</v>
      </c>
      <c r="D598"/>
      <c r="E598">
        <v>75.738569999999996</v>
      </c>
      <c r="F598">
        <v>93.680170000000004</v>
      </c>
      <c r="G598"/>
      <c r="H598"/>
      <c r="I598">
        <v>45.157470000000004</v>
      </c>
      <c r="J598">
        <v>28.039809999999999</v>
      </c>
      <c r="K598">
        <v>84.8</v>
      </c>
      <c r="L598">
        <v>82.658259999999999</v>
      </c>
      <c r="M598">
        <v>74.648219999999995</v>
      </c>
      <c r="N598">
        <v>78.63</v>
      </c>
      <c r="O598">
        <v>72.973339999999993</v>
      </c>
      <c r="P598">
        <v>62.99868</v>
      </c>
      <c r="Q598"/>
      <c r="R598">
        <v>79.308400000000006</v>
      </c>
      <c r="S598">
        <v>81.315690000000004</v>
      </c>
      <c r="T598"/>
      <c r="U598">
        <v>77.670850000000002</v>
      </c>
      <c r="V598">
        <v>77.668300000000002</v>
      </c>
      <c r="W598">
        <v>73.027760000000001</v>
      </c>
      <c r="X598">
        <v>44.934980000000003</v>
      </c>
      <c r="Y598"/>
      <c r="Z598"/>
      <c r="AA598">
        <v>69.467250000000007</v>
      </c>
      <c r="AB598">
        <v>42.386049999999997</v>
      </c>
      <c r="AC598">
        <v>76.024969999999996</v>
      </c>
      <c r="AD598">
        <v>73.974530000000001</v>
      </c>
      <c r="AE598">
        <v>104.5919</v>
      </c>
      <c r="AF598">
        <v>68.177909999999997</v>
      </c>
      <c r="AG598">
        <v>78.237099999999998</v>
      </c>
      <c r="AH598">
        <v>72.486559999999997</v>
      </c>
      <c r="AI598">
        <v>60.283450000000002</v>
      </c>
      <c r="AJ598">
        <v>46.218519999999998</v>
      </c>
      <c r="AK598">
        <v>73.803439999999995</v>
      </c>
      <c r="AL598">
        <v>74.342820000000003</v>
      </c>
      <c r="AM598">
        <v>69.716539999999995</v>
      </c>
      <c r="AN598">
        <v>64.991770000000002</v>
      </c>
      <c r="AO598">
        <v>64.877200000000002</v>
      </c>
      <c r="AP598">
        <v>69.625579999999999</v>
      </c>
      <c r="AQ598"/>
      <c r="AR598"/>
      <c r="AS598">
        <v>50.832859999999997</v>
      </c>
      <c r="AT598"/>
      <c r="AU598">
        <v>86.742580000000004</v>
      </c>
      <c r="AV598">
        <v>6.3815340000000003</v>
      </c>
      <c r="AW598">
        <v>71.910219999999995</v>
      </c>
      <c r="AX598"/>
    </row>
    <row r="599" spans="1:50" x14ac:dyDescent="0.35">
      <c r="A599" s="75">
        <v>36069</v>
      </c>
      <c r="B599">
        <v>74.449920000000006</v>
      </c>
      <c r="C599">
        <v>75.543949999999995</v>
      </c>
      <c r="D599"/>
      <c r="E599">
        <v>75.991699999999994</v>
      </c>
      <c r="F599">
        <v>93.663740000000004</v>
      </c>
      <c r="G599"/>
      <c r="H599"/>
      <c r="I599">
        <v>45.574379999999998</v>
      </c>
      <c r="J599">
        <v>28.266549999999999</v>
      </c>
      <c r="K599">
        <v>84.7</v>
      </c>
      <c r="L599">
        <v>82.633560000000003</v>
      </c>
      <c r="M599">
        <v>74.689940000000007</v>
      </c>
      <c r="N599">
        <v>78.64</v>
      </c>
      <c r="O599">
        <v>73.040940000000006</v>
      </c>
      <c r="P599">
        <v>63.395969999999998</v>
      </c>
      <c r="Q599"/>
      <c r="R599">
        <v>79.53828</v>
      </c>
      <c r="S599">
        <v>81.295100000000005</v>
      </c>
      <c r="T599"/>
      <c r="U599">
        <v>77.801410000000004</v>
      </c>
      <c r="V599">
        <v>77.567570000000003</v>
      </c>
      <c r="W599">
        <v>73.589920000000006</v>
      </c>
      <c r="X599">
        <v>45.400100000000002</v>
      </c>
      <c r="Y599"/>
      <c r="Z599"/>
      <c r="AA599">
        <v>69.528720000000007</v>
      </c>
      <c r="AB599">
        <v>42.634650000000001</v>
      </c>
      <c r="AC599">
        <v>78.555760000000006</v>
      </c>
      <c r="AD599">
        <v>74.12397</v>
      </c>
      <c r="AE599">
        <v>104.6533</v>
      </c>
      <c r="AF599">
        <v>68.177909999999997</v>
      </c>
      <c r="AG599">
        <v>78.530699999999996</v>
      </c>
      <c r="AH599">
        <v>72.555130000000005</v>
      </c>
      <c r="AI599">
        <v>60.29307</v>
      </c>
      <c r="AJ599">
        <v>46.744729999999997</v>
      </c>
      <c r="AK599">
        <v>74.003299999999996</v>
      </c>
      <c r="AL599">
        <v>74.450890000000001</v>
      </c>
      <c r="AM599">
        <v>70.009870000000006</v>
      </c>
      <c r="AN599">
        <v>65.360249999999994</v>
      </c>
      <c r="AO599">
        <v>65.263530000000003</v>
      </c>
      <c r="AP599">
        <v>69.961489999999998</v>
      </c>
      <c r="AQ599"/>
      <c r="AR599"/>
      <c r="AS599">
        <v>51.213389999999997</v>
      </c>
      <c r="AT599"/>
      <c r="AU599">
        <v>86.987210000000005</v>
      </c>
      <c r="AV599">
        <v>6.7521630000000004</v>
      </c>
      <c r="AW599">
        <v>72.116619999999998</v>
      </c>
      <c r="AX599"/>
    </row>
    <row r="600" spans="1:50" x14ac:dyDescent="0.35">
      <c r="A600" s="75">
        <v>36100</v>
      </c>
      <c r="B600">
        <v>74.482799999999997</v>
      </c>
      <c r="C600">
        <v>75.445719999999994</v>
      </c>
      <c r="D600"/>
      <c r="E600">
        <v>75.842029999999994</v>
      </c>
      <c r="F600">
        <v>93.582210000000003</v>
      </c>
      <c r="G600"/>
      <c r="H600"/>
      <c r="I600">
        <v>45.97495</v>
      </c>
      <c r="J600">
        <v>28.518239999999999</v>
      </c>
      <c r="K600">
        <v>84.8</v>
      </c>
      <c r="L600">
        <v>82.634370000000004</v>
      </c>
      <c r="M600">
        <v>74.966380000000001</v>
      </c>
      <c r="N600">
        <v>78.650000000000006</v>
      </c>
      <c r="O600">
        <v>73.057389999999998</v>
      </c>
      <c r="P600">
        <v>63.622990000000001</v>
      </c>
      <c r="Q600"/>
      <c r="R600">
        <v>79.461650000000006</v>
      </c>
      <c r="S600">
        <v>81.220029999999994</v>
      </c>
      <c r="T600"/>
      <c r="U600">
        <v>77.834990000000005</v>
      </c>
      <c r="V600">
        <v>77.769040000000004</v>
      </c>
      <c r="W600">
        <v>73.584649999999996</v>
      </c>
      <c r="X600">
        <v>45.582470000000001</v>
      </c>
      <c r="Y600"/>
      <c r="Z600"/>
      <c r="AA600">
        <v>69.329499999999996</v>
      </c>
      <c r="AB600">
        <v>42.841819999999998</v>
      </c>
      <c r="AC600">
        <v>79.568079999999995</v>
      </c>
      <c r="AD600">
        <v>74.221050000000005</v>
      </c>
      <c r="AE600">
        <v>104.6454</v>
      </c>
      <c r="AF600">
        <v>68.118669999999995</v>
      </c>
      <c r="AG600">
        <v>78.677199999999999</v>
      </c>
      <c r="AH600">
        <v>72.61533</v>
      </c>
      <c r="AI600">
        <v>60.562280000000001</v>
      </c>
      <c r="AJ600">
        <v>47.37115</v>
      </c>
      <c r="AK600">
        <v>73.91901</v>
      </c>
      <c r="AL600">
        <v>74.457719999999995</v>
      </c>
      <c r="AM600">
        <v>70.185270000000003</v>
      </c>
      <c r="AN600">
        <v>65.638279999999995</v>
      </c>
      <c r="AO600">
        <v>65.438580000000002</v>
      </c>
      <c r="AP600">
        <v>70.474720000000005</v>
      </c>
      <c r="AQ600"/>
      <c r="AR600"/>
      <c r="AS600">
        <v>51.435090000000002</v>
      </c>
      <c r="AT600"/>
      <c r="AU600">
        <v>86.75264</v>
      </c>
      <c r="AV600">
        <v>7.0335859999999997</v>
      </c>
      <c r="AW600">
        <v>72.157910000000001</v>
      </c>
      <c r="AX600"/>
    </row>
    <row r="601" spans="1:50" x14ac:dyDescent="0.35">
      <c r="A601" s="75">
        <v>36130</v>
      </c>
      <c r="B601">
        <v>74.619609999999994</v>
      </c>
      <c r="C601">
        <v>75.426119999999997</v>
      </c>
      <c r="D601"/>
      <c r="E601">
        <v>75.623019999999997</v>
      </c>
      <c r="F601">
        <v>93.573440000000005</v>
      </c>
      <c r="G601">
        <v>66.591319999999996</v>
      </c>
      <c r="H601"/>
      <c r="I601">
        <v>46.277410000000003</v>
      </c>
      <c r="J601">
        <v>28.636500000000002</v>
      </c>
      <c r="K601">
        <v>85</v>
      </c>
      <c r="L601">
        <v>82.805790000000002</v>
      </c>
      <c r="M601">
        <v>74.978059999999999</v>
      </c>
      <c r="N601">
        <v>78.73</v>
      </c>
      <c r="O601">
        <v>73.219359999999995</v>
      </c>
      <c r="P601">
        <v>63.793259999999997</v>
      </c>
      <c r="Q601"/>
      <c r="R601">
        <v>79.461650000000006</v>
      </c>
      <c r="S601">
        <v>81.3065</v>
      </c>
      <c r="T601"/>
      <c r="U601">
        <v>77.861999999999995</v>
      </c>
      <c r="V601">
        <v>77.970510000000004</v>
      </c>
      <c r="W601">
        <v>74.052379999999999</v>
      </c>
      <c r="X601">
        <v>45.797240000000002</v>
      </c>
      <c r="Y601"/>
      <c r="Z601"/>
      <c r="AA601">
        <v>69.075310000000002</v>
      </c>
      <c r="AB601">
        <v>42.800379999999997</v>
      </c>
      <c r="AC601">
        <v>79.568079999999995</v>
      </c>
      <c r="AD601">
        <v>74.28398</v>
      </c>
      <c r="AE601">
        <v>104.58499999999999</v>
      </c>
      <c r="AF601">
        <v>68.00018</v>
      </c>
      <c r="AG601">
        <v>78.747500000000002</v>
      </c>
      <c r="AH601">
        <v>72.602909999999994</v>
      </c>
      <c r="AI601">
        <v>60.668039999999998</v>
      </c>
      <c r="AJ601">
        <v>48.385939999999998</v>
      </c>
      <c r="AK601">
        <v>73.598460000000003</v>
      </c>
      <c r="AL601">
        <v>74.590639999999993</v>
      </c>
      <c r="AM601">
        <v>70.370379999999997</v>
      </c>
      <c r="AN601">
        <v>65.945210000000003</v>
      </c>
      <c r="AO601">
        <v>65.579710000000006</v>
      </c>
      <c r="AP601">
        <v>70.592399999999998</v>
      </c>
      <c r="AQ601"/>
      <c r="AR601"/>
      <c r="AS601">
        <v>51.626159999999999</v>
      </c>
      <c r="AT601"/>
      <c r="AU601">
        <v>86.668859999999995</v>
      </c>
      <c r="AV601">
        <v>7.2938150000000004</v>
      </c>
      <c r="AW601">
        <v>72.157910000000001</v>
      </c>
      <c r="AX601"/>
    </row>
    <row r="602" spans="1:50" x14ac:dyDescent="0.35">
      <c r="A602" s="75">
        <v>36161</v>
      </c>
      <c r="B602">
        <v>74.522499999999994</v>
      </c>
      <c r="C602">
        <v>75.631950000000003</v>
      </c>
      <c r="D602"/>
      <c r="E602">
        <v>75.627939999999995</v>
      </c>
      <c r="F602">
        <v>93.701300000000003</v>
      </c>
      <c r="G602">
        <v>66.626980000000003</v>
      </c>
      <c r="H602"/>
      <c r="I602">
        <v>47.487279999999998</v>
      </c>
      <c r="J602">
        <v>29.139880000000002</v>
      </c>
      <c r="K602">
        <v>85.4</v>
      </c>
      <c r="L602">
        <v>82.594329999999999</v>
      </c>
      <c r="M602">
        <v>74.584339999999997</v>
      </c>
      <c r="N602">
        <v>78.489999999999995</v>
      </c>
      <c r="O602">
        <v>73.440470000000005</v>
      </c>
      <c r="P602">
        <v>64.531080000000003</v>
      </c>
      <c r="Q602"/>
      <c r="R602">
        <v>79.078519999999997</v>
      </c>
      <c r="S602">
        <v>80.971069999999997</v>
      </c>
      <c r="T602"/>
      <c r="U602">
        <v>77.821719999999999</v>
      </c>
      <c r="V602">
        <v>77.164619999999999</v>
      </c>
      <c r="W602">
        <v>72.879810000000006</v>
      </c>
      <c r="X602">
        <v>46.98359</v>
      </c>
      <c r="Y602"/>
      <c r="Z602"/>
      <c r="AA602">
        <v>68.30444</v>
      </c>
      <c r="AB602">
        <v>42.966119999999997</v>
      </c>
      <c r="AC602">
        <v>78.96069</v>
      </c>
      <c r="AD602">
        <v>74.397850000000005</v>
      </c>
      <c r="AE602">
        <v>103.9243</v>
      </c>
      <c r="AF602">
        <v>68.00018</v>
      </c>
      <c r="AG602">
        <v>79.116600000000005</v>
      </c>
      <c r="AH602">
        <v>71.131500000000003</v>
      </c>
      <c r="AI602">
        <v>61.369900000000001</v>
      </c>
      <c r="AJ602">
        <v>49.363480000000003</v>
      </c>
      <c r="AK602">
        <v>73.386949999999999</v>
      </c>
      <c r="AL602">
        <v>74.533789999999996</v>
      </c>
      <c r="AM602">
        <v>70.512010000000004</v>
      </c>
      <c r="AN602">
        <v>66.031639999999996</v>
      </c>
      <c r="AO602">
        <v>67.088340000000002</v>
      </c>
      <c r="AP602">
        <v>70.323620000000005</v>
      </c>
      <c r="AQ602"/>
      <c r="AR602"/>
      <c r="AS602">
        <v>52.406010000000002</v>
      </c>
      <c r="AT602"/>
      <c r="AU602">
        <v>86.531469999999999</v>
      </c>
      <c r="AV602">
        <v>7.6674020000000001</v>
      </c>
      <c r="AW602">
        <v>72.3643</v>
      </c>
      <c r="AX602"/>
    </row>
    <row r="603" spans="1:50" x14ac:dyDescent="0.35">
      <c r="A603" s="75">
        <v>36192</v>
      </c>
      <c r="B603">
        <v>74.637039999999999</v>
      </c>
      <c r="C603">
        <v>75.894639999999995</v>
      </c>
      <c r="D603"/>
      <c r="E603">
        <v>75.87294</v>
      </c>
      <c r="F603">
        <v>94.097139999999996</v>
      </c>
      <c r="G603">
        <v>66.840950000000007</v>
      </c>
      <c r="H603"/>
      <c r="I603">
        <v>48.255710000000001</v>
      </c>
      <c r="J603">
        <v>29.383980000000001</v>
      </c>
      <c r="K603">
        <v>85.5</v>
      </c>
      <c r="L603">
        <v>82.77449</v>
      </c>
      <c r="M603">
        <v>75.335269999999994</v>
      </c>
      <c r="N603">
        <v>78.78</v>
      </c>
      <c r="O603">
        <v>73.592399999999998</v>
      </c>
      <c r="P603">
        <v>64.928370000000001</v>
      </c>
      <c r="Q603"/>
      <c r="R603">
        <v>79.231769999999997</v>
      </c>
      <c r="S603">
        <v>81.333680000000001</v>
      </c>
      <c r="T603"/>
      <c r="U603">
        <v>77.955799999999996</v>
      </c>
      <c r="V603">
        <v>77.366100000000003</v>
      </c>
      <c r="W603">
        <v>72.378720000000001</v>
      </c>
      <c r="X603">
        <v>47.752380000000002</v>
      </c>
      <c r="Y603"/>
      <c r="Z603"/>
      <c r="AA603">
        <v>68.712599999999995</v>
      </c>
      <c r="AB603">
        <v>42.841819999999998</v>
      </c>
      <c r="AC603">
        <v>78.252070000000003</v>
      </c>
      <c r="AD603">
        <v>74.536510000000007</v>
      </c>
      <c r="AE603">
        <v>103.58880000000001</v>
      </c>
      <c r="AF603">
        <v>68.059430000000006</v>
      </c>
      <c r="AG603">
        <v>79.218000000000004</v>
      </c>
      <c r="AH603">
        <v>72.801659999999998</v>
      </c>
      <c r="AI603">
        <v>61.552579999999999</v>
      </c>
      <c r="AJ603">
        <v>50.246020000000001</v>
      </c>
      <c r="AK603">
        <v>73.832759999999993</v>
      </c>
      <c r="AL603">
        <v>74.69023</v>
      </c>
      <c r="AM603">
        <v>70.746139999999997</v>
      </c>
      <c r="AN603">
        <v>66.336500000000001</v>
      </c>
      <c r="AO603">
        <v>67.7517</v>
      </c>
      <c r="AP603">
        <v>70.281239999999997</v>
      </c>
      <c r="AQ603"/>
      <c r="AR603"/>
      <c r="AS603">
        <v>53.165050000000001</v>
      </c>
      <c r="AT603"/>
      <c r="AU603">
        <v>86.531469999999999</v>
      </c>
      <c r="AV603">
        <v>7.8975669999999996</v>
      </c>
      <c r="AW603">
        <v>72.529430000000005</v>
      </c>
      <c r="AX603"/>
    </row>
    <row r="604" spans="1:50" x14ac:dyDescent="0.35">
      <c r="A604" s="75">
        <v>36220</v>
      </c>
      <c r="B604">
        <v>74.688339999999997</v>
      </c>
      <c r="C604">
        <v>75.898210000000006</v>
      </c>
      <c r="D604"/>
      <c r="E604">
        <v>76.177869999999999</v>
      </c>
      <c r="F604">
        <v>94.243369999999999</v>
      </c>
      <c r="G604">
        <v>67.384810000000002</v>
      </c>
      <c r="H604"/>
      <c r="I604">
        <v>48.819769999999998</v>
      </c>
      <c r="J604">
        <v>29.610720000000001</v>
      </c>
      <c r="K604">
        <v>85.5</v>
      </c>
      <c r="L604">
        <v>82.681979999999996</v>
      </c>
      <c r="M604">
        <v>75.726039999999998</v>
      </c>
      <c r="N604">
        <v>79.010000000000005</v>
      </c>
      <c r="O604">
        <v>73.817310000000006</v>
      </c>
      <c r="P604">
        <v>65.1554</v>
      </c>
      <c r="Q604"/>
      <c r="R604">
        <v>79.53828</v>
      </c>
      <c r="S604">
        <v>81.610309999999998</v>
      </c>
      <c r="T604"/>
      <c r="U604">
        <v>78.152820000000006</v>
      </c>
      <c r="V604">
        <v>77.567570000000003</v>
      </c>
      <c r="W604">
        <v>74.354420000000005</v>
      </c>
      <c r="X604">
        <v>48.476799999999997</v>
      </c>
      <c r="Y604"/>
      <c r="Z604"/>
      <c r="AA604">
        <v>68.937709999999996</v>
      </c>
      <c r="AB604">
        <v>43.090420000000002</v>
      </c>
      <c r="AC604">
        <v>78.252070000000003</v>
      </c>
      <c r="AD604">
        <v>74.665940000000006</v>
      </c>
      <c r="AE604">
        <v>103.96639999999999</v>
      </c>
      <c r="AF604">
        <v>68.177909999999997</v>
      </c>
      <c r="AG604">
        <v>79.296599999999998</v>
      </c>
      <c r="AH604">
        <v>72.874030000000005</v>
      </c>
      <c r="AI604">
        <v>61.735259999999997</v>
      </c>
      <c r="AJ604">
        <v>51.026910000000001</v>
      </c>
      <c r="AK604">
        <v>74.532390000000007</v>
      </c>
      <c r="AL604">
        <v>75.487870000000001</v>
      </c>
      <c r="AM604">
        <v>71.046459999999996</v>
      </c>
      <c r="AN604">
        <v>66.654709999999994</v>
      </c>
      <c r="AO604">
        <v>68.289199999999994</v>
      </c>
      <c r="AP604">
        <v>70.468249999999998</v>
      </c>
      <c r="AQ604"/>
      <c r="AR604"/>
      <c r="AS604">
        <v>53.507890000000003</v>
      </c>
      <c r="AT604"/>
      <c r="AU604">
        <v>86.816310000000001</v>
      </c>
      <c r="AV604">
        <v>8.1696240000000007</v>
      </c>
      <c r="AW604">
        <v>72.735830000000007</v>
      </c>
      <c r="AX604"/>
    </row>
    <row r="605" spans="1:50" x14ac:dyDescent="0.35">
      <c r="A605" s="75">
        <v>36251</v>
      </c>
      <c r="B605">
        <v>74.677400000000006</v>
      </c>
      <c r="C605">
        <v>76.008690000000001</v>
      </c>
      <c r="D605"/>
      <c r="E605">
        <v>76.409080000000003</v>
      </c>
      <c r="F605">
        <v>94.196600000000004</v>
      </c>
      <c r="G605">
        <v>67.598789999999994</v>
      </c>
      <c r="H605"/>
      <c r="I605">
        <v>49.326599999999999</v>
      </c>
      <c r="J605">
        <v>29.771280000000001</v>
      </c>
      <c r="K605">
        <v>85.6</v>
      </c>
      <c r="L605">
        <v>82.577070000000006</v>
      </c>
      <c r="M605">
        <v>75.847369999999998</v>
      </c>
      <c r="N605">
        <v>79.040000000000006</v>
      </c>
      <c r="O605">
        <v>74.001800000000003</v>
      </c>
      <c r="P605">
        <v>65.382419999999996</v>
      </c>
      <c r="Q605"/>
      <c r="R605">
        <v>79.844790000000003</v>
      </c>
      <c r="S605">
        <v>81.752219999999994</v>
      </c>
      <c r="T605"/>
      <c r="U605">
        <v>78.389849999999996</v>
      </c>
      <c r="V605">
        <v>77.869780000000006</v>
      </c>
      <c r="W605">
        <v>75.06429</v>
      </c>
      <c r="X605">
        <v>49.104239999999997</v>
      </c>
      <c r="Y605"/>
      <c r="Z605"/>
      <c r="AA605">
        <v>69.290949999999995</v>
      </c>
      <c r="AB605">
        <v>43.380450000000003</v>
      </c>
      <c r="AC605">
        <v>78.252070000000003</v>
      </c>
      <c r="AD605">
        <v>74.806129999999996</v>
      </c>
      <c r="AE605">
        <v>104.56140000000001</v>
      </c>
      <c r="AF605">
        <v>68.118669999999995</v>
      </c>
      <c r="AG605">
        <v>79.786000000000001</v>
      </c>
      <c r="AH605">
        <v>73.037989999999994</v>
      </c>
      <c r="AI605">
        <v>61.744869999999999</v>
      </c>
      <c r="AJ605">
        <v>51.619219999999999</v>
      </c>
      <c r="AK605">
        <v>74.728530000000006</v>
      </c>
      <c r="AL605">
        <v>75.696079999999995</v>
      </c>
      <c r="AM605">
        <v>71.362080000000006</v>
      </c>
      <c r="AN605">
        <v>66.97466</v>
      </c>
      <c r="AO605">
        <v>68.888530000000003</v>
      </c>
      <c r="AP605">
        <v>70.935649999999995</v>
      </c>
      <c r="AQ605"/>
      <c r="AR605"/>
      <c r="AS605">
        <v>53.9437</v>
      </c>
      <c r="AT605"/>
      <c r="AU605">
        <v>87.047539999999998</v>
      </c>
      <c r="AV605">
        <v>8.5407480000000007</v>
      </c>
      <c r="AW605">
        <v>72.983509999999995</v>
      </c>
      <c r="AX605"/>
    </row>
    <row r="606" spans="1:50" x14ac:dyDescent="0.35">
      <c r="A606" s="75">
        <v>36281</v>
      </c>
      <c r="B606">
        <v>74.820670000000007</v>
      </c>
      <c r="C606">
        <v>76.082549999999998</v>
      </c>
      <c r="D606"/>
      <c r="E606">
        <v>76.537949999999995</v>
      </c>
      <c r="F606">
        <v>93.951130000000006</v>
      </c>
      <c r="G606">
        <v>67.705770000000001</v>
      </c>
      <c r="H606"/>
      <c r="I606">
        <v>49.580019999999998</v>
      </c>
      <c r="J606">
        <v>29.934010000000001</v>
      </c>
      <c r="K606">
        <v>85.7</v>
      </c>
      <c r="L606">
        <v>82.679180000000002</v>
      </c>
      <c r="M606">
        <v>75.943550000000002</v>
      </c>
      <c r="N606">
        <v>79.14</v>
      </c>
      <c r="O606">
        <v>74.082790000000003</v>
      </c>
      <c r="P606">
        <v>65.893209999999996</v>
      </c>
      <c r="Q606"/>
      <c r="R606">
        <v>79.921419999999998</v>
      </c>
      <c r="S606">
        <v>81.761420000000001</v>
      </c>
      <c r="T606"/>
      <c r="U606">
        <v>78.383719999999997</v>
      </c>
      <c r="V606">
        <v>78.071250000000006</v>
      </c>
      <c r="W606">
        <v>74.840119999999999</v>
      </c>
      <c r="X606">
        <v>49.436869999999999</v>
      </c>
      <c r="Y606"/>
      <c r="Z606"/>
      <c r="AA606">
        <v>69.542140000000003</v>
      </c>
      <c r="AB606">
        <v>43.504750000000001</v>
      </c>
      <c r="AC606">
        <v>78.656989999999993</v>
      </c>
      <c r="AD606">
        <v>74.942629999999994</v>
      </c>
      <c r="AE606">
        <v>104.56140000000001</v>
      </c>
      <c r="AF606">
        <v>68.059430000000006</v>
      </c>
      <c r="AG606">
        <v>79.761200000000002</v>
      </c>
      <c r="AH606">
        <v>73.222269999999995</v>
      </c>
      <c r="AI606">
        <v>61.860239999999997</v>
      </c>
      <c r="AJ606">
        <v>52.035539999999997</v>
      </c>
      <c r="AK606">
        <v>74.731939999999994</v>
      </c>
      <c r="AL606">
        <v>75.575509999999994</v>
      </c>
      <c r="AM606">
        <v>71.483339999999998</v>
      </c>
      <c r="AN606">
        <v>67.269069999999999</v>
      </c>
      <c r="AO606">
        <v>69.404240000000001</v>
      </c>
      <c r="AP606">
        <v>71.39143</v>
      </c>
      <c r="AQ606"/>
      <c r="AR606"/>
      <c r="AS606">
        <v>54.280090000000001</v>
      </c>
      <c r="AT606"/>
      <c r="AU606">
        <v>87.077699999999993</v>
      </c>
      <c r="AV606">
        <v>8.9429200000000009</v>
      </c>
      <c r="AW606">
        <v>72.900949999999995</v>
      </c>
      <c r="AX606"/>
    </row>
    <row r="607" spans="1:50" x14ac:dyDescent="0.35">
      <c r="A607" s="75">
        <v>36312</v>
      </c>
      <c r="B607">
        <v>74.845089999999999</v>
      </c>
      <c r="C607">
        <v>76.069050000000004</v>
      </c>
      <c r="D607"/>
      <c r="E607">
        <v>76.744730000000004</v>
      </c>
      <c r="F607">
        <v>93.989050000000006</v>
      </c>
      <c r="G607">
        <v>67.848429999999993</v>
      </c>
      <c r="H607"/>
      <c r="I607">
        <v>49.808909999999997</v>
      </c>
      <c r="J607">
        <v>30.157499999999999</v>
      </c>
      <c r="K607">
        <v>85.9</v>
      </c>
      <c r="L607">
        <v>82.776269999999997</v>
      </c>
      <c r="M607">
        <v>76.127549999999999</v>
      </c>
      <c r="N607">
        <v>79.2</v>
      </c>
      <c r="O607">
        <v>74.254360000000005</v>
      </c>
      <c r="P607">
        <v>65.893209999999996</v>
      </c>
      <c r="Q607"/>
      <c r="R607">
        <v>79.921419999999998</v>
      </c>
      <c r="S607">
        <v>81.800550000000001</v>
      </c>
      <c r="T607"/>
      <c r="U607">
        <v>78.401679999999999</v>
      </c>
      <c r="V607">
        <v>78.071250000000006</v>
      </c>
      <c r="W607">
        <v>75.045969999999997</v>
      </c>
      <c r="X607">
        <v>49.692990000000002</v>
      </c>
      <c r="Y607"/>
      <c r="Z607"/>
      <c r="AA607">
        <v>69.687960000000004</v>
      </c>
      <c r="AB607">
        <v>43.919080000000001</v>
      </c>
      <c r="AC607">
        <v>78.96069</v>
      </c>
      <c r="AD607">
        <v>74.980080000000001</v>
      </c>
      <c r="AE607">
        <v>104.51390000000001</v>
      </c>
      <c r="AF607">
        <v>68.00018</v>
      </c>
      <c r="AG607">
        <v>79.715500000000006</v>
      </c>
      <c r="AH607">
        <v>73.208309999999997</v>
      </c>
      <c r="AI607">
        <v>62.552500000000002</v>
      </c>
      <c r="AJ607">
        <v>52.427619999999997</v>
      </c>
      <c r="AK607">
        <v>74.465919999999997</v>
      </c>
      <c r="AL607">
        <v>75.71087</v>
      </c>
      <c r="AM607">
        <v>71.627030000000005</v>
      </c>
      <c r="AN607">
        <v>67.549040000000005</v>
      </c>
      <c r="AO607">
        <v>69.891459999999995</v>
      </c>
      <c r="AP607">
        <v>71.494420000000005</v>
      </c>
      <c r="AQ607"/>
      <c r="AR607"/>
      <c r="AS607">
        <v>54.567369999999997</v>
      </c>
      <c r="AT607"/>
      <c r="AU607">
        <v>87.194980000000001</v>
      </c>
      <c r="AV607">
        <v>9.3825489999999991</v>
      </c>
      <c r="AW607">
        <v>72.900949999999995</v>
      </c>
      <c r="AX607"/>
    </row>
    <row r="608" spans="1:50" x14ac:dyDescent="0.35">
      <c r="A608" s="75">
        <v>36342</v>
      </c>
      <c r="B608">
        <v>74.865489999999994</v>
      </c>
      <c r="C608">
        <v>76.262039999999999</v>
      </c>
      <c r="D608"/>
      <c r="E608">
        <v>76.834249999999997</v>
      </c>
      <c r="F608">
        <v>93.916619999999995</v>
      </c>
      <c r="G608">
        <v>67.768190000000004</v>
      </c>
      <c r="H608"/>
      <c r="I608">
        <v>50.070509999999999</v>
      </c>
      <c r="J608">
        <v>30.416779999999999</v>
      </c>
      <c r="K608">
        <v>86.5</v>
      </c>
      <c r="L608">
        <v>83.243250000000003</v>
      </c>
      <c r="M608">
        <v>75.739469999999997</v>
      </c>
      <c r="N608">
        <v>79.3</v>
      </c>
      <c r="O608">
        <v>74.523169999999993</v>
      </c>
      <c r="P608">
        <v>66.006730000000005</v>
      </c>
      <c r="Q608"/>
      <c r="R608">
        <v>79.691540000000003</v>
      </c>
      <c r="S608">
        <v>81.548190000000005</v>
      </c>
      <c r="T608"/>
      <c r="U608">
        <v>78.431209999999993</v>
      </c>
      <c r="V608">
        <v>77.366100000000003</v>
      </c>
      <c r="W608">
        <v>73.643129999999999</v>
      </c>
      <c r="X608">
        <v>50.150970000000001</v>
      </c>
      <c r="Y608"/>
      <c r="Z608"/>
      <c r="AA608">
        <v>69.44999</v>
      </c>
      <c r="AB608">
        <v>44.001950000000001</v>
      </c>
      <c r="AC608">
        <v>79.264380000000003</v>
      </c>
      <c r="AD608">
        <v>75.233649999999997</v>
      </c>
      <c r="AE608">
        <v>104.1006</v>
      </c>
      <c r="AF608">
        <v>67.938820000000007</v>
      </c>
      <c r="AG608">
        <v>79.706999999999994</v>
      </c>
      <c r="AH608">
        <v>72.044690000000003</v>
      </c>
      <c r="AI608">
        <v>62.571719999999999</v>
      </c>
      <c r="AJ608">
        <v>52.798360000000002</v>
      </c>
      <c r="AK608">
        <v>74.528660000000002</v>
      </c>
      <c r="AL608">
        <v>75.440960000000004</v>
      </c>
      <c r="AM608">
        <v>71.764629999999997</v>
      </c>
      <c r="AN608">
        <v>67.751620000000003</v>
      </c>
      <c r="AO608">
        <v>70.317980000000006</v>
      </c>
      <c r="AP608">
        <v>71.565219999999997</v>
      </c>
      <c r="AQ608"/>
      <c r="AR608"/>
      <c r="AS608">
        <v>55.780050000000003</v>
      </c>
      <c r="AT608"/>
      <c r="AU608">
        <v>86.779449999999997</v>
      </c>
      <c r="AV608">
        <v>9.7635299999999994</v>
      </c>
      <c r="AW608">
        <v>73.024789999999996</v>
      </c>
      <c r="AX608"/>
    </row>
    <row r="609" spans="1:50" x14ac:dyDescent="0.35">
      <c r="A609" s="75">
        <v>36373</v>
      </c>
      <c r="B609">
        <v>74.816209999999998</v>
      </c>
      <c r="C609">
        <v>76.263030000000001</v>
      </c>
      <c r="D609"/>
      <c r="E609">
        <v>76.923000000000002</v>
      </c>
      <c r="F609">
        <v>94.508349999999993</v>
      </c>
      <c r="G609">
        <v>67.670109999999994</v>
      </c>
      <c r="H609"/>
      <c r="I609">
        <v>50.323929999999997</v>
      </c>
      <c r="J609">
        <v>30.591449999999998</v>
      </c>
      <c r="K609">
        <v>86.5</v>
      </c>
      <c r="L609">
        <v>83.134209999999996</v>
      </c>
      <c r="M609">
        <v>76.019189999999995</v>
      </c>
      <c r="N609">
        <v>79.42</v>
      </c>
      <c r="O609">
        <v>74.685169999999999</v>
      </c>
      <c r="P609">
        <v>66.176990000000004</v>
      </c>
      <c r="Q609"/>
      <c r="R609">
        <v>79.844790000000003</v>
      </c>
      <c r="S609">
        <v>81.755880000000005</v>
      </c>
      <c r="T609"/>
      <c r="U609">
        <v>78.492410000000007</v>
      </c>
      <c r="V609">
        <v>77.567570000000003</v>
      </c>
      <c r="W609">
        <v>73.674379999999999</v>
      </c>
      <c r="X609">
        <v>50.502020000000002</v>
      </c>
      <c r="Y609"/>
      <c r="Z609"/>
      <c r="AA609">
        <v>69.87115</v>
      </c>
      <c r="AB609">
        <v>43.877650000000003</v>
      </c>
      <c r="AC609">
        <v>79.568079999999995</v>
      </c>
      <c r="AD609">
        <v>75.322819999999993</v>
      </c>
      <c r="AE609">
        <v>103.9769</v>
      </c>
      <c r="AF609">
        <v>67.938820000000007</v>
      </c>
      <c r="AG609">
        <v>79.625</v>
      </c>
      <c r="AH609">
        <v>73.342500000000001</v>
      </c>
      <c r="AI609">
        <v>62.80247</v>
      </c>
      <c r="AJ609">
        <v>53.186210000000003</v>
      </c>
      <c r="AK609">
        <v>74.970600000000005</v>
      </c>
      <c r="AL609">
        <v>75.071809999999999</v>
      </c>
      <c r="AM609">
        <v>71.947879999999998</v>
      </c>
      <c r="AN609">
        <v>68.071010000000001</v>
      </c>
      <c r="AO609">
        <v>70.747259999999997</v>
      </c>
      <c r="AP609">
        <v>71.3035</v>
      </c>
      <c r="AQ609"/>
      <c r="AR609"/>
      <c r="AS609">
        <v>56.190899999999999</v>
      </c>
      <c r="AT609"/>
      <c r="AU609">
        <v>86.645409999999998</v>
      </c>
      <c r="AV609">
        <v>10.215479999999999</v>
      </c>
      <c r="AW609">
        <v>73.107349999999997</v>
      </c>
      <c r="AX609"/>
    </row>
    <row r="610" spans="1:50" x14ac:dyDescent="0.35">
      <c r="A610" s="75">
        <v>36404</v>
      </c>
      <c r="B610">
        <v>74.785769999999999</v>
      </c>
      <c r="C610">
        <v>76.360010000000003</v>
      </c>
      <c r="D610"/>
      <c r="E610">
        <v>77.231809999999996</v>
      </c>
      <c r="F610">
        <v>94.550089999999997</v>
      </c>
      <c r="G610">
        <v>67.786019999999994</v>
      </c>
      <c r="H610"/>
      <c r="I610">
        <v>50.47925</v>
      </c>
      <c r="J610">
        <v>30.759609999999999</v>
      </c>
      <c r="K610">
        <v>86.3</v>
      </c>
      <c r="L610">
        <v>82.861829999999998</v>
      </c>
      <c r="M610">
        <v>76.423820000000006</v>
      </c>
      <c r="N610">
        <v>79.400000000000006</v>
      </c>
      <c r="O610">
        <v>74.698080000000004</v>
      </c>
      <c r="P610">
        <v>66.460769999999997</v>
      </c>
      <c r="Q610"/>
      <c r="R610">
        <v>80.151290000000003</v>
      </c>
      <c r="S610">
        <v>81.802279999999996</v>
      </c>
      <c r="T610"/>
      <c r="U610">
        <v>78.698740000000001</v>
      </c>
      <c r="V610">
        <v>78.071250000000006</v>
      </c>
      <c r="W610">
        <v>75.024680000000004</v>
      </c>
      <c r="X610">
        <v>50.675649999999997</v>
      </c>
      <c r="Y610"/>
      <c r="Z610"/>
      <c r="AA610">
        <v>70.140069999999994</v>
      </c>
      <c r="AB610">
        <v>44.209110000000003</v>
      </c>
      <c r="AC610">
        <v>79.973010000000002</v>
      </c>
      <c r="AD610">
        <v>75.371729999999999</v>
      </c>
      <c r="AE610">
        <v>104.3759</v>
      </c>
      <c r="AF610">
        <v>67.938820000000007</v>
      </c>
      <c r="AG610">
        <v>79.733999999999995</v>
      </c>
      <c r="AH610">
        <v>73.487459999999999</v>
      </c>
      <c r="AI610">
        <v>63.206290000000003</v>
      </c>
      <c r="AJ610">
        <v>53.8645</v>
      </c>
      <c r="AK610">
        <v>75.414789999999996</v>
      </c>
      <c r="AL610">
        <v>75.794349999999994</v>
      </c>
      <c r="AM610">
        <v>72.30386</v>
      </c>
      <c r="AN610">
        <v>68.521600000000007</v>
      </c>
      <c r="AO610">
        <v>71.392009999999999</v>
      </c>
      <c r="AP610">
        <v>71.324219999999997</v>
      </c>
      <c r="AQ610"/>
      <c r="AR610"/>
      <c r="AS610">
        <v>56.498660000000001</v>
      </c>
      <c r="AT610"/>
      <c r="AU610">
        <v>87.449659999999994</v>
      </c>
      <c r="AV610">
        <v>10.88232</v>
      </c>
      <c r="AW610">
        <v>73.355029999999999</v>
      </c>
      <c r="AX610"/>
    </row>
    <row r="611" spans="1:50" x14ac:dyDescent="0.35">
      <c r="A611" s="75">
        <v>36434</v>
      </c>
      <c r="B611">
        <v>74.915400000000005</v>
      </c>
      <c r="C611">
        <v>76.412369999999996</v>
      </c>
      <c r="D611"/>
      <c r="E611">
        <v>77.227159999999998</v>
      </c>
      <c r="F611">
        <v>94.517319999999998</v>
      </c>
      <c r="G611">
        <v>67.866259999999997</v>
      </c>
      <c r="H611"/>
      <c r="I611">
        <v>50.675440000000002</v>
      </c>
      <c r="J611">
        <v>31.077480000000001</v>
      </c>
      <c r="K611">
        <v>86.3</v>
      </c>
      <c r="L611">
        <v>82.805329999999998</v>
      </c>
      <c r="M611">
        <v>76.574259999999995</v>
      </c>
      <c r="N611">
        <v>79.400000000000006</v>
      </c>
      <c r="O611">
        <v>74.689170000000004</v>
      </c>
      <c r="P611">
        <v>66.460769999999997</v>
      </c>
      <c r="Q611"/>
      <c r="R611">
        <v>80.381169999999997</v>
      </c>
      <c r="S611">
        <v>81.708780000000004</v>
      </c>
      <c r="T611"/>
      <c r="U611">
        <v>78.858059999999995</v>
      </c>
      <c r="V611">
        <v>77.970510000000004</v>
      </c>
      <c r="W611">
        <v>75.185180000000003</v>
      </c>
      <c r="X611">
        <v>50.907829999999997</v>
      </c>
      <c r="Y611"/>
      <c r="Z611"/>
      <c r="AA611">
        <v>70.261579999999995</v>
      </c>
      <c r="AB611">
        <v>44.582009999999997</v>
      </c>
      <c r="AC611">
        <v>80.377930000000006</v>
      </c>
      <c r="AD611">
        <v>75.672250000000005</v>
      </c>
      <c r="AE611">
        <v>104.54989999999999</v>
      </c>
      <c r="AF611">
        <v>68.059430000000006</v>
      </c>
      <c r="AG611">
        <v>78.525599999999997</v>
      </c>
      <c r="AH611">
        <v>73.691829999999996</v>
      </c>
      <c r="AI611">
        <v>63.254359999999998</v>
      </c>
      <c r="AJ611">
        <v>54.253030000000003</v>
      </c>
      <c r="AK611">
        <v>75.520889999999994</v>
      </c>
      <c r="AL611">
        <v>75.876289999999997</v>
      </c>
      <c r="AM611">
        <v>72.604489999999998</v>
      </c>
      <c r="AN611">
        <v>68.902209999999997</v>
      </c>
      <c r="AO611">
        <v>71.89246</v>
      </c>
      <c r="AP611">
        <v>71.797330000000002</v>
      </c>
      <c r="AQ611"/>
      <c r="AR611"/>
      <c r="AS611">
        <v>56.85463</v>
      </c>
      <c r="AT611"/>
      <c r="AU611">
        <v>87.600459999999998</v>
      </c>
      <c r="AV611">
        <v>11.55359</v>
      </c>
      <c r="AW611">
        <v>73.602710000000002</v>
      </c>
      <c r="AX611"/>
    </row>
    <row r="612" spans="1:50" x14ac:dyDescent="0.35">
      <c r="A612" s="75">
        <v>36465</v>
      </c>
      <c r="B612">
        <v>74.882999999999996</v>
      </c>
      <c r="C612">
        <v>76.570139999999995</v>
      </c>
      <c r="D612"/>
      <c r="E612">
        <v>77.11591</v>
      </c>
      <c r="F612">
        <v>94.447609999999997</v>
      </c>
      <c r="G612">
        <v>67.910839999999993</v>
      </c>
      <c r="H612"/>
      <c r="I612">
        <v>50.879809999999999</v>
      </c>
      <c r="J612">
        <v>31.322659999999999</v>
      </c>
      <c r="K612">
        <v>86.4</v>
      </c>
      <c r="L612">
        <v>83.037139999999994</v>
      </c>
      <c r="M612">
        <v>76.627489999999995</v>
      </c>
      <c r="N612">
        <v>79.47</v>
      </c>
      <c r="O612">
        <v>74.705439999999996</v>
      </c>
      <c r="P612">
        <v>66.517520000000005</v>
      </c>
      <c r="Q612"/>
      <c r="R612">
        <v>80.381169999999997</v>
      </c>
      <c r="S612">
        <v>81.612570000000005</v>
      </c>
      <c r="T612"/>
      <c r="U612">
        <v>78.89461</v>
      </c>
      <c r="V612">
        <v>78.071250000000006</v>
      </c>
      <c r="W612">
        <v>75.204859999999996</v>
      </c>
      <c r="X612">
        <v>50.97175</v>
      </c>
      <c r="Y612"/>
      <c r="Z612"/>
      <c r="AA612">
        <v>70.324780000000004</v>
      </c>
      <c r="AB612">
        <v>44.706310000000002</v>
      </c>
      <c r="AC612">
        <v>80.276700000000005</v>
      </c>
      <c r="AD612">
        <v>75.793970000000002</v>
      </c>
      <c r="AE612">
        <v>104.3974</v>
      </c>
      <c r="AF612">
        <v>68.059430000000006</v>
      </c>
      <c r="AG612">
        <v>78.478700000000003</v>
      </c>
      <c r="AH612">
        <v>73.740520000000004</v>
      </c>
      <c r="AI612">
        <v>63.456270000000004</v>
      </c>
      <c r="AJ612">
        <v>54.725149999999999</v>
      </c>
      <c r="AK612">
        <v>75.485730000000004</v>
      </c>
      <c r="AL612">
        <v>76.051959999999994</v>
      </c>
      <c r="AM612">
        <v>72.757069999999999</v>
      </c>
      <c r="AN612">
        <v>69.193790000000007</v>
      </c>
      <c r="AO612">
        <v>72.21002</v>
      </c>
      <c r="AP612">
        <v>72.398669999999996</v>
      </c>
      <c r="AQ612"/>
      <c r="AR612"/>
      <c r="AS612">
        <v>57.062620000000003</v>
      </c>
      <c r="AT612"/>
      <c r="AU612">
        <v>87.3994</v>
      </c>
      <c r="AV612">
        <v>11.98386</v>
      </c>
      <c r="AW612">
        <v>73.644000000000005</v>
      </c>
      <c r="AX612"/>
    </row>
    <row r="613" spans="1:50" x14ac:dyDescent="0.35">
      <c r="A613" s="75">
        <v>36495</v>
      </c>
      <c r="B613">
        <v>75.271169999999998</v>
      </c>
      <c r="C613">
        <v>76.693259999999995</v>
      </c>
      <c r="D613"/>
      <c r="E613">
        <v>76.994979999999998</v>
      </c>
      <c r="F613">
        <v>94.429060000000007</v>
      </c>
      <c r="G613">
        <v>68.080240000000003</v>
      </c>
      <c r="H613"/>
      <c r="I613">
        <v>51.051479999999998</v>
      </c>
      <c r="J613">
        <v>31.57977</v>
      </c>
      <c r="K613">
        <v>86.6</v>
      </c>
      <c r="L613">
        <v>83.215680000000006</v>
      </c>
      <c r="M613">
        <v>76.649090000000001</v>
      </c>
      <c r="N613">
        <v>79.59</v>
      </c>
      <c r="O613">
        <v>74.887020000000007</v>
      </c>
      <c r="P613">
        <v>66.631029999999996</v>
      </c>
      <c r="Q613"/>
      <c r="R613">
        <v>80.611050000000006</v>
      </c>
      <c r="S613">
        <v>81.740639999999999</v>
      </c>
      <c r="T613"/>
      <c r="U613">
        <v>78.867000000000004</v>
      </c>
      <c r="V613">
        <v>78.171989999999994</v>
      </c>
      <c r="W613">
        <v>75.69229</v>
      </c>
      <c r="X613">
        <v>51.183729999999997</v>
      </c>
      <c r="Y613"/>
      <c r="Z613"/>
      <c r="AA613">
        <v>71.353260000000006</v>
      </c>
      <c r="AB613">
        <v>44.872039999999998</v>
      </c>
      <c r="AC613">
        <v>79.973010000000002</v>
      </c>
      <c r="AD613">
        <v>75.751149999999996</v>
      </c>
      <c r="AE613">
        <v>104.3351</v>
      </c>
      <c r="AF613">
        <v>68.059430000000006</v>
      </c>
      <c r="AG613">
        <v>78.270099999999999</v>
      </c>
      <c r="AH613">
        <v>73.876159999999999</v>
      </c>
      <c r="AI613">
        <v>63.312049999999999</v>
      </c>
      <c r="AJ613">
        <v>55.199620000000003</v>
      </c>
      <c r="AK613">
        <v>75.133420000000001</v>
      </c>
      <c r="AL613">
        <v>76.090940000000003</v>
      </c>
      <c r="AM613">
        <v>72.928960000000004</v>
      </c>
      <c r="AN613">
        <v>69.633520000000004</v>
      </c>
      <c r="AO613">
        <v>72.531199999999998</v>
      </c>
      <c r="AP613">
        <v>72.505970000000005</v>
      </c>
      <c r="AQ613"/>
      <c r="AR613"/>
      <c r="AS613">
        <v>57.218229999999998</v>
      </c>
      <c r="AT613"/>
      <c r="AU613">
        <v>87.496579999999994</v>
      </c>
      <c r="AV613">
        <v>12.68224</v>
      </c>
      <c r="AW613">
        <v>73.561430000000001</v>
      </c>
      <c r="AX613"/>
    </row>
    <row r="614" spans="1:50" x14ac:dyDescent="0.35">
      <c r="A614" s="75">
        <v>36526</v>
      </c>
      <c r="B614">
        <v>75.084350000000001</v>
      </c>
      <c r="C614">
        <v>76.874840000000006</v>
      </c>
      <c r="D614"/>
      <c r="E614">
        <v>76.797039999999996</v>
      </c>
      <c r="F614">
        <v>94.456649999999996</v>
      </c>
      <c r="G614">
        <v>68.098070000000007</v>
      </c>
      <c r="H614"/>
      <c r="I614">
        <v>51.566490000000002</v>
      </c>
      <c r="J614">
        <v>32.280610000000003</v>
      </c>
      <c r="K614">
        <v>87.1</v>
      </c>
      <c r="L614">
        <v>83.182280000000006</v>
      </c>
      <c r="M614">
        <v>76.308869999999999</v>
      </c>
      <c r="N614">
        <v>79.349999999999994</v>
      </c>
      <c r="O614">
        <v>75.168719999999993</v>
      </c>
      <c r="P614">
        <v>67.085080000000005</v>
      </c>
      <c r="Q614"/>
      <c r="R614">
        <v>80.534419999999997</v>
      </c>
      <c r="S614">
        <v>81.607889999999998</v>
      </c>
      <c r="T614"/>
      <c r="U614">
        <v>78.864289999999997</v>
      </c>
      <c r="V614">
        <v>77.164619999999999</v>
      </c>
      <c r="W614">
        <v>74.371110000000002</v>
      </c>
      <c r="X614">
        <v>51.66957</v>
      </c>
      <c r="Y614"/>
      <c r="Z614"/>
      <c r="AA614">
        <v>71.044079999999994</v>
      </c>
      <c r="AB614">
        <v>45.16207</v>
      </c>
      <c r="AC614">
        <v>79.568079999999995</v>
      </c>
      <c r="AD614">
        <v>75.879090000000005</v>
      </c>
      <c r="AE614">
        <v>103.721</v>
      </c>
      <c r="AF614">
        <v>68.444509999999994</v>
      </c>
      <c r="AG614">
        <v>78.441100000000006</v>
      </c>
      <c r="AH614">
        <v>73.040049999999994</v>
      </c>
      <c r="AI614">
        <v>63.94661</v>
      </c>
      <c r="AJ614">
        <v>55.98612</v>
      </c>
      <c r="AK614">
        <v>74.475120000000004</v>
      </c>
      <c r="AL614">
        <v>76.284180000000006</v>
      </c>
      <c r="AM614">
        <v>73.087540000000004</v>
      </c>
      <c r="AN614">
        <v>69.727869999999996</v>
      </c>
      <c r="AO614">
        <v>74.173779999999994</v>
      </c>
      <c r="AP614">
        <v>72.218670000000003</v>
      </c>
      <c r="AQ614"/>
      <c r="AR614"/>
      <c r="AS614">
        <v>57.989879999999999</v>
      </c>
      <c r="AT614">
        <v>64.941090000000003</v>
      </c>
      <c r="AU614">
        <v>86.621949999999998</v>
      </c>
      <c r="AV614">
        <v>13.37668</v>
      </c>
      <c r="AW614">
        <v>73.809110000000004</v>
      </c>
      <c r="AX614"/>
    </row>
    <row r="615" spans="1:50" x14ac:dyDescent="0.35">
      <c r="A615" s="75">
        <v>36557</v>
      </c>
      <c r="B615">
        <v>75.502619999999993</v>
      </c>
      <c r="C615">
        <v>77.063090000000003</v>
      </c>
      <c r="D615"/>
      <c r="E615">
        <v>77.221620000000001</v>
      </c>
      <c r="F615">
        <v>94.708749999999995</v>
      </c>
      <c r="G615">
        <v>68.757829999999998</v>
      </c>
      <c r="H615"/>
      <c r="I615">
        <v>52.49024</v>
      </c>
      <c r="J615">
        <v>32.660319999999999</v>
      </c>
      <c r="K615">
        <v>87.2</v>
      </c>
      <c r="L615">
        <v>83.168260000000004</v>
      </c>
      <c r="M615">
        <v>76.668940000000006</v>
      </c>
      <c r="N615">
        <v>79.55</v>
      </c>
      <c r="O615">
        <v>75.350669999999994</v>
      </c>
      <c r="P615">
        <v>67.255350000000007</v>
      </c>
      <c r="Q615"/>
      <c r="R615">
        <v>80.985069999999993</v>
      </c>
      <c r="S615">
        <v>81.610789999999994</v>
      </c>
      <c r="T615"/>
      <c r="U615">
        <v>79.049779999999998</v>
      </c>
      <c r="V615">
        <v>77.466830000000002</v>
      </c>
      <c r="W615">
        <v>73.619439999999997</v>
      </c>
      <c r="X615">
        <v>52.39828</v>
      </c>
      <c r="Y615"/>
      <c r="Z615"/>
      <c r="AA615">
        <v>71.732389999999995</v>
      </c>
      <c r="AB615">
        <v>44.954909999999998</v>
      </c>
      <c r="AC615">
        <v>79.061920000000001</v>
      </c>
      <c r="AD615">
        <v>76.135540000000006</v>
      </c>
      <c r="AE615">
        <v>103.3798</v>
      </c>
      <c r="AF615">
        <v>68.583100000000002</v>
      </c>
      <c r="AG615">
        <v>78.857100000000003</v>
      </c>
      <c r="AH615">
        <v>74.221329999999995</v>
      </c>
      <c r="AI615">
        <v>64.273510000000002</v>
      </c>
      <c r="AJ615">
        <v>56.624470000000002</v>
      </c>
      <c r="AK615">
        <v>74.924080000000004</v>
      </c>
      <c r="AL615">
        <v>76.572289999999995</v>
      </c>
      <c r="AM615">
        <v>73.340509999999995</v>
      </c>
      <c r="AN615">
        <v>69.979159999999993</v>
      </c>
      <c r="AO615">
        <v>74.696190000000001</v>
      </c>
      <c r="AP615">
        <v>71.912760000000006</v>
      </c>
      <c r="AQ615"/>
      <c r="AR615"/>
      <c r="AS615">
        <v>59.81953</v>
      </c>
      <c r="AT615">
        <v>65.471090000000004</v>
      </c>
      <c r="AU615">
        <v>86.742580000000004</v>
      </c>
      <c r="AV615">
        <v>13.71527</v>
      </c>
      <c r="AW615">
        <v>74.098079999999996</v>
      </c>
      <c r="AX615"/>
    </row>
    <row r="616" spans="1:50" x14ac:dyDescent="0.35">
      <c r="A616" s="75">
        <v>36586</v>
      </c>
      <c r="B616">
        <v>75.624309999999994</v>
      </c>
      <c r="C616">
        <v>77.251149999999996</v>
      </c>
      <c r="D616"/>
      <c r="E616">
        <v>77.560199999999995</v>
      </c>
      <c r="F616">
        <v>94.493160000000003</v>
      </c>
      <c r="G616">
        <v>69.426509999999993</v>
      </c>
      <c r="H616"/>
      <c r="I616">
        <v>53.16057</v>
      </c>
      <c r="J616">
        <v>32.940219999999997</v>
      </c>
      <c r="K616">
        <v>87</v>
      </c>
      <c r="L616">
        <v>83.024820000000005</v>
      </c>
      <c r="M616">
        <v>77.204120000000003</v>
      </c>
      <c r="N616">
        <v>79.72</v>
      </c>
      <c r="O616">
        <v>75.617469999999997</v>
      </c>
      <c r="P616">
        <v>67.766149999999996</v>
      </c>
      <c r="Q616"/>
      <c r="R616">
        <v>81.345590000000001</v>
      </c>
      <c r="S616">
        <v>81.969430000000003</v>
      </c>
      <c r="T616"/>
      <c r="U616">
        <v>79.336799999999997</v>
      </c>
      <c r="V616">
        <v>77.668300000000002</v>
      </c>
      <c r="W616">
        <v>75.589740000000006</v>
      </c>
      <c r="X616">
        <v>52.817970000000003</v>
      </c>
      <c r="Y616"/>
      <c r="Z616"/>
      <c r="AA616">
        <v>72.215239999999994</v>
      </c>
      <c r="AB616">
        <v>45.286369999999998</v>
      </c>
      <c r="AC616">
        <v>78.656989999999993</v>
      </c>
      <c r="AD616">
        <v>76.157160000000005</v>
      </c>
      <c r="AE616">
        <v>103.553</v>
      </c>
      <c r="AF616">
        <v>69.067629999999994</v>
      </c>
      <c r="AG616">
        <v>78.803399999999996</v>
      </c>
      <c r="AH616">
        <v>74.322580000000002</v>
      </c>
      <c r="AI616">
        <v>64.340810000000005</v>
      </c>
      <c r="AJ616">
        <v>56.996250000000003</v>
      </c>
      <c r="AK616">
        <v>75.584890000000001</v>
      </c>
      <c r="AL616">
        <v>76.688429999999997</v>
      </c>
      <c r="AM616">
        <v>73.665819999999997</v>
      </c>
      <c r="AN616">
        <v>70.230800000000002</v>
      </c>
      <c r="AO616">
        <v>75.328389999999999</v>
      </c>
      <c r="AP616">
        <v>72.116039999999998</v>
      </c>
      <c r="AQ616"/>
      <c r="AR616"/>
      <c r="AS616">
        <v>60.170749999999998</v>
      </c>
      <c r="AT616">
        <v>65.941100000000006</v>
      </c>
      <c r="AU616">
        <v>87.131309999999999</v>
      </c>
      <c r="AV616">
        <v>13.9824</v>
      </c>
      <c r="AW616">
        <v>74.51088</v>
      </c>
      <c r="AX616"/>
    </row>
    <row r="617" spans="1:50" x14ac:dyDescent="0.35">
      <c r="A617" s="75">
        <v>36617</v>
      </c>
      <c r="B617">
        <v>75.814430000000002</v>
      </c>
      <c r="C617">
        <v>77.293719999999993</v>
      </c>
      <c r="D617"/>
      <c r="E617">
        <v>77.535769999999999</v>
      </c>
      <c r="F617">
        <v>94.513400000000004</v>
      </c>
      <c r="G617">
        <v>69.569149999999993</v>
      </c>
      <c r="H617"/>
      <c r="I617">
        <v>53.495739999999998</v>
      </c>
      <c r="J617">
        <v>33.071480000000001</v>
      </c>
      <c r="K617">
        <v>87</v>
      </c>
      <c r="L617">
        <v>83.086830000000006</v>
      </c>
      <c r="M617">
        <v>77.323239999999998</v>
      </c>
      <c r="N617">
        <v>79.86</v>
      </c>
      <c r="O617">
        <v>75.9512</v>
      </c>
      <c r="P617">
        <v>67.936419999999998</v>
      </c>
      <c r="Q617"/>
      <c r="R617">
        <v>81.681529999999995</v>
      </c>
      <c r="S617">
        <v>81.927210000000002</v>
      </c>
      <c r="T617"/>
      <c r="U617">
        <v>79.482380000000006</v>
      </c>
      <c r="V617">
        <v>77.869780000000006</v>
      </c>
      <c r="W617">
        <v>76.152869999999993</v>
      </c>
      <c r="X617">
        <v>53.384180000000001</v>
      </c>
      <c r="Y617"/>
      <c r="Z617"/>
      <c r="AA617">
        <v>72.732050000000001</v>
      </c>
      <c r="AB617">
        <v>45.617840000000001</v>
      </c>
      <c r="AC617">
        <v>79.264380000000003</v>
      </c>
      <c r="AD617">
        <v>76.246679999999998</v>
      </c>
      <c r="AE617">
        <v>103.85299999999999</v>
      </c>
      <c r="AF617">
        <v>69.137450000000001</v>
      </c>
      <c r="AG617">
        <v>78.712500000000006</v>
      </c>
      <c r="AH617">
        <v>74.500720000000001</v>
      </c>
      <c r="AI617">
        <v>64.581180000000003</v>
      </c>
      <c r="AJ617">
        <v>57.31955</v>
      </c>
      <c r="AK617">
        <v>75.864509999999996</v>
      </c>
      <c r="AL617">
        <v>77.076700000000002</v>
      </c>
      <c r="AM617">
        <v>73.884739999999994</v>
      </c>
      <c r="AN617">
        <v>70.481669999999994</v>
      </c>
      <c r="AO617">
        <v>75.493260000000006</v>
      </c>
      <c r="AP617">
        <v>72.770660000000007</v>
      </c>
      <c r="AQ617"/>
      <c r="AR617"/>
      <c r="AS617">
        <v>60.41621</v>
      </c>
      <c r="AT617">
        <v>66.371110000000002</v>
      </c>
      <c r="AU617">
        <v>87.308920000000001</v>
      </c>
      <c r="AV617">
        <v>14.39541</v>
      </c>
      <c r="AW617">
        <v>74.676000000000002</v>
      </c>
      <c r="AX617"/>
    </row>
    <row r="618" spans="1:50" x14ac:dyDescent="0.35">
      <c r="A618" s="75">
        <v>36647</v>
      </c>
      <c r="B618">
        <v>75.692750000000004</v>
      </c>
      <c r="C618">
        <v>77.363370000000003</v>
      </c>
      <c r="D618"/>
      <c r="E618">
        <v>77.737859999999998</v>
      </c>
      <c r="F618">
        <v>94.393900000000002</v>
      </c>
      <c r="G618">
        <v>69.58699</v>
      </c>
      <c r="H618"/>
      <c r="I618">
        <v>53.830910000000003</v>
      </c>
      <c r="J618">
        <v>33.202750000000002</v>
      </c>
      <c r="K618">
        <v>87.1</v>
      </c>
      <c r="L618">
        <v>82.824240000000003</v>
      </c>
      <c r="M618">
        <v>77.549289999999999</v>
      </c>
      <c r="N618">
        <v>79.83</v>
      </c>
      <c r="O618">
        <v>76.099940000000004</v>
      </c>
      <c r="P618">
        <v>68.049930000000003</v>
      </c>
      <c r="Q618"/>
      <c r="R618">
        <v>81.820819999999998</v>
      </c>
      <c r="S618">
        <v>81.983220000000003</v>
      </c>
      <c r="T618"/>
      <c r="U618">
        <v>79.518900000000002</v>
      </c>
      <c r="V618">
        <v>78.071250000000006</v>
      </c>
      <c r="W618">
        <v>76.348209999999995</v>
      </c>
      <c r="X618">
        <v>53.483280000000001</v>
      </c>
      <c r="Y618"/>
      <c r="Z618"/>
      <c r="AA618">
        <v>73.315060000000003</v>
      </c>
      <c r="AB618">
        <v>45.742130000000003</v>
      </c>
      <c r="AC618">
        <v>79.871769999999998</v>
      </c>
      <c r="AD618">
        <v>76.438580000000002</v>
      </c>
      <c r="AE618">
        <v>104.081</v>
      </c>
      <c r="AF618">
        <v>68.930090000000007</v>
      </c>
      <c r="AG618">
        <v>78.695099999999996</v>
      </c>
      <c r="AH618">
        <v>74.694599999999994</v>
      </c>
      <c r="AI618">
        <v>64.321579999999997</v>
      </c>
      <c r="AJ618">
        <v>57.537050000000001</v>
      </c>
      <c r="AK618">
        <v>75.932010000000005</v>
      </c>
      <c r="AL618">
        <v>77.169929999999994</v>
      </c>
      <c r="AM618">
        <v>73.992739999999998</v>
      </c>
      <c r="AN618">
        <v>70.667879999999997</v>
      </c>
      <c r="AO618">
        <v>75.965900000000005</v>
      </c>
      <c r="AP618">
        <v>73.400350000000003</v>
      </c>
      <c r="AQ618"/>
      <c r="AR618"/>
      <c r="AS618">
        <v>60.530830000000002</v>
      </c>
      <c r="AT618">
        <v>66.731110000000001</v>
      </c>
      <c r="AU618">
        <v>87.486530000000002</v>
      </c>
      <c r="AV618">
        <v>14.80843</v>
      </c>
      <c r="AW618">
        <v>74.676000000000002</v>
      </c>
      <c r="AX618"/>
    </row>
    <row r="619" spans="1:50" x14ac:dyDescent="0.35">
      <c r="A619" s="75">
        <v>36678</v>
      </c>
      <c r="B619">
        <v>76.232699999999994</v>
      </c>
      <c r="C619">
        <v>77.488860000000003</v>
      </c>
      <c r="D619"/>
      <c r="E619">
        <v>77.93468</v>
      </c>
      <c r="F619">
        <v>94.419309999999996</v>
      </c>
      <c r="G619">
        <v>69.756389999999996</v>
      </c>
      <c r="H619"/>
      <c r="I619">
        <v>53.9617</v>
      </c>
      <c r="J619">
        <v>33.37959</v>
      </c>
      <c r="K619">
        <v>87.2</v>
      </c>
      <c r="L619">
        <v>82.985619999999997</v>
      </c>
      <c r="M619">
        <v>77.696849999999998</v>
      </c>
      <c r="N619">
        <v>79.959999999999994</v>
      </c>
      <c r="O619">
        <v>76.330520000000007</v>
      </c>
      <c r="P619">
        <v>68.163439999999994</v>
      </c>
      <c r="Q619"/>
      <c r="R619">
        <v>81.788039999999995</v>
      </c>
      <c r="S619">
        <v>82.099909999999994</v>
      </c>
      <c r="T619"/>
      <c r="U619">
        <v>79.552869999999999</v>
      </c>
      <c r="V619">
        <v>77.970510000000004</v>
      </c>
      <c r="W619">
        <v>76.349130000000002</v>
      </c>
      <c r="X619">
        <v>53.735599999999998</v>
      </c>
      <c r="Y619"/>
      <c r="Z619"/>
      <c r="AA619">
        <v>73.760670000000005</v>
      </c>
      <c r="AB619">
        <v>45.949300000000001</v>
      </c>
      <c r="AC619">
        <v>80.276700000000005</v>
      </c>
      <c r="AD619">
        <v>76.580659999999995</v>
      </c>
      <c r="AE619">
        <v>103.8446</v>
      </c>
      <c r="AF619">
        <v>68.998859999999993</v>
      </c>
      <c r="AG619">
        <v>78.623699999999999</v>
      </c>
      <c r="AH619">
        <v>74.826430000000002</v>
      </c>
      <c r="AI619">
        <v>64.263890000000004</v>
      </c>
      <c r="AJ619">
        <v>57.793059999999997</v>
      </c>
      <c r="AK619">
        <v>75.67483</v>
      </c>
      <c r="AL619">
        <v>77.41328</v>
      </c>
      <c r="AM619">
        <v>74.093040000000002</v>
      </c>
      <c r="AN619">
        <v>70.85651</v>
      </c>
      <c r="AO619">
        <v>76.240089999999995</v>
      </c>
      <c r="AP619">
        <v>73.579700000000003</v>
      </c>
      <c r="AQ619"/>
      <c r="AR619"/>
      <c r="AS619">
        <v>60.670200000000001</v>
      </c>
      <c r="AT619">
        <v>67.071119999999993</v>
      </c>
      <c r="AU619">
        <v>87.312269999999998</v>
      </c>
      <c r="AV619">
        <v>15.159840000000001</v>
      </c>
      <c r="AW619">
        <v>74.717290000000006</v>
      </c>
      <c r="AX619"/>
    </row>
    <row r="620" spans="1:50" x14ac:dyDescent="0.35">
      <c r="A620" s="75">
        <v>36708</v>
      </c>
      <c r="B620">
        <v>76.194680000000005</v>
      </c>
      <c r="C620">
        <v>77.709230000000005</v>
      </c>
      <c r="D620"/>
      <c r="E620">
        <v>78.098050000000001</v>
      </c>
      <c r="F620">
        <v>94.492609999999999</v>
      </c>
      <c r="G620">
        <v>69.676150000000007</v>
      </c>
      <c r="H620"/>
      <c r="I620">
        <v>54.18242</v>
      </c>
      <c r="J620">
        <v>33.745199999999997</v>
      </c>
      <c r="K620">
        <v>87.7</v>
      </c>
      <c r="L620">
        <v>83.491789999999995</v>
      </c>
      <c r="M620">
        <v>77.315169999999995</v>
      </c>
      <c r="N620">
        <v>80.02</v>
      </c>
      <c r="O620">
        <v>76.861680000000007</v>
      </c>
      <c r="P620">
        <v>68.390460000000004</v>
      </c>
      <c r="Q620"/>
      <c r="R620">
        <v>81.525850000000005</v>
      </c>
      <c r="S620">
        <v>81.912120000000002</v>
      </c>
      <c r="T620"/>
      <c r="U620">
        <v>79.599699999999999</v>
      </c>
      <c r="V620">
        <v>77.265360000000001</v>
      </c>
      <c r="W620">
        <v>74.874690000000001</v>
      </c>
      <c r="X620">
        <v>53.90934</v>
      </c>
      <c r="Y620"/>
      <c r="Z620"/>
      <c r="AA620">
        <v>73.807910000000007</v>
      </c>
      <c r="AB620">
        <v>46.073599999999999</v>
      </c>
      <c r="AC620">
        <v>80.276700000000005</v>
      </c>
      <c r="AD620">
        <v>76.69041</v>
      </c>
      <c r="AE620">
        <v>103.6032</v>
      </c>
      <c r="AF620">
        <v>69.276039999999995</v>
      </c>
      <c r="AG620">
        <v>78.380300000000005</v>
      </c>
      <c r="AH620">
        <v>73.748760000000004</v>
      </c>
      <c r="AI620">
        <v>64.206209999999999</v>
      </c>
      <c r="AJ620">
        <v>58.021210000000004</v>
      </c>
      <c r="AK620">
        <v>75.424390000000002</v>
      </c>
      <c r="AL620">
        <v>77.101889999999997</v>
      </c>
      <c r="AM620">
        <v>74.251589999999993</v>
      </c>
      <c r="AN620">
        <v>70.967060000000004</v>
      </c>
      <c r="AO620">
        <v>76.827470000000005</v>
      </c>
      <c r="AP620">
        <v>73.704909999999998</v>
      </c>
      <c r="AQ620"/>
      <c r="AR620"/>
      <c r="AS620">
        <v>60.890470000000001</v>
      </c>
      <c r="AT620">
        <v>67.41113</v>
      </c>
      <c r="AU620">
        <v>86.873279999999994</v>
      </c>
      <c r="AV620">
        <v>15.50385</v>
      </c>
      <c r="AW620">
        <v>74.841130000000007</v>
      </c>
      <c r="AX620"/>
    </row>
    <row r="621" spans="1:50" x14ac:dyDescent="0.35">
      <c r="A621" s="75">
        <v>36739</v>
      </c>
      <c r="B621">
        <v>76.361990000000006</v>
      </c>
      <c r="C621">
        <v>77.777010000000004</v>
      </c>
      <c r="D621"/>
      <c r="E621">
        <v>78.205929999999995</v>
      </c>
      <c r="F621">
        <v>94.530839999999998</v>
      </c>
      <c r="G621">
        <v>69.792050000000003</v>
      </c>
      <c r="H621"/>
      <c r="I621">
        <v>54.419490000000003</v>
      </c>
      <c r="J621">
        <v>34.019669999999998</v>
      </c>
      <c r="K621">
        <v>87.9</v>
      </c>
      <c r="L621">
        <v>83.350489999999994</v>
      </c>
      <c r="M621">
        <v>77.356499999999997</v>
      </c>
      <c r="N621">
        <v>80.17</v>
      </c>
      <c r="O621">
        <v>77.147970000000001</v>
      </c>
      <c r="P621">
        <v>68.447209999999998</v>
      </c>
      <c r="Q621"/>
      <c r="R621">
        <v>82.058430000000001</v>
      </c>
      <c r="S621">
        <v>82.145809999999997</v>
      </c>
      <c r="T621"/>
      <c r="U621">
        <v>79.748440000000002</v>
      </c>
      <c r="V621">
        <v>77.567570000000003</v>
      </c>
      <c r="W621">
        <v>75.029979999999995</v>
      </c>
      <c r="X621">
        <v>54.173439999999999</v>
      </c>
      <c r="Y621"/>
      <c r="Z621"/>
      <c r="AA621">
        <v>74.240309999999994</v>
      </c>
      <c r="AB621">
        <v>45.907870000000003</v>
      </c>
      <c r="AC621">
        <v>79.871769999999998</v>
      </c>
      <c r="AD621">
        <v>76.820719999999994</v>
      </c>
      <c r="AE621">
        <v>103.8017</v>
      </c>
      <c r="AF621">
        <v>69.413570000000007</v>
      </c>
      <c r="AG621">
        <v>78.221999999999994</v>
      </c>
      <c r="AH621">
        <v>75.030640000000005</v>
      </c>
      <c r="AI621">
        <v>64.090829999999997</v>
      </c>
      <c r="AJ621">
        <v>58.329680000000003</v>
      </c>
      <c r="AK621">
        <v>75.832390000000004</v>
      </c>
      <c r="AL621">
        <v>77.296549999999996</v>
      </c>
      <c r="AM621">
        <v>74.452860000000001</v>
      </c>
      <c r="AN621">
        <v>71.212810000000005</v>
      </c>
      <c r="AO621">
        <v>76.975489999999994</v>
      </c>
      <c r="AP621">
        <v>73.426439999999999</v>
      </c>
      <c r="AQ621"/>
      <c r="AR621"/>
      <c r="AS621">
        <v>60.935020000000002</v>
      </c>
      <c r="AT621">
        <v>67.841130000000007</v>
      </c>
      <c r="AU621">
        <v>87.057590000000005</v>
      </c>
      <c r="AV621">
        <v>15.944470000000001</v>
      </c>
      <c r="AW621">
        <v>75.006240000000005</v>
      </c>
      <c r="AX621"/>
    </row>
    <row r="622" spans="1:50" x14ac:dyDescent="0.35">
      <c r="A622" s="75">
        <v>36770</v>
      </c>
      <c r="B622">
        <v>76.308750000000003</v>
      </c>
      <c r="C622">
        <v>77.966350000000006</v>
      </c>
      <c r="D622"/>
      <c r="E622">
        <v>78.388819999999996</v>
      </c>
      <c r="F622">
        <v>94.481110000000001</v>
      </c>
      <c r="G622">
        <v>70.130840000000006</v>
      </c>
      <c r="H622"/>
      <c r="I622">
        <v>54.656559999999999</v>
      </c>
      <c r="J622">
        <v>34.169379999999997</v>
      </c>
      <c r="K622">
        <v>87.6</v>
      </c>
      <c r="L622">
        <v>83.083519999999993</v>
      </c>
      <c r="M622">
        <v>77.851110000000006</v>
      </c>
      <c r="N622">
        <v>80.209999999999994</v>
      </c>
      <c r="O622">
        <v>77.093069999999997</v>
      </c>
      <c r="P622">
        <v>68.787750000000003</v>
      </c>
      <c r="Q622"/>
      <c r="R622">
        <v>82.574619999999996</v>
      </c>
      <c r="S622">
        <v>82.252369999999999</v>
      </c>
      <c r="T622"/>
      <c r="U622">
        <v>79.894779999999997</v>
      </c>
      <c r="V622">
        <v>78.171989999999994</v>
      </c>
      <c r="W622">
        <v>76.901070000000004</v>
      </c>
      <c r="X622">
        <v>54.576210000000003</v>
      </c>
      <c r="Y622"/>
      <c r="Z622"/>
      <c r="AA622">
        <v>74.596649999999997</v>
      </c>
      <c r="AB622">
        <v>46.115029999999997</v>
      </c>
      <c r="AC622">
        <v>79.163150000000002</v>
      </c>
      <c r="AD622">
        <v>76.780060000000006</v>
      </c>
      <c r="AE622">
        <v>103.57599999999999</v>
      </c>
      <c r="AF622">
        <v>69.759510000000006</v>
      </c>
      <c r="AG622">
        <v>78.286000000000001</v>
      </c>
      <c r="AH622">
        <v>75.182940000000002</v>
      </c>
      <c r="AI622">
        <v>64.119669999999999</v>
      </c>
      <c r="AJ622">
        <v>58.840389999999999</v>
      </c>
      <c r="AK622">
        <v>76.774370000000005</v>
      </c>
      <c r="AL622">
        <v>77.87724</v>
      </c>
      <c r="AM622">
        <v>74.704250000000002</v>
      </c>
      <c r="AN622">
        <v>71.530879999999996</v>
      </c>
      <c r="AO622">
        <v>77.486689999999996</v>
      </c>
      <c r="AP622">
        <v>73.581320000000005</v>
      </c>
      <c r="AQ622"/>
      <c r="AR622"/>
      <c r="AS622">
        <v>61.042639999999999</v>
      </c>
      <c r="AT622">
        <v>68.201130000000006</v>
      </c>
      <c r="AU622">
        <v>87.597110000000001</v>
      </c>
      <c r="AV622">
        <v>16.517659999999999</v>
      </c>
      <c r="AW622">
        <v>75.253919999999994</v>
      </c>
      <c r="AX622"/>
    </row>
    <row r="623" spans="1:50" x14ac:dyDescent="0.35">
      <c r="A623" s="75">
        <v>36800</v>
      </c>
      <c r="B623">
        <v>76.453249999999997</v>
      </c>
      <c r="C623">
        <v>77.870800000000003</v>
      </c>
      <c r="D623"/>
      <c r="E623">
        <v>78.521510000000006</v>
      </c>
      <c r="F623">
        <v>94.495829999999998</v>
      </c>
      <c r="G623">
        <v>70.300240000000002</v>
      </c>
      <c r="H623"/>
      <c r="I623">
        <v>54.746479999999998</v>
      </c>
      <c r="J623">
        <v>34.435180000000003</v>
      </c>
      <c r="K623">
        <v>87.5</v>
      </c>
      <c r="L623">
        <v>83.091840000000005</v>
      </c>
      <c r="M623">
        <v>78.045670000000001</v>
      </c>
      <c r="N623">
        <v>80.3</v>
      </c>
      <c r="O623">
        <v>77.166629999999998</v>
      </c>
      <c r="P623">
        <v>69.3553</v>
      </c>
      <c r="Q623"/>
      <c r="R623">
        <v>82.943330000000003</v>
      </c>
      <c r="S623">
        <v>82.2654</v>
      </c>
      <c r="T623"/>
      <c r="U623">
        <v>80.034890000000004</v>
      </c>
      <c r="V623">
        <v>78.171989999999994</v>
      </c>
      <c r="W623">
        <v>77.395600000000002</v>
      </c>
      <c r="X623">
        <v>54.86741</v>
      </c>
      <c r="Y623"/>
      <c r="Z623"/>
      <c r="AA623">
        <v>75.042379999999994</v>
      </c>
      <c r="AB623">
        <v>46.52937</v>
      </c>
      <c r="AC623">
        <v>79.466849999999994</v>
      </c>
      <c r="AD623">
        <v>77.107039999999998</v>
      </c>
      <c r="AE623">
        <v>103.50620000000001</v>
      </c>
      <c r="AF623">
        <v>69.829329999999999</v>
      </c>
      <c r="AG623">
        <v>78.322900000000004</v>
      </c>
      <c r="AH623">
        <v>75.302250000000001</v>
      </c>
      <c r="AI623">
        <v>64.311970000000002</v>
      </c>
      <c r="AJ623">
        <v>59.21331</v>
      </c>
      <c r="AK623">
        <v>76.896100000000004</v>
      </c>
      <c r="AL623">
        <v>77.907150000000001</v>
      </c>
      <c r="AM623">
        <v>74.908389999999997</v>
      </c>
      <c r="AN623">
        <v>71.769350000000003</v>
      </c>
      <c r="AO623">
        <v>77.977000000000004</v>
      </c>
      <c r="AP623">
        <v>74.016400000000004</v>
      </c>
      <c r="AQ623"/>
      <c r="AR623"/>
      <c r="AS623">
        <v>61.182020000000001</v>
      </c>
      <c r="AT623">
        <v>68.601140000000001</v>
      </c>
      <c r="AU623">
        <v>87.881950000000003</v>
      </c>
      <c r="AV623">
        <v>16.974540000000001</v>
      </c>
      <c r="AW623">
        <v>75.460329999999999</v>
      </c>
      <c r="AX623"/>
    </row>
    <row r="624" spans="1:50" x14ac:dyDescent="0.35">
      <c r="A624" s="75">
        <v>36831</v>
      </c>
      <c r="B624">
        <v>76.514089999999996</v>
      </c>
      <c r="C624">
        <v>78.050120000000007</v>
      </c>
      <c r="D624"/>
      <c r="E624">
        <v>78.551519999999996</v>
      </c>
      <c r="F624">
        <v>94.911540000000002</v>
      </c>
      <c r="G624">
        <v>70.514219999999995</v>
      </c>
      <c r="H624"/>
      <c r="I624">
        <v>54.901800000000001</v>
      </c>
      <c r="J624">
        <v>34.66301</v>
      </c>
      <c r="K624">
        <v>87.6</v>
      </c>
      <c r="L624">
        <v>83.071879999999993</v>
      </c>
      <c r="M624">
        <v>78.201970000000003</v>
      </c>
      <c r="N624">
        <v>80.33</v>
      </c>
      <c r="O624">
        <v>77.270030000000006</v>
      </c>
      <c r="P624">
        <v>69.752589999999998</v>
      </c>
      <c r="Q624"/>
      <c r="R624">
        <v>82.926940000000002</v>
      </c>
      <c r="S624">
        <v>82.251480000000001</v>
      </c>
      <c r="T624"/>
      <c r="U624">
        <v>80.080039999999997</v>
      </c>
      <c r="V624">
        <v>78.272729999999996</v>
      </c>
      <c r="W624">
        <v>77.483919999999998</v>
      </c>
      <c r="X624">
        <v>55.206060000000001</v>
      </c>
      <c r="Y624"/>
      <c r="Z624"/>
      <c r="AA624">
        <v>75.385720000000006</v>
      </c>
      <c r="AB624">
        <v>46.653660000000002</v>
      </c>
      <c r="AC624">
        <v>79.466849999999994</v>
      </c>
      <c r="AD624">
        <v>77.248069999999998</v>
      </c>
      <c r="AE624">
        <v>103.3272</v>
      </c>
      <c r="AF624">
        <v>69.829329999999999</v>
      </c>
      <c r="AG624">
        <v>78.204599999999999</v>
      </c>
      <c r="AH624">
        <v>75.475380000000001</v>
      </c>
      <c r="AI624">
        <v>64.523480000000006</v>
      </c>
      <c r="AJ624">
        <v>59.677700000000002</v>
      </c>
      <c r="AK624">
        <v>76.859120000000004</v>
      </c>
      <c r="AL624">
        <v>78.1648</v>
      </c>
      <c r="AM624">
        <v>75.057140000000004</v>
      </c>
      <c r="AN624">
        <v>72.019990000000007</v>
      </c>
      <c r="AO624">
        <v>78.290869999999998</v>
      </c>
      <c r="AP624">
        <v>74.659940000000006</v>
      </c>
      <c r="AQ624"/>
      <c r="AR624"/>
      <c r="AS624">
        <v>61.396000000000001</v>
      </c>
      <c r="AT624">
        <v>69.091149999999999</v>
      </c>
      <c r="AU624">
        <v>87.982479999999995</v>
      </c>
      <c r="AV624">
        <v>17.556609999999999</v>
      </c>
      <c r="AW624">
        <v>75.542879999999997</v>
      </c>
      <c r="AX624"/>
    </row>
    <row r="625" spans="1:50" x14ac:dyDescent="0.35">
      <c r="A625" s="75">
        <v>36861</v>
      </c>
      <c r="B625">
        <v>76.803089999999997</v>
      </c>
      <c r="C625">
        <v>78.126379999999997</v>
      </c>
      <c r="D625"/>
      <c r="E625">
        <v>78.595830000000007</v>
      </c>
      <c r="F625">
        <v>94.938329999999993</v>
      </c>
      <c r="G625">
        <v>70.781689999999998</v>
      </c>
      <c r="H625"/>
      <c r="I625">
        <v>55.196089999999998</v>
      </c>
      <c r="J625">
        <v>34.868049999999997</v>
      </c>
      <c r="K625">
        <v>87.7</v>
      </c>
      <c r="L625">
        <v>83.998760000000004</v>
      </c>
      <c r="M625">
        <v>78.193799999999996</v>
      </c>
      <c r="N625">
        <v>80.64</v>
      </c>
      <c r="O625">
        <v>77.490949999999998</v>
      </c>
      <c r="P625">
        <v>69.752589999999998</v>
      </c>
      <c r="Q625"/>
      <c r="R625">
        <v>82.943330000000003</v>
      </c>
      <c r="S625">
        <v>82.339269999999999</v>
      </c>
      <c r="T625"/>
      <c r="U625">
        <v>80.137540000000001</v>
      </c>
      <c r="V625">
        <v>78.373469999999998</v>
      </c>
      <c r="W625">
        <v>78.177880000000002</v>
      </c>
      <c r="X625">
        <v>55.44782</v>
      </c>
      <c r="Y625"/>
      <c r="Z625"/>
      <c r="AA625">
        <v>75.432419999999993</v>
      </c>
      <c r="AB625">
        <v>46.819400000000002</v>
      </c>
      <c r="AC625">
        <v>79.568079999999995</v>
      </c>
      <c r="AD625">
        <v>77.270759999999996</v>
      </c>
      <c r="AE625">
        <v>103.30710000000001</v>
      </c>
      <c r="AF625">
        <v>70.036680000000004</v>
      </c>
      <c r="AG625">
        <v>77.891599999999997</v>
      </c>
      <c r="AH625">
        <v>75.567610000000002</v>
      </c>
      <c r="AI625">
        <v>64.427340000000001</v>
      </c>
      <c r="AJ625">
        <v>60.07967</v>
      </c>
      <c r="AK625">
        <v>76.469800000000006</v>
      </c>
      <c r="AL625">
        <v>78.102090000000004</v>
      </c>
      <c r="AM625">
        <v>75.1922</v>
      </c>
      <c r="AN625">
        <v>72.35772</v>
      </c>
      <c r="AO625">
        <v>78.352810000000005</v>
      </c>
      <c r="AP625">
        <v>74.732560000000007</v>
      </c>
      <c r="AQ625"/>
      <c r="AR625"/>
      <c r="AS625">
        <v>61.426850000000002</v>
      </c>
      <c r="AT625">
        <v>69.381159999999994</v>
      </c>
      <c r="AU625">
        <v>88.106480000000005</v>
      </c>
      <c r="AV625">
        <v>17.997219999999999</v>
      </c>
      <c r="AW625">
        <v>75.460329999999999</v>
      </c>
      <c r="AX625"/>
    </row>
    <row r="626" spans="1:50" x14ac:dyDescent="0.35">
      <c r="A626" s="75">
        <v>36892</v>
      </c>
      <c r="B626">
        <v>76.962779999999995</v>
      </c>
      <c r="C626">
        <v>78.168459999999996</v>
      </c>
      <c r="D626"/>
      <c r="E626">
        <v>78.40334</v>
      </c>
      <c r="F626">
        <v>95.272000000000006</v>
      </c>
      <c r="G626">
        <v>70.915430000000001</v>
      </c>
      <c r="H626"/>
      <c r="I626">
        <v>55.539430000000003</v>
      </c>
      <c r="J626">
        <v>35.446289999999998</v>
      </c>
      <c r="K626">
        <v>84.5</v>
      </c>
      <c r="L626">
        <v>83.561369999999997</v>
      </c>
      <c r="M626">
        <v>77.733990000000006</v>
      </c>
      <c r="N626">
        <v>80.180000000000007</v>
      </c>
      <c r="O626">
        <v>77.847530000000006</v>
      </c>
      <c r="P626">
        <v>70.320149999999998</v>
      </c>
      <c r="Q626"/>
      <c r="R626">
        <v>82.828620000000001</v>
      </c>
      <c r="S626">
        <v>82.185860000000005</v>
      </c>
      <c r="T626"/>
      <c r="U626">
        <v>80.154030000000006</v>
      </c>
      <c r="V626">
        <v>77.567570000000003</v>
      </c>
      <c r="W626">
        <v>76.918120000000002</v>
      </c>
      <c r="X626">
        <v>56.369019999999999</v>
      </c>
      <c r="Y626"/>
      <c r="Z626"/>
      <c r="AA626">
        <v>74.866810000000001</v>
      </c>
      <c r="AB626">
        <v>46.902259999999998</v>
      </c>
      <c r="AC626">
        <v>79.264380000000003</v>
      </c>
      <c r="AD626">
        <v>77.719920000000002</v>
      </c>
      <c r="AE626">
        <v>102.7051</v>
      </c>
      <c r="AF626">
        <v>70.66086</v>
      </c>
      <c r="AG626">
        <v>78.350899999999996</v>
      </c>
      <c r="AH626">
        <v>74.769369999999995</v>
      </c>
      <c r="AI626">
        <v>64.581180000000003</v>
      </c>
      <c r="AJ626">
        <v>60.482100000000003</v>
      </c>
      <c r="AK626">
        <v>76.658360000000002</v>
      </c>
      <c r="AL626">
        <v>78.609570000000005</v>
      </c>
      <c r="AM626">
        <v>75.303730000000002</v>
      </c>
      <c r="AN626">
        <v>72.340509999999995</v>
      </c>
      <c r="AO626">
        <v>79.160330000000002</v>
      </c>
      <c r="AP626">
        <v>74.678579999999997</v>
      </c>
      <c r="AQ626"/>
      <c r="AR626"/>
      <c r="AS626">
        <v>62.287610000000001</v>
      </c>
      <c r="AT626">
        <v>69.67116</v>
      </c>
      <c r="AU626">
        <v>87.550190000000001</v>
      </c>
      <c r="AV626">
        <v>18.48357</v>
      </c>
      <c r="AW626">
        <v>75.749290000000002</v>
      </c>
      <c r="AX626"/>
    </row>
    <row r="627" spans="1:50" x14ac:dyDescent="0.35">
      <c r="A627" s="75">
        <v>36923</v>
      </c>
      <c r="B627">
        <v>77.305019999999999</v>
      </c>
      <c r="C627">
        <v>78.487340000000003</v>
      </c>
      <c r="D627"/>
      <c r="E627">
        <v>78.859830000000002</v>
      </c>
      <c r="F627">
        <v>95.129900000000006</v>
      </c>
      <c r="G627">
        <v>70.995670000000004</v>
      </c>
      <c r="H627"/>
      <c r="I627">
        <v>56.242460000000001</v>
      </c>
      <c r="J627">
        <v>35.952930000000002</v>
      </c>
      <c r="K627">
        <v>84.7</v>
      </c>
      <c r="L627">
        <v>83.867099999999994</v>
      </c>
      <c r="M627">
        <v>78.363820000000004</v>
      </c>
      <c r="N627">
        <v>80.290000000000006</v>
      </c>
      <c r="O627">
        <v>78.113609999999994</v>
      </c>
      <c r="P627">
        <v>70.547169999999994</v>
      </c>
      <c r="Q627"/>
      <c r="R627">
        <v>83.279269999999997</v>
      </c>
      <c r="S627">
        <v>82.352050000000006</v>
      </c>
      <c r="T627"/>
      <c r="U627">
        <v>80.419110000000003</v>
      </c>
      <c r="V627">
        <v>77.769040000000004</v>
      </c>
      <c r="W627">
        <v>76.301280000000006</v>
      </c>
      <c r="X627">
        <v>57.01641</v>
      </c>
      <c r="Y627"/>
      <c r="Z627"/>
      <c r="AA627">
        <v>75.729770000000002</v>
      </c>
      <c r="AB627">
        <v>46.9437</v>
      </c>
      <c r="AC627">
        <v>79.061920000000001</v>
      </c>
      <c r="AD627">
        <v>77.949190000000002</v>
      </c>
      <c r="AE627">
        <v>102.3827</v>
      </c>
      <c r="AF627">
        <v>70.938029999999998</v>
      </c>
      <c r="AG627">
        <v>77.944599999999994</v>
      </c>
      <c r="AH627">
        <v>76.149889999999999</v>
      </c>
      <c r="AI627">
        <v>64.321579999999997</v>
      </c>
      <c r="AJ627">
        <v>60.84113</v>
      </c>
      <c r="AK627">
        <v>77.359350000000006</v>
      </c>
      <c r="AL627">
        <v>79.201099999999997</v>
      </c>
      <c r="AM627">
        <v>75.590710000000001</v>
      </c>
      <c r="AN627">
        <v>72.634169999999997</v>
      </c>
      <c r="AO627">
        <v>79.375309999999999</v>
      </c>
      <c r="AP627">
        <v>74.507769999999994</v>
      </c>
      <c r="AQ627"/>
      <c r="AR627"/>
      <c r="AS627">
        <v>63.970260000000003</v>
      </c>
      <c r="AT627">
        <v>70.441180000000003</v>
      </c>
      <c r="AU627">
        <v>87.694289999999995</v>
      </c>
      <c r="AV627">
        <v>18.824310000000001</v>
      </c>
      <c r="AW627">
        <v>76.120810000000006</v>
      </c>
      <c r="AX627"/>
    </row>
    <row r="628" spans="1:50" x14ac:dyDescent="0.35">
      <c r="A628" s="75">
        <v>36951</v>
      </c>
      <c r="B628">
        <v>77.403880000000001</v>
      </c>
      <c r="C628">
        <v>78.560630000000003</v>
      </c>
      <c r="D628"/>
      <c r="E628">
        <v>78.928600000000003</v>
      </c>
      <c r="F628">
        <v>95.257320000000007</v>
      </c>
      <c r="G628">
        <v>71.468199999999996</v>
      </c>
      <c r="H628"/>
      <c r="I628">
        <v>56.93732</v>
      </c>
      <c r="J628">
        <v>36.396639999999998</v>
      </c>
      <c r="K628">
        <v>84.8</v>
      </c>
      <c r="L628">
        <v>83.771699999999996</v>
      </c>
      <c r="M628">
        <v>78.898719999999997</v>
      </c>
      <c r="N628">
        <v>80.73</v>
      </c>
      <c r="O628">
        <v>78.427499999999995</v>
      </c>
      <c r="P628">
        <v>70.660679999999999</v>
      </c>
      <c r="Q628"/>
      <c r="R628">
        <v>83.820040000000006</v>
      </c>
      <c r="S628">
        <v>82.646320000000003</v>
      </c>
      <c r="T628"/>
      <c r="U628">
        <v>80.686840000000004</v>
      </c>
      <c r="V628">
        <v>78.071250000000006</v>
      </c>
      <c r="W628">
        <v>78.174570000000003</v>
      </c>
      <c r="X628">
        <v>57.573839999999997</v>
      </c>
      <c r="Y628"/>
      <c r="Z628"/>
      <c r="AA628">
        <v>76.217479999999995</v>
      </c>
      <c r="AB628">
        <v>47.316589999999998</v>
      </c>
      <c r="AC628">
        <v>79.264380000000003</v>
      </c>
      <c r="AD628">
        <v>77.985569999999996</v>
      </c>
      <c r="AE628">
        <v>102.59820000000001</v>
      </c>
      <c r="AF628">
        <v>71.422560000000004</v>
      </c>
      <c r="AG628">
        <v>77.991100000000003</v>
      </c>
      <c r="AH628">
        <v>76.223950000000002</v>
      </c>
      <c r="AI628">
        <v>64.619630000000001</v>
      </c>
      <c r="AJ628">
        <v>61.196939999999998</v>
      </c>
      <c r="AK628">
        <v>78.109049999999996</v>
      </c>
      <c r="AL628">
        <v>79.334299999999999</v>
      </c>
      <c r="AM628">
        <v>75.94153</v>
      </c>
      <c r="AN628">
        <v>73.00009</v>
      </c>
      <c r="AO628">
        <v>79.704369999999997</v>
      </c>
      <c r="AP628">
        <v>74.670349999999999</v>
      </c>
      <c r="AQ628"/>
      <c r="AR628"/>
      <c r="AS628">
        <v>64.490880000000004</v>
      </c>
      <c r="AT628">
        <v>70.971180000000004</v>
      </c>
      <c r="AU628">
        <v>88.387960000000007</v>
      </c>
      <c r="AV628">
        <v>19.575369999999999</v>
      </c>
      <c r="AW628">
        <v>76.492329999999995</v>
      </c>
      <c r="AX628"/>
    </row>
    <row r="629" spans="1:50" x14ac:dyDescent="0.35">
      <c r="A629" s="75">
        <v>36982</v>
      </c>
      <c r="B629">
        <v>77.791730000000001</v>
      </c>
      <c r="C629">
        <v>78.892420000000001</v>
      </c>
      <c r="D629"/>
      <c r="E629">
        <v>79.28004</v>
      </c>
      <c r="F629">
        <v>95.335139999999996</v>
      </c>
      <c r="G629">
        <v>71.566270000000003</v>
      </c>
      <c r="H629"/>
      <c r="I629">
        <v>57.427810000000001</v>
      </c>
      <c r="J629">
        <v>36.692810000000001</v>
      </c>
      <c r="K629">
        <v>84.9</v>
      </c>
      <c r="L629">
        <v>83.97636</v>
      </c>
      <c r="M629">
        <v>78.979759999999999</v>
      </c>
      <c r="N629">
        <v>81.12</v>
      </c>
      <c r="O629">
        <v>78.794939999999997</v>
      </c>
      <c r="P629">
        <v>71.057969999999997</v>
      </c>
      <c r="Q629"/>
      <c r="R629">
        <v>84.172359999999998</v>
      </c>
      <c r="S629">
        <v>82.895960000000002</v>
      </c>
      <c r="T629"/>
      <c r="U629">
        <v>80.888589999999994</v>
      </c>
      <c r="V629">
        <v>78.474209999999999</v>
      </c>
      <c r="W629">
        <v>78.767489999999995</v>
      </c>
      <c r="X629">
        <v>58.098759999999999</v>
      </c>
      <c r="Y629"/>
      <c r="Z629"/>
      <c r="AA629">
        <v>76.842740000000006</v>
      </c>
      <c r="AB629">
        <v>47.730919999999998</v>
      </c>
      <c r="AC629">
        <v>79.973010000000002</v>
      </c>
      <c r="AD629">
        <v>78.311070000000001</v>
      </c>
      <c r="AE629">
        <v>102.9033</v>
      </c>
      <c r="AF629">
        <v>71.630970000000005</v>
      </c>
      <c r="AG629">
        <v>78.007400000000004</v>
      </c>
      <c r="AH629">
        <v>76.443680000000001</v>
      </c>
      <c r="AI629">
        <v>64.811930000000004</v>
      </c>
      <c r="AJ629">
        <v>61.442869999999999</v>
      </c>
      <c r="AK629">
        <v>78.450699999999998</v>
      </c>
      <c r="AL629">
        <v>79.493740000000003</v>
      </c>
      <c r="AM629">
        <v>76.298259999999999</v>
      </c>
      <c r="AN629">
        <v>73.603139999999996</v>
      </c>
      <c r="AO629">
        <v>79.98827</v>
      </c>
      <c r="AP629">
        <v>75.318979999999996</v>
      </c>
      <c r="AQ629"/>
      <c r="AR629"/>
      <c r="AS629">
        <v>64.653689999999997</v>
      </c>
      <c r="AT629">
        <v>71.521190000000004</v>
      </c>
      <c r="AU629">
        <v>88.853769999999997</v>
      </c>
      <c r="AV629">
        <v>21.121310000000001</v>
      </c>
      <c r="AW629">
        <v>76.616169999999997</v>
      </c>
      <c r="AX629"/>
    </row>
    <row r="630" spans="1:50" x14ac:dyDescent="0.35">
      <c r="A630" s="75">
        <v>37012</v>
      </c>
      <c r="B630">
        <v>77.799340000000001</v>
      </c>
      <c r="C630">
        <v>79.117339999999999</v>
      </c>
      <c r="D630"/>
      <c r="E630">
        <v>79.502110000000002</v>
      </c>
      <c r="F630">
        <v>95.745339999999999</v>
      </c>
      <c r="G630">
        <v>71.673259999999999</v>
      </c>
      <c r="H630"/>
      <c r="I630">
        <v>57.624000000000002</v>
      </c>
      <c r="J630">
        <v>36.866399999999999</v>
      </c>
      <c r="K630">
        <v>85</v>
      </c>
      <c r="L630">
        <v>83.918750000000003</v>
      </c>
      <c r="M630">
        <v>79.228489999999994</v>
      </c>
      <c r="N630">
        <v>81.209999999999994</v>
      </c>
      <c r="O630">
        <v>78.869820000000004</v>
      </c>
      <c r="P630">
        <v>71.22824</v>
      </c>
      <c r="Q630"/>
      <c r="R630">
        <v>84.270679999999999</v>
      </c>
      <c r="S630">
        <v>82.978359999999995</v>
      </c>
      <c r="T630"/>
      <c r="U630">
        <v>80.928780000000003</v>
      </c>
      <c r="V630">
        <v>78.87715</v>
      </c>
      <c r="W630">
        <v>78.673330000000007</v>
      </c>
      <c r="X630">
        <v>58.310659999999999</v>
      </c>
      <c r="Y630"/>
      <c r="Z630"/>
      <c r="AA630">
        <v>77.288349999999994</v>
      </c>
      <c r="AB630">
        <v>48.269550000000002</v>
      </c>
      <c r="AC630">
        <v>80.07423</v>
      </c>
      <c r="AD630">
        <v>78.473740000000006</v>
      </c>
      <c r="AE630">
        <v>103.0373</v>
      </c>
      <c r="AF630">
        <v>71.768500000000003</v>
      </c>
      <c r="AG630">
        <v>78.107900000000001</v>
      </c>
      <c r="AH630">
        <v>76.677850000000007</v>
      </c>
      <c r="AI630">
        <v>65.167659999999998</v>
      </c>
      <c r="AJ630">
        <v>61.62744</v>
      </c>
      <c r="AK630">
        <v>78.608090000000004</v>
      </c>
      <c r="AL630">
        <v>79.645939999999996</v>
      </c>
      <c r="AM630">
        <v>76.460909999999998</v>
      </c>
      <c r="AN630">
        <v>73.974969999999999</v>
      </c>
      <c r="AO630">
        <v>80.805819999999997</v>
      </c>
      <c r="AP630">
        <v>75.958680000000001</v>
      </c>
      <c r="AQ630"/>
      <c r="AR630"/>
      <c r="AS630">
        <v>64.593040000000002</v>
      </c>
      <c r="AT630">
        <v>71.711200000000005</v>
      </c>
      <c r="AU630">
        <v>89.007909999999995</v>
      </c>
      <c r="AV630">
        <v>22.15831</v>
      </c>
      <c r="AW630">
        <v>76.574889999999996</v>
      </c>
      <c r="AX630"/>
    </row>
    <row r="631" spans="1:50" x14ac:dyDescent="0.35">
      <c r="A631" s="75">
        <v>37043</v>
      </c>
      <c r="B631">
        <v>78.02749</v>
      </c>
      <c r="C631">
        <v>79.242050000000006</v>
      </c>
      <c r="D631"/>
      <c r="E631">
        <v>79.713340000000002</v>
      </c>
      <c r="F631">
        <v>95.739459999999994</v>
      </c>
      <c r="G631">
        <v>71.806989999999999</v>
      </c>
      <c r="H631"/>
      <c r="I631">
        <v>57.812019999999997</v>
      </c>
      <c r="J631">
        <v>37.033470000000001</v>
      </c>
      <c r="K631">
        <v>85.5</v>
      </c>
      <c r="L631">
        <v>84.086560000000006</v>
      </c>
      <c r="M631">
        <v>79.1858</v>
      </c>
      <c r="N631">
        <v>81.36</v>
      </c>
      <c r="O631">
        <v>79.080609999999993</v>
      </c>
      <c r="P631">
        <v>71.00121</v>
      </c>
      <c r="Q631"/>
      <c r="R631">
        <v>84.237920000000003</v>
      </c>
      <c r="S631">
        <v>83.03819</v>
      </c>
      <c r="T631"/>
      <c r="U631">
        <v>81.065340000000006</v>
      </c>
      <c r="V631">
        <v>78.977890000000002</v>
      </c>
      <c r="W631">
        <v>79.003450000000001</v>
      </c>
      <c r="X631">
        <v>58.500619999999998</v>
      </c>
      <c r="Y631"/>
      <c r="Z631"/>
      <c r="AA631">
        <v>77.531649999999999</v>
      </c>
      <c r="AB631">
        <v>48.97392</v>
      </c>
      <c r="AC631">
        <v>80.479159999999993</v>
      </c>
      <c r="AD631">
        <v>78.623009999999994</v>
      </c>
      <c r="AE631">
        <v>103.01690000000001</v>
      </c>
      <c r="AF631">
        <v>71.839389999999995</v>
      </c>
      <c r="AG631">
        <v>78.003500000000003</v>
      </c>
      <c r="AH631">
        <v>76.826189999999997</v>
      </c>
      <c r="AI631">
        <v>65.148439999999994</v>
      </c>
      <c r="AJ631">
        <v>61.810960000000001</v>
      </c>
      <c r="AK631">
        <v>78.413139999999999</v>
      </c>
      <c r="AL631">
        <v>79.662310000000005</v>
      </c>
      <c r="AM631">
        <v>76.663579999999996</v>
      </c>
      <c r="AN631">
        <v>74.272530000000003</v>
      </c>
      <c r="AO631">
        <v>80.898150000000001</v>
      </c>
      <c r="AP631">
        <v>76.120289999999997</v>
      </c>
      <c r="AQ631"/>
      <c r="AR631"/>
      <c r="AS631">
        <v>64.555760000000006</v>
      </c>
      <c r="AT631">
        <v>72.101200000000006</v>
      </c>
      <c r="AU631">
        <v>89.081630000000004</v>
      </c>
      <c r="AV631">
        <v>23.058160000000001</v>
      </c>
      <c r="AW631">
        <v>76.740009999999998</v>
      </c>
      <c r="AX631"/>
    </row>
    <row r="632" spans="1:50" x14ac:dyDescent="0.35">
      <c r="A632" s="75">
        <v>37073</v>
      </c>
      <c r="B632">
        <v>78.346900000000005</v>
      </c>
      <c r="C632">
        <v>79.451800000000006</v>
      </c>
      <c r="D632"/>
      <c r="E632">
        <v>79.935100000000006</v>
      </c>
      <c r="F632">
        <v>95.816900000000004</v>
      </c>
      <c r="G632">
        <v>72.056629999999998</v>
      </c>
      <c r="H632"/>
      <c r="I632">
        <v>57.950989999999997</v>
      </c>
      <c r="J632">
        <v>37.348080000000003</v>
      </c>
      <c r="K632">
        <v>86.7</v>
      </c>
      <c r="L632">
        <v>84.462209999999999</v>
      </c>
      <c r="M632">
        <v>79.048320000000004</v>
      </c>
      <c r="N632">
        <v>81.33</v>
      </c>
      <c r="O632">
        <v>79.475129999999993</v>
      </c>
      <c r="P632">
        <v>71.00121</v>
      </c>
      <c r="Q632"/>
      <c r="R632">
        <v>83.656170000000003</v>
      </c>
      <c r="S632">
        <v>82.954089999999994</v>
      </c>
      <c r="T632"/>
      <c r="U632">
        <v>81.132980000000003</v>
      </c>
      <c r="V632">
        <v>78.474209999999999</v>
      </c>
      <c r="W632">
        <v>77.645880000000005</v>
      </c>
      <c r="X632">
        <v>58.888599999999997</v>
      </c>
      <c r="Y632"/>
      <c r="Z632"/>
      <c r="AA632">
        <v>77.298330000000007</v>
      </c>
      <c r="AB632">
        <v>49.348660000000002</v>
      </c>
      <c r="AC632">
        <v>81.086560000000006</v>
      </c>
      <c r="AD632">
        <v>78.826059999999998</v>
      </c>
      <c r="AE632">
        <v>102.8449</v>
      </c>
      <c r="AF632">
        <v>71.768500000000003</v>
      </c>
      <c r="AG632">
        <v>77.774699999999996</v>
      </c>
      <c r="AH632">
        <v>75.956649999999996</v>
      </c>
      <c r="AI632">
        <v>65.196510000000004</v>
      </c>
      <c r="AJ632">
        <v>61.80527</v>
      </c>
      <c r="AK632">
        <v>78.221699999999998</v>
      </c>
      <c r="AL632">
        <v>79.68777</v>
      </c>
      <c r="AM632">
        <v>76.789720000000003</v>
      </c>
      <c r="AN632">
        <v>74.450360000000003</v>
      </c>
      <c r="AO632">
        <v>81.320210000000003</v>
      </c>
      <c r="AP632">
        <v>76.155540000000002</v>
      </c>
      <c r="AQ632"/>
      <c r="AR632"/>
      <c r="AS632">
        <v>64.988489999999999</v>
      </c>
      <c r="AT632">
        <v>72.231200000000001</v>
      </c>
      <c r="AU632">
        <v>88.679509999999993</v>
      </c>
      <c r="AV632">
        <v>23.705279999999998</v>
      </c>
      <c r="AW632">
        <v>76.863849999999999</v>
      </c>
      <c r="AX632"/>
    </row>
    <row r="633" spans="1:50" x14ac:dyDescent="0.35">
      <c r="A633" s="75">
        <v>37104</v>
      </c>
      <c r="B633">
        <v>78.331689999999995</v>
      </c>
      <c r="C633">
        <v>79.505390000000006</v>
      </c>
      <c r="D633"/>
      <c r="E633">
        <v>80.072109999999995</v>
      </c>
      <c r="F633">
        <v>95.317099999999996</v>
      </c>
      <c r="G633">
        <v>72.226029999999994</v>
      </c>
      <c r="H633"/>
      <c r="I633">
        <v>58.081789999999998</v>
      </c>
      <c r="J633">
        <v>37.550960000000003</v>
      </c>
      <c r="K633">
        <v>86.8</v>
      </c>
      <c r="L633">
        <v>84.434349999999995</v>
      </c>
      <c r="M633">
        <v>79.075010000000006</v>
      </c>
      <c r="N633">
        <v>81.41</v>
      </c>
      <c r="O633">
        <v>79.808019999999999</v>
      </c>
      <c r="P633">
        <v>71.22824</v>
      </c>
      <c r="Q633"/>
      <c r="R633">
        <v>84.106819999999999</v>
      </c>
      <c r="S633">
        <v>83.252049999999997</v>
      </c>
      <c r="T633"/>
      <c r="U633">
        <v>81.290310000000005</v>
      </c>
      <c r="V633">
        <v>78.977890000000002</v>
      </c>
      <c r="W633">
        <v>77.6755</v>
      </c>
      <c r="X633">
        <v>58.815080000000002</v>
      </c>
      <c r="Y633"/>
      <c r="Z633"/>
      <c r="AA633">
        <v>77.641329999999996</v>
      </c>
      <c r="AB633">
        <v>49.61121</v>
      </c>
      <c r="AC633">
        <v>81.289019999999994</v>
      </c>
      <c r="AD633">
        <v>78.928889999999996</v>
      </c>
      <c r="AE633">
        <v>102.8214</v>
      </c>
      <c r="AF633">
        <v>71.908150000000006</v>
      </c>
      <c r="AG633">
        <v>79.105400000000003</v>
      </c>
      <c r="AH633">
        <v>77.119029999999995</v>
      </c>
      <c r="AI633">
        <v>65.186890000000005</v>
      </c>
      <c r="AJ633">
        <v>62.019970000000001</v>
      </c>
      <c r="AK633">
        <v>78.577650000000006</v>
      </c>
      <c r="AL633">
        <v>79.628150000000005</v>
      </c>
      <c r="AM633">
        <v>77.013239999999996</v>
      </c>
      <c r="AN633">
        <v>74.800849999999997</v>
      </c>
      <c r="AO633">
        <v>81.493889999999993</v>
      </c>
      <c r="AP633">
        <v>75.983500000000006</v>
      </c>
      <c r="AQ633"/>
      <c r="AR633"/>
      <c r="AS633">
        <v>65.149680000000004</v>
      </c>
      <c r="AT633">
        <v>72.391199999999998</v>
      </c>
      <c r="AU633">
        <v>88.900679999999994</v>
      </c>
      <c r="AV633">
        <v>24.600770000000001</v>
      </c>
      <c r="AW633">
        <v>77.028980000000004</v>
      </c>
      <c r="AX633"/>
    </row>
    <row r="634" spans="1:50" x14ac:dyDescent="0.35">
      <c r="A634" s="75">
        <v>37135</v>
      </c>
      <c r="B634">
        <v>78.460980000000006</v>
      </c>
      <c r="C634">
        <v>79.684920000000005</v>
      </c>
      <c r="D634"/>
      <c r="E634">
        <v>80.165270000000007</v>
      </c>
      <c r="F634">
        <v>95.355739999999997</v>
      </c>
      <c r="G634">
        <v>72.520250000000004</v>
      </c>
      <c r="H634"/>
      <c r="I634">
        <v>58.220759999999999</v>
      </c>
      <c r="J634">
        <v>37.949109999999997</v>
      </c>
      <c r="K634">
        <v>86</v>
      </c>
      <c r="L634">
        <v>84.346670000000003</v>
      </c>
      <c r="M634">
        <v>79.563770000000005</v>
      </c>
      <c r="N634">
        <v>81.62</v>
      </c>
      <c r="O634">
        <v>79.662890000000004</v>
      </c>
      <c r="P634">
        <v>71.568770000000001</v>
      </c>
      <c r="Q634"/>
      <c r="R634">
        <v>84.704949999999997</v>
      </c>
      <c r="S634">
        <v>83.358630000000005</v>
      </c>
      <c r="T634"/>
      <c r="U634">
        <v>81.425070000000005</v>
      </c>
      <c r="V634">
        <v>79.179360000000003</v>
      </c>
      <c r="W634">
        <v>79.433250000000001</v>
      </c>
      <c r="X634">
        <v>59.10483</v>
      </c>
      <c r="Y634"/>
      <c r="Z634"/>
      <c r="AA634">
        <v>78.153019999999998</v>
      </c>
      <c r="AB634">
        <v>49.981780000000001</v>
      </c>
      <c r="AC634">
        <v>81.289019999999994</v>
      </c>
      <c r="AD634">
        <v>78.913790000000006</v>
      </c>
      <c r="AE634">
        <v>102.8489</v>
      </c>
      <c r="AF634">
        <v>72.04674</v>
      </c>
      <c r="AG634">
        <v>79.049899999999994</v>
      </c>
      <c r="AH634">
        <v>77.201419999999999</v>
      </c>
      <c r="AI634">
        <v>65.715699999999998</v>
      </c>
      <c r="AJ634">
        <v>62.565440000000002</v>
      </c>
      <c r="AK634">
        <v>79.654750000000007</v>
      </c>
      <c r="AL634">
        <v>80.136870000000002</v>
      </c>
      <c r="AM634">
        <v>77.291399999999996</v>
      </c>
      <c r="AN634">
        <v>75.200749999999999</v>
      </c>
      <c r="AO634">
        <v>81.448930000000004</v>
      </c>
      <c r="AP634">
        <v>76.182230000000004</v>
      </c>
      <c r="AQ634"/>
      <c r="AR634"/>
      <c r="AS634">
        <v>65.410520000000005</v>
      </c>
      <c r="AT634">
        <v>72.981219999999993</v>
      </c>
      <c r="AU634">
        <v>89.688180000000003</v>
      </c>
      <c r="AV634">
        <v>25.889690000000002</v>
      </c>
      <c r="AW634">
        <v>77.235370000000003</v>
      </c>
      <c r="AX634"/>
    </row>
    <row r="635" spans="1:50" x14ac:dyDescent="0.35">
      <c r="A635" s="75">
        <v>37165</v>
      </c>
      <c r="B635">
        <v>78.59787</v>
      </c>
      <c r="C635">
        <v>79.715199999999996</v>
      </c>
      <c r="D635"/>
      <c r="E635">
        <v>80.093710000000002</v>
      </c>
      <c r="F635">
        <v>95.269030000000001</v>
      </c>
      <c r="G635">
        <v>72.930369999999996</v>
      </c>
      <c r="H635"/>
      <c r="I635">
        <v>58.335209999999996</v>
      </c>
      <c r="J635">
        <v>38.102069999999998</v>
      </c>
      <c r="K635">
        <v>86</v>
      </c>
      <c r="L635">
        <v>84.502380000000002</v>
      </c>
      <c r="M635">
        <v>79.836169999999996</v>
      </c>
      <c r="N635">
        <v>81.88</v>
      </c>
      <c r="O635">
        <v>79.725669999999994</v>
      </c>
      <c r="P635">
        <v>71.795789999999997</v>
      </c>
      <c r="Q635"/>
      <c r="R635">
        <v>84.803269999999998</v>
      </c>
      <c r="S635">
        <v>83.462299999999999</v>
      </c>
      <c r="T635"/>
      <c r="U635">
        <v>81.561220000000006</v>
      </c>
      <c r="V635">
        <v>79.078620000000001</v>
      </c>
      <c r="W635">
        <v>79.865690000000001</v>
      </c>
      <c r="X635">
        <v>59.335380000000001</v>
      </c>
      <c r="Y635"/>
      <c r="Z635"/>
      <c r="AA635">
        <v>78.378240000000005</v>
      </c>
      <c r="AB635">
        <v>50.26885</v>
      </c>
      <c r="AC635">
        <v>81.289019999999994</v>
      </c>
      <c r="AD635">
        <v>79.111840000000001</v>
      </c>
      <c r="AE635">
        <v>102.798</v>
      </c>
      <c r="AF635">
        <v>72.04674</v>
      </c>
      <c r="AG635">
        <v>79.207400000000007</v>
      </c>
      <c r="AH635">
        <v>77.514690000000002</v>
      </c>
      <c r="AI635">
        <v>65.859920000000002</v>
      </c>
      <c r="AJ635">
        <v>62.766930000000002</v>
      </c>
      <c r="AK635">
        <v>79.769660000000002</v>
      </c>
      <c r="AL635">
        <v>80.339650000000006</v>
      </c>
      <c r="AM635">
        <v>77.533699999999996</v>
      </c>
      <c r="AN635">
        <v>75.557910000000007</v>
      </c>
      <c r="AO635">
        <v>81.672280000000001</v>
      </c>
      <c r="AP635">
        <v>76.772170000000003</v>
      </c>
      <c r="AQ635"/>
      <c r="AR635"/>
      <c r="AS635">
        <v>65.607659999999996</v>
      </c>
      <c r="AT635">
        <v>73.561229999999995</v>
      </c>
      <c r="AU635">
        <v>89.661379999999994</v>
      </c>
      <c r="AV635">
        <v>27.09083</v>
      </c>
      <c r="AW635">
        <v>77.441779999999994</v>
      </c>
      <c r="AX635"/>
    </row>
    <row r="636" spans="1:50" x14ac:dyDescent="0.35">
      <c r="A636" s="75">
        <v>37196</v>
      </c>
      <c r="B636">
        <v>78.590260000000001</v>
      </c>
      <c r="C636">
        <v>80.024640000000005</v>
      </c>
      <c r="D636"/>
      <c r="E636">
        <v>79.847719999999995</v>
      </c>
      <c r="F636">
        <v>95.798509999999993</v>
      </c>
      <c r="G636">
        <v>72.983860000000007</v>
      </c>
      <c r="H636"/>
      <c r="I636">
        <v>58.457830000000001</v>
      </c>
      <c r="J636">
        <v>38.321219999999997</v>
      </c>
      <c r="K636">
        <v>86.1</v>
      </c>
      <c r="L636">
        <v>84.454800000000006</v>
      </c>
      <c r="M636">
        <v>79.84263</v>
      </c>
      <c r="N636">
        <v>81.97</v>
      </c>
      <c r="O636">
        <v>79.818389999999994</v>
      </c>
      <c r="P636">
        <v>71.909300000000002</v>
      </c>
      <c r="Q636"/>
      <c r="R636">
        <v>84.516490000000005</v>
      </c>
      <c r="S636">
        <v>83.348309999999998</v>
      </c>
      <c r="T636"/>
      <c r="U636">
        <v>81.666370000000001</v>
      </c>
      <c r="V636">
        <v>79.179360000000003</v>
      </c>
      <c r="W636">
        <v>80.026340000000005</v>
      </c>
      <c r="X636">
        <v>59.596299999999999</v>
      </c>
      <c r="Y636"/>
      <c r="Z636"/>
      <c r="AA636">
        <v>78.538179999999997</v>
      </c>
      <c r="AB636">
        <v>50.557400000000001</v>
      </c>
      <c r="AC636">
        <v>80.88409</v>
      </c>
      <c r="AD636">
        <v>79.27422</v>
      </c>
      <c r="AE636">
        <v>102.70910000000001</v>
      </c>
      <c r="AF636">
        <v>72.114450000000005</v>
      </c>
      <c r="AG636">
        <v>79.464699999999993</v>
      </c>
      <c r="AH636">
        <v>77.682789999999997</v>
      </c>
      <c r="AI636">
        <v>65.840680000000006</v>
      </c>
      <c r="AJ636">
        <v>62.989069999999998</v>
      </c>
      <c r="AK636">
        <v>79.778779999999998</v>
      </c>
      <c r="AL636">
        <v>80.470820000000003</v>
      </c>
      <c r="AM636">
        <v>77.713539999999995</v>
      </c>
      <c r="AN636">
        <v>75.805440000000004</v>
      </c>
      <c r="AO636">
        <v>81.743380000000002</v>
      </c>
      <c r="AP636">
        <v>77.438770000000005</v>
      </c>
      <c r="AQ636"/>
      <c r="AR636"/>
      <c r="AS636">
        <v>65.722539999999995</v>
      </c>
      <c r="AT636">
        <v>74.12124</v>
      </c>
      <c r="AU636">
        <v>89.895949999999999</v>
      </c>
      <c r="AV636">
        <v>27.949259999999999</v>
      </c>
      <c r="AW636">
        <v>77.648179999999996</v>
      </c>
      <c r="AX636"/>
    </row>
    <row r="637" spans="1:50" x14ac:dyDescent="0.35">
      <c r="A637" s="75">
        <v>37226</v>
      </c>
      <c r="B637">
        <v>78.82602</v>
      </c>
      <c r="C637">
        <v>80.024979999999999</v>
      </c>
      <c r="D637"/>
      <c r="E637">
        <v>79.900030000000001</v>
      </c>
      <c r="F637">
        <v>95.805260000000004</v>
      </c>
      <c r="G637">
        <v>72.974950000000007</v>
      </c>
      <c r="H637"/>
      <c r="I637">
        <v>58.621319999999997</v>
      </c>
      <c r="J637">
        <v>38.455750000000002</v>
      </c>
      <c r="K637">
        <v>86.1</v>
      </c>
      <c r="L637">
        <v>85.420860000000005</v>
      </c>
      <c r="M637">
        <v>79.912930000000003</v>
      </c>
      <c r="N637">
        <v>82.48</v>
      </c>
      <c r="O637">
        <v>80.142070000000004</v>
      </c>
      <c r="P637">
        <v>71.966059999999999</v>
      </c>
      <c r="Q637"/>
      <c r="R637">
        <v>84.500110000000006</v>
      </c>
      <c r="S637">
        <v>83.555430000000001</v>
      </c>
      <c r="T637"/>
      <c r="U637">
        <v>81.719719999999995</v>
      </c>
      <c r="V637">
        <v>79.380840000000006</v>
      </c>
      <c r="W637">
        <v>80.351200000000006</v>
      </c>
      <c r="X637">
        <v>59.750909999999998</v>
      </c>
      <c r="Y637"/>
      <c r="Z637"/>
      <c r="AA637">
        <v>78.87527</v>
      </c>
      <c r="AB637">
        <v>50.983229999999999</v>
      </c>
      <c r="AC637">
        <v>80.88409</v>
      </c>
      <c r="AD637">
        <v>79.317869999999999</v>
      </c>
      <c r="AE637">
        <v>102.6944</v>
      </c>
      <c r="AF637">
        <v>72.322860000000006</v>
      </c>
      <c r="AG637">
        <v>79.222499999999997</v>
      </c>
      <c r="AH637">
        <v>77.734840000000005</v>
      </c>
      <c r="AI637">
        <v>65.571479999999994</v>
      </c>
      <c r="AJ637">
        <v>63.130290000000002</v>
      </c>
      <c r="AK637">
        <v>79.435479999999998</v>
      </c>
      <c r="AL637">
        <v>80.735470000000007</v>
      </c>
      <c r="AM637">
        <v>77.832819999999998</v>
      </c>
      <c r="AN637">
        <v>76.190899999999999</v>
      </c>
      <c r="AO637">
        <v>81.829840000000004</v>
      </c>
      <c r="AP637">
        <v>77.517039999999994</v>
      </c>
      <c r="AQ637"/>
      <c r="AR637"/>
      <c r="AS637">
        <v>65.947100000000006</v>
      </c>
      <c r="AT637">
        <v>74.291240000000002</v>
      </c>
      <c r="AU637">
        <v>89.996480000000005</v>
      </c>
      <c r="AV637">
        <v>28.573650000000001</v>
      </c>
      <c r="AW637">
        <v>77.524339999999995</v>
      </c>
      <c r="AX637"/>
    </row>
    <row r="638" spans="1:50" x14ac:dyDescent="0.35">
      <c r="A638" s="75">
        <v>37257</v>
      </c>
      <c r="B638">
        <v>78.711939999999998</v>
      </c>
      <c r="C638">
        <v>80.245249999999999</v>
      </c>
      <c r="D638"/>
      <c r="E638">
        <v>79.767380000000003</v>
      </c>
      <c r="F638">
        <v>95.728149999999999</v>
      </c>
      <c r="G638">
        <v>73.07302</v>
      </c>
      <c r="H638"/>
      <c r="I638">
        <v>59.038240000000002</v>
      </c>
      <c r="J638">
        <v>38.819180000000003</v>
      </c>
      <c r="K638">
        <v>86.6</v>
      </c>
      <c r="L638">
        <v>85.034599999999998</v>
      </c>
      <c r="M638">
        <v>79.673680000000004</v>
      </c>
      <c r="N638">
        <v>82.09</v>
      </c>
      <c r="O638">
        <v>79.685829999999996</v>
      </c>
      <c r="P638">
        <v>72.476860000000002</v>
      </c>
      <c r="Q638"/>
      <c r="R638">
        <v>84.385400000000004</v>
      </c>
      <c r="S638">
        <v>83.725070000000002</v>
      </c>
      <c r="T638"/>
      <c r="U638">
        <v>81.691090000000003</v>
      </c>
      <c r="V638">
        <v>78.87715</v>
      </c>
      <c r="W638">
        <v>79.266810000000007</v>
      </c>
      <c r="X638">
        <v>60.408859999999997</v>
      </c>
      <c r="Y638"/>
      <c r="Z638"/>
      <c r="AA638">
        <v>79.993099999999998</v>
      </c>
      <c r="AB638">
        <v>51.292960000000001</v>
      </c>
      <c r="AC638">
        <v>81.896410000000003</v>
      </c>
      <c r="AD638">
        <v>79.671459999999996</v>
      </c>
      <c r="AE638">
        <v>101.9362</v>
      </c>
      <c r="AF638">
        <v>72.601089999999999</v>
      </c>
      <c r="AG638">
        <v>79.054299999999998</v>
      </c>
      <c r="AH638">
        <v>76.587999999999994</v>
      </c>
      <c r="AI638">
        <v>65.51379</v>
      </c>
      <c r="AJ638">
        <v>62.791829999999997</v>
      </c>
      <c r="AK638">
        <v>79.689120000000003</v>
      </c>
      <c r="AL638">
        <v>80.503479999999996</v>
      </c>
      <c r="AM638">
        <v>77.888249999999999</v>
      </c>
      <c r="AN638">
        <v>76.271199999999993</v>
      </c>
      <c r="AO638">
        <v>82.572220000000002</v>
      </c>
      <c r="AP638">
        <v>77.700199999999995</v>
      </c>
      <c r="AQ638"/>
      <c r="AR638"/>
      <c r="AS638">
        <v>66.463939999999994</v>
      </c>
      <c r="AT638">
        <v>75.181250000000006</v>
      </c>
      <c r="AU638">
        <v>89.195570000000004</v>
      </c>
      <c r="AV638">
        <v>29.767939999999999</v>
      </c>
      <c r="AW638">
        <v>77.689459999999997</v>
      </c>
      <c r="AX638">
        <v>54.588859999999997</v>
      </c>
    </row>
    <row r="639" spans="1:50" x14ac:dyDescent="0.35">
      <c r="A639" s="75">
        <v>37288</v>
      </c>
      <c r="B639">
        <v>78.940089999999998</v>
      </c>
      <c r="C639">
        <v>80.632159999999999</v>
      </c>
      <c r="D639"/>
      <c r="E639">
        <v>80.262799999999999</v>
      </c>
      <c r="F639">
        <v>95.836089999999999</v>
      </c>
      <c r="G639">
        <v>73.340490000000003</v>
      </c>
      <c r="H639"/>
      <c r="I639">
        <v>59.66769</v>
      </c>
      <c r="J639">
        <v>39.189129999999999</v>
      </c>
      <c r="K639">
        <v>87</v>
      </c>
      <c r="L639">
        <v>85.375600000000006</v>
      </c>
      <c r="M639">
        <v>80.376159999999999</v>
      </c>
      <c r="N639">
        <v>82.3</v>
      </c>
      <c r="O639">
        <v>79.776210000000006</v>
      </c>
      <c r="P639">
        <v>72.760639999999995</v>
      </c>
      <c r="Q639"/>
      <c r="R639">
        <v>84.631200000000007</v>
      </c>
      <c r="S639">
        <v>83.905910000000006</v>
      </c>
      <c r="T639"/>
      <c r="U639">
        <v>81.978390000000005</v>
      </c>
      <c r="V639">
        <v>78.977890000000002</v>
      </c>
      <c r="W639">
        <v>78.59093</v>
      </c>
      <c r="X639">
        <v>60.938459999999999</v>
      </c>
      <c r="Y639"/>
      <c r="Z639"/>
      <c r="AA639">
        <v>80.596310000000003</v>
      </c>
      <c r="AB639">
        <v>51.169870000000003</v>
      </c>
      <c r="AC639">
        <v>82.70626</v>
      </c>
      <c r="AD639">
        <v>79.957890000000006</v>
      </c>
      <c r="AE639">
        <v>101.6084</v>
      </c>
      <c r="AF639">
        <v>72.808440000000004</v>
      </c>
      <c r="AG639">
        <v>78.8352</v>
      </c>
      <c r="AH639">
        <v>77.680080000000004</v>
      </c>
      <c r="AI639">
        <v>65.331109999999995</v>
      </c>
      <c r="AJ639">
        <v>62.998539999999998</v>
      </c>
      <c r="AK639">
        <v>80.194400000000002</v>
      </c>
      <c r="AL639">
        <v>80.605599999999995</v>
      </c>
      <c r="AM639">
        <v>78.166569999999993</v>
      </c>
      <c r="AN639">
        <v>76.518240000000006</v>
      </c>
      <c r="AO639">
        <v>82.67886</v>
      </c>
      <c r="AP639">
        <v>77.590119999999999</v>
      </c>
      <c r="AQ639"/>
      <c r="AR639"/>
      <c r="AS639">
        <v>66.584800000000001</v>
      </c>
      <c r="AT639">
        <v>75.731260000000006</v>
      </c>
      <c r="AU639">
        <v>89.500519999999995</v>
      </c>
      <c r="AV639">
        <v>30.17877</v>
      </c>
      <c r="AW639">
        <v>78.102260000000001</v>
      </c>
      <c r="AX639">
        <v>55.290149999999997</v>
      </c>
    </row>
    <row r="640" spans="1:50" x14ac:dyDescent="0.35">
      <c r="A640" s="75">
        <v>37316</v>
      </c>
      <c r="B640">
        <v>79.145420000000001</v>
      </c>
      <c r="C640">
        <v>80.705209999999994</v>
      </c>
      <c r="D640"/>
      <c r="E640">
        <v>80.699129999999997</v>
      </c>
      <c r="F640">
        <v>95.845740000000006</v>
      </c>
      <c r="G640">
        <v>73.786280000000005</v>
      </c>
      <c r="H640"/>
      <c r="I640">
        <v>60.076439999999998</v>
      </c>
      <c r="J640">
        <v>39.615479999999998</v>
      </c>
      <c r="K640">
        <v>86.9</v>
      </c>
      <c r="L640">
        <v>85.479219999999998</v>
      </c>
      <c r="M640">
        <v>80.863550000000004</v>
      </c>
      <c r="N640">
        <v>82.79</v>
      </c>
      <c r="O640">
        <v>80.423609999999996</v>
      </c>
      <c r="P640">
        <v>72.987660000000005</v>
      </c>
      <c r="Q640"/>
      <c r="R640">
        <v>84.983530000000002</v>
      </c>
      <c r="S640">
        <v>84.312060000000002</v>
      </c>
      <c r="T640"/>
      <c r="U640">
        <v>82.24109</v>
      </c>
      <c r="V640">
        <v>79.280100000000004</v>
      </c>
      <c r="W640">
        <v>80.936920000000001</v>
      </c>
      <c r="X640">
        <v>61.378489999999999</v>
      </c>
      <c r="Y640"/>
      <c r="Z640"/>
      <c r="AA640">
        <v>81.439639999999997</v>
      </c>
      <c r="AB640">
        <v>51.625630000000001</v>
      </c>
      <c r="AC640">
        <v>83.313649999999996</v>
      </c>
      <c r="AD640">
        <v>80.189170000000004</v>
      </c>
      <c r="AE640">
        <v>101.9276</v>
      </c>
      <c r="AF640">
        <v>73.431560000000005</v>
      </c>
      <c r="AG640">
        <v>78.545000000000002</v>
      </c>
      <c r="AH640">
        <v>77.778589999999994</v>
      </c>
      <c r="AI640">
        <v>65.879140000000007</v>
      </c>
      <c r="AJ640">
        <v>63.279429999999998</v>
      </c>
      <c r="AK640">
        <v>80.951930000000004</v>
      </c>
      <c r="AL640">
        <v>81.075199999999995</v>
      </c>
      <c r="AM640">
        <v>78.491069999999993</v>
      </c>
      <c r="AN640">
        <v>76.905280000000005</v>
      </c>
      <c r="AO640">
        <v>82.764560000000003</v>
      </c>
      <c r="AP640">
        <v>77.998530000000002</v>
      </c>
      <c r="AQ640"/>
      <c r="AR640"/>
      <c r="AS640">
        <v>66.718019999999996</v>
      </c>
      <c r="AT640">
        <v>76.361270000000005</v>
      </c>
      <c r="AU640">
        <v>90.086960000000005</v>
      </c>
      <c r="AV640">
        <v>30.74061</v>
      </c>
      <c r="AW640">
        <v>78.349950000000007</v>
      </c>
      <c r="AX640">
        <v>55.754980000000003</v>
      </c>
    </row>
    <row r="641" spans="1:50" x14ac:dyDescent="0.35">
      <c r="A641" s="75">
        <v>37347</v>
      </c>
      <c r="B641">
        <v>79.38879</v>
      </c>
      <c r="C641">
        <v>80.530879999999996</v>
      </c>
      <c r="D641"/>
      <c r="E641">
        <v>81.100589999999997</v>
      </c>
      <c r="F641">
        <v>96.529589999999999</v>
      </c>
      <c r="G641">
        <v>73.750619999999998</v>
      </c>
      <c r="H641"/>
      <c r="I641">
        <v>60.427950000000003</v>
      </c>
      <c r="J641">
        <v>39.794490000000003</v>
      </c>
      <c r="K641">
        <v>87</v>
      </c>
      <c r="L641">
        <v>85.177180000000007</v>
      </c>
      <c r="M641">
        <v>81.025059999999996</v>
      </c>
      <c r="N641">
        <v>83.05</v>
      </c>
      <c r="O641">
        <v>81.473529999999997</v>
      </c>
      <c r="P641">
        <v>72.930909999999997</v>
      </c>
      <c r="Q641"/>
      <c r="R641">
        <v>85.344040000000007</v>
      </c>
      <c r="S641">
        <v>84.521069999999995</v>
      </c>
      <c r="T641"/>
      <c r="U641">
        <v>82.420950000000005</v>
      </c>
      <c r="V641">
        <v>79.582310000000007</v>
      </c>
      <c r="W641">
        <v>81.37764</v>
      </c>
      <c r="X641">
        <v>61.822159999999997</v>
      </c>
      <c r="Y641"/>
      <c r="Z641"/>
      <c r="AA641">
        <v>82.04392</v>
      </c>
      <c r="AB641">
        <v>51.832799999999999</v>
      </c>
      <c r="AC641">
        <v>84.427199999999999</v>
      </c>
      <c r="AD641">
        <v>80.273319999999998</v>
      </c>
      <c r="AE641">
        <v>102.27460000000001</v>
      </c>
      <c r="AF641">
        <v>73.778559999999999</v>
      </c>
      <c r="AG641">
        <v>78.739800000000002</v>
      </c>
      <c r="AH641">
        <v>77.920330000000007</v>
      </c>
      <c r="AI641">
        <v>66.061819999999997</v>
      </c>
      <c r="AJ641">
        <v>63.570349999999998</v>
      </c>
      <c r="AK641">
        <v>81.3429</v>
      </c>
      <c r="AL641">
        <v>81.232089999999999</v>
      </c>
      <c r="AM641">
        <v>78.768749999999997</v>
      </c>
      <c r="AN641">
        <v>77.207329999999999</v>
      </c>
      <c r="AO641">
        <v>83.007530000000003</v>
      </c>
      <c r="AP641">
        <v>78.783990000000003</v>
      </c>
      <c r="AQ641"/>
      <c r="AR641"/>
      <c r="AS641">
        <v>66.724429999999998</v>
      </c>
      <c r="AT641">
        <v>77.241290000000006</v>
      </c>
      <c r="AU641">
        <v>90.529300000000006</v>
      </c>
      <c r="AV641">
        <v>31.5685</v>
      </c>
      <c r="AW641">
        <v>78.556340000000006</v>
      </c>
      <c r="AX641">
        <v>56.64676</v>
      </c>
    </row>
    <row r="642" spans="1:50" x14ac:dyDescent="0.35">
      <c r="A642" s="75">
        <v>37377</v>
      </c>
      <c r="B642">
        <v>79.677779999999998</v>
      </c>
      <c r="C642">
        <v>80.636150000000001</v>
      </c>
      <c r="D642"/>
      <c r="E642">
        <v>81.439639999999997</v>
      </c>
      <c r="F642">
        <v>96.689319999999995</v>
      </c>
      <c r="G642">
        <v>73.884349999999998</v>
      </c>
      <c r="H642"/>
      <c r="I642">
        <v>60.599620000000002</v>
      </c>
      <c r="J642">
        <v>40.067880000000002</v>
      </c>
      <c r="K642">
        <v>86.9</v>
      </c>
      <c r="L642">
        <v>85.421790000000001</v>
      </c>
      <c r="M642">
        <v>81.095330000000004</v>
      </c>
      <c r="N642">
        <v>83.28</v>
      </c>
      <c r="O642">
        <v>81.765699999999995</v>
      </c>
      <c r="P642">
        <v>72.987660000000005</v>
      </c>
      <c r="Q642"/>
      <c r="R642">
        <v>85.450559999999996</v>
      </c>
      <c r="S642">
        <v>84.648219999999995</v>
      </c>
      <c r="T642"/>
      <c r="U642">
        <v>82.482489999999999</v>
      </c>
      <c r="V642">
        <v>79.884519999999995</v>
      </c>
      <c r="W642">
        <v>81.872990000000001</v>
      </c>
      <c r="X642">
        <v>62.091990000000003</v>
      </c>
      <c r="Y642"/>
      <c r="Z642"/>
      <c r="AA642">
        <v>82.408100000000005</v>
      </c>
      <c r="AB642">
        <v>51.853499999999997</v>
      </c>
      <c r="AC642">
        <v>85.439509999999999</v>
      </c>
      <c r="AD642">
        <v>80.467479999999995</v>
      </c>
      <c r="AE642">
        <v>102.3096</v>
      </c>
      <c r="AF642">
        <v>73.917150000000007</v>
      </c>
      <c r="AG642">
        <v>78.816699999999997</v>
      </c>
      <c r="AH642">
        <v>78.088250000000002</v>
      </c>
      <c r="AI642">
        <v>66.148349999999994</v>
      </c>
      <c r="AJ642">
        <v>63.704569999999997</v>
      </c>
      <c r="AK642">
        <v>81.411580000000001</v>
      </c>
      <c r="AL642">
        <v>81.560680000000005</v>
      </c>
      <c r="AM642">
        <v>78.895679999999999</v>
      </c>
      <c r="AN642">
        <v>77.499709999999993</v>
      </c>
      <c r="AO642">
        <v>83.173869999999994</v>
      </c>
      <c r="AP642">
        <v>79.41113</v>
      </c>
      <c r="AQ642"/>
      <c r="AR642"/>
      <c r="AS642">
        <v>66.88758</v>
      </c>
      <c r="AT642">
        <v>77.711299999999994</v>
      </c>
      <c r="AU642">
        <v>90.894570000000002</v>
      </c>
      <c r="AV642">
        <v>32.234990000000003</v>
      </c>
      <c r="AW642">
        <v>78.515069999999994</v>
      </c>
      <c r="AX642">
        <v>56.809330000000003</v>
      </c>
    </row>
    <row r="643" spans="1:50" x14ac:dyDescent="0.35">
      <c r="A643" s="75">
        <v>37408</v>
      </c>
      <c r="B643">
        <v>80.027609999999996</v>
      </c>
      <c r="C643">
        <v>80.685910000000007</v>
      </c>
      <c r="D643"/>
      <c r="E643">
        <v>81.688659999999999</v>
      </c>
      <c r="F643">
        <v>96.648669999999996</v>
      </c>
      <c r="G643">
        <v>73.893259999999998</v>
      </c>
      <c r="H643"/>
      <c r="I643">
        <v>60.746769999999998</v>
      </c>
      <c r="J643">
        <v>40.271839999999997</v>
      </c>
      <c r="K643">
        <v>87.1</v>
      </c>
      <c r="L643">
        <v>85.589209999999994</v>
      </c>
      <c r="M643">
        <v>81.144599999999997</v>
      </c>
      <c r="N643">
        <v>83.37</v>
      </c>
      <c r="O643">
        <v>81.918099999999995</v>
      </c>
      <c r="P643">
        <v>73.157929999999993</v>
      </c>
      <c r="Q643"/>
      <c r="R643">
        <v>85.434169999999995</v>
      </c>
      <c r="S643">
        <v>84.733549999999994</v>
      </c>
      <c r="T643"/>
      <c r="U643">
        <v>82.504800000000003</v>
      </c>
      <c r="V643">
        <v>79.985259999999997</v>
      </c>
      <c r="W643">
        <v>81.820899999999995</v>
      </c>
      <c r="X643">
        <v>62.20214</v>
      </c>
      <c r="Y643"/>
      <c r="Z643"/>
      <c r="AA643">
        <v>82.511369999999999</v>
      </c>
      <c r="AB643">
        <v>51.995019999999997</v>
      </c>
      <c r="AC643">
        <v>86.755520000000004</v>
      </c>
      <c r="AD643">
        <v>80.618859999999998</v>
      </c>
      <c r="AE643">
        <v>102.27209999999999</v>
      </c>
      <c r="AF643">
        <v>73.917150000000007</v>
      </c>
      <c r="AG643">
        <v>78.736599999999996</v>
      </c>
      <c r="AH643">
        <v>78.209469999999996</v>
      </c>
      <c r="AI643">
        <v>65.763769999999994</v>
      </c>
      <c r="AJ643">
        <v>63.90831</v>
      </c>
      <c r="AK643">
        <v>81.183980000000005</v>
      </c>
      <c r="AL643">
        <v>81.619240000000005</v>
      </c>
      <c r="AM643">
        <v>78.974180000000004</v>
      </c>
      <c r="AN643">
        <v>77.687939999999998</v>
      </c>
      <c r="AO643">
        <v>83.279870000000003</v>
      </c>
      <c r="AP643">
        <v>79.741709999999998</v>
      </c>
      <c r="AQ643"/>
      <c r="AR643"/>
      <c r="AS643">
        <v>66.982460000000003</v>
      </c>
      <c r="AT643">
        <v>77.871300000000005</v>
      </c>
      <c r="AU643">
        <v>90.948189999999997</v>
      </c>
      <c r="AV643">
        <v>32.918529999999997</v>
      </c>
      <c r="AW643">
        <v>78.473789999999994</v>
      </c>
      <c r="AX643">
        <v>57.258299999999998</v>
      </c>
    </row>
    <row r="644" spans="1:50" x14ac:dyDescent="0.35">
      <c r="A644" s="75">
        <v>37438</v>
      </c>
      <c r="B644">
        <v>79.951560000000001</v>
      </c>
      <c r="C644">
        <v>80.944630000000004</v>
      </c>
      <c r="D644"/>
      <c r="E644">
        <v>82.184240000000003</v>
      </c>
      <c r="F644">
        <v>96.023349999999994</v>
      </c>
      <c r="G644">
        <v>73.920010000000005</v>
      </c>
      <c r="H644"/>
      <c r="I644">
        <v>60.877560000000003</v>
      </c>
      <c r="J644">
        <v>40.676490000000001</v>
      </c>
      <c r="K644">
        <v>88.2</v>
      </c>
      <c r="L644">
        <v>85.77919</v>
      </c>
      <c r="M644">
        <v>80.948170000000005</v>
      </c>
      <c r="N644">
        <v>83.3</v>
      </c>
      <c r="O644">
        <v>80.906009999999995</v>
      </c>
      <c r="P644">
        <v>73.101169999999996</v>
      </c>
      <c r="Q644"/>
      <c r="R644">
        <v>85.122820000000004</v>
      </c>
      <c r="S644">
        <v>84.888630000000006</v>
      </c>
      <c r="T644"/>
      <c r="U644">
        <v>82.556730000000002</v>
      </c>
      <c r="V644">
        <v>79.683040000000005</v>
      </c>
      <c r="W644">
        <v>80.242490000000004</v>
      </c>
      <c r="X644">
        <v>62.104810000000001</v>
      </c>
      <c r="Y644"/>
      <c r="Z644"/>
      <c r="AA644">
        <v>82.022819999999996</v>
      </c>
      <c r="AB644">
        <v>52.092109999999998</v>
      </c>
      <c r="AC644">
        <v>87.059219999999996</v>
      </c>
      <c r="AD644">
        <v>80.816839999999999</v>
      </c>
      <c r="AE644">
        <v>101.9606</v>
      </c>
      <c r="AF644">
        <v>73.986969999999999</v>
      </c>
      <c r="AG644">
        <v>78.883099999999999</v>
      </c>
      <c r="AH644">
        <v>77.49709</v>
      </c>
      <c r="AI644">
        <v>65.946439999999996</v>
      </c>
      <c r="AJ644">
        <v>64.059200000000004</v>
      </c>
      <c r="AK644">
        <v>80.910669999999996</v>
      </c>
      <c r="AL644">
        <v>81.40849</v>
      </c>
      <c r="AM644">
        <v>79.022260000000003</v>
      </c>
      <c r="AN644">
        <v>77.691699999999997</v>
      </c>
      <c r="AO644">
        <v>83.489519999999999</v>
      </c>
      <c r="AP644">
        <v>79.907650000000004</v>
      </c>
      <c r="AQ644"/>
      <c r="AR644"/>
      <c r="AS644">
        <v>67.243179999999995</v>
      </c>
      <c r="AT644">
        <v>78.66131</v>
      </c>
      <c r="AU644">
        <v>90.479029999999995</v>
      </c>
      <c r="AV644">
        <v>33.567659999999997</v>
      </c>
      <c r="AW644">
        <v>78.556340000000006</v>
      </c>
      <c r="AX644">
        <v>58.258629999999997</v>
      </c>
    </row>
    <row r="645" spans="1:50" x14ac:dyDescent="0.35">
      <c r="A645" s="75">
        <v>37469</v>
      </c>
      <c r="B645">
        <v>80.217740000000006</v>
      </c>
      <c r="C645">
        <v>80.993780000000001</v>
      </c>
      <c r="D645"/>
      <c r="E645">
        <v>82.409989999999993</v>
      </c>
      <c r="F645">
        <v>96.058170000000004</v>
      </c>
      <c r="G645">
        <v>74.098330000000004</v>
      </c>
      <c r="H645"/>
      <c r="I645">
        <v>60.959310000000002</v>
      </c>
      <c r="J645">
        <v>40.933610000000002</v>
      </c>
      <c r="K645">
        <v>88.2</v>
      </c>
      <c r="L645">
        <v>85.748540000000006</v>
      </c>
      <c r="M645">
        <v>81.091970000000003</v>
      </c>
      <c r="N645">
        <v>83.38</v>
      </c>
      <c r="O645">
        <v>81.08887</v>
      </c>
      <c r="P645">
        <v>73.271439999999998</v>
      </c>
      <c r="Q645"/>
      <c r="R645">
        <v>85.434169999999995</v>
      </c>
      <c r="S645">
        <v>85.136250000000004</v>
      </c>
      <c r="T645"/>
      <c r="U645">
        <v>82.791610000000006</v>
      </c>
      <c r="V645">
        <v>79.985259999999997</v>
      </c>
      <c r="W645">
        <v>80.310360000000003</v>
      </c>
      <c r="X645">
        <v>62.092120000000001</v>
      </c>
      <c r="Y645"/>
      <c r="Z645"/>
      <c r="AA645">
        <v>82.671620000000004</v>
      </c>
      <c r="AB645">
        <v>51.832799999999999</v>
      </c>
      <c r="AC645">
        <v>86.249369999999999</v>
      </c>
      <c r="AD645">
        <v>81.027889999999999</v>
      </c>
      <c r="AE645">
        <v>102.0981</v>
      </c>
      <c r="AF645">
        <v>74.124499999999998</v>
      </c>
      <c r="AG645">
        <v>78.657200000000003</v>
      </c>
      <c r="AH645">
        <v>78.466080000000005</v>
      </c>
      <c r="AI645">
        <v>65.946439999999996</v>
      </c>
      <c r="AJ645">
        <v>64.293319999999994</v>
      </c>
      <c r="AK645">
        <v>81.274640000000005</v>
      </c>
      <c r="AL645">
        <v>81.031289999999998</v>
      </c>
      <c r="AM645">
        <v>79.267269999999996</v>
      </c>
      <c r="AN645">
        <v>77.950519999999997</v>
      </c>
      <c r="AO645">
        <v>83.485659999999996</v>
      </c>
      <c r="AP645">
        <v>79.959400000000002</v>
      </c>
      <c r="AQ645"/>
      <c r="AR645"/>
      <c r="AS645">
        <v>67.831639999999993</v>
      </c>
      <c r="AT645">
        <v>78.66131</v>
      </c>
      <c r="AU645">
        <v>90.489090000000004</v>
      </c>
      <c r="AV645">
        <v>34.46078</v>
      </c>
      <c r="AW645">
        <v>78.845309999999998</v>
      </c>
      <c r="AX645">
        <v>58.452530000000003</v>
      </c>
    </row>
    <row r="646" spans="1:50" x14ac:dyDescent="0.35">
      <c r="A646" s="75">
        <v>37500</v>
      </c>
      <c r="B646">
        <v>80.096050000000005</v>
      </c>
      <c r="C646">
        <v>81.025599999999997</v>
      </c>
      <c r="D646"/>
      <c r="E646">
        <v>82.476039999999998</v>
      </c>
      <c r="F646">
        <v>96.058769999999996</v>
      </c>
      <c r="G646">
        <v>74.321219999999997</v>
      </c>
      <c r="H646"/>
      <c r="I646">
        <v>61.065579999999997</v>
      </c>
      <c r="J646">
        <v>41.152760000000001</v>
      </c>
      <c r="K646">
        <v>87.2</v>
      </c>
      <c r="L646">
        <v>85.684190000000001</v>
      </c>
      <c r="M646">
        <v>81.56541</v>
      </c>
      <c r="N646">
        <v>83.57</v>
      </c>
      <c r="O646">
        <v>81.313789999999997</v>
      </c>
      <c r="P646">
        <v>73.611969999999999</v>
      </c>
      <c r="Q646"/>
      <c r="R646">
        <v>85.802880000000002</v>
      </c>
      <c r="S646">
        <v>85.200329999999994</v>
      </c>
      <c r="T646"/>
      <c r="U646">
        <v>82.891540000000006</v>
      </c>
      <c r="V646">
        <v>80.186729999999997</v>
      </c>
      <c r="W646">
        <v>82.229789999999994</v>
      </c>
      <c r="X646">
        <v>62.411290000000001</v>
      </c>
      <c r="Y646"/>
      <c r="Z646"/>
      <c r="AA646">
        <v>83.134910000000005</v>
      </c>
      <c r="AB646">
        <v>52.039969999999997</v>
      </c>
      <c r="AC646">
        <v>86.3506</v>
      </c>
      <c r="AD646">
        <v>81.102419999999995</v>
      </c>
      <c r="AE646">
        <v>102.1925</v>
      </c>
      <c r="AF646">
        <v>74.332920000000001</v>
      </c>
      <c r="AG646">
        <v>78.804000000000002</v>
      </c>
      <c r="AH646">
        <v>78.594849999999994</v>
      </c>
      <c r="AI646">
        <v>66.609849999999994</v>
      </c>
      <c r="AJ646">
        <v>64.746619999999993</v>
      </c>
      <c r="AK646">
        <v>82.206440000000001</v>
      </c>
      <c r="AL646">
        <v>81.3964</v>
      </c>
      <c r="AM646">
        <v>79.463579999999993</v>
      </c>
      <c r="AN646">
        <v>78.227919999999997</v>
      </c>
      <c r="AO646">
        <v>83.416129999999995</v>
      </c>
      <c r="AP646">
        <v>80.075940000000003</v>
      </c>
      <c r="AQ646"/>
      <c r="AR646"/>
      <c r="AS646">
        <v>67.946039999999996</v>
      </c>
      <c r="AT646">
        <v>79.07132</v>
      </c>
      <c r="AU646">
        <v>91.313450000000003</v>
      </c>
      <c r="AV646">
        <v>35.445309999999999</v>
      </c>
      <c r="AW646">
        <v>78.969149999999999</v>
      </c>
      <c r="AX646">
        <v>58.839350000000003</v>
      </c>
    </row>
    <row r="647" spans="1:50" x14ac:dyDescent="0.35">
      <c r="A647" s="75">
        <v>37530</v>
      </c>
      <c r="B647">
        <v>80.080839999999995</v>
      </c>
      <c r="C647">
        <v>80.911879999999996</v>
      </c>
      <c r="D647"/>
      <c r="E647">
        <v>82.618989999999997</v>
      </c>
      <c r="F647">
        <v>96.734300000000005</v>
      </c>
      <c r="G647">
        <v>74.544110000000003</v>
      </c>
      <c r="H647"/>
      <c r="I647">
        <v>61.237250000000003</v>
      </c>
      <c r="J647">
        <v>41.31223</v>
      </c>
      <c r="K647">
        <v>87.2</v>
      </c>
      <c r="L647">
        <v>85.565560000000005</v>
      </c>
      <c r="M647">
        <v>81.75949</v>
      </c>
      <c r="N647">
        <v>83.77</v>
      </c>
      <c r="O647">
        <v>82.435169999999999</v>
      </c>
      <c r="P647">
        <v>74.066019999999995</v>
      </c>
      <c r="Q647"/>
      <c r="R647">
        <v>86.114230000000006</v>
      </c>
      <c r="S647">
        <v>85.257549999999995</v>
      </c>
      <c r="T647"/>
      <c r="U647">
        <v>83.011600000000001</v>
      </c>
      <c r="V647">
        <v>80.388210000000001</v>
      </c>
      <c r="W647">
        <v>82.587599999999995</v>
      </c>
      <c r="X647">
        <v>62.697659999999999</v>
      </c>
      <c r="Y647"/>
      <c r="Z647"/>
      <c r="AA647">
        <v>83.543980000000005</v>
      </c>
      <c r="AB647">
        <v>52.33</v>
      </c>
      <c r="AC647">
        <v>86.856759999999994</v>
      </c>
      <c r="AD647">
        <v>81.270070000000004</v>
      </c>
      <c r="AE647">
        <v>101.992</v>
      </c>
      <c r="AF647">
        <v>74.541319999999999</v>
      </c>
      <c r="AG647">
        <v>79.214699999999993</v>
      </c>
      <c r="AH647">
        <v>78.841210000000004</v>
      </c>
      <c r="AI647">
        <v>67.052120000000002</v>
      </c>
      <c r="AJ647">
        <v>64.909009999999995</v>
      </c>
      <c r="AK647">
        <v>82.136690000000002</v>
      </c>
      <c r="AL647">
        <v>81.723269999999999</v>
      </c>
      <c r="AM647">
        <v>79.677840000000003</v>
      </c>
      <c r="AN647">
        <v>78.526619999999994</v>
      </c>
      <c r="AO647">
        <v>83.261020000000002</v>
      </c>
      <c r="AP647">
        <v>80.693190000000001</v>
      </c>
      <c r="AQ647"/>
      <c r="AR647"/>
      <c r="AS647">
        <v>68.029300000000006</v>
      </c>
      <c r="AT647">
        <v>79.571330000000003</v>
      </c>
      <c r="AU647">
        <v>91.708879999999994</v>
      </c>
      <c r="AV647">
        <v>36.446899999999999</v>
      </c>
      <c r="AW647">
        <v>79.175550000000001</v>
      </c>
      <c r="AX647">
        <v>59.693869999999997</v>
      </c>
    </row>
    <row r="648" spans="1:50" x14ac:dyDescent="0.35">
      <c r="A648" s="75">
        <v>37561</v>
      </c>
      <c r="B648">
        <v>80.042820000000006</v>
      </c>
      <c r="C648">
        <v>81.06644</v>
      </c>
      <c r="D648"/>
      <c r="E648">
        <v>82.812539999999998</v>
      </c>
      <c r="F648">
        <v>96.729029999999995</v>
      </c>
      <c r="G648">
        <v>74.365799999999993</v>
      </c>
      <c r="H648"/>
      <c r="I648">
        <v>61.482489999999999</v>
      </c>
      <c r="J648">
        <v>41.647460000000002</v>
      </c>
      <c r="K648">
        <v>87.1</v>
      </c>
      <c r="L648">
        <v>85.475340000000003</v>
      </c>
      <c r="M648">
        <v>81.913570000000007</v>
      </c>
      <c r="N648">
        <v>83.85</v>
      </c>
      <c r="O648">
        <v>82.889200000000002</v>
      </c>
      <c r="P648">
        <v>74.009259999999998</v>
      </c>
      <c r="Q648"/>
      <c r="R648">
        <v>85.909400000000005</v>
      </c>
      <c r="S648">
        <v>85.331530000000001</v>
      </c>
      <c r="T648"/>
      <c r="U648">
        <v>83.031490000000005</v>
      </c>
      <c r="V648">
        <v>80.388210000000001</v>
      </c>
      <c r="W648">
        <v>82.75027</v>
      </c>
      <c r="X648">
        <v>62.893909999999998</v>
      </c>
      <c r="Y648"/>
      <c r="Z648"/>
      <c r="AA648">
        <v>83.701160000000002</v>
      </c>
      <c r="AB648">
        <v>52.371429999999997</v>
      </c>
      <c r="AC648">
        <v>86.148129999999995</v>
      </c>
      <c r="AD648">
        <v>81.584800000000001</v>
      </c>
      <c r="AE648">
        <v>101.9355</v>
      </c>
      <c r="AF648">
        <v>74.67886</v>
      </c>
      <c r="AG648">
        <v>79.337000000000003</v>
      </c>
      <c r="AH648">
        <v>78.988590000000002</v>
      </c>
      <c r="AI648">
        <v>66.927130000000005</v>
      </c>
      <c r="AJ648">
        <v>65.116500000000002</v>
      </c>
      <c r="AK648">
        <v>82.022099999999995</v>
      </c>
      <c r="AL648">
        <v>81.755179999999996</v>
      </c>
      <c r="AM648">
        <v>79.767790000000005</v>
      </c>
      <c r="AN648">
        <v>78.718350000000001</v>
      </c>
      <c r="AO648">
        <v>83.216250000000002</v>
      </c>
      <c r="AP648">
        <v>81.329740000000001</v>
      </c>
      <c r="AQ648"/>
      <c r="AR648"/>
      <c r="AS648">
        <v>68.200699999999998</v>
      </c>
      <c r="AT648">
        <v>79.661330000000007</v>
      </c>
      <c r="AU648">
        <v>91.799359999999993</v>
      </c>
      <c r="AV648">
        <v>37.253309999999999</v>
      </c>
      <c r="AW648">
        <v>79.175550000000001</v>
      </c>
      <c r="AX648">
        <v>60.485219999999998</v>
      </c>
    </row>
    <row r="649" spans="1:50" x14ac:dyDescent="0.35">
      <c r="A649" s="75">
        <v>37591</v>
      </c>
      <c r="B649">
        <v>80.354619999999997</v>
      </c>
      <c r="C649">
        <v>81.227869999999996</v>
      </c>
      <c r="D649"/>
      <c r="E649">
        <v>82.874070000000003</v>
      </c>
      <c r="F649">
        <v>96.703310000000002</v>
      </c>
      <c r="G649">
        <v>74.258809999999997</v>
      </c>
      <c r="H649"/>
      <c r="I649">
        <v>61.678690000000003</v>
      </c>
      <c r="J649">
        <v>41.934959999999997</v>
      </c>
      <c r="K649">
        <v>87.1</v>
      </c>
      <c r="L649">
        <v>86.336690000000004</v>
      </c>
      <c r="M649">
        <v>81.93244</v>
      </c>
      <c r="N649">
        <v>84.29</v>
      </c>
      <c r="O649">
        <v>83.03107</v>
      </c>
      <c r="P649">
        <v>73.838999999999999</v>
      </c>
      <c r="Q649"/>
      <c r="R649">
        <v>85.860240000000005</v>
      </c>
      <c r="S649">
        <v>85.484409999999997</v>
      </c>
      <c r="T649"/>
      <c r="U649">
        <v>83.0745</v>
      </c>
      <c r="V649">
        <v>80.791150000000002</v>
      </c>
      <c r="W649">
        <v>83.091650000000001</v>
      </c>
      <c r="X649">
        <v>63.015430000000002</v>
      </c>
      <c r="Y649"/>
      <c r="Z649"/>
      <c r="AA649">
        <v>84.464320000000001</v>
      </c>
      <c r="AB649">
        <v>52.657139999999998</v>
      </c>
      <c r="AC649">
        <v>86.046909999999997</v>
      </c>
      <c r="AD649">
        <v>81.622169999999997</v>
      </c>
      <c r="AE649">
        <v>102.0154</v>
      </c>
      <c r="AF649">
        <v>74.887270000000001</v>
      </c>
      <c r="AG649">
        <v>79.247</v>
      </c>
      <c r="AH649">
        <v>79.007170000000002</v>
      </c>
      <c r="AI649">
        <v>66.648309999999995</v>
      </c>
      <c r="AJ649">
        <v>65.268090000000001</v>
      </c>
      <c r="AK649">
        <v>81.549130000000005</v>
      </c>
      <c r="AL649">
        <v>81.820409999999995</v>
      </c>
      <c r="AM649">
        <v>79.848280000000003</v>
      </c>
      <c r="AN649">
        <v>79.034189999999995</v>
      </c>
      <c r="AO649">
        <v>83.252139999999997</v>
      </c>
      <c r="AP649">
        <v>81.502780000000001</v>
      </c>
      <c r="AQ649"/>
      <c r="AR649"/>
      <c r="AS649">
        <v>69.033289999999994</v>
      </c>
      <c r="AT649">
        <v>80.381339999999994</v>
      </c>
      <c r="AU649">
        <v>91.702179999999998</v>
      </c>
      <c r="AV649">
        <v>37.72936</v>
      </c>
      <c r="AW649">
        <v>79.010429999999999</v>
      </c>
      <c r="AX649">
        <v>60.590510000000002</v>
      </c>
    </row>
    <row r="650" spans="1:50" x14ac:dyDescent="0.35">
      <c r="A650" s="75">
        <v>37622</v>
      </c>
      <c r="B650">
        <v>80.293790000000001</v>
      </c>
      <c r="C650">
        <v>81.360889999999998</v>
      </c>
      <c r="D650"/>
      <c r="E650">
        <v>82.834299999999999</v>
      </c>
      <c r="F650">
        <v>96.485249999999994</v>
      </c>
      <c r="G650">
        <v>74.142910000000001</v>
      </c>
      <c r="H650"/>
      <c r="I650">
        <v>62.41442</v>
      </c>
      <c r="J650">
        <v>42.504519999999999</v>
      </c>
      <c r="K650">
        <v>87.4</v>
      </c>
      <c r="L650">
        <v>85.813370000000006</v>
      </c>
      <c r="M650">
        <v>81.736419999999995</v>
      </c>
      <c r="N650">
        <v>83.64</v>
      </c>
      <c r="O650">
        <v>82.092560000000006</v>
      </c>
      <c r="P650">
        <v>74.803839999999994</v>
      </c>
      <c r="Q650"/>
      <c r="R650">
        <v>85.401399999999995</v>
      </c>
      <c r="S650">
        <v>85.353539999999995</v>
      </c>
      <c r="T650"/>
      <c r="U650">
        <v>83.003169999999997</v>
      </c>
      <c r="V650">
        <v>80.085999999999999</v>
      </c>
      <c r="W650">
        <v>82.092879999999994</v>
      </c>
      <c r="X650">
        <v>63.633740000000003</v>
      </c>
      <c r="Y650"/>
      <c r="Z650"/>
      <c r="AA650">
        <v>84.035489999999996</v>
      </c>
      <c r="AB650">
        <v>52.68974</v>
      </c>
      <c r="AC650">
        <v>86.148129999999995</v>
      </c>
      <c r="AD650">
        <v>81.867519999999999</v>
      </c>
      <c r="AE650">
        <v>101.3633</v>
      </c>
      <c r="AF650">
        <v>75.164439999999999</v>
      </c>
      <c r="AG650">
        <v>79.068100000000001</v>
      </c>
      <c r="AH650">
        <v>78.026470000000003</v>
      </c>
      <c r="AI650">
        <v>67.071349999999995</v>
      </c>
      <c r="AJ650">
        <v>65.550899999999999</v>
      </c>
      <c r="AK650">
        <v>81.573089999999993</v>
      </c>
      <c r="AL650">
        <v>82.391980000000004</v>
      </c>
      <c r="AM650">
        <v>79.838459999999998</v>
      </c>
      <c r="AN650">
        <v>78.860460000000003</v>
      </c>
      <c r="AO650">
        <v>83.4101</v>
      </c>
      <c r="AP650">
        <v>81.251490000000004</v>
      </c>
      <c r="AQ650"/>
      <c r="AR650"/>
      <c r="AS650">
        <v>70.911209999999997</v>
      </c>
      <c r="AT650">
        <v>80.94135</v>
      </c>
      <c r="AU650">
        <v>91.082229999999996</v>
      </c>
      <c r="AV650">
        <v>38.534550000000003</v>
      </c>
      <c r="AW650">
        <v>79.175550000000001</v>
      </c>
      <c r="AX650">
        <v>61.118949999999998</v>
      </c>
    </row>
    <row r="651" spans="1:50" x14ac:dyDescent="0.35">
      <c r="A651" s="75">
        <v>37653</v>
      </c>
      <c r="B651">
        <v>80.339420000000004</v>
      </c>
      <c r="C651">
        <v>81.854609999999994</v>
      </c>
      <c r="D651"/>
      <c r="E651">
        <v>83.288629999999998</v>
      </c>
      <c r="F651">
        <v>96.536879999999996</v>
      </c>
      <c r="G651">
        <v>74.490620000000007</v>
      </c>
      <c r="H651"/>
      <c r="I651">
        <v>63.182850000000002</v>
      </c>
      <c r="J651">
        <v>43.025260000000003</v>
      </c>
      <c r="K651">
        <v>87.5</v>
      </c>
      <c r="L651">
        <v>86.154409999999999</v>
      </c>
      <c r="M651">
        <v>82.433549999999997</v>
      </c>
      <c r="N651">
        <v>83.85</v>
      </c>
      <c r="O651">
        <v>82.230230000000006</v>
      </c>
      <c r="P651">
        <v>74.803839999999994</v>
      </c>
      <c r="Q651"/>
      <c r="R651">
        <v>85.729140000000001</v>
      </c>
      <c r="S651">
        <v>85.876779999999997</v>
      </c>
      <c r="T651"/>
      <c r="U651">
        <v>83.234729999999999</v>
      </c>
      <c r="V651">
        <v>80.287469999999999</v>
      </c>
      <c r="W651">
        <v>81.357389999999995</v>
      </c>
      <c r="X651">
        <v>63.94164</v>
      </c>
      <c r="Y651"/>
      <c r="Z651"/>
      <c r="AA651">
        <v>84.97851</v>
      </c>
      <c r="AB651">
        <v>52.594439999999999</v>
      </c>
      <c r="AC651">
        <v>86.3506</v>
      </c>
      <c r="AD651">
        <v>81.955060000000003</v>
      </c>
      <c r="AE651">
        <v>101.0361</v>
      </c>
      <c r="AF651">
        <v>75.371799999999993</v>
      </c>
      <c r="AG651">
        <v>78.959400000000002</v>
      </c>
      <c r="AH651">
        <v>79.281599999999997</v>
      </c>
      <c r="AI651">
        <v>66.888670000000005</v>
      </c>
      <c r="AJ651">
        <v>65.826899999999995</v>
      </c>
      <c r="AK651">
        <v>82.046940000000006</v>
      </c>
      <c r="AL651">
        <v>82.589340000000007</v>
      </c>
      <c r="AM651">
        <v>80.069559999999996</v>
      </c>
      <c r="AN651">
        <v>79.111149999999995</v>
      </c>
      <c r="AO651">
        <v>83.448400000000007</v>
      </c>
      <c r="AP651">
        <v>81.021389999999997</v>
      </c>
      <c r="AQ651"/>
      <c r="AR651"/>
      <c r="AS651">
        <v>71.277649999999994</v>
      </c>
      <c r="AT651">
        <v>81.111350000000002</v>
      </c>
      <c r="AU651">
        <v>91.333560000000006</v>
      </c>
      <c r="AV651">
        <v>38.8491</v>
      </c>
      <c r="AW651">
        <v>79.464519999999993</v>
      </c>
      <c r="AX651">
        <v>61.142119999999998</v>
      </c>
    </row>
    <row r="652" spans="1:50" x14ac:dyDescent="0.35">
      <c r="A652" s="75">
        <v>37681</v>
      </c>
      <c r="B652">
        <v>80.483909999999995</v>
      </c>
      <c r="C652">
        <v>81.922970000000007</v>
      </c>
      <c r="D652"/>
      <c r="E652">
        <v>83.378110000000007</v>
      </c>
      <c r="F652">
        <v>96.606030000000004</v>
      </c>
      <c r="G652">
        <v>75.212789999999998</v>
      </c>
      <c r="H652"/>
      <c r="I652">
        <v>63.74691</v>
      </c>
      <c r="J652">
        <v>43.35398</v>
      </c>
      <c r="K652">
        <v>87.4</v>
      </c>
      <c r="L652">
        <v>86.178920000000005</v>
      </c>
      <c r="M652">
        <v>83.027649999999994</v>
      </c>
      <c r="N652">
        <v>84.34</v>
      </c>
      <c r="O652">
        <v>82.830340000000007</v>
      </c>
      <c r="P652">
        <v>74.860600000000005</v>
      </c>
      <c r="Q652"/>
      <c r="R652">
        <v>85.950360000000003</v>
      </c>
      <c r="S652">
        <v>86.114990000000006</v>
      </c>
      <c r="T652"/>
      <c r="U652">
        <v>83.444379999999995</v>
      </c>
      <c r="V652">
        <v>80.488950000000003</v>
      </c>
      <c r="W652">
        <v>83.464129999999997</v>
      </c>
      <c r="X652">
        <v>64.376980000000003</v>
      </c>
      <c r="Y652"/>
      <c r="Z652"/>
      <c r="AA652">
        <v>85.442329999999998</v>
      </c>
      <c r="AB652">
        <v>53.210619999999999</v>
      </c>
      <c r="AC652">
        <v>86.148129999999995</v>
      </c>
      <c r="AD652">
        <v>82.184070000000006</v>
      </c>
      <c r="AE652">
        <v>101.44159999999999</v>
      </c>
      <c r="AF652">
        <v>76.133499999999998</v>
      </c>
      <c r="AG652">
        <v>79.050399999999996</v>
      </c>
      <c r="AH652">
        <v>79.392949999999999</v>
      </c>
      <c r="AI652">
        <v>67.225179999999995</v>
      </c>
      <c r="AJ652">
        <v>66.079319999999996</v>
      </c>
      <c r="AK652">
        <v>82.930210000000002</v>
      </c>
      <c r="AL652">
        <v>82.45881</v>
      </c>
      <c r="AM652">
        <v>80.338570000000004</v>
      </c>
      <c r="AN652">
        <v>79.398960000000002</v>
      </c>
      <c r="AO652">
        <v>83.595590000000001</v>
      </c>
      <c r="AP652">
        <v>81.160420000000002</v>
      </c>
      <c r="AQ652"/>
      <c r="AR652"/>
      <c r="AS652">
        <v>71.814030000000002</v>
      </c>
      <c r="AT652">
        <v>81.561359999999993</v>
      </c>
      <c r="AU652">
        <v>91.883139999999997</v>
      </c>
      <c r="AV652">
        <v>39.139139999999998</v>
      </c>
      <c r="AW652">
        <v>79.670910000000006</v>
      </c>
      <c r="AX652">
        <v>61.436950000000003</v>
      </c>
    </row>
    <row r="653" spans="1:50" x14ac:dyDescent="0.35">
      <c r="A653" s="75">
        <v>37712</v>
      </c>
      <c r="B653">
        <v>80.57517</v>
      </c>
      <c r="C653">
        <v>81.975560000000002</v>
      </c>
      <c r="D653"/>
      <c r="E653">
        <v>83.444280000000006</v>
      </c>
      <c r="F653">
        <v>97.182879999999997</v>
      </c>
      <c r="G653">
        <v>75.658580000000001</v>
      </c>
      <c r="H653"/>
      <c r="I653">
        <v>64.098429999999993</v>
      </c>
      <c r="J653">
        <v>43.885570000000001</v>
      </c>
      <c r="K653">
        <v>87.3</v>
      </c>
      <c r="L653">
        <v>86.087459999999993</v>
      </c>
      <c r="M653">
        <v>83.18777</v>
      </c>
      <c r="N653">
        <v>84.7</v>
      </c>
      <c r="O653">
        <v>84.170330000000007</v>
      </c>
      <c r="P653">
        <v>74.633579999999995</v>
      </c>
      <c r="Q653"/>
      <c r="R653">
        <v>86.122429999999994</v>
      </c>
      <c r="S653">
        <v>86.237049999999996</v>
      </c>
      <c r="T653"/>
      <c r="U653">
        <v>83.538030000000006</v>
      </c>
      <c r="V653">
        <v>80.791150000000002</v>
      </c>
      <c r="W653">
        <v>83.906170000000003</v>
      </c>
      <c r="X653">
        <v>64.910399999999996</v>
      </c>
      <c r="Y653"/>
      <c r="Z653"/>
      <c r="AA653">
        <v>85.581230000000005</v>
      </c>
      <c r="AB653">
        <v>53.336120000000001</v>
      </c>
      <c r="AC653">
        <v>86.046909999999997</v>
      </c>
      <c r="AD653">
        <v>82.414169999999999</v>
      </c>
      <c r="AE653">
        <v>101.7283</v>
      </c>
      <c r="AF653">
        <v>76.341909999999999</v>
      </c>
      <c r="AG653">
        <v>79.114199999999997</v>
      </c>
      <c r="AH653">
        <v>79.434700000000007</v>
      </c>
      <c r="AI653">
        <v>67.63861</v>
      </c>
      <c r="AJ653">
        <v>66.272580000000005</v>
      </c>
      <c r="AK653">
        <v>83.071150000000003</v>
      </c>
      <c r="AL653">
        <v>82.453320000000005</v>
      </c>
      <c r="AM653">
        <v>80.520610000000005</v>
      </c>
      <c r="AN653">
        <v>79.685360000000003</v>
      </c>
      <c r="AO653">
        <v>83.708240000000004</v>
      </c>
      <c r="AP653">
        <v>81.872780000000006</v>
      </c>
      <c r="AQ653"/>
      <c r="AR653"/>
      <c r="AS653">
        <v>72.225160000000002</v>
      </c>
      <c r="AT653">
        <v>82.131370000000004</v>
      </c>
      <c r="AU653">
        <v>92.023880000000005</v>
      </c>
      <c r="AV653">
        <v>39.608919999999998</v>
      </c>
      <c r="AW653">
        <v>79.712199999999996</v>
      </c>
      <c r="AX653">
        <v>61.596980000000002</v>
      </c>
    </row>
    <row r="654" spans="1:50" x14ac:dyDescent="0.35">
      <c r="A654" s="75">
        <v>37742</v>
      </c>
      <c r="B654">
        <v>80.719669999999994</v>
      </c>
      <c r="C654">
        <v>81.86806</v>
      </c>
      <c r="D654"/>
      <c r="E654">
        <v>83.692019999999999</v>
      </c>
      <c r="F654">
        <v>97.202259999999995</v>
      </c>
      <c r="G654">
        <v>75.453509999999994</v>
      </c>
      <c r="H654"/>
      <c r="I654">
        <v>64.351839999999996</v>
      </c>
      <c r="J654">
        <v>44.238160000000001</v>
      </c>
      <c r="K654">
        <v>87.2</v>
      </c>
      <c r="L654">
        <v>86.000929999999997</v>
      </c>
      <c r="M654">
        <v>83.361360000000005</v>
      </c>
      <c r="N654">
        <v>84.8</v>
      </c>
      <c r="O654">
        <v>84.268069999999994</v>
      </c>
      <c r="P654">
        <v>74.690330000000003</v>
      </c>
      <c r="Q654"/>
      <c r="R654">
        <v>86.228939999999994</v>
      </c>
      <c r="S654">
        <v>86.336439999999996</v>
      </c>
      <c r="T654"/>
      <c r="U654">
        <v>83.624769999999998</v>
      </c>
      <c r="V654">
        <v>80.891890000000004</v>
      </c>
      <c r="W654">
        <v>84.131360000000001</v>
      </c>
      <c r="X654">
        <v>65.120289999999997</v>
      </c>
      <c r="Y654"/>
      <c r="Z654"/>
      <c r="AA654">
        <v>85.719149999999999</v>
      </c>
      <c r="AB654">
        <v>53.448689999999999</v>
      </c>
      <c r="AC654">
        <v>85.439509999999999</v>
      </c>
      <c r="AD654">
        <v>82.700869999999995</v>
      </c>
      <c r="AE654">
        <v>102.0048</v>
      </c>
      <c r="AF654">
        <v>76.410679999999999</v>
      </c>
      <c r="AG654">
        <v>79.343100000000007</v>
      </c>
      <c r="AH654">
        <v>79.619230000000002</v>
      </c>
      <c r="AI654">
        <v>67.927049999999994</v>
      </c>
      <c r="AJ654">
        <v>66.336799999999997</v>
      </c>
      <c r="AK654">
        <v>83.103250000000003</v>
      </c>
      <c r="AL654">
        <v>82.315250000000006</v>
      </c>
      <c r="AM654">
        <v>80.620230000000006</v>
      </c>
      <c r="AN654">
        <v>79.816680000000005</v>
      </c>
      <c r="AO654">
        <v>83.756259999999997</v>
      </c>
      <c r="AP654">
        <v>82.416330000000002</v>
      </c>
      <c r="AQ654"/>
      <c r="AR654"/>
      <c r="AS654">
        <v>72.297830000000005</v>
      </c>
      <c r="AT654">
        <v>82.821380000000005</v>
      </c>
      <c r="AU654">
        <v>92.077500000000001</v>
      </c>
      <c r="AV654">
        <v>40.082790000000003</v>
      </c>
      <c r="AW654">
        <v>79.753469999999993</v>
      </c>
      <c r="AX654">
        <v>61.6556</v>
      </c>
    </row>
    <row r="655" spans="1:50" x14ac:dyDescent="0.35">
      <c r="A655" s="75">
        <v>37773</v>
      </c>
      <c r="B655">
        <v>80.924999999999997</v>
      </c>
      <c r="C655">
        <v>82.028509999999997</v>
      </c>
      <c r="D655"/>
      <c r="E655">
        <v>83.490359999999995</v>
      </c>
      <c r="F655">
        <v>97.192250000000001</v>
      </c>
      <c r="G655">
        <v>75.168210000000002</v>
      </c>
      <c r="H655"/>
      <c r="I655">
        <v>64.572559999999996</v>
      </c>
      <c r="J655">
        <v>44.410649999999997</v>
      </c>
      <c r="K655">
        <v>87.1</v>
      </c>
      <c r="L655">
        <v>86.277969999999996</v>
      </c>
      <c r="M655">
        <v>83.364429999999999</v>
      </c>
      <c r="N655">
        <v>84.88</v>
      </c>
      <c r="O655">
        <v>84.374219999999994</v>
      </c>
      <c r="P655">
        <v>74.74709</v>
      </c>
      <c r="Q655"/>
      <c r="R655">
        <v>86.073269999999994</v>
      </c>
      <c r="S655">
        <v>86.436400000000006</v>
      </c>
      <c r="T655"/>
      <c r="U655">
        <v>83.581140000000005</v>
      </c>
      <c r="V655">
        <v>80.791150000000002</v>
      </c>
      <c r="W655">
        <v>84.227739999999997</v>
      </c>
      <c r="X655">
        <v>65.434100000000001</v>
      </c>
      <c r="Y655"/>
      <c r="Z655"/>
      <c r="AA655">
        <v>85.881100000000004</v>
      </c>
      <c r="AB655">
        <v>53.531559999999999</v>
      </c>
      <c r="AC655">
        <v>85.034580000000005</v>
      </c>
      <c r="AD655">
        <v>82.778300000000002</v>
      </c>
      <c r="AE655">
        <v>101.8184</v>
      </c>
      <c r="AF655">
        <v>76.480500000000006</v>
      </c>
      <c r="AG655">
        <v>79.334500000000006</v>
      </c>
      <c r="AH655">
        <v>79.656610000000001</v>
      </c>
      <c r="AI655">
        <v>68.02319</v>
      </c>
      <c r="AJ655">
        <v>66.401780000000002</v>
      </c>
      <c r="AK655">
        <v>82.578550000000007</v>
      </c>
      <c r="AL655">
        <v>82.058250000000001</v>
      </c>
      <c r="AM655">
        <v>80.619129999999998</v>
      </c>
      <c r="AN655">
        <v>79.935739999999996</v>
      </c>
      <c r="AO655">
        <v>83.749449999999996</v>
      </c>
      <c r="AP655">
        <v>82.510400000000004</v>
      </c>
      <c r="AQ655"/>
      <c r="AR655"/>
      <c r="AS655">
        <v>72.652439999999999</v>
      </c>
      <c r="AT655">
        <v>83.341390000000004</v>
      </c>
      <c r="AU655">
        <v>91.745739999999998</v>
      </c>
      <c r="AV655">
        <v>40.715980000000002</v>
      </c>
      <c r="AW655">
        <v>79.670910000000006</v>
      </c>
      <c r="AX655">
        <v>61.64676</v>
      </c>
    </row>
    <row r="656" spans="1:50" x14ac:dyDescent="0.35">
      <c r="A656" s="75">
        <v>37803</v>
      </c>
      <c r="B656">
        <v>80.940209999999993</v>
      </c>
      <c r="C656">
        <v>82.214259999999996</v>
      </c>
      <c r="D656"/>
      <c r="E656">
        <v>83.56165</v>
      </c>
      <c r="F656">
        <v>96.303309999999996</v>
      </c>
      <c r="G656">
        <v>75.007729999999995</v>
      </c>
      <c r="H656"/>
      <c r="I656">
        <v>64.670659999999998</v>
      </c>
      <c r="J656">
        <v>44.705739999999999</v>
      </c>
      <c r="K656">
        <v>87.7</v>
      </c>
      <c r="L656">
        <v>86.54316</v>
      </c>
      <c r="M656">
        <v>82.829220000000007</v>
      </c>
      <c r="N656">
        <v>84.68</v>
      </c>
      <c r="O656">
        <v>83.286460000000005</v>
      </c>
      <c r="P656">
        <v>74.974109999999996</v>
      </c>
      <c r="Q656"/>
      <c r="R656">
        <v>85.417789999999997</v>
      </c>
      <c r="S656">
        <v>86.308940000000007</v>
      </c>
      <c r="T656"/>
      <c r="U656">
        <v>83.649190000000004</v>
      </c>
      <c r="V656">
        <v>80.69041</v>
      </c>
      <c r="W656">
        <v>82.559939999999997</v>
      </c>
      <c r="X656">
        <v>65.658690000000007</v>
      </c>
      <c r="Y656"/>
      <c r="Z656"/>
      <c r="AA656">
        <v>85.100030000000004</v>
      </c>
      <c r="AB656">
        <v>53.452100000000002</v>
      </c>
      <c r="AC656">
        <v>84.52843</v>
      </c>
      <c r="AD656">
        <v>82.931830000000005</v>
      </c>
      <c r="AE656">
        <v>101.82729999999999</v>
      </c>
      <c r="AF656">
        <v>76.410679999999999</v>
      </c>
      <c r="AG656">
        <v>78.951499999999996</v>
      </c>
      <c r="AH656">
        <v>78.707549999999998</v>
      </c>
      <c r="AI656">
        <v>67.907820000000001</v>
      </c>
      <c r="AJ656">
        <v>66.503029999999995</v>
      </c>
      <c r="AK656">
        <v>82.544460000000001</v>
      </c>
      <c r="AL656">
        <v>81.654030000000006</v>
      </c>
      <c r="AM656">
        <v>80.632800000000003</v>
      </c>
      <c r="AN656">
        <v>79.846590000000006</v>
      </c>
      <c r="AO656">
        <v>83.746269999999996</v>
      </c>
      <c r="AP656">
        <v>82.348299999999995</v>
      </c>
      <c r="AQ656"/>
      <c r="AR656"/>
      <c r="AS656">
        <v>72.896699999999996</v>
      </c>
      <c r="AT656">
        <v>83.651399999999995</v>
      </c>
      <c r="AU656">
        <v>91.169359999999998</v>
      </c>
      <c r="AV656">
        <v>41.022359999999999</v>
      </c>
      <c r="AW656">
        <v>79.753469999999993</v>
      </c>
      <c r="AX656">
        <v>61.12744</v>
      </c>
    </row>
    <row r="657" spans="1:50" x14ac:dyDescent="0.35">
      <c r="A657" s="75">
        <v>37834</v>
      </c>
      <c r="B657">
        <v>81.122730000000004</v>
      </c>
      <c r="C657">
        <v>82.32132</v>
      </c>
      <c r="D657"/>
      <c r="E657">
        <v>83.639949999999999</v>
      </c>
      <c r="F657">
        <v>96.379329999999996</v>
      </c>
      <c r="G657">
        <v>74.909649999999999</v>
      </c>
      <c r="H657"/>
      <c r="I657">
        <v>64.940430000000006</v>
      </c>
      <c r="J657">
        <v>44.854370000000003</v>
      </c>
      <c r="K657">
        <v>87.8</v>
      </c>
      <c r="L657">
        <v>86.565960000000004</v>
      </c>
      <c r="M657">
        <v>82.784580000000005</v>
      </c>
      <c r="N657">
        <v>84.8</v>
      </c>
      <c r="O657">
        <v>83.463030000000003</v>
      </c>
      <c r="P657">
        <v>75.314639999999997</v>
      </c>
      <c r="Q657"/>
      <c r="R657">
        <v>85.663589999999999</v>
      </c>
      <c r="S657">
        <v>86.545050000000003</v>
      </c>
      <c r="T657"/>
      <c r="U657">
        <v>83.791179999999997</v>
      </c>
      <c r="V657">
        <v>80.992630000000005</v>
      </c>
      <c r="W657">
        <v>82.679680000000005</v>
      </c>
      <c r="X657">
        <v>65.626649999999998</v>
      </c>
      <c r="Y657"/>
      <c r="Z657"/>
      <c r="AA657">
        <v>85.734020000000001</v>
      </c>
      <c r="AB657">
        <v>53.407260000000001</v>
      </c>
      <c r="AC657">
        <v>84.832120000000003</v>
      </c>
      <c r="AD657">
        <v>83.126009999999994</v>
      </c>
      <c r="AE657">
        <v>101.9811</v>
      </c>
      <c r="AF657">
        <v>76.480500000000006</v>
      </c>
      <c r="AG657">
        <v>78.635199999999998</v>
      </c>
      <c r="AH657">
        <v>79.985669999999999</v>
      </c>
      <c r="AI657">
        <v>67.859750000000005</v>
      </c>
      <c r="AJ657">
        <v>66.747590000000002</v>
      </c>
      <c r="AK657">
        <v>82.762159999999994</v>
      </c>
      <c r="AL657">
        <v>81.568640000000002</v>
      </c>
      <c r="AM657">
        <v>80.784099999999995</v>
      </c>
      <c r="AN657">
        <v>80.030779999999993</v>
      </c>
      <c r="AO657">
        <v>83.799980000000005</v>
      </c>
      <c r="AP657">
        <v>82.144090000000006</v>
      </c>
      <c r="AQ657"/>
      <c r="AR657"/>
      <c r="AS657">
        <v>73.458349999999996</v>
      </c>
      <c r="AT657">
        <v>83.261390000000006</v>
      </c>
      <c r="AU657">
        <v>91.058769999999996</v>
      </c>
      <c r="AV657">
        <v>41.45946</v>
      </c>
      <c r="AW657">
        <v>79.877309999999994</v>
      </c>
      <c r="AX657">
        <v>61.226509999999998</v>
      </c>
    </row>
    <row r="658" spans="1:50" x14ac:dyDescent="0.35">
      <c r="A658" s="75">
        <v>37865</v>
      </c>
      <c r="B658">
        <v>81.252009999999999</v>
      </c>
      <c r="C658">
        <v>82.384739999999994</v>
      </c>
      <c r="D658"/>
      <c r="E658">
        <v>83.966539999999995</v>
      </c>
      <c r="F658">
        <v>96.376109999999997</v>
      </c>
      <c r="G658">
        <v>75.319779999999994</v>
      </c>
      <c r="H658"/>
      <c r="I658">
        <v>65.161150000000006</v>
      </c>
      <c r="J658">
        <v>45.023609999999998</v>
      </c>
      <c r="K658">
        <v>86.8</v>
      </c>
      <c r="L658">
        <v>86.444469999999995</v>
      </c>
      <c r="M658">
        <v>83.40119</v>
      </c>
      <c r="N658">
        <v>85.07</v>
      </c>
      <c r="O658">
        <v>83.645899999999997</v>
      </c>
      <c r="P658">
        <v>75.25788</v>
      </c>
      <c r="Q658"/>
      <c r="R658">
        <v>86.065070000000006</v>
      </c>
      <c r="S658">
        <v>86.799170000000004</v>
      </c>
      <c r="T658"/>
      <c r="U658">
        <v>83.849720000000005</v>
      </c>
      <c r="V658">
        <v>81.194100000000006</v>
      </c>
      <c r="W658">
        <v>84.782979999999995</v>
      </c>
      <c r="X658">
        <v>65.820629999999994</v>
      </c>
      <c r="Y658"/>
      <c r="Z658"/>
      <c r="AA658">
        <v>85.842119999999994</v>
      </c>
      <c r="AB658">
        <v>53.780160000000002</v>
      </c>
      <c r="AC658">
        <v>84.123500000000007</v>
      </c>
      <c r="AD658">
        <v>83.135120000000001</v>
      </c>
      <c r="AE658">
        <v>101.9948</v>
      </c>
      <c r="AF658">
        <v>76.687849999999997</v>
      </c>
      <c r="AG658">
        <v>78.266499999999994</v>
      </c>
      <c r="AH658">
        <v>80.312359999999998</v>
      </c>
      <c r="AI658">
        <v>68.676990000000004</v>
      </c>
      <c r="AJ658">
        <v>67.078320000000005</v>
      </c>
      <c r="AK658">
        <v>83.745059999999995</v>
      </c>
      <c r="AL658">
        <v>81.894009999999994</v>
      </c>
      <c r="AM658">
        <v>80.926230000000004</v>
      </c>
      <c r="AN658">
        <v>80.271550000000005</v>
      </c>
      <c r="AO658">
        <v>83.794359999999998</v>
      </c>
      <c r="AP658">
        <v>82.286799999999999</v>
      </c>
      <c r="AQ658"/>
      <c r="AR658"/>
      <c r="AS658">
        <v>73.959590000000006</v>
      </c>
      <c r="AT658">
        <v>83.561390000000003</v>
      </c>
      <c r="AU658">
        <v>92.007130000000004</v>
      </c>
      <c r="AV658">
        <v>42.170270000000002</v>
      </c>
      <c r="AW658">
        <v>79.918589999999995</v>
      </c>
      <c r="AX658">
        <v>60.698309999999999</v>
      </c>
    </row>
    <row r="659" spans="1:50" x14ac:dyDescent="0.35">
      <c r="A659" s="75">
        <v>37895</v>
      </c>
      <c r="B659">
        <v>81.046679999999995</v>
      </c>
      <c r="C659">
        <v>82.376410000000007</v>
      </c>
      <c r="D659"/>
      <c r="E659">
        <v>84.117339999999999</v>
      </c>
      <c r="F659">
        <v>97.026330000000002</v>
      </c>
      <c r="G659">
        <v>75.596159999999998</v>
      </c>
      <c r="H659"/>
      <c r="I659">
        <v>65.226550000000003</v>
      </c>
      <c r="J659">
        <v>45.333889999999997</v>
      </c>
      <c r="K659">
        <v>86.9</v>
      </c>
      <c r="L659">
        <v>86.427149999999997</v>
      </c>
      <c r="M659">
        <v>83.299809999999994</v>
      </c>
      <c r="N659">
        <v>85.25</v>
      </c>
      <c r="O659">
        <v>84.620149999999995</v>
      </c>
      <c r="P659">
        <v>75.598420000000004</v>
      </c>
      <c r="Q659"/>
      <c r="R659">
        <v>86.122429999999994</v>
      </c>
      <c r="S659">
        <v>87.113820000000004</v>
      </c>
      <c r="T659"/>
      <c r="U659">
        <v>84.050290000000004</v>
      </c>
      <c r="V659">
        <v>81.294839999999994</v>
      </c>
      <c r="W659">
        <v>85.247060000000005</v>
      </c>
      <c r="X659">
        <v>66.204440000000005</v>
      </c>
      <c r="Y659"/>
      <c r="Z659"/>
      <c r="AA659">
        <v>85.890680000000003</v>
      </c>
      <c r="AB659">
        <v>54.070189999999997</v>
      </c>
      <c r="AC659">
        <v>84.224729999999994</v>
      </c>
      <c r="AD659">
        <v>83.198679999999996</v>
      </c>
      <c r="AE659">
        <v>102.0167</v>
      </c>
      <c r="AF659">
        <v>76.687849999999997</v>
      </c>
      <c r="AG659">
        <v>78.383399999999995</v>
      </c>
      <c r="AH659">
        <v>80.359920000000002</v>
      </c>
      <c r="AI659">
        <v>69.282709999999994</v>
      </c>
      <c r="AJ659">
        <v>67.217290000000006</v>
      </c>
      <c r="AK659">
        <v>83.620660000000001</v>
      </c>
      <c r="AL659">
        <v>82.087980000000002</v>
      </c>
      <c r="AM659">
        <v>81.147099999999995</v>
      </c>
      <c r="AN659">
        <v>80.490120000000005</v>
      </c>
      <c r="AO659">
        <v>83.857119999999995</v>
      </c>
      <c r="AP659">
        <v>82.903450000000007</v>
      </c>
      <c r="AQ659"/>
      <c r="AR659"/>
      <c r="AS659">
        <v>74.123390000000001</v>
      </c>
      <c r="AT659">
        <v>84.071399999999997</v>
      </c>
      <c r="AU659">
        <v>92.090900000000005</v>
      </c>
      <c r="AV659">
        <v>42.599200000000003</v>
      </c>
      <c r="AW659">
        <v>80.207560000000001</v>
      </c>
      <c r="AX659">
        <v>60.1265</v>
      </c>
    </row>
    <row r="660" spans="1:50" x14ac:dyDescent="0.35">
      <c r="A660" s="75">
        <v>37926</v>
      </c>
      <c r="B660">
        <v>81.077100000000002</v>
      </c>
      <c r="C660">
        <v>82.568650000000005</v>
      </c>
      <c r="D660"/>
      <c r="E660">
        <v>84.369550000000004</v>
      </c>
      <c r="F660">
        <v>97.037210000000002</v>
      </c>
      <c r="G660">
        <v>75.391109999999998</v>
      </c>
      <c r="H660"/>
      <c r="I660">
        <v>65.357339999999994</v>
      </c>
      <c r="J660">
        <v>45.606189999999998</v>
      </c>
      <c r="K660">
        <v>86.9</v>
      </c>
      <c r="L660">
        <v>86.231700000000004</v>
      </c>
      <c r="M660">
        <v>83.487179999999995</v>
      </c>
      <c r="N660">
        <v>85.27</v>
      </c>
      <c r="O660">
        <v>84.965919999999997</v>
      </c>
      <c r="P660">
        <v>75.484909999999999</v>
      </c>
      <c r="Q660"/>
      <c r="R660">
        <v>85.991330000000005</v>
      </c>
      <c r="S660">
        <v>87.307879999999997</v>
      </c>
      <c r="T660"/>
      <c r="U660">
        <v>83.943730000000002</v>
      </c>
      <c r="V660">
        <v>81.294839999999994</v>
      </c>
      <c r="W660">
        <v>85.377769999999998</v>
      </c>
      <c r="X660">
        <v>66.464230000000001</v>
      </c>
      <c r="Y660"/>
      <c r="Z660"/>
      <c r="AA660">
        <v>85.879329999999996</v>
      </c>
      <c r="AB660">
        <v>54.111620000000002</v>
      </c>
      <c r="AC660">
        <v>83.921040000000005</v>
      </c>
      <c r="AD660">
        <v>83.412670000000006</v>
      </c>
      <c r="AE660">
        <v>101.6983</v>
      </c>
      <c r="AF660">
        <v>76.61909</v>
      </c>
      <c r="AG660">
        <v>78.6203</v>
      </c>
      <c r="AH660">
        <v>80.468019999999996</v>
      </c>
      <c r="AI660">
        <v>69.398079999999993</v>
      </c>
      <c r="AJ660">
        <v>67.454809999999995</v>
      </c>
      <c r="AK660">
        <v>83.523030000000006</v>
      </c>
      <c r="AL660">
        <v>81.941100000000006</v>
      </c>
      <c r="AM660">
        <v>81.111829999999998</v>
      </c>
      <c r="AN660">
        <v>80.589259999999996</v>
      </c>
      <c r="AO660">
        <v>83.885090000000005</v>
      </c>
      <c r="AP660">
        <v>83.38279</v>
      </c>
      <c r="AQ660"/>
      <c r="AR660"/>
      <c r="AS660">
        <v>74.16986</v>
      </c>
      <c r="AT660">
        <v>84.231409999999997</v>
      </c>
      <c r="AU660">
        <v>92.017179999999996</v>
      </c>
      <c r="AV660">
        <v>42.966859999999997</v>
      </c>
      <c r="AW660">
        <v>80.042429999999996</v>
      </c>
      <c r="AX660">
        <v>59.190809999999999</v>
      </c>
    </row>
    <row r="661" spans="1:50" x14ac:dyDescent="0.35">
      <c r="A661" s="75">
        <v>37956</v>
      </c>
      <c r="B661">
        <v>81.343279999999993</v>
      </c>
      <c r="C661">
        <v>82.683099999999996</v>
      </c>
      <c r="D661"/>
      <c r="E661">
        <v>84.274510000000006</v>
      </c>
      <c r="F661">
        <v>97.049419999999998</v>
      </c>
      <c r="G661">
        <v>75.346530000000001</v>
      </c>
      <c r="H661"/>
      <c r="I661">
        <v>65.594409999999996</v>
      </c>
      <c r="J661">
        <v>45.882840000000002</v>
      </c>
      <c r="K661">
        <v>86.9</v>
      </c>
      <c r="L661">
        <v>87.078209999999999</v>
      </c>
      <c r="M661">
        <v>83.313090000000003</v>
      </c>
      <c r="N661">
        <v>85.65</v>
      </c>
      <c r="O661">
        <v>85.096239999999995</v>
      </c>
      <c r="P661">
        <v>75.201130000000006</v>
      </c>
      <c r="Q661"/>
      <c r="R661">
        <v>85.999529999999993</v>
      </c>
      <c r="S661">
        <v>87.497780000000006</v>
      </c>
      <c r="T661"/>
      <c r="U661">
        <v>83.976299999999995</v>
      </c>
      <c r="V661">
        <v>81.496319999999997</v>
      </c>
      <c r="W661">
        <v>85.921499999999995</v>
      </c>
      <c r="X661">
        <v>66.660150000000002</v>
      </c>
      <c r="Y661"/>
      <c r="Z661"/>
      <c r="AA661">
        <v>86.116739999999993</v>
      </c>
      <c r="AB661">
        <v>54.31879</v>
      </c>
      <c r="AC661">
        <v>83.617350000000002</v>
      </c>
      <c r="AD661">
        <v>83.463470000000001</v>
      </c>
      <c r="AE661">
        <v>101.66379999999999</v>
      </c>
      <c r="AF661">
        <v>77.034850000000006</v>
      </c>
      <c r="AG661">
        <v>78.3767</v>
      </c>
      <c r="AH661">
        <v>80.536720000000003</v>
      </c>
      <c r="AI661">
        <v>69.18656</v>
      </c>
      <c r="AJ661">
        <v>67.601749999999996</v>
      </c>
      <c r="AK661">
        <v>83.014660000000006</v>
      </c>
      <c r="AL661">
        <v>81.896320000000003</v>
      </c>
      <c r="AM661">
        <v>81.166370000000001</v>
      </c>
      <c r="AN661">
        <v>80.818600000000004</v>
      </c>
      <c r="AO661">
        <v>83.962490000000003</v>
      </c>
      <c r="AP661">
        <v>83.480159999999998</v>
      </c>
      <c r="AQ661"/>
      <c r="AR661"/>
      <c r="AS661">
        <v>74.276430000000005</v>
      </c>
      <c r="AT661">
        <v>84.401409999999998</v>
      </c>
      <c r="AU661">
        <v>92.070800000000006</v>
      </c>
      <c r="AV661">
        <v>43.056730000000002</v>
      </c>
      <c r="AW661">
        <v>79.918589999999995</v>
      </c>
      <c r="AX661">
        <v>59.170670000000001</v>
      </c>
    </row>
    <row r="662" spans="1:50" x14ac:dyDescent="0.35">
      <c r="A662" s="75">
        <v>37987</v>
      </c>
      <c r="B662">
        <v>81.130340000000004</v>
      </c>
      <c r="C662">
        <v>82.75564</v>
      </c>
      <c r="D662"/>
      <c r="E662">
        <v>84.208950000000002</v>
      </c>
      <c r="F662">
        <v>96.551789999999997</v>
      </c>
      <c r="G662">
        <v>75.257369999999995</v>
      </c>
      <c r="H662"/>
      <c r="I662">
        <v>66.068539999999999</v>
      </c>
      <c r="J662">
        <v>46.476260000000003</v>
      </c>
      <c r="K662">
        <v>88</v>
      </c>
      <c r="L662">
        <v>86.887559999999993</v>
      </c>
      <c r="M662">
        <v>83.185299999999998</v>
      </c>
      <c r="N662">
        <v>85.09</v>
      </c>
      <c r="O662">
        <v>83.951729999999998</v>
      </c>
      <c r="P662">
        <v>75.428150000000002</v>
      </c>
      <c r="Q662"/>
      <c r="R662">
        <v>85.417789999999997</v>
      </c>
      <c r="S662">
        <v>87.305080000000004</v>
      </c>
      <c r="T662"/>
      <c r="U662">
        <v>83.926730000000006</v>
      </c>
      <c r="V662">
        <v>80.992630000000005</v>
      </c>
      <c r="W662">
        <v>84.716160000000002</v>
      </c>
      <c r="X662">
        <v>67.997460000000004</v>
      </c>
      <c r="Y662"/>
      <c r="Z662"/>
      <c r="AA662">
        <v>85.608009999999993</v>
      </c>
      <c r="AB662">
        <v>54.15305</v>
      </c>
      <c r="AC662">
        <v>83.313649999999996</v>
      </c>
      <c r="AD662">
        <v>83.556010000000001</v>
      </c>
      <c r="AE662">
        <v>100.92659999999999</v>
      </c>
      <c r="AF662">
        <v>77.243260000000006</v>
      </c>
      <c r="AG662">
        <v>78.1066</v>
      </c>
      <c r="AH662">
        <v>79.666560000000004</v>
      </c>
      <c r="AI662">
        <v>69.388469999999998</v>
      </c>
      <c r="AJ662">
        <v>67.940809999999999</v>
      </c>
      <c r="AK662">
        <v>82.777439999999999</v>
      </c>
      <c r="AL662">
        <v>81.78237</v>
      </c>
      <c r="AM662">
        <v>81.131110000000007</v>
      </c>
      <c r="AN662">
        <v>80.61121</v>
      </c>
      <c r="AO662">
        <v>84.133049999999997</v>
      </c>
      <c r="AP662">
        <v>83.251059999999995</v>
      </c>
      <c r="AQ662"/>
      <c r="AR662"/>
      <c r="AS662">
        <v>76.511420000000001</v>
      </c>
      <c r="AT662">
        <v>84.381410000000002</v>
      </c>
      <c r="AU662">
        <v>91.470950000000002</v>
      </c>
      <c r="AV662">
        <v>43.293660000000003</v>
      </c>
      <c r="AW662">
        <v>80.08372</v>
      </c>
      <c r="AX662">
        <v>59.393140000000002</v>
      </c>
    </row>
    <row r="663" spans="1:50" x14ac:dyDescent="0.35">
      <c r="A663" s="75">
        <v>38018</v>
      </c>
      <c r="B663">
        <v>81.632270000000005</v>
      </c>
      <c r="C663">
        <v>83.199110000000005</v>
      </c>
      <c r="D663"/>
      <c r="E663">
        <v>84.24606</v>
      </c>
      <c r="F663">
        <v>96.672340000000005</v>
      </c>
      <c r="G663">
        <v>75.150379999999998</v>
      </c>
      <c r="H663"/>
      <c r="I663">
        <v>66.779750000000007</v>
      </c>
      <c r="J663">
        <v>46.863570000000003</v>
      </c>
      <c r="K663">
        <v>88.3</v>
      </c>
      <c r="L663">
        <v>87.185559999999995</v>
      </c>
      <c r="M663">
        <v>84.03304</v>
      </c>
      <c r="N663">
        <v>85.4</v>
      </c>
      <c r="O663">
        <v>84.068389999999994</v>
      </c>
      <c r="P663">
        <v>75.484909999999999</v>
      </c>
      <c r="Q663"/>
      <c r="R663">
        <v>86.056880000000007</v>
      </c>
      <c r="S663">
        <v>87.894109999999998</v>
      </c>
      <c r="T663"/>
      <c r="U663">
        <v>84.211320000000001</v>
      </c>
      <c r="V663">
        <v>81.194100000000006</v>
      </c>
      <c r="W663">
        <v>83.811779999999999</v>
      </c>
      <c r="X663">
        <v>68.558430000000001</v>
      </c>
      <c r="Y663"/>
      <c r="Z663"/>
      <c r="AA663">
        <v>86.488249999999994</v>
      </c>
      <c r="AB663">
        <v>54.028759999999998</v>
      </c>
      <c r="AC663">
        <v>83.414879999999997</v>
      </c>
      <c r="AD663">
        <v>83.788960000000003</v>
      </c>
      <c r="AE663">
        <v>100.73350000000001</v>
      </c>
      <c r="AF663">
        <v>77.312029999999993</v>
      </c>
      <c r="AG663">
        <v>77.856200000000001</v>
      </c>
      <c r="AH663">
        <v>80.903639999999996</v>
      </c>
      <c r="AI663">
        <v>69.6096</v>
      </c>
      <c r="AJ663">
        <v>68.305689999999998</v>
      </c>
      <c r="AK663">
        <v>83.257199999999997</v>
      </c>
      <c r="AL663">
        <v>81.893929999999997</v>
      </c>
      <c r="AM663">
        <v>81.391199999999998</v>
      </c>
      <c r="AN663">
        <v>80.864220000000003</v>
      </c>
      <c r="AO663">
        <v>84.108090000000004</v>
      </c>
      <c r="AP663">
        <v>83.080820000000003</v>
      </c>
      <c r="AQ663"/>
      <c r="AR663"/>
      <c r="AS663">
        <v>77.385909999999996</v>
      </c>
      <c r="AT663">
        <v>84.621409999999997</v>
      </c>
      <c r="AU663">
        <v>91.336910000000003</v>
      </c>
      <c r="AV663">
        <v>43.38353</v>
      </c>
      <c r="AW663">
        <v>80.455240000000003</v>
      </c>
      <c r="AX663">
        <v>59.498660000000001</v>
      </c>
    </row>
    <row r="664" spans="1:50" x14ac:dyDescent="0.35">
      <c r="A664" s="75">
        <v>38047</v>
      </c>
      <c r="B664">
        <v>81.868030000000005</v>
      </c>
      <c r="C664">
        <v>83.118970000000004</v>
      </c>
      <c r="D664"/>
      <c r="E664">
        <v>84.537390000000002</v>
      </c>
      <c r="F664">
        <v>96.736469999999997</v>
      </c>
      <c r="G664">
        <v>75.533749999999998</v>
      </c>
      <c r="H664"/>
      <c r="I664">
        <v>67.360159999999993</v>
      </c>
      <c r="J664">
        <v>47.378880000000002</v>
      </c>
      <c r="K664">
        <v>88.2</v>
      </c>
      <c r="L664">
        <v>87.459239999999994</v>
      </c>
      <c r="M664">
        <v>84.171880000000002</v>
      </c>
      <c r="N664">
        <v>85.84</v>
      </c>
      <c r="O664">
        <v>84.644319999999993</v>
      </c>
      <c r="P664">
        <v>75.484909999999999</v>
      </c>
      <c r="Q664"/>
      <c r="R664">
        <v>85.548879999999997</v>
      </c>
      <c r="S664">
        <v>88.086860000000001</v>
      </c>
      <c r="T664"/>
      <c r="U664">
        <v>84.606369999999998</v>
      </c>
      <c r="V664">
        <v>81.294839999999994</v>
      </c>
      <c r="W664">
        <v>86.199520000000007</v>
      </c>
      <c r="X664">
        <v>69.003780000000006</v>
      </c>
      <c r="Y664"/>
      <c r="Z664"/>
      <c r="AA664">
        <v>86.982190000000003</v>
      </c>
      <c r="AB664">
        <v>54.56738</v>
      </c>
      <c r="AC664">
        <v>83.414879999999997</v>
      </c>
      <c r="AD664">
        <v>84.099299999999999</v>
      </c>
      <c r="AE664">
        <v>101.116</v>
      </c>
      <c r="AF664">
        <v>77.935140000000004</v>
      </c>
      <c r="AG664">
        <v>78.234899999999996</v>
      </c>
      <c r="AH664">
        <v>80.988560000000007</v>
      </c>
      <c r="AI664">
        <v>70.263400000000004</v>
      </c>
      <c r="AJ664">
        <v>68.557400000000001</v>
      </c>
      <c r="AK664">
        <v>84.107619999999997</v>
      </c>
      <c r="AL664">
        <v>82.347210000000004</v>
      </c>
      <c r="AM664">
        <v>81.784289999999999</v>
      </c>
      <c r="AN664">
        <v>81.175030000000007</v>
      </c>
      <c r="AO664">
        <v>84.131979999999999</v>
      </c>
      <c r="AP664">
        <v>83.171620000000004</v>
      </c>
      <c r="AQ664"/>
      <c r="AR664"/>
      <c r="AS664">
        <v>77.590280000000007</v>
      </c>
      <c r="AT664">
        <v>84.971410000000006</v>
      </c>
      <c r="AU664">
        <v>91.92</v>
      </c>
      <c r="AV664">
        <v>43.702170000000002</v>
      </c>
      <c r="AW664">
        <v>80.950599999999994</v>
      </c>
      <c r="AX664">
        <v>59.80733</v>
      </c>
    </row>
    <row r="665" spans="1:50" x14ac:dyDescent="0.35">
      <c r="A665" s="75">
        <v>38078</v>
      </c>
      <c r="B665">
        <v>81.791979999999995</v>
      </c>
      <c r="C665">
        <v>83.442800000000005</v>
      </c>
      <c r="D665"/>
      <c r="E665">
        <v>84.602729999999994</v>
      </c>
      <c r="F665">
        <v>97.647869999999998</v>
      </c>
      <c r="G665">
        <v>75.783389999999997</v>
      </c>
      <c r="H665"/>
      <c r="I665">
        <v>67.662629999999993</v>
      </c>
      <c r="J665">
        <v>47.921329999999998</v>
      </c>
      <c r="K665">
        <v>88.1</v>
      </c>
      <c r="L665">
        <v>87.673969999999997</v>
      </c>
      <c r="M665">
        <v>84.408000000000001</v>
      </c>
      <c r="N665">
        <v>86.27</v>
      </c>
      <c r="O665">
        <v>86.128299999999996</v>
      </c>
      <c r="P665">
        <v>75.768680000000003</v>
      </c>
      <c r="Q665"/>
      <c r="R665">
        <v>85.524299999999997</v>
      </c>
      <c r="S665">
        <v>88.242990000000006</v>
      </c>
      <c r="T665"/>
      <c r="U665">
        <v>84.792400000000001</v>
      </c>
      <c r="V665">
        <v>81.597049999999996</v>
      </c>
      <c r="W665">
        <v>86.590350000000001</v>
      </c>
      <c r="X665">
        <v>69.235240000000005</v>
      </c>
      <c r="Y665"/>
      <c r="Z665"/>
      <c r="AA665">
        <v>87.11412</v>
      </c>
      <c r="AB665">
        <v>54.898850000000003</v>
      </c>
      <c r="AC665">
        <v>84.427199999999999</v>
      </c>
      <c r="AD665">
        <v>84.338279999999997</v>
      </c>
      <c r="AE665">
        <v>101.32899999999999</v>
      </c>
      <c r="AF665">
        <v>78.00497</v>
      </c>
      <c r="AG665">
        <v>78.534700000000001</v>
      </c>
      <c r="AH665">
        <v>81.039609999999996</v>
      </c>
      <c r="AI665">
        <v>70.647980000000004</v>
      </c>
      <c r="AJ665">
        <v>68.790710000000004</v>
      </c>
      <c r="AK665">
        <v>84.404669999999996</v>
      </c>
      <c r="AL665">
        <v>82.481530000000006</v>
      </c>
      <c r="AM665">
        <v>82.034080000000003</v>
      </c>
      <c r="AN665">
        <v>81.526949999999999</v>
      </c>
      <c r="AO665">
        <v>84.410489999999996</v>
      </c>
      <c r="AP665">
        <v>83.882289999999998</v>
      </c>
      <c r="AQ665"/>
      <c r="AR665"/>
      <c r="AS665">
        <v>77.781809999999993</v>
      </c>
      <c r="AT665">
        <v>85.601429999999993</v>
      </c>
      <c r="AU665">
        <v>92.000429999999994</v>
      </c>
      <c r="AV665">
        <v>44.00855</v>
      </c>
      <c r="AW665">
        <v>81.115719999999996</v>
      </c>
      <c r="AX665">
        <v>59.814929999999997</v>
      </c>
    </row>
    <row r="666" spans="1:50" x14ac:dyDescent="0.35">
      <c r="A666" s="75">
        <v>38108</v>
      </c>
      <c r="B666">
        <v>82.058149999999998</v>
      </c>
      <c r="C666">
        <v>83.546310000000005</v>
      </c>
      <c r="D666"/>
      <c r="E666">
        <v>84.746799999999993</v>
      </c>
      <c r="F666">
        <v>97.706699999999998</v>
      </c>
      <c r="G666">
        <v>75.899299999999997</v>
      </c>
      <c r="H666"/>
      <c r="I666">
        <v>67.834299999999999</v>
      </c>
      <c r="J666">
        <v>48.191459999999999</v>
      </c>
      <c r="K666">
        <v>88.6</v>
      </c>
      <c r="L666">
        <v>87.641329999999996</v>
      </c>
      <c r="M666">
        <v>84.398380000000003</v>
      </c>
      <c r="N666">
        <v>86.36</v>
      </c>
      <c r="O666">
        <v>86.300650000000005</v>
      </c>
      <c r="P666">
        <v>75.882189999999994</v>
      </c>
      <c r="Q666"/>
      <c r="R666">
        <v>85.507909999999995</v>
      </c>
      <c r="S666">
        <v>88.383039999999994</v>
      </c>
      <c r="T666"/>
      <c r="U666">
        <v>84.837850000000003</v>
      </c>
      <c r="V666">
        <v>81.798519999999996</v>
      </c>
      <c r="W666">
        <v>86.78613</v>
      </c>
      <c r="X666">
        <v>69.578190000000006</v>
      </c>
      <c r="Y666"/>
      <c r="Z666"/>
      <c r="AA666">
        <v>87.164420000000007</v>
      </c>
      <c r="AB666">
        <v>55.271749999999997</v>
      </c>
      <c r="AC666">
        <v>84.832120000000003</v>
      </c>
      <c r="AD666">
        <v>84.50224</v>
      </c>
      <c r="AE666">
        <v>101.4036</v>
      </c>
      <c r="AF666">
        <v>78.073729999999998</v>
      </c>
      <c r="AG666">
        <v>79.268199999999993</v>
      </c>
      <c r="AH666">
        <v>81.199960000000004</v>
      </c>
      <c r="AI666">
        <v>71.426760000000002</v>
      </c>
      <c r="AJ666">
        <v>68.83793</v>
      </c>
      <c r="AK666">
        <v>84.43647</v>
      </c>
      <c r="AL666">
        <v>82.415459999999996</v>
      </c>
      <c r="AM666">
        <v>82.127529999999993</v>
      </c>
      <c r="AN666">
        <v>81.726560000000006</v>
      </c>
      <c r="AO666">
        <v>85.296430000000001</v>
      </c>
      <c r="AP666">
        <v>84.505510000000001</v>
      </c>
      <c r="AQ666"/>
      <c r="AR666"/>
      <c r="AS666">
        <v>77.934489999999997</v>
      </c>
      <c r="AT666">
        <v>86.161439999999999</v>
      </c>
      <c r="AU666">
        <v>91.983670000000004</v>
      </c>
      <c r="AV666">
        <v>44.547780000000003</v>
      </c>
      <c r="AW666">
        <v>81.115719999999996</v>
      </c>
      <c r="AX666">
        <v>59.798990000000003</v>
      </c>
    </row>
    <row r="667" spans="1:50" x14ac:dyDescent="0.35">
      <c r="A667" s="75">
        <v>38139</v>
      </c>
      <c r="B667">
        <v>82.354740000000007</v>
      </c>
      <c r="C667">
        <v>83.559870000000004</v>
      </c>
      <c r="D667"/>
      <c r="E667">
        <v>84.779150000000001</v>
      </c>
      <c r="F667">
        <v>97.688670000000002</v>
      </c>
      <c r="G667">
        <v>76.122190000000003</v>
      </c>
      <c r="H667"/>
      <c r="I667">
        <v>68.136759999999995</v>
      </c>
      <c r="J667">
        <v>48.455089999999998</v>
      </c>
      <c r="K667">
        <v>88.7</v>
      </c>
      <c r="L667">
        <v>87.774280000000005</v>
      </c>
      <c r="M667">
        <v>84.367559999999997</v>
      </c>
      <c r="N667">
        <v>86.5</v>
      </c>
      <c r="O667">
        <v>86.480369999999994</v>
      </c>
      <c r="P667">
        <v>75.882189999999994</v>
      </c>
      <c r="Q667"/>
      <c r="R667">
        <v>85.598050000000001</v>
      </c>
      <c r="S667">
        <v>88.415469999999999</v>
      </c>
      <c r="T667"/>
      <c r="U667">
        <v>84.881320000000002</v>
      </c>
      <c r="V667">
        <v>81.798519999999996</v>
      </c>
      <c r="W667">
        <v>87.046859999999995</v>
      </c>
      <c r="X667">
        <v>69.746160000000003</v>
      </c>
      <c r="Y667"/>
      <c r="Z667"/>
      <c r="AA667">
        <v>87.479650000000007</v>
      </c>
      <c r="AB667">
        <v>55.561779999999999</v>
      </c>
      <c r="AC667">
        <v>84.933359999999993</v>
      </c>
      <c r="AD667">
        <v>84.607960000000006</v>
      </c>
      <c r="AE667">
        <v>101.3858</v>
      </c>
      <c r="AF667">
        <v>78.142489999999995</v>
      </c>
      <c r="AG667">
        <v>79.304299999999998</v>
      </c>
      <c r="AH667">
        <v>81.39282</v>
      </c>
      <c r="AI667">
        <v>71.465220000000002</v>
      </c>
      <c r="AJ667">
        <v>68.98057</v>
      </c>
      <c r="AK667">
        <v>83.893799999999999</v>
      </c>
      <c r="AL667">
        <v>82.447100000000006</v>
      </c>
      <c r="AM667">
        <v>82.195319999999995</v>
      </c>
      <c r="AN667">
        <v>81.825789999999998</v>
      </c>
      <c r="AO667">
        <v>85.564509999999999</v>
      </c>
      <c r="AP667">
        <v>84.820650000000001</v>
      </c>
      <c r="AQ667"/>
      <c r="AR667"/>
      <c r="AS667">
        <v>77.959530000000001</v>
      </c>
      <c r="AT667">
        <v>86.661450000000002</v>
      </c>
      <c r="AU667">
        <v>91.842929999999996</v>
      </c>
      <c r="AV667">
        <v>44.886839999999999</v>
      </c>
      <c r="AW667">
        <v>81.15701</v>
      </c>
      <c r="AX667">
        <v>59.822020000000002</v>
      </c>
    </row>
    <row r="668" spans="1:50" x14ac:dyDescent="0.35">
      <c r="A668" s="75">
        <v>38169</v>
      </c>
      <c r="B668">
        <v>82.33954</v>
      </c>
      <c r="C668">
        <v>83.905889999999999</v>
      </c>
      <c r="D668"/>
      <c r="E668">
        <v>84.859380000000002</v>
      </c>
      <c r="F668">
        <v>96.728870000000001</v>
      </c>
      <c r="G668">
        <v>76.345089999999999</v>
      </c>
      <c r="H668"/>
      <c r="I668">
        <v>68.300259999999994</v>
      </c>
      <c r="J668">
        <v>48.87276</v>
      </c>
      <c r="K668">
        <v>89.4</v>
      </c>
      <c r="L668">
        <v>87.9619</v>
      </c>
      <c r="M668">
        <v>83.934290000000004</v>
      </c>
      <c r="N668">
        <v>86.26</v>
      </c>
      <c r="O668">
        <v>85.291719999999998</v>
      </c>
      <c r="P668">
        <v>75.82544</v>
      </c>
      <c r="Q668"/>
      <c r="R668">
        <v>85.196560000000005</v>
      </c>
      <c r="S668">
        <v>88.416899999999998</v>
      </c>
      <c r="T668"/>
      <c r="U668">
        <v>84.884460000000004</v>
      </c>
      <c r="V668">
        <v>81.597049999999996</v>
      </c>
      <c r="W668">
        <v>85.733969999999999</v>
      </c>
      <c r="X668">
        <v>69.811880000000002</v>
      </c>
      <c r="Y668"/>
      <c r="Z668"/>
      <c r="AA668">
        <v>87.259140000000002</v>
      </c>
      <c r="AB668">
        <v>55.271749999999997</v>
      </c>
      <c r="AC668">
        <v>84.832120000000003</v>
      </c>
      <c r="AD668">
        <v>84.760900000000007</v>
      </c>
      <c r="AE668">
        <v>101.2794</v>
      </c>
      <c r="AF668">
        <v>78.419669999999996</v>
      </c>
      <c r="AG668">
        <v>78.987399999999994</v>
      </c>
      <c r="AH668">
        <v>80.296959999999999</v>
      </c>
      <c r="AI668">
        <v>71.253699999999995</v>
      </c>
      <c r="AJ668">
        <v>69.112759999999994</v>
      </c>
      <c r="AK668">
        <v>83.692319999999995</v>
      </c>
      <c r="AL668">
        <v>82.190640000000002</v>
      </c>
      <c r="AM668">
        <v>82.169560000000004</v>
      </c>
      <c r="AN668">
        <v>81.706980000000001</v>
      </c>
      <c r="AO668">
        <v>85.781760000000006</v>
      </c>
      <c r="AP668">
        <v>84.417050000000003</v>
      </c>
      <c r="AQ668"/>
      <c r="AR668"/>
      <c r="AS668">
        <v>78.210790000000003</v>
      </c>
      <c r="AT668">
        <v>87.131450000000001</v>
      </c>
      <c r="AU668">
        <v>91.383830000000003</v>
      </c>
      <c r="AV668">
        <v>44.964460000000003</v>
      </c>
      <c r="AW668">
        <v>81.15701</v>
      </c>
      <c r="AX668">
        <v>60.054099999999998</v>
      </c>
    </row>
    <row r="669" spans="1:50" x14ac:dyDescent="0.35">
      <c r="A669" s="75">
        <v>38200</v>
      </c>
      <c r="B669">
        <v>82.628519999999995</v>
      </c>
      <c r="C669">
        <v>83.942840000000004</v>
      </c>
      <c r="D669"/>
      <c r="E669">
        <v>84.693920000000006</v>
      </c>
      <c r="F669">
        <v>96.949240000000003</v>
      </c>
      <c r="G669">
        <v>76.282669999999996</v>
      </c>
      <c r="H669"/>
      <c r="I669">
        <v>68.308430000000001</v>
      </c>
      <c r="J669">
        <v>49.324069999999999</v>
      </c>
      <c r="K669">
        <v>89.5</v>
      </c>
      <c r="L669">
        <v>88.046840000000003</v>
      </c>
      <c r="M669">
        <v>83.624790000000004</v>
      </c>
      <c r="N669">
        <v>86.45</v>
      </c>
      <c r="O669">
        <v>85.560770000000005</v>
      </c>
      <c r="P669">
        <v>75.938950000000006</v>
      </c>
      <c r="Q669"/>
      <c r="R669">
        <v>85.598050000000001</v>
      </c>
      <c r="S669">
        <v>88.779210000000006</v>
      </c>
      <c r="T669"/>
      <c r="U669">
        <v>85.001019999999997</v>
      </c>
      <c r="V669">
        <v>81.798519999999996</v>
      </c>
      <c r="W669">
        <v>85.248900000000006</v>
      </c>
      <c r="X669">
        <v>69.676119999999997</v>
      </c>
      <c r="Y669"/>
      <c r="Z669"/>
      <c r="AA669">
        <v>87.913759999999996</v>
      </c>
      <c r="AB669">
        <v>55.106009999999998</v>
      </c>
      <c r="AC669">
        <v>84.933359999999993</v>
      </c>
      <c r="AD669">
        <v>85.017910000000001</v>
      </c>
      <c r="AE669">
        <v>101.4076</v>
      </c>
      <c r="AF669">
        <v>78.489490000000004</v>
      </c>
      <c r="AG669">
        <v>78.744100000000003</v>
      </c>
      <c r="AH669">
        <v>81.426469999999995</v>
      </c>
      <c r="AI669">
        <v>71.282539999999997</v>
      </c>
      <c r="AJ669">
        <v>69.323390000000003</v>
      </c>
      <c r="AK669">
        <v>84.119219999999999</v>
      </c>
      <c r="AL669">
        <v>81.994669999999999</v>
      </c>
      <c r="AM669">
        <v>82.286739999999995</v>
      </c>
      <c r="AN669">
        <v>81.881659999999997</v>
      </c>
      <c r="AO669">
        <v>85.713909999999998</v>
      </c>
      <c r="AP669">
        <v>84.106920000000002</v>
      </c>
      <c r="AQ669"/>
      <c r="AR669"/>
      <c r="AS669">
        <v>78.240229999999997</v>
      </c>
      <c r="AT669">
        <v>86.681439999999995</v>
      </c>
      <c r="AU669">
        <v>91.320160000000001</v>
      </c>
      <c r="AV669">
        <v>45.213650000000001</v>
      </c>
      <c r="AW669">
        <v>81.239559999999997</v>
      </c>
      <c r="AX669">
        <v>60.007820000000002</v>
      </c>
    </row>
    <row r="670" spans="1:50" x14ac:dyDescent="0.35">
      <c r="A670" s="75">
        <v>38231</v>
      </c>
      <c r="B670">
        <v>82.674160000000001</v>
      </c>
      <c r="C670">
        <v>83.970410000000001</v>
      </c>
      <c r="D670"/>
      <c r="E670">
        <v>85.039280000000005</v>
      </c>
      <c r="F670">
        <v>96.944950000000006</v>
      </c>
      <c r="G670">
        <v>76.407489999999996</v>
      </c>
      <c r="H670"/>
      <c r="I670">
        <v>68.447400000000002</v>
      </c>
      <c r="J670">
        <v>49.529119999999999</v>
      </c>
      <c r="K670">
        <v>88.5</v>
      </c>
      <c r="L670">
        <v>87.942440000000005</v>
      </c>
      <c r="M670">
        <v>84.332729999999998</v>
      </c>
      <c r="N670">
        <v>86.65</v>
      </c>
      <c r="O670">
        <v>85.777270000000001</v>
      </c>
      <c r="P670">
        <v>76.279480000000007</v>
      </c>
      <c r="Q670"/>
      <c r="R670">
        <v>85.983140000000006</v>
      </c>
      <c r="S670">
        <v>88.835440000000006</v>
      </c>
      <c r="T670"/>
      <c r="U670">
        <v>85.166589999999999</v>
      </c>
      <c r="V670">
        <v>81.899259999999998</v>
      </c>
      <c r="W670">
        <v>87.554469999999995</v>
      </c>
      <c r="X670">
        <v>69.895200000000003</v>
      </c>
      <c r="Y670"/>
      <c r="Z670"/>
      <c r="AA670">
        <v>87.914180000000002</v>
      </c>
      <c r="AB670">
        <v>55.437480000000001</v>
      </c>
      <c r="AC670">
        <v>84.52843</v>
      </c>
      <c r="AD670">
        <v>85.026820000000001</v>
      </c>
      <c r="AE670">
        <v>101.50830000000001</v>
      </c>
      <c r="AF670">
        <v>78.489490000000004</v>
      </c>
      <c r="AG670">
        <v>79.445499999999996</v>
      </c>
      <c r="AH670">
        <v>81.613720000000001</v>
      </c>
      <c r="AI670">
        <v>72.330529999999996</v>
      </c>
      <c r="AJ670">
        <v>69.715630000000004</v>
      </c>
      <c r="AK670">
        <v>85.013180000000006</v>
      </c>
      <c r="AL670">
        <v>82.719089999999994</v>
      </c>
      <c r="AM670">
        <v>82.494600000000005</v>
      </c>
      <c r="AN670">
        <v>82.071690000000004</v>
      </c>
      <c r="AO670">
        <v>85.793419999999998</v>
      </c>
      <c r="AP670">
        <v>84.198329999999999</v>
      </c>
      <c r="AQ670"/>
      <c r="AR670"/>
      <c r="AS670">
        <v>78.40746</v>
      </c>
      <c r="AT670">
        <v>86.69144</v>
      </c>
      <c r="AU670">
        <v>92.265159999999995</v>
      </c>
      <c r="AV670">
        <v>45.761049999999997</v>
      </c>
      <c r="AW670">
        <v>81.48724</v>
      </c>
      <c r="AX670">
        <v>59.936709999999998</v>
      </c>
    </row>
    <row r="671" spans="1:50" x14ac:dyDescent="0.35">
      <c r="A671" s="75">
        <v>38261</v>
      </c>
      <c r="B671">
        <v>82.849069999999998</v>
      </c>
      <c r="C671">
        <v>84.182879999999997</v>
      </c>
      <c r="D671"/>
      <c r="E671">
        <v>84.964439999999996</v>
      </c>
      <c r="F671">
        <v>97.714340000000007</v>
      </c>
      <c r="G671">
        <v>76.487729999999999</v>
      </c>
      <c r="H671"/>
      <c r="I671">
        <v>68.447400000000002</v>
      </c>
      <c r="J671">
        <v>49.868679999999998</v>
      </c>
      <c r="K671">
        <v>88.6</v>
      </c>
      <c r="L671">
        <v>87.778570000000002</v>
      </c>
      <c r="M671">
        <v>84.495450000000005</v>
      </c>
      <c r="N671">
        <v>86.84</v>
      </c>
      <c r="O671">
        <v>86.796710000000004</v>
      </c>
      <c r="P671">
        <v>76.449749999999995</v>
      </c>
      <c r="Q671"/>
      <c r="R671">
        <v>86.171589999999995</v>
      </c>
      <c r="S671">
        <v>88.856499999999997</v>
      </c>
      <c r="T671"/>
      <c r="U671">
        <v>85.348330000000004</v>
      </c>
      <c r="V671">
        <v>82</v>
      </c>
      <c r="W671">
        <v>87.822909999999993</v>
      </c>
      <c r="X671">
        <v>70.153559999999999</v>
      </c>
      <c r="Y671"/>
      <c r="Z671"/>
      <c r="AA671">
        <v>87.985439999999997</v>
      </c>
      <c r="AB671">
        <v>55.85181</v>
      </c>
      <c r="AC671">
        <v>84.427199999999999</v>
      </c>
      <c r="AD671">
        <v>84.964820000000003</v>
      </c>
      <c r="AE671">
        <v>101.5868</v>
      </c>
      <c r="AF671">
        <v>78.489490000000004</v>
      </c>
      <c r="AG671">
        <v>79.691999999999993</v>
      </c>
      <c r="AH671">
        <v>81.822460000000007</v>
      </c>
      <c r="AI671">
        <v>72.734340000000003</v>
      </c>
      <c r="AJ671">
        <v>69.914029999999997</v>
      </c>
      <c r="AK671">
        <v>85.015360000000001</v>
      </c>
      <c r="AL671">
        <v>82.971789999999999</v>
      </c>
      <c r="AM671">
        <v>82.727379999999997</v>
      </c>
      <c r="AN671">
        <v>82.275469999999999</v>
      </c>
      <c r="AO671">
        <v>86.027060000000006</v>
      </c>
      <c r="AP671">
        <v>84.900769999999994</v>
      </c>
      <c r="AQ671"/>
      <c r="AR671"/>
      <c r="AS671">
        <v>78.581370000000007</v>
      </c>
      <c r="AT671">
        <v>86.99145</v>
      </c>
      <c r="AU671">
        <v>92.446119999999993</v>
      </c>
      <c r="AV671">
        <v>46.565809999999999</v>
      </c>
      <c r="AW671">
        <v>81.817490000000006</v>
      </c>
      <c r="AX671">
        <v>60.008749999999999</v>
      </c>
    </row>
    <row r="672" spans="1:50" x14ac:dyDescent="0.35">
      <c r="A672" s="75">
        <v>38292</v>
      </c>
      <c r="B672">
        <v>82.871889999999993</v>
      </c>
      <c r="C672">
        <v>84.210300000000004</v>
      </c>
      <c r="D672"/>
      <c r="E672">
        <v>85.410139999999998</v>
      </c>
      <c r="F672">
        <v>97.940929999999994</v>
      </c>
      <c r="G672">
        <v>76.621470000000002</v>
      </c>
      <c r="H672"/>
      <c r="I672">
        <v>68.651769999999999</v>
      </c>
      <c r="J672">
        <v>50.209339999999997</v>
      </c>
      <c r="K672">
        <v>88.5</v>
      </c>
      <c r="L672">
        <v>87.788489999999996</v>
      </c>
      <c r="M672">
        <v>84.452349999999996</v>
      </c>
      <c r="N672">
        <v>86.88</v>
      </c>
      <c r="O672">
        <v>87.178219999999996</v>
      </c>
      <c r="P672">
        <v>76.449749999999995</v>
      </c>
      <c r="Q672"/>
      <c r="R672">
        <v>85.958560000000006</v>
      </c>
      <c r="S672">
        <v>88.860420000000005</v>
      </c>
      <c r="T672"/>
      <c r="U672">
        <v>85.316370000000006</v>
      </c>
      <c r="V672">
        <v>82.100740000000002</v>
      </c>
      <c r="W672">
        <v>87.870540000000005</v>
      </c>
      <c r="X672">
        <v>70.252139999999997</v>
      </c>
      <c r="Y672"/>
      <c r="Z672"/>
      <c r="AA672">
        <v>88.065770000000001</v>
      </c>
      <c r="AB672">
        <v>56.058979999999998</v>
      </c>
      <c r="AC672">
        <v>84.022270000000006</v>
      </c>
      <c r="AD672">
        <v>85.075289999999995</v>
      </c>
      <c r="AE672">
        <v>101.1936</v>
      </c>
      <c r="AF672">
        <v>78.419669999999996</v>
      </c>
      <c r="AG672">
        <v>79.784499999999994</v>
      </c>
      <c r="AH672">
        <v>81.972769999999997</v>
      </c>
      <c r="AI672">
        <v>72.897790000000001</v>
      </c>
      <c r="AJ672">
        <v>70.16001</v>
      </c>
      <c r="AK672">
        <v>84.923259999999999</v>
      </c>
      <c r="AL672">
        <v>83.058449999999993</v>
      </c>
      <c r="AM672">
        <v>82.753399999999999</v>
      </c>
      <c r="AN672">
        <v>82.40531</v>
      </c>
      <c r="AO672">
        <v>86.005690000000001</v>
      </c>
      <c r="AP672">
        <v>85.592039999999997</v>
      </c>
      <c r="AQ672"/>
      <c r="AR672"/>
      <c r="AS672">
        <v>78.704809999999995</v>
      </c>
      <c r="AT672">
        <v>87.251459999999994</v>
      </c>
      <c r="AU672">
        <v>92.245059999999995</v>
      </c>
      <c r="AV672">
        <v>47.162230000000001</v>
      </c>
      <c r="AW672">
        <v>81.776210000000006</v>
      </c>
      <c r="AX672">
        <v>60.28152</v>
      </c>
    </row>
    <row r="673" spans="1:50" x14ac:dyDescent="0.35">
      <c r="A673" s="75">
        <v>38322</v>
      </c>
      <c r="B673">
        <v>83.168480000000002</v>
      </c>
      <c r="C673">
        <v>84.144139999999993</v>
      </c>
      <c r="D673"/>
      <c r="E673">
        <v>85.430430000000001</v>
      </c>
      <c r="F673">
        <v>97.915400000000005</v>
      </c>
      <c r="G673">
        <v>76.826530000000005</v>
      </c>
      <c r="H673"/>
      <c r="I673">
        <v>68.946070000000006</v>
      </c>
      <c r="J673">
        <v>50.572769999999998</v>
      </c>
      <c r="K673">
        <v>88.5</v>
      </c>
      <c r="L673">
        <v>89.097710000000006</v>
      </c>
      <c r="M673">
        <v>84.369929999999997</v>
      </c>
      <c r="N673">
        <v>87.28</v>
      </c>
      <c r="O673">
        <v>87.286469999999994</v>
      </c>
      <c r="P673">
        <v>76.449749999999995</v>
      </c>
      <c r="Q673"/>
      <c r="R673">
        <v>86.015910000000005</v>
      </c>
      <c r="S673">
        <v>89.048320000000004</v>
      </c>
      <c r="T673"/>
      <c r="U673">
        <v>85.42841</v>
      </c>
      <c r="V673">
        <v>82.604420000000005</v>
      </c>
      <c r="W673">
        <v>88.332149999999999</v>
      </c>
      <c r="X673">
        <v>70.217119999999994</v>
      </c>
      <c r="Y673"/>
      <c r="Z673"/>
      <c r="AA673">
        <v>88.198769999999996</v>
      </c>
      <c r="AB673">
        <v>56.34901</v>
      </c>
      <c r="AC673">
        <v>83.71857</v>
      </c>
      <c r="AD673">
        <v>85.357759999999999</v>
      </c>
      <c r="AE673">
        <v>101.139</v>
      </c>
      <c r="AF673">
        <v>78.697909999999993</v>
      </c>
      <c r="AG673">
        <v>79.721900000000005</v>
      </c>
      <c r="AH673">
        <v>81.890219999999999</v>
      </c>
      <c r="AI673">
        <v>72.522819999999996</v>
      </c>
      <c r="AJ673">
        <v>70.331900000000005</v>
      </c>
      <c r="AK673">
        <v>84.134789999999995</v>
      </c>
      <c r="AL673">
        <v>82.992040000000003</v>
      </c>
      <c r="AM673">
        <v>82.854309999999998</v>
      </c>
      <c r="AN673">
        <v>82.76379</v>
      </c>
      <c r="AO673">
        <v>85.986040000000003</v>
      </c>
      <c r="AP673">
        <v>85.662610000000001</v>
      </c>
      <c r="AQ673"/>
      <c r="AR673"/>
      <c r="AS673">
        <v>78.849940000000004</v>
      </c>
      <c r="AT673">
        <v>87.121449999999996</v>
      </c>
      <c r="AU673">
        <v>92.288619999999995</v>
      </c>
      <c r="AV673">
        <v>47.248019999999997</v>
      </c>
      <c r="AW673">
        <v>81.652370000000005</v>
      </c>
      <c r="AX673">
        <v>60.274250000000002</v>
      </c>
    </row>
    <row r="674" spans="1:50" x14ac:dyDescent="0.35">
      <c r="A674" s="75">
        <v>38353</v>
      </c>
      <c r="B674">
        <v>83.419449999999998</v>
      </c>
      <c r="C674">
        <v>84.443759999999997</v>
      </c>
      <c r="D674"/>
      <c r="E674">
        <v>85.280919999999995</v>
      </c>
      <c r="F674">
        <v>97.630549999999999</v>
      </c>
      <c r="G674">
        <v>76.701710000000006</v>
      </c>
      <c r="H674"/>
      <c r="I674">
        <v>69.395679999999999</v>
      </c>
      <c r="J674">
        <v>51.456949999999999</v>
      </c>
      <c r="K674">
        <v>88.7</v>
      </c>
      <c r="L674">
        <v>88.09451</v>
      </c>
      <c r="M674">
        <v>84.006389999999996</v>
      </c>
      <c r="N674">
        <v>86.44</v>
      </c>
      <c r="O674">
        <v>86.037909999999997</v>
      </c>
      <c r="P674">
        <v>76.506510000000006</v>
      </c>
      <c r="Q674"/>
      <c r="R674">
        <v>85.393199999999993</v>
      </c>
      <c r="S674">
        <v>88.56953</v>
      </c>
      <c r="T674"/>
      <c r="U674">
        <v>85.357979999999998</v>
      </c>
      <c r="V674">
        <v>82</v>
      </c>
      <c r="W674">
        <v>88.528599999999997</v>
      </c>
      <c r="X674">
        <v>70.956320000000005</v>
      </c>
      <c r="Y674"/>
      <c r="Z674"/>
      <c r="AA674">
        <v>87.363200000000006</v>
      </c>
      <c r="AB674">
        <v>56.431870000000004</v>
      </c>
      <c r="AC674">
        <v>83.212419999999995</v>
      </c>
      <c r="AD674">
        <v>85.359160000000003</v>
      </c>
      <c r="AE674">
        <v>100.7684</v>
      </c>
      <c r="AF674">
        <v>79.32208</v>
      </c>
      <c r="AG674">
        <v>79.170599999999993</v>
      </c>
      <c r="AH674">
        <v>81.146299999999997</v>
      </c>
      <c r="AI674">
        <v>72.686269999999993</v>
      </c>
      <c r="AJ674">
        <v>70.585239999999999</v>
      </c>
      <c r="AK674">
        <v>83.976429999999993</v>
      </c>
      <c r="AL674">
        <v>82.72372</v>
      </c>
      <c r="AM674">
        <v>82.811000000000007</v>
      </c>
      <c r="AN674">
        <v>82.3386</v>
      </c>
      <c r="AO674">
        <v>86.037760000000006</v>
      </c>
      <c r="AP674">
        <v>85.454809999999995</v>
      </c>
      <c r="AQ674"/>
      <c r="AR674"/>
      <c r="AS674">
        <v>79.963970000000003</v>
      </c>
      <c r="AT674">
        <v>86.281440000000003</v>
      </c>
      <c r="AU674">
        <v>91.440799999999996</v>
      </c>
      <c r="AV674">
        <v>47.337890000000002</v>
      </c>
      <c r="AW674">
        <v>81.900049999999993</v>
      </c>
      <c r="AX674">
        <v>60.560879999999997</v>
      </c>
    </row>
    <row r="675" spans="1:50" x14ac:dyDescent="0.35">
      <c r="A675" s="75">
        <v>38384</v>
      </c>
      <c r="B675">
        <v>83.586789999999993</v>
      </c>
      <c r="C675">
        <v>84.806690000000003</v>
      </c>
      <c r="D675"/>
      <c r="E675">
        <v>85.524330000000006</v>
      </c>
      <c r="F675">
        <v>97.647980000000004</v>
      </c>
      <c r="G675">
        <v>76.648219999999995</v>
      </c>
      <c r="H675"/>
      <c r="I675">
        <v>69.984260000000006</v>
      </c>
      <c r="J675">
        <v>51.843170000000001</v>
      </c>
      <c r="K675">
        <v>88.9</v>
      </c>
      <c r="L675">
        <v>88.385729999999995</v>
      </c>
      <c r="M675">
        <v>84.887860000000003</v>
      </c>
      <c r="N675">
        <v>86.64</v>
      </c>
      <c r="O675">
        <v>86.19556</v>
      </c>
      <c r="P675">
        <v>76.847040000000007</v>
      </c>
      <c r="Q675"/>
      <c r="R675">
        <v>85.831209999999999</v>
      </c>
      <c r="S675">
        <v>89.027829999999994</v>
      </c>
      <c r="T675"/>
      <c r="U675">
        <v>85.662850000000006</v>
      </c>
      <c r="V675">
        <v>82.1</v>
      </c>
      <c r="W675">
        <v>86.510059999999996</v>
      </c>
      <c r="X675">
        <v>71.213200000000001</v>
      </c>
      <c r="Y675"/>
      <c r="Z675"/>
      <c r="AA675">
        <v>88.345230000000001</v>
      </c>
      <c r="AB675">
        <v>56.639040000000001</v>
      </c>
      <c r="AC675">
        <v>83.111180000000004</v>
      </c>
      <c r="AD675">
        <v>85.586240000000004</v>
      </c>
      <c r="AE675">
        <v>100.4191</v>
      </c>
      <c r="AF675">
        <v>79.480770000000007</v>
      </c>
      <c r="AG675">
        <v>78.902100000000004</v>
      </c>
      <c r="AH675">
        <v>82.394450000000006</v>
      </c>
      <c r="AI675">
        <v>72.793369999999996</v>
      </c>
      <c r="AJ675">
        <v>70.83605</v>
      </c>
      <c r="AK675">
        <v>84.435130000000001</v>
      </c>
      <c r="AL675">
        <v>82.902529999999999</v>
      </c>
      <c r="AM675">
        <v>83.056049999999999</v>
      </c>
      <c r="AN675">
        <v>82.492540000000005</v>
      </c>
      <c r="AO675">
        <v>85.956720000000004</v>
      </c>
      <c r="AP675">
        <v>85.329509999999999</v>
      </c>
      <c r="AQ675"/>
      <c r="AR675"/>
      <c r="AS675">
        <v>80.245480000000001</v>
      </c>
      <c r="AT675">
        <v>86.411439999999999</v>
      </c>
      <c r="AU675">
        <v>91.56814</v>
      </c>
      <c r="AV675">
        <v>47.113210000000002</v>
      </c>
      <c r="AW675">
        <v>82.354129999999998</v>
      </c>
      <c r="AX675">
        <v>60.593440000000001</v>
      </c>
    </row>
    <row r="676" spans="1:50" x14ac:dyDescent="0.35">
      <c r="A676" s="75">
        <v>38412</v>
      </c>
      <c r="B676">
        <v>83.837800000000001</v>
      </c>
      <c r="C676">
        <v>84.998019999999997</v>
      </c>
      <c r="D676"/>
      <c r="E676">
        <v>85.772210000000001</v>
      </c>
      <c r="F676">
        <v>97.704250000000002</v>
      </c>
      <c r="G676">
        <v>77.156409999999994</v>
      </c>
      <c r="H676"/>
      <c r="I676">
        <v>70.352130000000002</v>
      </c>
      <c r="J676">
        <v>52.150190000000002</v>
      </c>
      <c r="K676">
        <v>88.8</v>
      </c>
      <c r="L676">
        <v>88.552639999999997</v>
      </c>
      <c r="M676">
        <v>85.178210000000007</v>
      </c>
      <c r="N676">
        <v>87.2</v>
      </c>
      <c r="O676">
        <v>86.884990000000002</v>
      </c>
      <c r="P676">
        <v>76.790279999999996</v>
      </c>
      <c r="Q676"/>
      <c r="R676">
        <v>86.002970000000005</v>
      </c>
      <c r="S676">
        <v>89.357640000000004</v>
      </c>
      <c r="T676"/>
      <c r="U676">
        <v>86.064800000000005</v>
      </c>
      <c r="V676">
        <v>82.4</v>
      </c>
      <c r="W676">
        <v>88.690539999999999</v>
      </c>
      <c r="X676">
        <v>71.467780000000005</v>
      </c>
      <c r="Y676"/>
      <c r="Z676"/>
      <c r="AA676">
        <v>88.622119999999995</v>
      </c>
      <c r="AB676">
        <v>57.384830000000001</v>
      </c>
      <c r="AC676">
        <v>83.009960000000007</v>
      </c>
      <c r="AD676">
        <v>85.801389999999998</v>
      </c>
      <c r="AE676">
        <v>100.7957</v>
      </c>
      <c r="AF676">
        <v>79.880669999999995</v>
      </c>
      <c r="AG676">
        <v>79.037300000000002</v>
      </c>
      <c r="AH676">
        <v>82.477109999999996</v>
      </c>
      <c r="AI676">
        <v>73.200659999999999</v>
      </c>
      <c r="AJ676">
        <v>71.058890000000005</v>
      </c>
      <c r="AK676">
        <v>85.251949999999994</v>
      </c>
      <c r="AL676">
        <v>83.302220000000005</v>
      </c>
      <c r="AM676">
        <v>83.441540000000003</v>
      </c>
      <c r="AN676">
        <v>82.815039999999996</v>
      </c>
      <c r="AO676">
        <v>85.978489999999994</v>
      </c>
      <c r="AP676">
        <v>85.491609999999994</v>
      </c>
      <c r="AQ676"/>
      <c r="AR676"/>
      <c r="AS676">
        <v>80.17398</v>
      </c>
      <c r="AT676">
        <v>87.281459999999996</v>
      </c>
      <c r="AU676">
        <v>91.873090000000005</v>
      </c>
      <c r="AV676">
        <v>47.3093</v>
      </c>
      <c r="AW676">
        <v>82.849490000000003</v>
      </c>
      <c r="AX676">
        <v>60.923870000000001</v>
      </c>
    </row>
    <row r="677" spans="1:50" x14ac:dyDescent="0.35">
      <c r="A677" s="75">
        <v>38443</v>
      </c>
      <c r="B677">
        <v>83.503119999999996</v>
      </c>
      <c r="C677">
        <v>84.999170000000007</v>
      </c>
      <c r="D677"/>
      <c r="E677">
        <v>85.612889999999993</v>
      </c>
      <c r="F677">
        <v>98.42859</v>
      </c>
      <c r="G677">
        <v>77.423879999999997</v>
      </c>
      <c r="H677"/>
      <c r="I677">
        <v>70.581019999999995</v>
      </c>
      <c r="J677">
        <v>52.593899999999998</v>
      </c>
      <c r="K677">
        <v>88.8</v>
      </c>
      <c r="L677">
        <v>88.179249999999996</v>
      </c>
      <c r="M677">
        <v>85.539900000000003</v>
      </c>
      <c r="N677">
        <v>87.47</v>
      </c>
      <c r="O677">
        <v>88.151420000000002</v>
      </c>
      <c r="P677">
        <v>77.017300000000006</v>
      </c>
      <c r="Q677"/>
      <c r="R677">
        <v>86.011560000000003</v>
      </c>
      <c r="S677">
        <v>89.500889999999998</v>
      </c>
      <c r="T677"/>
      <c r="U677">
        <v>86.131029999999996</v>
      </c>
      <c r="V677">
        <v>82.7</v>
      </c>
      <c r="W677">
        <v>89.233130000000003</v>
      </c>
      <c r="X677">
        <v>71.88006</v>
      </c>
      <c r="Y677"/>
      <c r="Z677"/>
      <c r="AA677">
        <v>88.792180000000002</v>
      </c>
      <c r="AB677">
        <v>57.840600000000002</v>
      </c>
      <c r="AC677">
        <v>83.516109999999998</v>
      </c>
      <c r="AD677">
        <v>85.768169999999998</v>
      </c>
      <c r="AE677">
        <v>101.05840000000001</v>
      </c>
      <c r="AF677">
        <v>79.962130000000002</v>
      </c>
      <c r="AG677">
        <v>79.284999999999997</v>
      </c>
      <c r="AH677">
        <v>82.592830000000006</v>
      </c>
      <c r="AI677">
        <v>73.953320000000005</v>
      </c>
      <c r="AJ677">
        <v>71.209819999999993</v>
      </c>
      <c r="AK677">
        <v>85.44256</v>
      </c>
      <c r="AL677">
        <v>83.592209999999994</v>
      </c>
      <c r="AM677">
        <v>83.580780000000004</v>
      </c>
      <c r="AN677">
        <v>82.991039999999998</v>
      </c>
      <c r="AO677">
        <v>86.185079999999999</v>
      </c>
      <c r="AP677">
        <v>86.102019999999996</v>
      </c>
      <c r="AQ677"/>
      <c r="AR677"/>
      <c r="AS677">
        <v>80.204390000000004</v>
      </c>
      <c r="AT677">
        <v>87.391459999999995</v>
      </c>
      <c r="AU677">
        <v>91.987020000000001</v>
      </c>
      <c r="AV677">
        <v>47.509459999999997</v>
      </c>
      <c r="AW677">
        <v>82.932050000000004</v>
      </c>
      <c r="AX677">
        <v>61.010959999999997</v>
      </c>
    </row>
    <row r="678" spans="1:50" x14ac:dyDescent="0.35">
      <c r="A678" s="75">
        <v>38473</v>
      </c>
      <c r="B678">
        <v>83.670460000000006</v>
      </c>
      <c r="C678">
        <v>85.183359999999993</v>
      </c>
      <c r="D678"/>
      <c r="E678">
        <v>85.891999999999996</v>
      </c>
      <c r="F678">
        <v>98.460030000000003</v>
      </c>
      <c r="G678">
        <v>77.807259999999999</v>
      </c>
      <c r="H678"/>
      <c r="I678">
        <v>70.752690000000001</v>
      </c>
      <c r="J678">
        <v>52.955170000000003</v>
      </c>
      <c r="K678">
        <v>88.8</v>
      </c>
      <c r="L678">
        <v>88.414640000000006</v>
      </c>
      <c r="M678">
        <v>85.609629999999996</v>
      </c>
      <c r="N678">
        <v>87.72</v>
      </c>
      <c r="O678">
        <v>88.404700000000005</v>
      </c>
      <c r="P678">
        <v>77.074060000000003</v>
      </c>
      <c r="Q678"/>
      <c r="R678">
        <v>85.977199999999996</v>
      </c>
      <c r="S678">
        <v>89.626630000000006</v>
      </c>
      <c r="T678"/>
      <c r="U678">
        <v>86.187929999999994</v>
      </c>
      <c r="V678">
        <v>82.9</v>
      </c>
      <c r="W678">
        <v>89.611130000000003</v>
      </c>
      <c r="X678">
        <v>72.004639999999995</v>
      </c>
      <c r="Y678"/>
      <c r="Z678"/>
      <c r="AA678">
        <v>89.149699999999996</v>
      </c>
      <c r="AB678">
        <v>57.757730000000002</v>
      </c>
      <c r="AC678">
        <v>83.71857</v>
      </c>
      <c r="AD678">
        <v>86.101460000000003</v>
      </c>
      <c r="AE678">
        <v>101.0997</v>
      </c>
      <c r="AF678">
        <v>79.962130000000002</v>
      </c>
      <c r="AG678">
        <v>79.499499999999998</v>
      </c>
      <c r="AH678">
        <v>82.658959999999993</v>
      </c>
      <c r="AI678">
        <v>74.179349999999999</v>
      </c>
      <c r="AJ678">
        <v>71.237189999999998</v>
      </c>
      <c r="AK678">
        <v>85.394279999999995</v>
      </c>
      <c r="AL678">
        <v>83.753860000000003</v>
      </c>
      <c r="AM678">
        <v>83.683459999999997</v>
      </c>
      <c r="AN678">
        <v>83.264619999999994</v>
      </c>
      <c r="AO678">
        <v>86.166250000000005</v>
      </c>
      <c r="AP678">
        <v>86.585340000000002</v>
      </c>
      <c r="AQ678"/>
      <c r="AR678"/>
      <c r="AS678">
        <v>80.146109999999993</v>
      </c>
      <c r="AT678">
        <v>87.771460000000005</v>
      </c>
      <c r="AU678">
        <v>92.020529999999994</v>
      </c>
      <c r="AV678">
        <v>48.538899999999998</v>
      </c>
      <c r="AW678">
        <v>82.890780000000007</v>
      </c>
      <c r="AX678">
        <v>60.75394</v>
      </c>
    </row>
    <row r="679" spans="1:50" x14ac:dyDescent="0.35">
      <c r="A679" s="75">
        <v>38504</v>
      </c>
      <c r="B679">
        <v>83.921469999999999</v>
      </c>
      <c r="C679">
        <v>85.3904</v>
      </c>
      <c r="D679"/>
      <c r="E679">
        <v>85.926910000000007</v>
      </c>
      <c r="F679">
        <v>98.177149999999997</v>
      </c>
      <c r="G679">
        <v>77.940989999999999</v>
      </c>
      <c r="H679"/>
      <c r="I679">
        <v>70.940709999999996</v>
      </c>
      <c r="J679">
        <v>53.220959999999998</v>
      </c>
      <c r="K679">
        <v>89.5</v>
      </c>
      <c r="L679">
        <v>88.345330000000004</v>
      </c>
      <c r="M679">
        <v>85.489400000000003</v>
      </c>
      <c r="N679">
        <v>87.7</v>
      </c>
      <c r="O679">
        <v>88.532920000000004</v>
      </c>
      <c r="P679">
        <v>77.301090000000002</v>
      </c>
      <c r="Q679"/>
      <c r="R679">
        <v>85.994380000000007</v>
      </c>
      <c r="S679">
        <v>89.635480000000001</v>
      </c>
      <c r="T679"/>
      <c r="U679">
        <v>86.134900000000002</v>
      </c>
      <c r="V679">
        <v>83</v>
      </c>
      <c r="W679">
        <v>89.642200000000003</v>
      </c>
      <c r="X679">
        <v>72.03313</v>
      </c>
      <c r="Y679"/>
      <c r="Z679"/>
      <c r="AA679">
        <v>89.512280000000004</v>
      </c>
      <c r="AB679">
        <v>58.089199999999998</v>
      </c>
      <c r="AC679">
        <v>84.325969999999998</v>
      </c>
      <c r="AD679">
        <v>86.113560000000007</v>
      </c>
      <c r="AE679">
        <v>100.9988</v>
      </c>
      <c r="AF679">
        <v>79.962130000000002</v>
      </c>
      <c r="AG679">
        <v>79.648700000000005</v>
      </c>
      <c r="AH679">
        <v>82.78295</v>
      </c>
      <c r="AI679">
        <v>74.281040000000004</v>
      </c>
      <c r="AJ679">
        <v>71.395769999999999</v>
      </c>
      <c r="AK679">
        <v>84.904809999999998</v>
      </c>
      <c r="AL679">
        <v>83.575130000000001</v>
      </c>
      <c r="AM679">
        <v>83.67944</v>
      </c>
      <c r="AN679">
        <v>83.326440000000005</v>
      </c>
      <c r="AO679">
        <v>86.363560000000007</v>
      </c>
      <c r="AP679">
        <v>86.679550000000006</v>
      </c>
      <c r="AQ679"/>
      <c r="AR679"/>
      <c r="AS679">
        <v>80.231470000000002</v>
      </c>
      <c r="AT679">
        <v>88.001459999999994</v>
      </c>
      <c r="AU679">
        <v>91.913300000000007</v>
      </c>
      <c r="AV679">
        <v>48.967840000000002</v>
      </c>
      <c r="AW679">
        <v>82.808210000000003</v>
      </c>
      <c r="AX679">
        <v>60.710859999999997</v>
      </c>
    </row>
    <row r="680" spans="1:50" x14ac:dyDescent="0.35">
      <c r="A680" s="75">
        <v>38534</v>
      </c>
      <c r="B680">
        <v>83.754130000000004</v>
      </c>
      <c r="C680">
        <v>85.820279999999997</v>
      </c>
      <c r="D680"/>
      <c r="E680">
        <v>85.825109999999995</v>
      </c>
      <c r="F680">
        <v>97.208470000000005</v>
      </c>
      <c r="G680">
        <v>78.092560000000006</v>
      </c>
      <c r="H680"/>
      <c r="I680">
        <v>71.055160000000001</v>
      </c>
      <c r="J680">
        <v>53.76558</v>
      </c>
      <c r="K680">
        <v>90.1</v>
      </c>
      <c r="L680">
        <v>88.686189999999996</v>
      </c>
      <c r="M680">
        <v>85.074860000000001</v>
      </c>
      <c r="N680">
        <v>87.38</v>
      </c>
      <c r="O680">
        <v>87.331659999999999</v>
      </c>
      <c r="P680">
        <v>77.244330000000005</v>
      </c>
      <c r="Q680"/>
      <c r="R680">
        <v>85.333079999999995</v>
      </c>
      <c r="S680">
        <v>89.345100000000002</v>
      </c>
      <c r="T680"/>
      <c r="U680">
        <v>86.197550000000007</v>
      </c>
      <c r="V680">
        <v>83.1</v>
      </c>
      <c r="W680">
        <v>88.689930000000004</v>
      </c>
      <c r="X680">
        <v>72.106939999999994</v>
      </c>
      <c r="Y680"/>
      <c r="Z680"/>
      <c r="AA680">
        <v>89.118639999999999</v>
      </c>
      <c r="AB680">
        <v>57.923470000000002</v>
      </c>
      <c r="AC680">
        <v>85.135819999999995</v>
      </c>
      <c r="AD680">
        <v>86.428849999999997</v>
      </c>
      <c r="AE680">
        <v>100.8094</v>
      </c>
      <c r="AF680">
        <v>79.962130000000002</v>
      </c>
      <c r="AG680">
        <v>79.4131</v>
      </c>
      <c r="AH680">
        <v>81.716639999999998</v>
      </c>
      <c r="AI680">
        <v>74.260469999999998</v>
      </c>
      <c r="AJ680">
        <v>71.565740000000005</v>
      </c>
      <c r="AK680">
        <v>84.665660000000003</v>
      </c>
      <c r="AL680">
        <v>83.318629999999999</v>
      </c>
      <c r="AM680">
        <v>83.677750000000003</v>
      </c>
      <c r="AN680">
        <v>83.22184</v>
      </c>
      <c r="AO680">
        <v>86.483670000000004</v>
      </c>
      <c r="AP680">
        <v>86.686580000000006</v>
      </c>
      <c r="AQ680"/>
      <c r="AR680"/>
      <c r="AS680">
        <v>80.179310000000001</v>
      </c>
      <c r="AT680">
        <v>88.491479999999996</v>
      </c>
      <c r="AU680">
        <v>91.182760000000002</v>
      </c>
      <c r="AV680">
        <v>48.645110000000003</v>
      </c>
      <c r="AW680">
        <v>82.890780000000007</v>
      </c>
      <c r="AX680">
        <v>61.02852</v>
      </c>
    </row>
    <row r="681" spans="1:50" x14ac:dyDescent="0.35">
      <c r="A681" s="75">
        <v>38565</v>
      </c>
      <c r="B681">
        <v>83.754130000000004</v>
      </c>
      <c r="C681">
        <v>85.836870000000005</v>
      </c>
      <c r="D681"/>
      <c r="E681">
        <v>85.940010000000001</v>
      </c>
      <c r="F681">
        <v>97.295630000000003</v>
      </c>
      <c r="G681">
        <v>78.146050000000002</v>
      </c>
      <c r="H681"/>
      <c r="I681">
        <v>71.177779999999998</v>
      </c>
      <c r="J681">
        <v>54.156129999999997</v>
      </c>
      <c r="K681">
        <v>90.2</v>
      </c>
      <c r="L681">
        <v>88.769229999999993</v>
      </c>
      <c r="M681">
        <v>84.974860000000007</v>
      </c>
      <c r="N681">
        <v>87.55</v>
      </c>
      <c r="O681">
        <v>87.55341</v>
      </c>
      <c r="P681">
        <v>77.528109999999998</v>
      </c>
      <c r="Q681"/>
      <c r="R681">
        <v>85.762500000000003</v>
      </c>
      <c r="S681">
        <v>89.809010000000001</v>
      </c>
      <c r="T681"/>
      <c r="U681">
        <v>86.318399999999997</v>
      </c>
      <c r="V681">
        <v>83.3</v>
      </c>
      <c r="W681">
        <v>87.720950000000002</v>
      </c>
      <c r="X681">
        <v>71.947119999999998</v>
      </c>
      <c r="Y681"/>
      <c r="Z681"/>
      <c r="AA681">
        <v>89.541409999999999</v>
      </c>
      <c r="AB681">
        <v>57.88203</v>
      </c>
      <c r="AC681">
        <v>85.135819999999995</v>
      </c>
      <c r="AD681">
        <v>86.586179999999999</v>
      </c>
      <c r="AE681">
        <v>100.8866</v>
      </c>
      <c r="AF681">
        <v>80.121870000000001</v>
      </c>
      <c r="AG681">
        <v>79.500200000000007</v>
      </c>
      <c r="AH681">
        <v>82.989590000000007</v>
      </c>
      <c r="AI681">
        <v>74.348489999999998</v>
      </c>
      <c r="AJ681">
        <v>71.668959999999998</v>
      </c>
      <c r="AK681">
        <v>84.964420000000004</v>
      </c>
      <c r="AL681">
        <v>83.405360000000002</v>
      </c>
      <c r="AM681">
        <v>83.805179999999993</v>
      </c>
      <c r="AN681">
        <v>83.418139999999994</v>
      </c>
      <c r="AO681">
        <v>86.437740000000005</v>
      </c>
      <c r="AP681">
        <v>86.590689999999995</v>
      </c>
      <c r="AQ681"/>
      <c r="AR681"/>
      <c r="AS681">
        <v>80.195819999999998</v>
      </c>
      <c r="AT681">
        <v>87.571460000000002</v>
      </c>
      <c r="AU681">
        <v>91.296700000000001</v>
      </c>
      <c r="AV681">
        <v>49.298729999999999</v>
      </c>
      <c r="AW681">
        <v>82.973339999999993</v>
      </c>
      <c r="AX681">
        <v>61.044530000000002</v>
      </c>
    </row>
    <row r="682" spans="1:50" x14ac:dyDescent="0.35">
      <c r="A682" s="75">
        <v>38596</v>
      </c>
      <c r="B682">
        <v>83.586789999999993</v>
      </c>
      <c r="C682">
        <v>85.872619999999998</v>
      </c>
      <c r="D682"/>
      <c r="E682">
        <v>86.199489999999997</v>
      </c>
      <c r="F682">
        <v>97.304540000000003</v>
      </c>
      <c r="G682">
        <v>78.440269999999998</v>
      </c>
      <c r="H682"/>
      <c r="I682">
        <v>71.406679999999994</v>
      </c>
      <c r="J682">
        <v>54.625889999999998</v>
      </c>
      <c r="K682">
        <v>89.3</v>
      </c>
      <c r="L682">
        <v>88.598799999999997</v>
      </c>
      <c r="M682">
        <v>85.510779999999997</v>
      </c>
      <c r="N682">
        <v>87.78</v>
      </c>
      <c r="O682">
        <v>87.861350000000002</v>
      </c>
      <c r="P682">
        <v>77.811880000000002</v>
      </c>
      <c r="Q682"/>
      <c r="R682">
        <v>86.011560000000003</v>
      </c>
      <c r="S682">
        <v>89.908529999999999</v>
      </c>
      <c r="T682"/>
      <c r="U682">
        <v>86.400549999999996</v>
      </c>
      <c r="V682">
        <v>83.3</v>
      </c>
      <c r="W682">
        <v>89.940070000000006</v>
      </c>
      <c r="X682">
        <v>71.986639999999994</v>
      </c>
      <c r="Y682"/>
      <c r="Z682"/>
      <c r="AA682">
        <v>90.023139999999998</v>
      </c>
      <c r="AB682">
        <v>58.627830000000003</v>
      </c>
      <c r="AC682">
        <v>84.629660000000001</v>
      </c>
      <c r="AD682">
        <v>86.449420000000003</v>
      </c>
      <c r="AE682">
        <v>101.0728</v>
      </c>
      <c r="AF682">
        <v>80.121870000000001</v>
      </c>
      <c r="AG682">
        <v>80.141300000000001</v>
      </c>
      <c r="AH682">
        <v>83.07226</v>
      </c>
      <c r="AI682">
        <v>75.730969999999999</v>
      </c>
      <c r="AJ682">
        <v>71.995990000000006</v>
      </c>
      <c r="AK682">
        <v>85.896249999999995</v>
      </c>
      <c r="AL682">
        <v>83.930160000000001</v>
      </c>
      <c r="AM682">
        <v>83.943610000000007</v>
      </c>
      <c r="AN682">
        <v>83.548289999999994</v>
      </c>
      <c r="AO682">
        <v>86.580119999999994</v>
      </c>
      <c r="AP682">
        <v>86.732479999999995</v>
      </c>
      <c r="AQ682"/>
      <c r="AR682"/>
      <c r="AS682">
        <v>80.183710000000005</v>
      </c>
      <c r="AT682">
        <v>88.011470000000003</v>
      </c>
      <c r="AU682">
        <v>92.134469999999993</v>
      </c>
      <c r="AV682">
        <v>49.576520000000002</v>
      </c>
      <c r="AW682">
        <v>83.097179999999994</v>
      </c>
      <c r="AX682">
        <v>61.008780000000002</v>
      </c>
    </row>
    <row r="683" spans="1:50" x14ac:dyDescent="0.35">
      <c r="A683" s="75">
        <v>38626</v>
      </c>
      <c r="B683">
        <v>83.670460000000006</v>
      </c>
      <c r="C683">
        <v>85.961129999999997</v>
      </c>
      <c r="D683"/>
      <c r="E683">
        <v>86.188779999999994</v>
      </c>
      <c r="F683">
        <v>98.152590000000004</v>
      </c>
      <c r="G683">
        <v>78.565089999999998</v>
      </c>
      <c r="H683"/>
      <c r="I683">
        <v>71.480249999999998</v>
      </c>
      <c r="J683">
        <v>55.15314</v>
      </c>
      <c r="K683">
        <v>89.6</v>
      </c>
      <c r="L683">
        <v>88.709320000000005</v>
      </c>
      <c r="M683">
        <v>85.617320000000007</v>
      </c>
      <c r="N683">
        <v>88.04</v>
      </c>
      <c r="O683">
        <v>89.016369999999995</v>
      </c>
      <c r="P683">
        <v>78.038899999999998</v>
      </c>
      <c r="Q683"/>
      <c r="R683">
        <v>86.011560000000003</v>
      </c>
      <c r="S683">
        <v>89.831389999999999</v>
      </c>
      <c r="T683"/>
      <c r="U683">
        <v>86.645870000000002</v>
      </c>
      <c r="V683">
        <v>83.4</v>
      </c>
      <c r="W683">
        <v>90.405320000000003</v>
      </c>
      <c r="X683">
        <v>72.207170000000005</v>
      </c>
      <c r="Y683"/>
      <c r="Z683"/>
      <c r="AA683">
        <v>89.962440000000001</v>
      </c>
      <c r="AB683">
        <v>59.000720000000001</v>
      </c>
      <c r="AC683">
        <v>85.034580000000005</v>
      </c>
      <c r="AD683">
        <v>86.532880000000006</v>
      </c>
      <c r="AE683">
        <v>101.0172</v>
      </c>
      <c r="AF683">
        <v>80.121870000000001</v>
      </c>
      <c r="AG683">
        <v>80.568299999999994</v>
      </c>
      <c r="AH683">
        <v>83.278899999999993</v>
      </c>
      <c r="AI683">
        <v>76.077089999999998</v>
      </c>
      <c r="AJ683">
        <v>72.157899999999998</v>
      </c>
      <c r="AK683">
        <v>85.897679999999994</v>
      </c>
      <c r="AL683">
        <v>84.200389999999999</v>
      </c>
      <c r="AM683">
        <v>84.223849999999999</v>
      </c>
      <c r="AN683">
        <v>83.814700000000002</v>
      </c>
      <c r="AO683">
        <v>86.715969999999999</v>
      </c>
      <c r="AP683">
        <v>87.315799999999996</v>
      </c>
      <c r="AQ683"/>
      <c r="AR683"/>
      <c r="AS683">
        <v>80.443370000000002</v>
      </c>
      <c r="AT683">
        <v>88.391469999999998</v>
      </c>
      <c r="AU683">
        <v>92.409260000000003</v>
      </c>
      <c r="AV683">
        <v>50.393529999999998</v>
      </c>
      <c r="AW683">
        <v>83.509979999999999</v>
      </c>
      <c r="AX683">
        <v>61.037050000000001</v>
      </c>
    </row>
    <row r="684" spans="1:50" x14ac:dyDescent="0.35">
      <c r="A684" s="75">
        <v>38657</v>
      </c>
      <c r="B684">
        <v>83.586789999999993</v>
      </c>
      <c r="C684">
        <v>86.0548</v>
      </c>
      <c r="D684"/>
      <c r="E684">
        <v>86.590310000000002</v>
      </c>
      <c r="F684">
        <v>98.274929999999998</v>
      </c>
      <c r="G684">
        <v>78.698819999999998</v>
      </c>
      <c r="H684"/>
      <c r="I684">
        <v>71.627399999999994</v>
      </c>
      <c r="J684">
        <v>55.996090000000002</v>
      </c>
      <c r="K684">
        <v>89.5</v>
      </c>
      <c r="L684">
        <v>88.653970000000001</v>
      </c>
      <c r="M684">
        <v>85.563100000000006</v>
      </c>
      <c r="N684">
        <v>88.07</v>
      </c>
      <c r="O684">
        <v>89.447270000000003</v>
      </c>
      <c r="P684">
        <v>78.095659999999995</v>
      </c>
      <c r="Q684"/>
      <c r="R684">
        <v>86.097440000000006</v>
      </c>
      <c r="S684">
        <v>89.809780000000003</v>
      </c>
      <c r="T684"/>
      <c r="U684">
        <v>86.643370000000004</v>
      </c>
      <c r="V684">
        <v>83.5</v>
      </c>
      <c r="W684">
        <v>90.560130000000001</v>
      </c>
      <c r="X684">
        <v>72.369169999999997</v>
      </c>
      <c r="Y684"/>
      <c r="Z684"/>
      <c r="AA684">
        <v>90.17</v>
      </c>
      <c r="AB684">
        <v>59.083590000000001</v>
      </c>
      <c r="AC684">
        <v>85.237049999999996</v>
      </c>
      <c r="AD684">
        <v>86.768199999999993</v>
      </c>
      <c r="AE684">
        <v>100.6962</v>
      </c>
      <c r="AF684">
        <v>80.202280000000002</v>
      </c>
      <c r="AG684">
        <v>80.701800000000006</v>
      </c>
      <c r="AH684">
        <v>83.369829999999993</v>
      </c>
      <c r="AI684">
        <v>76.094440000000006</v>
      </c>
      <c r="AJ684">
        <v>72.437010000000001</v>
      </c>
      <c r="AK684">
        <v>85.775390000000002</v>
      </c>
      <c r="AL684">
        <v>84.280739999999994</v>
      </c>
      <c r="AM684">
        <v>84.274019999999993</v>
      </c>
      <c r="AN684">
        <v>83.932140000000004</v>
      </c>
      <c r="AO684">
        <v>86.644559999999998</v>
      </c>
      <c r="AP684">
        <v>87.883589999999998</v>
      </c>
      <c r="AQ684"/>
      <c r="AR684"/>
      <c r="AS684">
        <v>80.526570000000007</v>
      </c>
      <c r="AT684">
        <v>88.441469999999995</v>
      </c>
      <c r="AU684">
        <v>92.382450000000006</v>
      </c>
      <c r="AV684">
        <v>50.802039999999998</v>
      </c>
      <c r="AW684">
        <v>83.509979999999999</v>
      </c>
      <c r="AX684">
        <v>61.040759999999999</v>
      </c>
    </row>
    <row r="685" spans="1:50" x14ac:dyDescent="0.35">
      <c r="A685" s="75">
        <v>38687</v>
      </c>
      <c r="B685">
        <v>83.754130000000004</v>
      </c>
      <c r="C685">
        <v>86.087389999999999</v>
      </c>
      <c r="D685"/>
      <c r="E685">
        <v>86.568989999999999</v>
      </c>
      <c r="F685">
        <v>98.296099999999996</v>
      </c>
      <c r="G685">
        <v>78.832560000000001</v>
      </c>
      <c r="H685"/>
      <c r="I685">
        <v>71.799059999999997</v>
      </c>
      <c r="J685">
        <v>56.488619999999997</v>
      </c>
      <c r="K685">
        <v>89.5</v>
      </c>
      <c r="L685">
        <v>89.383089999999996</v>
      </c>
      <c r="M685">
        <v>85.674250000000001</v>
      </c>
      <c r="N685">
        <v>88.46</v>
      </c>
      <c r="O685">
        <v>89.598609999999994</v>
      </c>
      <c r="P685">
        <v>78.152420000000006</v>
      </c>
      <c r="Q685"/>
      <c r="R685">
        <v>86.063090000000003</v>
      </c>
      <c r="S685">
        <v>90.021230000000003</v>
      </c>
      <c r="T685"/>
      <c r="U685">
        <v>86.706770000000006</v>
      </c>
      <c r="V685">
        <v>83.8</v>
      </c>
      <c r="W685">
        <v>90.925629999999998</v>
      </c>
      <c r="X685">
        <v>72.331890000000001</v>
      </c>
      <c r="Y685"/>
      <c r="Z685"/>
      <c r="AA685">
        <v>90.271510000000006</v>
      </c>
      <c r="AB685">
        <v>59.373620000000003</v>
      </c>
      <c r="AC685">
        <v>85.439509999999999</v>
      </c>
      <c r="AD685">
        <v>86.779610000000005</v>
      </c>
      <c r="AE685">
        <v>100.78360000000001</v>
      </c>
      <c r="AF685">
        <v>80.360960000000006</v>
      </c>
      <c r="AG685">
        <v>80.477199999999996</v>
      </c>
      <c r="AH685">
        <v>83.427689999999998</v>
      </c>
      <c r="AI685">
        <v>75.941119999999998</v>
      </c>
      <c r="AJ685">
        <v>72.677310000000006</v>
      </c>
      <c r="AK685">
        <v>85.175529999999995</v>
      </c>
      <c r="AL685">
        <v>84.167630000000003</v>
      </c>
      <c r="AM685">
        <v>84.354889999999997</v>
      </c>
      <c r="AN685">
        <v>84.169110000000003</v>
      </c>
      <c r="AO685">
        <v>86.654830000000004</v>
      </c>
      <c r="AP685">
        <v>87.879679999999993</v>
      </c>
      <c r="AQ685"/>
      <c r="AR685"/>
      <c r="AS685">
        <v>80.688479999999998</v>
      </c>
      <c r="AT685">
        <v>88.221469999999997</v>
      </c>
      <c r="AU685">
        <v>92.352289999999996</v>
      </c>
      <c r="AV685">
        <v>51.226889999999997</v>
      </c>
      <c r="AW685">
        <v>83.427419999999998</v>
      </c>
      <c r="AX685">
        <v>61.067880000000002</v>
      </c>
    </row>
    <row r="686" spans="1:50" x14ac:dyDescent="0.35">
      <c r="A686" s="75">
        <v>38718</v>
      </c>
      <c r="B686">
        <v>83.670460000000006</v>
      </c>
      <c r="C686">
        <v>85.399330000000006</v>
      </c>
      <c r="D686"/>
      <c r="E686">
        <v>86.132480000000001</v>
      </c>
      <c r="F686">
        <v>97.965299999999999</v>
      </c>
      <c r="G686">
        <v>78.850399999999993</v>
      </c>
      <c r="H686"/>
      <c r="I686">
        <v>72.11788</v>
      </c>
      <c r="J686">
        <v>57.177520000000001</v>
      </c>
      <c r="K686">
        <v>89.8</v>
      </c>
      <c r="L686">
        <v>88.613370000000003</v>
      </c>
      <c r="M686">
        <v>85.146839999999997</v>
      </c>
      <c r="N686">
        <v>87.51</v>
      </c>
      <c r="O686">
        <v>88.391040000000004</v>
      </c>
      <c r="P686">
        <v>78.549710000000005</v>
      </c>
      <c r="Q686"/>
      <c r="R686">
        <v>85.539209999999997</v>
      </c>
      <c r="S686">
        <v>89.655169999999998</v>
      </c>
      <c r="T686"/>
      <c r="U686">
        <v>86.619060000000005</v>
      </c>
      <c r="V686">
        <v>83.4</v>
      </c>
      <c r="W686">
        <v>90.386750000000006</v>
      </c>
      <c r="X686">
        <v>72.187669999999997</v>
      </c>
      <c r="Y686"/>
      <c r="Z686"/>
      <c r="AA686">
        <v>89.818950000000001</v>
      </c>
      <c r="AB686">
        <v>59.373620000000003</v>
      </c>
      <c r="AC686">
        <v>85.135819999999995</v>
      </c>
      <c r="AD686">
        <v>86.893510000000006</v>
      </c>
      <c r="AE686">
        <v>100.09139999999999</v>
      </c>
      <c r="AF686">
        <v>80.520709999999994</v>
      </c>
      <c r="AG686">
        <v>80.153199999999998</v>
      </c>
      <c r="AH686">
        <v>82.584559999999996</v>
      </c>
      <c r="AI686">
        <v>76.218100000000007</v>
      </c>
      <c r="AJ686">
        <v>72.876239999999996</v>
      </c>
      <c r="AK686">
        <v>84.221279999999993</v>
      </c>
      <c r="AL686">
        <v>83.667529999999999</v>
      </c>
      <c r="AM686">
        <v>84.25112</v>
      </c>
      <c r="AN686">
        <v>83.762789999999995</v>
      </c>
      <c r="AO686">
        <v>86.676810000000003</v>
      </c>
      <c r="AP686">
        <v>87.364930000000001</v>
      </c>
      <c r="AQ686"/>
      <c r="AR686"/>
      <c r="AS686">
        <v>82.116230000000002</v>
      </c>
      <c r="AT686">
        <v>86.931449999999998</v>
      </c>
      <c r="AU686">
        <v>91.266540000000006</v>
      </c>
      <c r="AV686">
        <v>51.431139999999999</v>
      </c>
      <c r="AW686">
        <v>83.63382</v>
      </c>
      <c r="AX686">
        <v>61.276620000000001</v>
      </c>
    </row>
    <row r="687" spans="1:50" x14ac:dyDescent="0.35">
      <c r="A687" s="75">
        <v>38749</v>
      </c>
      <c r="B687">
        <v>83.754130000000004</v>
      </c>
      <c r="C687">
        <v>85.778109999999998</v>
      </c>
      <c r="D687"/>
      <c r="E687">
        <v>86.503230000000002</v>
      </c>
      <c r="F687">
        <v>98.157579999999996</v>
      </c>
      <c r="G687">
        <v>79.001959999999997</v>
      </c>
      <c r="H687"/>
      <c r="I687">
        <v>72.616540000000001</v>
      </c>
      <c r="J687">
        <v>57.780720000000002</v>
      </c>
      <c r="K687">
        <v>89.8</v>
      </c>
      <c r="L687">
        <v>88.993780000000001</v>
      </c>
      <c r="M687">
        <v>86.108509999999995</v>
      </c>
      <c r="N687">
        <v>87.73</v>
      </c>
      <c r="O687">
        <v>88.572860000000006</v>
      </c>
      <c r="P687">
        <v>78.663219999999995</v>
      </c>
      <c r="Q687"/>
      <c r="R687">
        <v>86.080269999999999</v>
      </c>
      <c r="S687">
        <v>89.977490000000003</v>
      </c>
      <c r="T687"/>
      <c r="U687">
        <v>86.930570000000003</v>
      </c>
      <c r="V687">
        <v>83.6</v>
      </c>
      <c r="W687">
        <v>88.551289999999995</v>
      </c>
      <c r="X687">
        <v>72.235079999999996</v>
      </c>
      <c r="Y687"/>
      <c r="Z687"/>
      <c r="AA687">
        <v>90.811840000000004</v>
      </c>
      <c r="AB687">
        <v>59.207889999999999</v>
      </c>
      <c r="AC687">
        <v>85.237049999999996</v>
      </c>
      <c r="AD687">
        <v>87.053430000000006</v>
      </c>
      <c r="AE687">
        <v>99.956310000000002</v>
      </c>
      <c r="AF687">
        <v>80.760859999999994</v>
      </c>
      <c r="AG687">
        <v>80.053899999999999</v>
      </c>
      <c r="AH687">
        <v>84.155090000000001</v>
      </c>
      <c r="AI687">
        <v>76.115859999999998</v>
      </c>
      <c r="AJ687">
        <v>73.055790000000002</v>
      </c>
      <c r="AK687">
        <v>84.668629999999993</v>
      </c>
      <c r="AL687">
        <v>84.076949999999997</v>
      </c>
      <c r="AM687">
        <v>84.502380000000002</v>
      </c>
      <c r="AN687">
        <v>83.925020000000004</v>
      </c>
      <c r="AO687">
        <v>86.589870000000005</v>
      </c>
      <c r="AP687">
        <v>87.499229999999997</v>
      </c>
      <c r="AQ687"/>
      <c r="AR687"/>
      <c r="AS687">
        <v>82.617419999999996</v>
      </c>
      <c r="AT687">
        <v>87.171459999999996</v>
      </c>
      <c r="AU687">
        <v>91.779250000000005</v>
      </c>
      <c r="AV687">
        <v>51.01446</v>
      </c>
      <c r="AW687">
        <v>84.046620000000004</v>
      </c>
      <c r="AX687">
        <v>61.295470000000002</v>
      </c>
    </row>
    <row r="688" spans="1:50" x14ac:dyDescent="0.35">
      <c r="A688" s="75">
        <v>38777</v>
      </c>
      <c r="B688">
        <v>84.172489999999996</v>
      </c>
      <c r="C688">
        <v>85.583860000000001</v>
      </c>
      <c r="D688"/>
      <c r="E688">
        <v>86.869259999999997</v>
      </c>
      <c r="F688">
        <v>98.165149999999997</v>
      </c>
      <c r="G688">
        <v>79.581479999999999</v>
      </c>
      <c r="H688"/>
      <c r="I688">
        <v>72.943529999999996</v>
      </c>
      <c r="J688">
        <v>58.264569999999999</v>
      </c>
      <c r="K688">
        <v>89.7</v>
      </c>
      <c r="L688">
        <v>89.004310000000004</v>
      </c>
      <c r="M688">
        <v>86.402209999999997</v>
      </c>
      <c r="N688">
        <v>88.35</v>
      </c>
      <c r="O688">
        <v>89.228669999999994</v>
      </c>
      <c r="P688">
        <v>78.776730000000001</v>
      </c>
      <c r="Q688"/>
      <c r="R688">
        <v>86.501090000000005</v>
      </c>
      <c r="S688">
        <v>90.238560000000007</v>
      </c>
      <c r="T688"/>
      <c r="U688">
        <v>87.339780000000005</v>
      </c>
      <c r="V688">
        <v>83.8</v>
      </c>
      <c r="W688">
        <v>91.074709999999996</v>
      </c>
      <c r="X688">
        <v>72.499380000000002</v>
      </c>
      <c r="Y688"/>
      <c r="Z688"/>
      <c r="AA688">
        <v>91.246409999999997</v>
      </c>
      <c r="AB688">
        <v>60.036549999999998</v>
      </c>
      <c r="AC688">
        <v>85.540750000000003</v>
      </c>
      <c r="AD688">
        <v>87.238680000000002</v>
      </c>
      <c r="AE688">
        <v>100.3852</v>
      </c>
      <c r="AF688">
        <v>81.31944</v>
      </c>
      <c r="AG688">
        <v>80.218900000000005</v>
      </c>
      <c r="AH688">
        <v>84.312139999999999</v>
      </c>
      <c r="AI688">
        <v>76.561319999999995</v>
      </c>
      <c r="AJ688">
        <v>73.318560000000005</v>
      </c>
      <c r="AK688">
        <v>85.382289999999998</v>
      </c>
      <c r="AL688">
        <v>84.246589999999998</v>
      </c>
      <c r="AM688">
        <v>84.89913</v>
      </c>
      <c r="AN688">
        <v>84.188919999999996</v>
      </c>
      <c r="AO688">
        <v>86.589870000000005</v>
      </c>
      <c r="AP688">
        <v>88.994640000000004</v>
      </c>
      <c r="AQ688"/>
      <c r="AR688"/>
      <c r="AS688">
        <v>82.588459999999998</v>
      </c>
      <c r="AT688">
        <v>88.341470000000001</v>
      </c>
      <c r="AU688">
        <v>92.372389999999996</v>
      </c>
      <c r="AV688">
        <v>50.875570000000003</v>
      </c>
      <c r="AW688">
        <v>84.583269999999999</v>
      </c>
      <c r="AX688">
        <v>61.508470000000003</v>
      </c>
    </row>
    <row r="689" spans="1:50" x14ac:dyDescent="0.35">
      <c r="A689" s="75">
        <v>38808</v>
      </c>
      <c r="B689">
        <v>84.507159999999999</v>
      </c>
      <c r="C689">
        <v>85.729550000000003</v>
      </c>
      <c r="D689"/>
      <c r="E689">
        <v>86.679389999999998</v>
      </c>
      <c r="F689">
        <v>98.924949999999995</v>
      </c>
      <c r="G689">
        <v>79.902439999999999</v>
      </c>
      <c r="H689"/>
      <c r="I689">
        <v>73.098849999999999</v>
      </c>
      <c r="J689">
        <v>58.577019999999997</v>
      </c>
      <c r="K689">
        <v>89.6</v>
      </c>
      <c r="L689">
        <v>88.997500000000002</v>
      </c>
      <c r="M689">
        <v>86.575940000000003</v>
      </c>
      <c r="N689">
        <v>88.79</v>
      </c>
      <c r="O689">
        <v>90.688469999999995</v>
      </c>
      <c r="P689">
        <v>79.117260000000002</v>
      </c>
      <c r="Q689"/>
      <c r="R689">
        <v>86.732969999999995</v>
      </c>
      <c r="S689">
        <v>90.435109999999995</v>
      </c>
      <c r="T689"/>
      <c r="U689">
        <v>87.543869999999998</v>
      </c>
      <c r="V689">
        <v>84.1</v>
      </c>
      <c r="W689">
        <v>91.265979999999999</v>
      </c>
      <c r="X689">
        <v>72.820300000000003</v>
      </c>
      <c r="Y689"/>
      <c r="Z689"/>
      <c r="AA689">
        <v>92.034530000000004</v>
      </c>
      <c r="AB689">
        <v>60.575180000000003</v>
      </c>
      <c r="AC689">
        <v>85.945670000000007</v>
      </c>
      <c r="AD689">
        <v>87.402990000000003</v>
      </c>
      <c r="AE689">
        <v>100.6242</v>
      </c>
      <c r="AF689">
        <v>81.399839999999998</v>
      </c>
      <c r="AG689">
        <v>80.481999999999999</v>
      </c>
      <c r="AH689">
        <v>84.37</v>
      </c>
      <c r="AI689">
        <v>76.769930000000002</v>
      </c>
      <c r="AJ689">
        <v>73.531700000000001</v>
      </c>
      <c r="AK689">
        <v>85.615780000000001</v>
      </c>
      <c r="AL689">
        <v>84.528480000000002</v>
      </c>
      <c r="AM689">
        <v>85.172499999999999</v>
      </c>
      <c r="AN689">
        <v>84.544309999999996</v>
      </c>
      <c r="AO689">
        <v>86.589870000000005</v>
      </c>
      <c r="AP689">
        <v>89.282589999999999</v>
      </c>
      <c r="AQ689"/>
      <c r="AR689"/>
      <c r="AS689">
        <v>82.70035</v>
      </c>
      <c r="AT689">
        <v>88.931479999999993</v>
      </c>
      <c r="AU689">
        <v>92.653880000000001</v>
      </c>
      <c r="AV689">
        <v>51.79063</v>
      </c>
      <c r="AW689">
        <v>84.830950000000001</v>
      </c>
      <c r="AX689">
        <v>61.57197</v>
      </c>
    </row>
    <row r="690" spans="1:50" x14ac:dyDescent="0.35">
      <c r="A690" s="75">
        <v>38838</v>
      </c>
      <c r="B690">
        <v>84.507159999999999</v>
      </c>
      <c r="C690">
        <v>85.875230000000002</v>
      </c>
      <c r="D690"/>
      <c r="E690">
        <v>87.015050000000002</v>
      </c>
      <c r="F690">
        <v>99.034480000000002</v>
      </c>
      <c r="G690">
        <v>79.947019999999995</v>
      </c>
      <c r="H690"/>
      <c r="I690">
        <v>73.286869999999993</v>
      </c>
      <c r="J690">
        <v>58.97625</v>
      </c>
      <c r="K690">
        <v>89.9</v>
      </c>
      <c r="L690">
        <v>88.88655</v>
      </c>
      <c r="M690">
        <v>86.541839999999993</v>
      </c>
      <c r="N690">
        <v>88.91</v>
      </c>
      <c r="O690">
        <v>90.879750000000001</v>
      </c>
      <c r="P690">
        <v>79.287530000000004</v>
      </c>
      <c r="Q690"/>
      <c r="R690">
        <v>86.793090000000007</v>
      </c>
      <c r="S690">
        <v>90.637789999999995</v>
      </c>
      <c r="T690"/>
      <c r="U690">
        <v>87.63355</v>
      </c>
      <c r="V690">
        <v>84.2</v>
      </c>
      <c r="W690">
        <v>91.491590000000002</v>
      </c>
      <c r="X690">
        <v>72.982600000000005</v>
      </c>
      <c r="Y690"/>
      <c r="Z690"/>
      <c r="AA690">
        <v>92.206620000000001</v>
      </c>
      <c r="AB690">
        <v>61.445279999999997</v>
      </c>
      <c r="AC690">
        <v>85.743210000000005</v>
      </c>
      <c r="AD690">
        <v>87.636340000000004</v>
      </c>
      <c r="AE690">
        <v>100.66930000000001</v>
      </c>
      <c r="AF690">
        <v>81.641050000000007</v>
      </c>
      <c r="AG690">
        <v>80.798199999999994</v>
      </c>
      <c r="AH690">
        <v>84.386529999999993</v>
      </c>
      <c r="AI690">
        <v>77.115759999999995</v>
      </c>
      <c r="AJ690">
        <v>73.495180000000005</v>
      </c>
      <c r="AK690">
        <v>85.748599999999996</v>
      </c>
      <c r="AL690">
        <v>84.518789999999996</v>
      </c>
      <c r="AM690">
        <v>85.305800000000005</v>
      </c>
      <c r="AN690">
        <v>84.76003</v>
      </c>
      <c r="AO690">
        <v>86.589870000000005</v>
      </c>
      <c r="AP690">
        <v>89.431240000000003</v>
      </c>
      <c r="AQ690"/>
      <c r="AR690"/>
      <c r="AS690">
        <v>82.77834</v>
      </c>
      <c r="AT690">
        <v>89.161479999999997</v>
      </c>
      <c r="AU690">
        <v>92.529889999999995</v>
      </c>
      <c r="AV690">
        <v>53.142789999999998</v>
      </c>
      <c r="AW690">
        <v>84.913510000000002</v>
      </c>
      <c r="AX690">
        <v>61.658830000000002</v>
      </c>
    </row>
    <row r="691" spans="1:50" x14ac:dyDescent="0.35">
      <c r="A691" s="75">
        <v>38869</v>
      </c>
      <c r="B691">
        <v>84.674509999999998</v>
      </c>
      <c r="C691">
        <v>85.933499999999995</v>
      </c>
      <c r="D691"/>
      <c r="E691">
        <v>86.883459999999999</v>
      </c>
      <c r="F691">
        <v>99.006640000000004</v>
      </c>
      <c r="G691">
        <v>80.223410000000001</v>
      </c>
      <c r="H691"/>
      <c r="I691">
        <v>73.483069999999998</v>
      </c>
      <c r="J691">
        <v>59.277850000000001</v>
      </c>
      <c r="K691">
        <v>89.8</v>
      </c>
      <c r="L691">
        <v>89.050060000000002</v>
      </c>
      <c r="M691">
        <v>86.584010000000006</v>
      </c>
      <c r="N691">
        <v>88.98</v>
      </c>
      <c r="O691">
        <v>91.024780000000007</v>
      </c>
      <c r="P691">
        <v>79.741569999999996</v>
      </c>
      <c r="Q691"/>
      <c r="R691">
        <v>86.999210000000005</v>
      </c>
      <c r="S691">
        <v>90.706890000000001</v>
      </c>
      <c r="T691"/>
      <c r="U691">
        <v>87.707759999999993</v>
      </c>
      <c r="V691">
        <v>84.4</v>
      </c>
      <c r="W691">
        <v>91.748220000000003</v>
      </c>
      <c r="X691">
        <v>73.127520000000004</v>
      </c>
      <c r="Y691"/>
      <c r="Z691"/>
      <c r="AA691">
        <v>92.611699999999999</v>
      </c>
      <c r="AB691">
        <v>62.10821</v>
      </c>
      <c r="AC691">
        <v>85.945670000000007</v>
      </c>
      <c r="AD691">
        <v>87.683329999999998</v>
      </c>
      <c r="AE691">
        <v>100.6313</v>
      </c>
      <c r="AF691">
        <v>81.55959</v>
      </c>
      <c r="AG691">
        <v>80.960899999999995</v>
      </c>
      <c r="AH691">
        <v>84.584919999999997</v>
      </c>
      <c r="AI691">
        <v>77.345280000000002</v>
      </c>
      <c r="AJ691">
        <v>73.686199999999999</v>
      </c>
      <c r="AK691">
        <v>85.284030000000001</v>
      </c>
      <c r="AL691">
        <v>84.581829999999997</v>
      </c>
      <c r="AM691">
        <v>85.395809999999997</v>
      </c>
      <c r="AN691">
        <v>84.89922</v>
      </c>
      <c r="AO691">
        <v>86.676810000000003</v>
      </c>
      <c r="AP691">
        <v>89.312399999999997</v>
      </c>
      <c r="AQ691"/>
      <c r="AR691"/>
      <c r="AS691">
        <v>82.827190000000002</v>
      </c>
      <c r="AT691">
        <v>89.211489999999998</v>
      </c>
      <c r="AU691">
        <v>92.519840000000002</v>
      </c>
      <c r="AV691">
        <v>53.714700000000001</v>
      </c>
      <c r="AW691">
        <v>84.996070000000003</v>
      </c>
      <c r="AX691">
        <v>62.040129999999998</v>
      </c>
    </row>
    <row r="692" spans="1:50" x14ac:dyDescent="0.35">
      <c r="A692" s="75">
        <v>38899</v>
      </c>
      <c r="B692">
        <v>84.507159999999999</v>
      </c>
      <c r="C692">
        <v>86.147170000000003</v>
      </c>
      <c r="D692"/>
      <c r="E692">
        <v>86.610740000000007</v>
      </c>
      <c r="F692">
        <v>98.025210000000001</v>
      </c>
      <c r="G692">
        <v>80.678110000000004</v>
      </c>
      <c r="H692"/>
      <c r="I692">
        <v>73.711960000000005</v>
      </c>
      <c r="J692">
        <v>59.890810000000002</v>
      </c>
      <c r="K692">
        <v>90.5</v>
      </c>
      <c r="L692">
        <v>89.461910000000003</v>
      </c>
      <c r="M692">
        <v>86.176829999999995</v>
      </c>
      <c r="N692">
        <v>88.65</v>
      </c>
      <c r="O692">
        <v>89.855040000000002</v>
      </c>
      <c r="P692">
        <v>79.911839999999998</v>
      </c>
      <c r="Q692"/>
      <c r="R692">
        <v>86.535449999999997</v>
      </c>
      <c r="S692">
        <v>90.479479999999995</v>
      </c>
      <c r="T692"/>
      <c r="U692">
        <v>87.769149999999996</v>
      </c>
      <c r="V692">
        <v>84.3</v>
      </c>
      <c r="W692">
        <v>90.768960000000007</v>
      </c>
      <c r="X692">
        <v>73.159710000000004</v>
      </c>
      <c r="Y692"/>
      <c r="Z692"/>
      <c r="AA692">
        <v>92.92371</v>
      </c>
      <c r="AB692">
        <v>62.101730000000003</v>
      </c>
      <c r="AC692">
        <v>86.046909999999997</v>
      </c>
      <c r="AD692">
        <v>87.828699999999998</v>
      </c>
      <c r="AE692">
        <v>100.4379</v>
      </c>
      <c r="AF692">
        <v>81.720399999999998</v>
      </c>
      <c r="AG692">
        <v>81.104299999999995</v>
      </c>
      <c r="AH692">
        <v>83.427689999999998</v>
      </c>
      <c r="AI692">
        <v>77.339070000000007</v>
      </c>
      <c r="AJ692">
        <v>73.876890000000003</v>
      </c>
      <c r="AK692">
        <v>84.978980000000007</v>
      </c>
      <c r="AL692">
        <v>84.097080000000005</v>
      </c>
      <c r="AM692">
        <v>85.427059999999997</v>
      </c>
      <c r="AN692">
        <v>84.824060000000003</v>
      </c>
      <c r="AO692">
        <v>87.198430000000002</v>
      </c>
      <c r="AP692">
        <v>89.007350000000002</v>
      </c>
      <c r="AQ692"/>
      <c r="AR692"/>
      <c r="AS692">
        <v>83.107560000000007</v>
      </c>
      <c r="AT692">
        <v>88.881479999999996</v>
      </c>
      <c r="AU692">
        <v>92.19144</v>
      </c>
      <c r="AV692">
        <v>53.886270000000003</v>
      </c>
      <c r="AW692">
        <v>85.119910000000004</v>
      </c>
      <c r="AX692">
        <v>62.345790000000001</v>
      </c>
    </row>
    <row r="693" spans="1:50" x14ac:dyDescent="0.35">
      <c r="A693" s="75">
        <v>38930</v>
      </c>
      <c r="B693">
        <v>84.507159999999999</v>
      </c>
      <c r="C693">
        <v>86.224869999999996</v>
      </c>
      <c r="D693"/>
      <c r="E693">
        <v>86.856459999999998</v>
      </c>
      <c r="F693">
        <v>98.093540000000004</v>
      </c>
      <c r="G693">
        <v>80.704859999999996</v>
      </c>
      <c r="H693"/>
      <c r="I693">
        <v>73.924509999999998</v>
      </c>
      <c r="J693">
        <v>60.223869999999998</v>
      </c>
      <c r="K693">
        <v>90.9</v>
      </c>
      <c r="L693">
        <v>89.280360000000002</v>
      </c>
      <c r="M693">
        <v>86.113910000000004</v>
      </c>
      <c r="N693">
        <v>88.75</v>
      </c>
      <c r="O693">
        <v>90.076800000000006</v>
      </c>
      <c r="P693">
        <v>80.309129999999996</v>
      </c>
      <c r="Q693"/>
      <c r="R693">
        <v>86.964860000000002</v>
      </c>
      <c r="S693">
        <v>90.909149999999997</v>
      </c>
      <c r="T693"/>
      <c r="U693">
        <v>87.952629999999999</v>
      </c>
      <c r="V693">
        <v>84.6</v>
      </c>
      <c r="W693">
        <v>89.793679999999995</v>
      </c>
      <c r="X693">
        <v>73.306240000000003</v>
      </c>
      <c r="Y693"/>
      <c r="Z693"/>
      <c r="AA693">
        <v>93.541460000000001</v>
      </c>
      <c r="AB693">
        <v>62.232509999999998</v>
      </c>
      <c r="AC693">
        <v>85.844440000000006</v>
      </c>
      <c r="AD693">
        <v>87.911069999999995</v>
      </c>
      <c r="AE693">
        <v>100.602</v>
      </c>
      <c r="AF693">
        <v>81.720399999999998</v>
      </c>
      <c r="AG693">
        <v>81.130899999999997</v>
      </c>
      <c r="AH693">
        <v>84.667569999999998</v>
      </c>
      <c r="AI693">
        <v>77.600579999999994</v>
      </c>
      <c r="AJ693">
        <v>74.060820000000007</v>
      </c>
      <c r="AK693">
        <v>85.534909999999996</v>
      </c>
      <c r="AL693">
        <v>83.91028</v>
      </c>
      <c r="AM693">
        <v>85.580119999999994</v>
      </c>
      <c r="AN693">
        <v>84.927369999999996</v>
      </c>
      <c r="AO693">
        <v>87.198430000000002</v>
      </c>
      <c r="AP693">
        <v>88.630099999999999</v>
      </c>
      <c r="AQ693"/>
      <c r="AR693"/>
      <c r="AS693">
        <v>83.387020000000007</v>
      </c>
      <c r="AT693">
        <v>89.121480000000005</v>
      </c>
      <c r="AU693">
        <v>92.184730000000002</v>
      </c>
      <c r="AV693">
        <v>53.812739999999998</v>
      </c>
      <c r="AW693">
        <v>85.326310000000007</v>
      </c>
      <c r="AX693">
        <v>62.721490000000003</v>
      </c>
    </row>
    <row r="694" spans="1:50" x14ac:dyDescent="0.35">
      <c r="A694" s="75">
        <v>38961</v>
      </c>
      <c r="B694">
        <v>84.507159999999999</v>
      </c>
      <c r="C694">
        <v>86.137460000000004</v>
      </c>
      <c r="D694"/>
      <c r="E694">
        <v>87.529750000000007</v>
      </c>
      <c r="F694">
        <v>98.034599999999998</v>
      </c>
      <c r="G694">
        <v>80.85642</v>
      </c>
      <c r="H694"/>
      <c r="I694">
        <v>74.104349999999997</v>
      </c>
      <c r="J694">
        <v>60.343200000000003</v>
      </c>
      <c r="K694">
        <v>89.9</v>
      </c>
      <c r="L694">
        <v>89.228989999999996</v>
      </c>
      <c r="M694">
        <v>86.905860000000004</v>
      </c>
      <c r="N694">
        <v>89.09</v>
      </c>
      <c r="O694">
        <v>90.299610000000001</v>
      </c>
      <c r="P694">
        <v>80.763180000000006</v>
      </c>
      <c r="Q694"/>
      <c r="R694">
        <v>87.505920000000003</v>
      </c>
      <c r="S694">
        <v>90.833879999999994</v>
      </c>
      <c r="T694"/>
      <c r="U694">
        <v>88.117320000000007</v>
      </c>
      <c r="V694">
        <v>84.8</v>
      </c>
      <c r="W694">
        <v>92.210170000000005</v>
      </c>
      <c r="X694">
        <v>74.418440000000004</v>
      </c>
      <c r="Y694"/>
      <c r="Z694"/>
      <c r="AA694">
        <v>94.304079999999999</v>
      </c>
      <c r="AB694">
        <v>62.688270000000003</v>
      </c>
      <c r="AC694">
        <v>85.237049999999996</v>
      </c>
      <c r="AD694">
        <v>87.94708</v>
      </c>
      <c r="AE694">
        <v>100.72490000000001</v>
      </c>
      <c r="AF694">
        <v>81.881200000000007</v>
      </c>
      <c r="AG694">
        <v>81.415899999999993</v>
      </c>
      <c r="AH694">
        <v>84.766760000000005</v>
      </c>
      <c r="AI694">
        <v>79.081879999999998</v>
      </c>
      <c r="AJ694">
        <v>74.442890000000006</v>
      </c>
      <c r="AK694">
        <v>86.268709999999999</v>
      </c>
      <c r="AL694">
        <v>84.497249999999994</v>
      </c>
      <c r="AM694">
        <v>85.801569999999998</v>
      </c>
      <c r="AN694">
        <v>85.161619999999999</v>
      </c>
      <c r="AO694">
        <v>87.28537</v>
      </c>
      <c r="AP694">
        <v>89.538250000000005</v>
      </c>
      <c r="AQ694"/>
      <c r="AR694"/>
      <c r="AS694">
        <v>83.219589999999997</v>
      </c>
      <c r="AT694">
        <v>89.591489999999993</v>
      </c>
      <c r="AU694">
        <v>93.183359999999993</v>
      </c>
      <c r="AV694">
        <v>54.429589999999997</v>
      </c>
      <c r="AW694">
        <v>85.532709999999994</v>
      </c>
      <c r="AX694">
        <v>62.927079999999997</v>
      </c>
    </row>
    <row r="695" spans="1:50" x14ac:dyDescent="0.35">
      <c r="A695" s="75">
        <v>38991</v>
      </c>
      <c r="B695">
        <v>84.758179999999996</v>
      </c>
      <c r="C695">
        <v>86.176310000000001</v>
      </c>
      <c r="D695"/>
      <c r="E695">
        <v>87.750370000000004</v>
      </c>
      <c r="F695">
        <v>98.828190000000006</v>
      </c>
      <c r="G695">
        <v>80.91883</v>
      </c>
      <c r="H695"/>
      <c r="I695">
        <v>74.006259999999997</v>
      </c>
      <c r="J695">
        <v>60.58079</v>
      </c>
      <c r="K695">
        <v>89.9</v>
      </c>
      <c r="L695">
        <v>89.460840000000005</v>
      </c>
      <c r="M695">
        <v>86.994960000000006</v>
      </c>
      <c r="N695">
        <v>89.38</v>
      </c>
      <c r="O695">
        <v>91.366339999999994</v>
      </c>
      <c r="P695">
        <v>80.933440000000004</v>
      </c>
      <c r="Q695"/>
      <c r="R695">
        <v>87.961100000000002</v>
      </c>
      <c r="S695">
        <v>90.879469999999998</v>
      </c>
      <c r="T695"/>
      <c r="U695">
        <v>88.298990000000003</v>
      </c>
      <c r="V695">
        <v>84.9</v>
      </c>
      <c r="W695">
        <v>92.895769999999999</v>
      </c>
      <c r="X695">
        <v>74.875839999999997</v>
      </c>
      <c r="Y695"/>
      <c r="Z695"/>
      <c r="AA695">
        <v>94.300129999999996</v>
      </c>
      <c r="AB695">
        <v>63.185470000000002</v>
      </c>
      <c r="AC695">
        <v>84.832120000000003</v>
      </c>
      <c r="AD695">
        <v>87.954319999999996</v>
      </c>
      <c r="AE695">
        <v>100.74169999999999</v>
      </c>
      <c r="AF695">
        <v>81.881200000000007</v>
      </c>
      <c r="AG695">
        <v>81.981300000000005</v>
      </c>
      <c r="AH695">
        <v>84.940349999999995</v>
      </c>
      <c r="AI695">
        <v>79.619910000000004</v>
      </c>
      <c r="AJ695">
        <v>74.606769999999997</v>
      </c>
      <c r="AK695">
        <v>86.179419999999993</v>
      </c>
      <c r="AL695">
        <v>84.897549999999995</v>
      </c>
      <c r="AM695">
        <v>86.03322</v>
      </c>
      <c r="AN695">
        <v>85.455259999999996</v>
      </c>
      <c r="AO695">
        <v>87.28537</v>
      </c>
      <c r="AP695">
        <v>89.906400000000005</v>
      </c>
      <c r="AQ695"/>
      <c r="AR695"/>
      <c r="AS695">
        <v>83.621039999999994</v>
      </c>
      <c r="AT695">
        <v>89.661490000000001</v>
      </c>
      <c r="AU695">
        <v>93.320750000000004</v>
      </c>
      <c r="AV695">
        <v>55.365070000000003</v>
      </c>
      <c r="AW695">
        <v>85.7804</v>
      </c>
      <c r="AX695">
        <v>63.356250000000003</v>
      </c>
    </row>
    <row r="696" spans="1:50" x14ac:dyDescent="0.35">
      <c r="A696" s="75">
        <v>39022</v>
      </c>
      <c r="B696">
        <v>84.758179999999996</v>
      </c>
      <c r="C696">
        <v>86.254009999999994</v>
      </c>
      <c r="D696"/>
      <c r="E696">
        <v>87.850999999999999</v>
      </c>
      <c r="F696">
        <v>98.970979999999997</v>
      </c>
      <c r="G696">
        <v>80.731610000000003</v>
      </c>
      <c r="H696"/>
      <c r="I696">
        <v>74.276020000000003</v>
      </c>
      <c r="J696">
        <v>61.252330000000001</v>
      </c>
      <c r="K696">
        <v>89.9</v>
      </c>
      <c r="L696">
        <v>89.459029999999998</v>
      </c>
      <c r="M696">
        <v>86.777339999999995</v>
      </c>
      <c r="N696">
        <v>89.41</v>
      </c>
      <c r="O696">
        <v>91.752049999999997</v>
      </c>
      <c r="P696">
        <v>81.444239999999994</v>
      </c>
      <c r="Q696"/>
      <c r="R696">
        <v>87.952510000000004</v>
      </c>
      <c r="S696">
        <v>90.942980000000006</v>
      </c>
      <c r="T696"/>
      <c r="U696">
        <v>88.263469999999998</v>
      </c>
      <c r="V696">
        <v>85.1</v>
      </c>
      <c r="W696">
        <v>93.047539999999998</v>
      </c>
      <c r="X696">
        <v>75.092879999999994</v>
      </c>
      <c r="Y696"/>
      <c r="Z696"/>
      <c r="AA696">
        <v>94.937979999999996</v>
      </c>
      <c r="AB696">
        <v>63.351199999999999</v>
      </c>
      <c r="AC696">
        <v>84.629660000000001</v>
      </c>
      <c r="AD696">
        <v>88.028480000000002</v>
      </c>
      <c r="AE696">
        <v>100.5938</v>
      </c>
      <c r="AF696">
        <v>82.040949999999995</v>
      </c>
      <c r="AG696">
        <v>82.278300000000002</v>
      </c>
      <c r="AH696">
        <v>84.989940000000004</v>
      </c>
      <c r="AI696">
        <v>79.85745</v>
      </c>
      <c r="AJ696">
        <v>74.836299999999994</v>
      </c>
      <c r="AK696">
        <v>85.997290000000007</v>
      </c>
      <c r="AL696">
        <v>85.036280000000005</v>
      </c>
      <c r="AM696">
        <v>86.055549999999997</v>
      </c>
      <c r="AN696">
        <v>85.583519999999993</v>
      </c>
      <c r="AO696">
        <v>87.28537</v>
      </c>
      <c r="AP696">
        <v>90.006640000000004</v>
      </c>
      <c r="AQ696"/>
      <c r="AR696"/>
      <c r="AS696">
        <v>83.885620000000003</v>
      </c>
      <c r="AT696">
        <v>89.881500000000003</v>
      </c>
      <c r="AU696">
        <v>93.354259999999996</v>
      </c>
      <c r="AV696">
        <v>55.757240000000003</v>
      </c>
      <c r="AW696">
        <v>85.697829999999996</v>
      </c>
      <c r="AX696">
        <v>63.380279999999999</v>
      </c>
    </row>
    <row r="697" spans="1:50" x14ac:dyDescent="0.35">
      <c r="A697" s="75">
        <v>39052</v>
      </c>
      <c r="B697">
        <v>84.925510000000003</v>
      </c>
      <c r="C697">
        <v>86.438540000000003</v>
      </c>
      <c r="D697"/>
      <c r="E697">
        <v>87.767849999999996</v>
      </c>
      <c r="F697">
        <v>99.025819999999996</v>
      </c>
      <c r="G697">
        <v>80.990160000000003</v>
      </c>
      <c r="H697"/>
      <c r="I697">
        <v>74.545789999999997</v>
      </c>
      <c r="J697">
        <v>61.751379999999997</v>
      </c>
      <c r="K697">
        <v>90</v>
      </c>
      <c r="L697">
        <v>90.250420000000005</v>
      </c>
      <c r="M697">
        <v>86.829899999999995</v>
      </c>
      <c r="N697">
        <v>89.83</v>
      </c>
      <c r="O697">
        <v>91.894980000000004</v>
      </c>
      <c r="P697">
        <v>81.671260000000004</v>
      </c>
      <c r="Q697"/>
      <c r="R697">
        <v>88.02122</v>
      </c>
      <c r="S697">
        <v>91.250479999999996</v>
      </c>
      <c r="T697"/>
      <c r="U697">
        <v>88.320580000000007</v>
      </c>
      <c r="V697">
        <v>85.5</v>
      </c>
      <c r="W697">
        <v>93.447559999999996</v>
      </c>
      <c r="X697">
        <v>75.189530000000005</v>
      </c>
      <c r="Y697"/>
      <c r="Z697"/>
      <c r="AA697">
        <v>95.366380000000007</v>
      </c>
      <c r="AB697">
        <v>63.516930000000002</v>
      </c>
      <c r="AC697">
        <v>84.52843</v>
      </c>
      <c r="AD697">
        <v>88.089070000000007</v>
      </c>
      <c r="AE697">
        <v>100.67700000000001</v>
      </c>
      <c r="AF697">
        <v>82.121350000000007</v>
      </c>
      <c r="AG697">
        <v>82.254400000000004</v>
      </c>
      <c r="AH697">
        <v>85.155259999999998</v>
      </c>
      <c r="AI697">
        <v>79.984710000000007</v>
      </c>
      <c r="AJ697">
        <v>75.08296</v>
      </c>
      <c r="AK697">
        <v>85.555269999999993</v>
      </c>
      <c r="AL697">
        <v>85.131110000000007</v>
      </c>
      <c r="AM697">
        <v>86.123390000000001</v>
      </c>
      <c r="AN697">
        <v>85.843310000000002</v>
      </c>
      <c r="AO697">
        <v>87.28537</v>
      </c>
      <c r="AP697">
        <v>90.06729</v>
      </c>
      <c r="AQ697"/>
      <c r="AR697"/>
      <c r="AS697">
        <v>83.874979999999994</v>
      </c>
      <c r="AT697">
        <v>90.261510000000001</v>
      </c>
      <c r="AU697">
        <v>93.464839999999995</v>
      </c>
      <c r="AV697">
        <v>55.728639999999999</v>
      </c>
      <c r="AW697">
        <v>85.573989999999995</v>
      </c>
      <c r="AX697">
        <v>63.698230000000002</v>
      </c>
    </row>
    <row r="698" spans="1:50" x14ac:dyDescent="0.35">
      <c r="A698" s="75">
        <v>39083</v>
      </c>
      <c r="B698">
        <v>84.674509999999998</v>
      </c>
      <c r="C698">
        <v>86.535659999999993</v>
      </c>
      <c r="D698"/>
      <c r="E698">
        <v>87.795850000000002</v>
      </c>
      <c r="F698">
        <v>98.226380000000006</v>
      </c>
      <c r="G698">
        <v>81.328959999999995</v>
      </c>
      <c r="H698"/>
      <c r="I698">
        <v>75.085329999999999</v>
      </c>
      <c r="J698">
        <v>62.461970000000001</v>
      </c>
      <c r="K698">
        <v>91</v>
      </c>
      <c r="L698">
        <v>89.968860000000006</v>
      </c>
      <c r="M698">
        <v>86.354990000000001</v>
      </c>
      <c r="N698">
        <v>89.02</v>
      </c>
      <c r="O698">
        <v>90.747320000000002</v>
      </c>
      <c r="P698">
        <v>82.125309999999999</v>
      </c>
      <c r="Q698"/>
      <c r="R698">
        <v>87.72063</v>
      </c>
      <c r="S698">
        <v>90.844830000000002</v>
      </c>
      <c r="T698"/>
      <c r="U698">
        <v>88.319280000000006</v>
      </c>
      <c r="V698">
        <v>84.9</v>
      </c>
      <c r="W698">
        <v>93.118359999999996</v>
      </c>
      <c r="X698">
        <v>75.957920000000001</v>
      </c>
      <c r="Y698"/>
      <c r="Z698"/>
      <c r="AA698">
        <v>94.921639999999996</v>
      </c>
      <c r="AB698">
        <v>63.475499999999997</v>
      </c>
      <c r="AC698">
        <v>84.224729999999994</v>
      </c>
      <c r="AD698">
        <v>88.135120000000001</v>
      </c>
      <c r="AE698">
        <v>99.995410000000007</v>
      </c>
      <c r="AF698">
        <v>82.360439999999997</v>
      </c>
      <c r="AG698">
        <v>81.8279</v>
      </c>
      <c r="AH698">
        <v>84.386529999999993</v>
      </c>
      <c r="AI698">
        <v>80.673249999999996</v>
      </c>
      <c r="AJ698">
        <v>75.395150000000001</v>
      </c>
      <c r="AK698">
        <v>85.409710000000004</v>
      </c>
      <c r="AL698">
        <v>84.48415</v>
      </c>
      <c r="AM698">
        <v>86.104259999999996</v>
      </c>
      <c r="AN698">
        <v>85.508579999999995</v>
      </c>
      <c r="AO698">
        <v>87.28537</v>
      </c>
      <c r="AP698">
        <v>89.277760000000001</v>
      </c>
      <c r="AQ698"/>
      <c r="AR698"/>
      <c r="AS698">
        <v>84.925719999999998</v>
      </c>
      <c r="AT698">
        <v>89.351489999999998</v>
      </c>
      <c r="AU698">
        <v>92.985640000000004</v>
      </c>
      <c r="AV698">
        <v>55.544820000000001</v>
      </c>
      <c r="AW698">
        <v>85.866669999999999</v>
      </c>
      <c r="AX698">
        <v>64.044619999999995</v>
      </c>
    </row>
    <row r="699" spans="1:50" x14ac:dyDescent="0.35">
      <c r="A699" s="75">
        <v>39114</v>
      </c>
      <c r="B699">
        <v>85.092860000000002</v>
      </c>
      <c r="C699">
        <v>87.011560000000003</v>
      </c>
      <c r="D699"/>
      <c r="E699">
        <v>88.170349999999999</v>
      </c>
      <c r="F699">
        <v>98.483949999999993</v>
      </c>
      <c r="G699">
        <v>81.016909999999996</v>
      </c>
      <c r="H699"/>
      <c r="I699">
        <v>75.714780000000005</v>
      </c>
      <c r="J699">
        <v>62.926299999999998</v>
      </c>
      <c r="K699">
        <v>91.4</v>
      </c>
      <c r="L699">
        <v>90.361909999999995</v>
      </c>
      <c r="M699">
        <v>87.387960000000007</v>
      </c>
      <c r="N699">
        <v>89.37</v>
      </c>
      <c r="O699">
        <v>90.861879999999999</v>
      </c>
      <c r="P699">
        <v>82.352329999999995</v>
      </c>
      <c r="Q699"/>
      <c r="R699">
        <v>88.296040000000005</v>
      </c>
      <c r="S699">
        <v>91.127600000000001</v>
      </c>
      <c r="T699"/>
      <c r="U699">
        <v>88.654910000000001</v>
      </c>
      <c r="V699">
        <v>85.2</v>
      </c>
      <c r="W699">
        <v>91.486350000000002</v>
      </c>
      <c r="X699">
        <v>76.483850000000004</v>
      </c>
      <c r="Y699"/>
      <c r="Z699"/>
      <c r="AA699">
        <v>96.057900000000004</v>
      </c>
      <c r="AB699">
        <v>63.889830000000003</v>
      </c>
      <c r="AC699">
        <v>84.123500000000007</v>
      </c>
      <c r="AD699">
        <v>88.540080000000003</v>
      </c>
      <c r="AE699">
        <v>99.676349999999999</v>
      </c>
      <c r="AF699">
        <v>82.760339999999999</v>
      </c>
      <c r="AG699">
        <v>81.863600000000005</v>
      </c>
      <c r="AH699">
        <v>85.998379999999997</v>
      </c>
      <c r="AI699">
        <v>81.084440000000001</v>
      </c>
      <c r="AJ699">
        <v>75.695170000000005</v>
      </c>
      <c r="AK699">
        <v>85.79195</v>
      </c>
      <c r="AL699">
        <v>84.922929999999994</v>
      </c>
      <c r="AM699">
        <v>86.401259999999994</v>
      </c>
      <c r="AN699">
        <v>85.769260000000003</v>
      </c>
      <c r="AO699">
        <v>87.28537</v>
      </c>
      <c r="AP699">
        <v>89.379739999999998</v>
      </c>
      <c r="AQ699"/>
      <c r="AR699"/>
      <c r="AS699">
        <v>85.177779999999998</v>
      </c>
      <c r="AT699">
        <v>89.451490000000007</v>
      </c>
      <c r="AU699">
        <v>93.464839999999995</v>
      </c>
      <c r="AV699">
        <v>55.491709999999998</v>
      </c>
      <c r="AW699">
        <v>86.32199</v>
      </c>
      <c r="AX699">
        <v>64.033969999999997</v>
      </c>
    </row>
    <row r="700" spans="1:50" x14ac:dyDescent="0.35">
      <c r="A700" s="75">
        <v>39142</v>
      </c>
      <c r="B700">
        <v>85.511210000000005</v>
      </c>
      <c r="C700">
        <v>87.098969999999994</v>
      </c>
      <c r="D700"/>
      <c r="E700">
        <v>88.333460000000002</v>
      </c>
      <c r="F700">
        <v>98.472049999999996</v>
      </c>
      <c r="G700">
        <v>81.11497</v>
      </c>
      <c r="H700"/>
      <c r="I700">
        <v>76.099000000000004</v>
      </c>
      <c r="J700">
        <v>63.283230000000003</v>
      </c>
      <c r="K700">
        <v>91.5</v>
      </c>
      <c r="L700">
        <v>90.463220000000007</v>
      </c>
      <c r="M700">
        <v>87.783640000000005</v>
      </c>
      <c r="N700">
        <v>90</v>
      </c>
      <c r="O700">
        <v>91.520840000000007</v>
      </c>
      <c r="P700">
        <v>82.863129999999998</v>
      </c>
      <c r="Q700"/>
      <c r="R700">
        <v>88.940160000000006</v>
      </c>
      <c r="S700">
        <v>91.498940000000005</v>
      </c>
      <c r="T700"/>
      <c r="U700">
        <v>88.949089999999998</v>
      </c>
      <c r="V700">
        <v>85.5</v>
      </c>
      <c r="W700">
        <v>93.849549999999994</v>
      </c>
      <c r="X700">
        <v>77.009770000000003</v>
      </c>
      <c r="Y700"/>
      <c r="Z700"/>
      <c r="AA700">
        <v>96.712410000000006</v>
      </c>
      <c r="AB700">
        <v>64.387020000000007</v>
      </c>
      <c r="AC700">
        <v>84.224729999999994</v>
      </c>
      <c r="AD700">
        <v>88.624020000000002</v>
      </c>
      <c r="AE700">
        <v>100.02460000000001</v>
      </c>
      <c r="AF700">
        <v>83.400379999999998</v>
      </c>
      <c r="AG700">
        <v>82.183400000000006</v>
      </c>
      <c r="AH700">
        <v>86.039709999999999</v>
      </c>
      <c r="AI700">
        <v>82.263009999999994</v>
      </c>
      <c r="AJ700">
        <v>75.897580000000005</v>
      </c>
      <c r="AK700">
        <v>86.828000000000003</v>
      </c>
      <c r="AL700">
        <v>85.482569999999996</v>
      </c>
      <c r="AM700">
        <v>86.747389999999996</v>
      </c>
      <c r="AN700">
        <v>86.161699999999996</v>
      </c>
      <c r="AO700">
        <v>87.372309999999999</v>
      </c>
      <c r="AP700">
        <v>90.86806</v>
      </c>
      <c r="AQ700"/>
      <c r="AR700"/>
      <c r="AS700">
        <v>85.167019999999994</v>
      </c>
      <c r="AT700">
        <v>90.0715</v>
      </c>
      <c r="AU700">
        <v>94.121660000000006</v>
      </c>
      <c r="AV700">
        <v>56.043190000000003</v>
      </c>
      <c r="AW700">
        <v>86.656779999999998</v>
      </c>
      <c r="AX700">
        <v>64.434730000000002</v>
      </c>
    </row>
    <row r="701" spans="1:50" x14ac:dyDescent="0.35">
      <c r="A701" s="75">
        <v>39173</v>
      </c>
      <c r="B701">
        <v>85.762219999999999</v>
      </c>
      <c r="C701">
        <v>87.225229999999996</v>
      </c>
      <c r="D701"/>
      <c r="E701">
        <v>88.568269999999998</v>
      </c>
      <c r="F701">
        <v>99.436440000000005</v>
      </c>
      <c r="G701">
        <v>81.382450000000006</v>
      </c>
      <c r="H701"/>
      <c r="I701">
        <v>76.425989999999999</v>
      </c>
      <c r="J701">
        <v>63.416670000000003</v>
      </c>
      <c r="K701">
        <v>91.7</v>
      </c>
      <c r="L701">
        <v>90.765050000000002</v>
      </c>
      <c r="M701">
        <v>87.905119999999997</v>
      </c>
      <c r="N701">
        <v>90.48</v>
      </c>
      <c r="O701">
        <v>93.021630000000002</v>
      </c>
      <c r="P701">
        <v>83.146900000000002</v>
      </c>
      <c r="Q701"/>
      <c r="R701">
        <v>89.189220000000006</v>
      </c>
      <c r="S701">
        <v>91.769829999999999</v>
      </c>
      <c r="T701"/>
      <c r="U701">
        <v>89.160129999999995</v>
      </c>
      <c r="V701">
        <v>85.8</v>
      </c>
      <c r="W701">
        <v>94.130139999999997</v>
      </c>
      <c r="X701">
        <v>77.160030000000006</v>
      </c>
      <c r="Y701"/>
      <c r="Z701"/>
      <c r="AA701">
        <v>97.244730000000004</v>
      </c>
      <c r="AB701">
        <v>64.925659999999993</v>
      </c>
      <c r="AC701">
        <v>84.427199999999999</v>
      </c>
      <c r="AD701">
        <v>88.686210000000003</v>
      </c>
      <c r="AE701">
        <v>100.4034</v>
      </c>
      <c r="AF701">
        <v>83.560130000000001</v>
      </c>
      <c r="AG701">
        <v>82.491</v>
      </c>
      <c r="AH701">
        <v>86.23809</v>
      </c>
      <c r="AI701">
        <v>82.783879999999996</v>
      </c>
      <c r="AJ701">
        <v>75.970920000000007</v>
      </c>
      <c r="AK701">
        <v>87.166460000000001</v>
      </c>
      <c r="AL701">
        <v>85.558440000000004</v>
      </c>
      <c r="AM701">
        <v>87.030119999999997</v>
      </c>
      <c r="AN701">
        <v>86.581710000000001</v>
      </c>
      <c r="AO701">
        <v>87.546189999999996</v>
      </c>
      <c r="AP701">
        <v>91.647329999999997</v>
      </c>
      <c r="AQ701"/>
      <c r="AR701"/>
      <c r="AS701">
        <v>85.209050000000005</v>
      </c>
      <c r="AT701">
        <v>90.491510000000005</v>
      </c>
      <c r="AU701">
        <v>94.543890000000005</v>
      </c>
      <c r="AV701">
        <v>56.872459999999997</v>
      </c>
      <c r="AW701">
        <v>86.816940000000002</v>
      </c>
      <c r="AX701">
        <v>64.720200000000006</v>
      </c>
    </row>
    <row r="702" spans="1:50" x14ac:dyDescent="0.35">
      <c r="A702" s="75">
        <v>39203</v>
      </c>
      <c r="B702">
        <v>85.929569999999998</v>
      </c>
      <c r="C702">
        <v>87.302930000000003</v>
      </c>
      <c r="D702"/>
      <c r="E702">
        <v>88.773099999999999</v>
      </c>
      <c r="F702">
        <v>99.618719999999996</v>
      </c>
      <c r="G702">
        <v>81.551850000000002</v>
      </c>
      <c r="H702"/>
      <c r="I702">
        <v>76.614009999999993</v>
      </c>
      <c r="J702">
        <v>63.717179999999999</v>
      </c>
      <c r="K702">
        <v>91.9</v>
      </c>
      <c r="L702">
        <v>90.751509999999996</v>
      </c>
      <c r="M702">
        <v>87.989949999999993</v>
      </c>
      <c r="N702">
        <v>90.64</v>
      </c>
      <c r="O702">
        <v>93.161410000000004</v>
      </c>
      <c r="P702">
        <v>83.657709999999994</v>
      </c>
      <c r="Q702"/>
      <c r="R702">
        <v>89.180629999999994</v>
      </c>
      <c r="S702">
        <v>91.906419999999997</v>
      </c>
      <c r="T702"/>
      <c r="U702">
        <v>89.221050000000005</v>
      </c>
      <c r="V702">
        <v>86</v>
      </c>
      <c r="W702">
        <v>94.280810000000002</v>
      </c>
      <c r="X702">
        <v>77.610820000000004</v>
      </c>
      <c r="Y702"/>
      <c r="Z702"/>
      <c r="AA702">
        <v>97.481899999999996</v>
      </c>
      <c r="AB702">
        <v>65.33999</v>
      </c>
      <c r="AC702">
        <v>84.224729999999994</v>
      </c>
      <c r="AD702">
        <v>88.905739999999994</v>
      </c>
      <c r="AE702">
        <v>100.5457</v>
      </c>
      <c r="AF702">
        <v>83.639470000000003</v>
      </c>
      <c r="AG702">
        <v>82.857799999999997</v>
      </c>
      <c r="AH702">
        <v>86.221559999999997</v>
      </c>
      <c r="AI702">
        <v>83.086560000000006</v>
      </c>
      <c r="AJ702">
        <v>75.974580000000003</v>
      </c>
      <c r="AK702">
        <v>87.200320000000005</v>
      </c>
      <c r="AL702">
        <v>85.650630000000007</v>
      </c>
      <c r="AM702">
        <v>87.127020000000002</v>
      </c>
      <c r="AN702">
        <v>86.782330000000002</v>
      </c>
      <c r="AO702">
        <v>87.720060000000004</v>
      </c>
      <c r="AP702">
        <v>91.729380000000006</v>
      </c>
      <c r="AQ702"/>
      <c r="AR702"/>
      <c r="AS702">
        <v>85.043369999999996</v>
      </c>
      <c r="AT702">
        <v>91.261520000000004</v>
      </c>
      <c r="AU702">
        <v>94.651120000000006</v>
      </c>
      <c r="AV702">
        <v>57.775260000000003</v>
      </c>
      <c r="AW702">
        <v>86.819010000000006</v>
      </c>
      <c r="AX702">
        <v>64.830190000000002</v>
      </c>
    </row>
    <row r="703" spans="1:50" x14ac:dyDescent="0.35">
      <c r="A703" s="75">
        <v>39234</v>
      </c>
      <c r="B703">
        <v>86.096900000000005</v>
      </c>
      <c r="C703">
        <v>87.273790000000005</v>
      </c>
      <c r="D703"/>
      <c r="E703">
        <v>88.758830000000003</v>
      </c>
      <c r="F703">
        <v>99.598579999999998</v>
      </c>
      <c r="G703">
        <v>81.667760000000001</v>
      </c>
      <c r="H703"/>
      <c r="I703">
        <v>76.777500000000003</v>
      </c>
      <c r="J703">
        <v>63.951509999999999</v>
      </c>
      <c r="K703">
        <v>92.1</v>
      </c>
      <c r="L703">
        <v>90.67604</v>
      </c>
      <c r="M703">
        <v>87.949950000000001</v>
      </c>
      <c r="N703">
        <v>90.67</v>
      </c>
      <c r="O703">
        <v>93.260199999999998</v>
      </c>
      <c r="P703">
        <v>84.111760000000004</v>
      </c>
      <c r="Q703"/>
      <c r="R703">
        <v>89.395340000000004</v>
      </c>
      <c r="S703">
        <v>91.931030000000007</v>
      </c>
      <c r="T703"/>
      <c r="U703">
        <v>89.251140000000007</v>
      </c>
      <c r="V703">
        <v>86.2</v>
      </c>
      <c r="W703">
        <v>94.453059999999994</v>
      </c>
      <c r="X703">
        <v>77.761089999999996</v>
      </c>
      <c r="Y703"/>
      <c r="Z703"/>
      <c r="AA703">
        <v>97.5852</v>
      </c>
      <c r="AB703">
        <v>65.671459999999996</v>
      </c>
      <c r="AC703">
        <v>85.237049999999996</v>
      </c>
      <c r="AD703">
        <v>89.016080000000002</v>
      </c>
      <c r="AE703">
        <v>100.334</v>
      </c>
      <c r="AF703">
        <v>83.639470000000003</v>
      </c>
      <c r="AG703">
        <v>83.0702</v>
      </c>
      <c r="AH703">
        <v>86.279420000000002</v>
      </c>
      <c r="AI703">
        <v>83.470359999999999</v>
      </c>
      <c r="AJ703">
        <v>76.133859999999999</v>
      </c>
      <c r="AK703">
        <v>86.752859999999998</v>
      </c>
      <c r="AL703">
        <v>85.47627</v>
      </c>
      <c r="AM703">
        <v>87.180729999999997</v>
      </c>
      <c r="AN703">
        <v>86.863659999999996</v>
      </c>
      <c r="AO703">
        <v>87.893940000000001</v>
      </c>
      <c r="AP703">
        <v>91.723129999999998</v>
      </c>
      <c r="AQ703"/>
      <c r="AR703"/>
      <c r="AS703">
        <v>85.391229999999993</v>
      </c>
      <c r="AT703">
        <v>91.731530000000006</v>
      </c>
      <c r="AU703">
        <v>94.86224</v>
      </c>
      <c r="AV703">
        <v>58.106160000000003</v>
      </c>
      <c r="AW703">
        <v>86.884219999999999</v>
      </c>
      <c r="AX703">
        <v>65.254670000000004</v>
      </c>
    </row>
    <row r="704" spans="1:50" x14ac:dyDescent="0.35">
      <c r="A704" s="75">
        <v>39264</v>
      </c>
      <c r="B704">
        <v>85.845889999999997</v>
      </c>
      <c r="C704">
        <v>87.613720000000001</v>
      </c>
      <c r="D704"/>
      <c r="E704">
        <v>88.967320000000001</v>
      </c>
      <c r="F704">
        <v>98.810770000000005</v>
      </c>
      <c r="G704">
        <v>82.051119999999997</v>
      </c>
      <c r="H704"/>
      <c r="I704">
        <v>77.047269999999997</v>
      </c>
      <c r="J704">
        <v>64.195610000000002</v>
      </c>
      <c r="K704">
        <v>92.6</v>
      </c>
      <c r="L704">
        <v>91.169370000000001</v>
      </c>
      <c r="M704">
        <v>87.372659999999996</v>
      </c>
      <c r="N704">
        <v>90.32</v>
      </c>
      <c r="O704">
        <v>92.067340000000002</v>
      </c>
      <c r="P704">
        <v>84.395529999999994</v>
      </c>
      <c r="Q704"/>
      <c r="R704">
        <v>89.034630000000007</v>
      </c>
      <c r="S704">
        <v>91.728999999999999</v>
      </c>
      <c r="T704"/>
      <c r="U704">
        <v>89.330600000000004</v>
      </c>
      <c r="V704">
        <v>85.9</v>
      </c>
      <c r="W704">
        <v>93.592330000000004</v>
      </c>
      <c r="X704">
        <v>77.911349999999999</v>
      </c>
      <c r="Y704"/>
      <c r="Z704"/>
      <c r="AA704">
        <v>97.867069999999998</v>
      </c>
      <c r="AB704">
        <v>65.795749999999998</v>
      </c>
      <c r="AC704">
        <v>86.3506</v>
      </c>
      <c r="AD704">
        <v>89.25609</v>
      </c>
      <c r="AE704">
        <v>100.1906</v>
      </c>
      <c r="AF704">
        <v>83.800280000000001</v>
      </c>
      <c r="AG704">
        <v>83.424300000000002</v>
      </c>
      <c r="AH704">
        <v>85.130459999999999</v>
      </c>
      <c r="AI704">
        <v>84.244669999999999</v>
      </c>
      <c r="AJ704">
        <v>76.329440000000005</v>
      </c>
      <c r="AK704">
        <v>86.489329999999995</v>
      </c>
      <c r="AL704">
        <v>85.107600000000005</v>
      </c>
      <c r="AM704">
        <v>87.203609999999998</v>
      </c>
      <c r="AN704">
        <v>86.720119999999994</v>
      </c>
      <c r="AO704">
        <v>88.067809999999994</v>
      </c>
      <c r="AP704">
        <v>91.373159999999999</v>
      </c>
      <c r="AQ704"/>
      <c r="AR704"/>
      <c r="AS704">
        <v>85.393649999999994</v>
      </c>
      <c r="AT704">
        <v>91.591530000000006</v>
      </c>
      <c r="AU704">
        <v>94.607560000000007</v>
      </c>
      <c r="AV704">
        <v>57.607779999999998</v>
      </c>
      <c r="AW704">
        <v>87.000640000000004</v>
      </c>
      <c r="AX704">
        <v>65.714860000000002</v>
      </c>
    </row>
    <row r="705" spans="1:50" x14ac:dyDescent="0.35">
      <c r="A705" s="75">
        <v>39295</v>
      </c>
      <c r="B705">
        <v>85.845889999999997</v>
      </c>
      <c r="C705">
        <v>87.603999999999999</v>
      </c>
      <c r="D705"/>
      <c r="E705">
        <v>89.05489</v>
      </c>
      <c r="F705">
        <v>98.803799999999995</v>
      </c>
      <c r="G705">
        <v>82.318600000000004</v>
      </c>
      <c r="H705"/>
      <c r="I705">
        <v>77.28434</v>
      </c>
      <c r="J705">
        <v>64.518910000000005</v>
      </c>
      <c r="K705">
        <v>92.9</v>
      </c>
      <c r="L705">
        <v>91.164109999999994</v>
      </c>
      <c r="M705">
        <v>87.300210000000007</v>
      </c>
      <c r="N705">
        <v>90.46</v>
      </c>
      <c r="O705">
        <v>92.276489999999995</v>
      </c>
      <c r="P705">
        <v>84.84957</v>
      </c>
      <c r="Q705"/>
      <c r="R705">
        <v>89.472629999999995</v>
      </c>
      <c r="S705">
        <v>92.297020000000003</v>
      </c>
      <c r="T705"/>
      <c r="U705">
        <v>89.525090000000006</v>
      </c>
      <c r="V705">
        <v>86.3</v>
      </c>
      <c r="W705">
        <v>92.568460000000002</v>
      </c>
      <c r="X705">
        <v>77.986469999999997</v>
      </c>
      <c r="Y705"/>
      <c r="Z705"/>
      <c r="AA705">
        <v>98.436160000000001</v>
      </c>
      <c r="AB705">
        <v>65.837190000000007</v>
      </c>
      <c r="AC705">
        <v>86.654300000000006</v>
      </c>
      <c r="AD705">
        <v>89.448629999999994</v>
      </c>
      <c r="AE705">
        <v>100.4693</v>
      </c>
      <c r="AF705">
        <v>83.879620000000003</v>
      </c>
      <c r="AG705">
        <v>83.857799999999997</v>
      </c>
      <c r="AH705">
        <v>86.453000000000003</v>
      </c>
      <c r="AI705">
        <v>85.13897</v>
      </c>
      <c r="AJ705">
        <v>76.518839999999997</v>
      </c>
      <c r="AK705">
        <v>86.757810000000006</v>
      </c>
      <c r="AL705">
        <v>85.152550000000005</v>
      </c>
      <c r="AM705">
        <v>87.349810000000005</v>
      </c>
      <c r="AN705">
        <v>86.841729999999998</v>
      </c>
      <c r="AO705">
        <v>87.807000000000002</v>
      </c>
      <c r="AP705">
        <v>90.729259999999996</v>
      </c>
      <c r="AQ705"/>
      <c r="AR705"/>
      <c r="AS705">
        <v>85.57732</v>
      </c>
      <c r="AT705">
        <v>92.151539999999997</v>
      </c>
      <c r="AU705">
        <v>94.744960000000006</v>
      </c>
      <c r="AV705">
        <v>57.162509999999997</v>
      </c>
      <c r="AW705">
        <v>87.147189999999995</v>
      </c>
      <c r="AX705">
        <v>66.087270000000004</v>
      </c>
    </row>
    <row r="706" spans="1:50" x14ac:dyDescent="0.35">
      <c r="A706" s="75">
        <v>39326</v>
      </c>
      <c r="B706">
        <v>85.929569999999998</v>
      </c>
      <c r="C706">
        <v>87.468029999999999</v>
      </c>
      <c r="D706"/>
      <c r="E706">
        <v>89.40504</v>
      </c>
      <c r="F706">
        <v>98.815920000000006</v>
      </c>
      <c r="G706">
        <v>82.915949999999995</v>
      </c>
      <c r="H706"/>
      <c r="I706">
        <v>77.398790000000005</v>
      </c>
      <c r="J706">
        <v>64.834599999999995</v>
      </c>
      <c r="K706">
        <v>92.4</v>
      </c>
      <c r="L706">
        <v>91.197000000000003</v>
      </c>
      <c r="M706">
        <v>87.814869999999999</v>
      </c>
      <c r="N706">
        <v>90.75</v>
      </c>
      <c r="O706">
        <v>92.379480000000001</v>
      </c>
      <c r="P706">
        <v>85.473879999999994</v>
      </c>
      <c r="Q706"/>
      <c r="R706">
        <v>89.859110000000001</v>
      </c>
      <c r="S706">
        <v>92.260660000000001</v>
      </c>
      <c r="T706"/>
      <c r="U706">
        <v>89.648439999999994</v>
      </c>
      <c r="V706">
        <v>86.3</v>
      </c>
      <c r="W706">
        <v>94.735849999999999</v>
      </c>
      <c r="X706">
        <v>78.136740000000003</v>
      </c>
      <c r="Y706"/>
      <c r="Z706"/>
      <c r="AA706">
        <v>98.805719999999994</v>
      </c>
      <c r="AB706">
        <v>66.707279999999997</v>
      </c>
      <c r="AC706">
        <v>86.046909999999997</v>
      </c>
      <c r="AD706">
        <v>89.330699999999993</v>
      </c>
      <c r="AE706">
        <v>100.4342</v>
      </c>
      <c r="AF706">
        <v>83.879620000000003</v>
      </c>
      <c r="AG706">
        <v>84.742800000000003</v>
      </c>
      <c r="AH706">
        <v>86.568730000000002</v>
      </c>
      <c r="AI706">
        <v>87.070890000000006</v>
      </c>
      <c r="AJ706">
        <v>76.85333</v>
      </c>
      <c r="AK706">
        <v>87.289019999999994</v>
      </c>
      <c r="AL706">
        <v>85.916560000000004</v>
      </c>
      <c r="AM706">
        <v>87.515240000000006</v>
      </c>
      <c r="AN706">
        <v>86.987229999999997</v>
      </c>
      <c r="AO706">
        <v>87.893940000000001</v>
      </c>
      <c r="AP706">
        <v>91.397189999999995</v>
      </c>
      <c r="AQ706"/>
      <c r="AR706"/>
      <c r="AS706">
        <v>85.728629999999995</v>
      </c>
      <c r="AT706">
        <v>92.091539999999995</v>
      </c>
      <c r="AU706">
        <v>95.884320000000002</v>
      </c>
      <c r="AV706">
        <v>57.460720000000002</v>
      </c>
      <c r="AW706">
        <v>87.360600000000005</v>
      </c>
      <c r="AX706">
        <v>66.36739</v>
      </c>
    </row>
    <row r="707" spans="1:50" x14ac:dyDescent="0.35">
      <c r="A707" s="75">
        <v>39356</v>
      </c>
      <c r="B707">
        <v>86.180570000000003</v>
      </c>
      <c r="C707">
        <v>87.613720000000001</v>
      </c>
      <c r="D707"/>
      <c r="E707">
        <v>89.330209999999994</v>
      </c>
      <c r="F707">
        <v>99.717519999999993</v>
      </c>
      <c r="G707">
        <v>82.853539999999995</v>
      </c>
      <c r="H707"/>
      <c r="I707">
        <v>77.456010000000006</v>
      </c>
      <c r="J707">
        <v>65.224080000000001</v>
      </c>
      <c r="K707">
        <v>92.5</v>
      </c>
      <c r="L707">
        <v>91.220179999999999</v>
      </c>
      <c r="M707">
        <v>88.069599999999994</v>
      </c>
      <c r="N707">
        <v>91.06</v>
      </c>
      <c r="O707">
        <v>93.465130000000002</v>
      </c>
      <c r="P707">
        <v>85.814409999999995</v>
      </c>
      <c r="Q707"/>
      <c r="R707">
        <v>90.236990000000006</v>
      </c>
      <c r="S707">
        <v>92.342849999999999</v>
      </c>
      <c r="T707"/>
      <c r="U707">
        <v>89.847149999999999</v>
      </c>
      <c r="V707">
        <v>86.5</v>
      </c>
      <c r="W707">
        <v>95.132840000000002</v>
      </c>
      <c r="X707">
        <v>78.5124</v>
      </c>
      <c r="Y707"/>
      <c r="Z707"/>
      <c r="AA707">
        <v>98.90316</v>
      </c>
      <c r="AB707">
        <v>66.955879999999993</v>
      </c>
      <c r="AC707">
        <v>85.743210000000005</v>
      </c>
      <c r="AD707">
        <v>89.419169999999994</v>
      </c>
      <c r="AE707">
        <v>100.5459</v>
      </c>
      <c r="AF707">
        <v>84.040419999999997</v>
      </c>
      <c r="AG707">
        <v>85.138000000000005</v>
      </c>
      <c r="AH707">
        <v>86.734049999999996</v>
      </c>
      <c r="AI707">
        <v>88.020669999999996</v>
      </c>
      <c r="AJ707">
        <v>77.059529999999995</v>
      </c>
      <c r="AK707">
        <v>87.256069999999994</v>
      </c>
      <c r="AL707">
        <v>86.159630000000007</v>
      </c>
      <c r="AM707">
        <v>87.771060000000006</v>
      </c>
      <c r="AN707">
        <v>87.274519999999995</v>
      </c>
      <c r="AO707">
        <v>88.067809999999994</v>
      </c>
      <c r="AP707">
        <v>91.91892</v>
      </c>
      <c r="AQ707"/>
      <c r="AR707"/>
      <c r="AS707">
        <v>85.864940000000004</v>
      </c>
      <c r="AT707">
        <v>92.381540000000001</v>
      </c>
      <c r="AU707">
        <v>96.31326</v>
      </c>
      <c r="AV707">
        <v>58.232799999999997</v>
      </c>
      <c r="AW707">
        <v>87.645439999999994</v>
      </c>
      <c r="AX707">
        <v>66.875529999999998</v>
      </c>
    </row>
    <row r="708" spans="1:50" x14ac:dyDescent="0.35">
      <c r="A708" s="75">
        <v>39387</v>
      </c>
      <c r="B708">
        <v>86.180570000000003</v>
      </c>
      <c r="C708">
        <v>87.749690000000001</v>
      </c>
      <c r="D708"/>
      <c r="E708">
        <v>89.344470000000001</v>
      </c>
      <c r="F708">
        <v>99.833759999999998</v>
      </c>
      <c r="G708">
        <v>83.121009999999998</v>
      </c>
      <c r="H708"/>
      <c r="I708">
        <v>77.72578</v>
      </c>
      <c r="J708">
        <v>65.880430000000004</v>
      </c>
      <c r="K708">
        <v>92.6</v>
      </c>
      <c r="L708">
        <v>91.188140000000004</v>
      </c>
      <c r="M708">
        <v>87.979119999999995</v>
      </c>
      <c r="N708">
        <v>91.13</v>
      </c>
      <c r="O708">
        <v>93.819310000000002</v>
      </c>
      <c r="P708">
        <v>86.154949999999999</v>
      </c>
      <c r="Q708"/>
      <c r="R708">
        <v>89.96217</v>
      </c>
      <c r="S708">
        <v>92.468680000000006</v>
      </c>
      <c r="T708"/>
      <c r="U708">
        <v>89.905919999999995</v>
      </c>
      <c r="V708">
        <v>86.6</v>
      </c>
      <c r="W708">
        <v>95.302859999999995</v>
      </c>
      <c r="X708">
        <v>78.587519999999998</v>
      </c>
      <c r="Y708"/>
      <c r="Z708"/>
      <c r="AA708">
        <v>99.082279999999997</v>
      </c>
      <c r="AB708">
        <v>67.494510000000005</v>
      </c>
      <c r="AC708">
        <v>85.743210000000005</v>
      </c>
      <c r="AD708">
        <v>89.585369999999998</v>
      </c>
      <c r="AE708">
        <v>100.6168</v>
      </c>
      <c r="AF708">
        <v>84.118709999999993</v>
      </c>
      <c r="AG708">
        <v>85.662700000000001</v>
      </c>
      <c r="AH708">
        <v>86.841499999999996</v>
      </c>
      <c r="AI708">
        <v>88.342420000000004</v>
      </c>
      <c r="AJ708">
        <v>77.296689999999998</v>
      </c>
      <c r="AK708">
        <v>87.086780000000005</v>
      </c>
      <c r="AL708">
        <v>86.625720000000001</v>
      </c>
      <c r="AM708">
        <v>87.890190000000004</v>
      </c>
      <c r="AN708">
        <v>87.476339999999993</v>
      </c>
      <c r="AO708">
        <v>88.154750000000007</v>
      </c>
      <c r="AP708">
        <v>92.056380000000004</v>
      </c>
      <c r="AQ708"/>
      <c r="AR708"/>
      <c r="AS708">
        <v>86.178299999999993</v>
      </c>
      <c r="AT708">
        <v>92.921549999999996</v>
      </c>
      <c r="AU708">
        <v>96.460710000000006</v>
      </c>
      <c r="AV708">
        <v>59.421550000000003</v>
      </c>
      <c r="AW708">
        <v>87.693730000000002</v>
      </c>
      <c r="AX708">
        <v>66.982410000000002</v>
      </c>
    </row>
    <row r="709" spans="1:50" x14ac:dyDescent="0.35">
      <c r="A709" s="75">
        <v>39417</v>
      </c>
      <c r="B709">
        <v>86.598920000000007</v>
      </c>
      <c r="C709">
        <v>88.002200000000002</v>
      </c>
      <c r="D709"/>
      <c r="E709">
        <v>89.251490000000004</v>
      </c>
      <c r="F709">
        <v>99.974879999999999</v>
      </c>
      <c r="G709">
        <v>83.727279999999993</v>
      </c>
      <c r="H709"/>
      <c r="I709">
        <v>77.979190000000003</v>
      </c>
      <c r="J709">
        <v>66.387069999999994</v>
      </c>
      <c r="K709">
        <v>92.7</v>
      </c>
      <c r="L709">
        <v>92.081760000000003</v>
      </c>
      <c r="M709">
        <v>88.063999999999993</v>
      </c>
      <c r="N709">
        <v>91.55</v>
      </c>
      <c r="O709">
        <v>93.984309999999994</v>
      </c>
      <c r="P709">
        <v>86.325220000000002</v>
      </c>
      <c r="Q709"/>
      <c r="R709">
        <v>89.859110000000001</v>
      </c>
      <c r="S709">
        <v>92.739810000000006</v>
      </c>
      <c r="T709"/>
      <c r="U709">
        <v>89.992850000000004</v>
      </c>
      <c r="V709">
        <v>87</v>
      </c>
      <c r="W709">
        <v>95.693870000000004</v>
      </c>
      <c r="X709">
        <v>78.737790000000004</v>
      </c>
      <c r="Y709"/>
      <c r="Z709"/>
      <c r="AA709">
        <v>99.13288</v>
      </c>
      <c r="AB709">
        <v>67.825969999999998</v>
      </c>
      <c r="AC709">
        <v>86.046909999999997</v>
      </c>
      <c r="AD709">
        <v>89.721739999999997</v>
      </c>
      <c r="AE709">
        <v>100.4058</v>
      </c>
      <c r="AF709">
        <v>84.278459999999995</v>
      </c>
      <c r="AG709">
        <v>85.793599999999998</v>
      </c>
      <c r="AH709">
        <v>86.907629999999997</v>
      </c>
      <c r="AI709">
        <v>88.434809999999999</v>
      </c>
      <c r="AJ709">
        <v>77.547920000000005</v>
      </c>
      <c r="AK709">
        <v>86.618570000000005</v>
      </c>
      <c r="AL709">
        <v>86.968729999999994</v>
      </c>
      <c r="AM709">
        <v>87.991780000000006</v>
      </c>
      <c r="AN709">
        <v>87.773700000000005</v>
      </c>
      <c r="AO709">
        <v>88.328620000000001</v>
      </c>
      <c r="AP709">
        <v>92.098659999999995</v>
      </c>
      <c r="AQ709"/>
      <c r="AR709"/>
      <c r="AS709">
        <v>86.292529999999999</v>
      </c>
      <c r="AT709">
        <v>93.121549999999999</v>
      </c>
      <c r="AU709">
        <v>96.591399999999993</v>
      </c>
      <c r="AV709">
        <v>59.413379999999997</v>
      </c>
      <c r="AW709">
        <v>87.66113</v>
      </c>
      <c r="AX709">
        <v>67.379490000000004</v>
      </c>
    </row>
    <row r="710" spans="1:50" x14ac:dyDescent="0.35">
      <c r="A710" s="75">
        <v>39448</v>
      </c>
      <c r="B710">
        <v>86.096900000000005</v>
      </c>
      <c r="C710">
        <v>88.021630000000002</v>
      </c>
      <c r="D710"/>
      <c r="E710">
        <v>88.81841</v>
      </c>
      <c r="F710">
        <v>99.343860000000006</v>
      </c>
      <c r="G710">
        <v>83.985830000000007</v>
      </c>
      <c r="H710"/>
      <c r="I710">
        <v>78.567779999999999</v>
      </c>
      <c r="J710">
        <v>66.735309999999998</v>
      </c>
      <c r="K710">
        <v>94.7</v>
      </c>
      <c r="L710">
        <v>91.324929999999995</v>
      </c>
      <c r="M710">
        <v>87.741079999999997</v>
      </c>
      <c r="N710">
        <v>90.59</v>
      </c>
      <c r="O710">
        <v>92.697929999999999</v>
      </c>
      <c r="P710">
        <v>87.346819999999994</v>
      </c>
      <c r="Q710"/>
      <c r="R710">
        <v>89.807580000000002</v>
      </c>
      <c r="S710">
        <v>92.24982</v>
      </c>
      <c r="T710"/>
      <c r="U710">
        <v>89.992999999999995</v>
      </c>
      <c r="V710">
        <v>86.4</v>
      </c>
      <c r="W710">
        <v>94.869649999999993</v>
      </c>
      <c r="X710">
        <v>79.338840000000005</v>
      </c>
      <c r="Y710"/>
      <c r="Z710"/>
      <c r="AA710">
        <v>98.36139</v>
      </c>
      <c r="AB710">
        <v>67.701679999999996</v>
      </c>
      <c r="AC710">
        <v>85.540750000000003</v>
      </c>
      <c r="AD710">
        <v>89.97578</v>
      </c>
      <c r="AE710">
        <v>100.03189999999999</v>
      </c>
      <c r="AF710">
        <v>84.679410000000004</v>
      </c>
      <c r="AG710">
        <v>86.165700000000001</v>
      </c>
      <c r="AH710">
        <v>85.998379999999997</v>
      </c>
      <c r="AI710">
        <v>91.044650000000004</v>
      </c>
      <c r="AJ710">
        <v>77.882819999999995</v>
      </c>
      <c r="AK710">
        <v>86.698670000000007</v>
      </c>
      <c r="AL710">
        <v>86.373720000000006</v>
      </c>
      <c r="AM710">
        <v>87.98169</v>
      </c>
      <c r="AN710">
        <v>87.373450000000005</v>
      </c>
      <c r="AO710">
        <v>88.763310000000004</v>
      </c>
      <c r="AP710">
        <v>91.490679999999998</v>
      </c>
      <c r="AQ710"/>
      <c r="AR710"/>
      <c r="AS710">
        <v>87.307190000000006</v>
      </c>
      <c r="AT710">
        <v>92.131540000000001</v>
      </c>
      <c r="AU710">
        <v>95.133679999999998</v>
      </c>
      <c r="AV710">
        <v>59.094749999999998</v>
      </c>
      <c r="AW710">
        <v>87.983930000000001</v>
      </c>
      <c r="AX710">
        <v>68.316389999999998</v>
      </c>
    </row>
    <row r="711" spans="1:50" x14ac:dyDescent="0.35">
      <c r="A711" s="75">
        <v>39479</v>
      </c>
      <c r="B711">
        <v>86.347920000000002</v>
      </c>
      <c r="C711">
        <v>88.468379999999996</v>
      </c>
      <c r="D711"/>
      <c r="E711">
        <v>89.145229999999998</v>
      </c>
      <c r="F711">
        <v>99.6648</v>
      </c>
      <c r="G711">
        <v>84.003659999999996</v>
      </c>
      <c r="H711"/>
      <c r="I711">
        <v>79.140010000000004</v>
      </c>
      <c r="J711">
        <v>67.5685</v>
      </c>
      <c r="K711">
        <v>95.1</v>
      </c>
      <c r="L711">
        <v>91.726020000000005</v>
      </c>
      <c r="M711">
        <v>89.141069999999999</v>
      </c>
      <c r="N711">
        <v>90.97</v>
      </c>
      <c r="O711">
        <v>92.911280000000005</v>
      </c>
      <c r="P711">
        <v>87.800870000000003</v>
      </c>
      <c r="Q711"/>
      <c r="R711">
        <v>90.382990000000007</v>
      </c>
      <c r="S711">
        <v>92.535499999999999</v>
      </c>
      <c r="T711"/>
      <c r="U711">
        <v>90.232060000000004</v>
      </c>
      <c r="V711">
        <v>86.6</v>
      </c>
      <c r="W711">
        <v>93.605419999999995</v>
      </c>
      <c r="X711">
        <v>79.564239999999998</v>
      </c>
      <c r="Y711"/>
      <c r="Z711"/>
      <c r="AA711">
        <v>99.900210000000001</v>
      </c>
      <c r="AB711">
        <v>68.573779999999999</v>
      </c>
      <c r="AC711">
        <v>85.034580000000005</v>
      </c>
      <c r="AD711">
        <v>90.158389999999997</v>
      </c>
      <c r="AE711">
        <v>99.839789999999994</v>
      </c>
      <c r="AF711">
        <v>84.998900000000006</v>
      </c>
      <c r="AG711">
        <v>87.0792</v>
      </c>
      <c r="AH711">
        <v>87.312659999999994</v>
      </c>
      <c r="AI711">
        <v>92.131889999999999</v>
      </c>
      <c r="AJ711">
        <v>78.26782</v>
      </c>
      <c r="AK711">
        <v>87.341750000000005</v>
      </c>
      <c r="AL711">
        <v>86.959980000000002</v>
      </c>
      <c r="AM711">
        <v>88.219660000000005</v>
      </c>
      <c r="AN711">
        <v>87.616650000000007</v>
      </c>
      <c r="AO711">
        <v>88.850250000000003</v>
      </c>
      <c r="AP711">
        <v>91.555319999999995</v>
      </c>
      <c r="AQ711"/>
      <c r="AR711"/>
      <c r="AS711">
        <v>87.754459999999995</v>
      </c>
      <c r="AT711">
        <v>92.731539999999995</v>
      </c>
      <c r="AU711">
        <v>95.458730000000003</v>
      </c>
      <c r="AV711">
        <v>58.886409999999998</v>
      </c>
      <c r="AW711">
        <v>88.284450000000007</v>
      </c>
      <c r="AX711">
        <v>68.683809999999994</v>
      </c>
    </row>
    <row r="712" spans="1:50" x14ac:dyDescent="0.35">
      <c r="A712" s="75">
        <v>39508</v>
      </c>
      <c r="B712">
        <v>86.933610000000002</v>
      </c>
      <c r="C712">
        <v>88.623779999999996</v>
      </c>
      <c r="D712"/>
      <c r="E712">
        <v>89.22045</v>
      </c>
      <c r="F712">
        <v>99.787170000000003</v>
      </c>
      <c r="G712">
        <v>84.609930000000006</v>
      </c>
      <c r="H712"/>
      <c r="I712">
        <v>79.655019999999993</v>
      </c>
      <c r="J712">
        <v>67.748599999999996</v>
      </c>
      <c r="K712">
        <v>95.1</v>
      </c>
      <c r="L712">
        <v>91.999049999999997</v>
      </c>
      <c r="M712">
        <v>89.483360000000005</v>
      </c>
      <c r="N712">
        <v>91.83</v>
      </c>
      <c r="O712">
        <v>93.677440000000004</v>
      </c>
      <c r="P712">
        <v>88.198149999999998</v>
      </c>
      <c r="Q712"/>
      <c r="R712">
        <v>91.070049999999995</v>
      </c>
      <c r="S712">
        <v>93.104500000000002</v>
      </c>
      <c r="T712"/>
      <c r="U712">
        <v>90.610079999999996</v>
      </c>
      <c r="V712">
        <v>86.9</v>
      </c>
      <c r="W712">
        <v>96.19556</v>
      </c>
      <c r="X712">
        <v>80.090159999999997</v>
      </c>
      <c r="Y712"/>
      <c r="Z712"/>
      <c r="AA712">
        <v>100.614</v>
      </c>
      <c r="AB712">
        <v>69.569429999999997</v>
      </c>
      <c r="AC712">
        <v>85.237049999999996</v>
      </c>
      <c r="AD712">
        <v>90.505790000000005</v>
      </c>
      <c r="AE712">
        <v>100.18600000000001</v>
      </c>
      <c r="AF712">
        <v>85.958439999999996</v>
      </c>
      <c r="AG712">
        <v>87.950199999999995</v>
      </c>
      <c r="AH712">
        <v>87.659829999999999</v>
      </c>
      <c r="AI712">
        <v>93.404309999999995</v>
      </c>
      <c r="AJ712">
        <v>78.696780000000004</v>
      </c>
      <c r="AK712">
        <v>88.260469999999998</v>
      </c>
      <c r="AL712">
        <v>87.310130000000001</v>
      </c>
      <c r="AM712">
        <v>88.660409999999999</v>
      </c>
      <c r="AN712">
        <v>88.12227</v>
      </c>
      <c r="AO712">
        <v>89.111059999999995</v>
      </c>
      <c r="AP712">
        <v>93.093630000000005</v>
      </c>
      <c r="AQ712"/>
      <c r="AR712"/>
      <c r="AS712">
        <v>87.942880000000002</v>
      </c>
      <c r="AT712">
        <v>93.851560000000006</v>
      </c>
      <c r="AU712">
        <v>96.413790000000006</v>
      </c>
      <c r="AV712">
        <v>59.413379999999997</v>
      </c>
      <c r="AW712">
        <v>88.69726</v>
      </c>
      <c r="AX712">
        <v>69.419489999999996</v>
      </c>
    </row>
    <row r="713" spans="1:50" x14ac:dyDescent="0.35">
      <c r="A713" s="75">
        <v>39539</v>
      </c>
      <c r="B713">
        <v>87.184619999999995</v>
      </c>
      <c r="C713">
        <v>88.478099999999998</v>
      </c>
      <c r="D713"/>
      <c r="E713">
        <v>89.355419999999995</v>
      </c>
      <c r="F713">
        <v>100.74469999999999</v>
      </c>
      <c r="G713">
        <v>84.752579999999995</v>
      </c>
      <c r="H713"/>
      <c r="I713">
        <v>79.957490000000007</v>
      </c>
      <c r="J713">
        <v>68.161929999999998</v>
      </c>
      <c r="K713">
        <v>95.4</v>
      </c>
      <c r="L713">
        <v>91.628330000000005</v>
      </c>
      <c r="M713">
        <v>89.633619999999993</v>
      </c>
      <c r="N713">
        <v>92</v>
      </c>
      <c r="O713">
        <v>94.920739999999995</v>
      </c>
      <c r="P713">
        <v>88.538690000000003</v>
      </c>
      <c r="Q713"/>
      <c r="R713">
        <v>91.181700000000006</v>
      </c>
      <c r="S713">
        <v>93.281850000000006</v>
      </c>
      <c r="T713"/>
      <c r="U713">
        <v>90.685410000000005</v>
      </c>
      <c r="V713">
        <v>87.3</v>
      </c>
      <c r="W713">
        <v>96.603390000000005</v>
      </c>
      <c r="X713">
        <v>80.24042</v>
      </c>
      <c r="Y713"/>
      <c r="Z713"/>
      <c r="AA713">
        <v>100.684</v>
      </c>
      <c r="AB713">
        <v>71.612470000000002</v>
      </c>
      <c r="AC713">
        <v>86.249369999999999</v>
      </c>
      <c r="AD713">
        <v>90.55753</v>
      </c>
      <c r="AE713">
        <v>100.28789999999999</v>
      </c>
      <c r="AF713">
        <v>86.118189999999998</v>
      </c>
      <c r="AG713">
        <v>88.984800000000007</v>
      </c>
      <c r="AH713">
        <v>87.841669999999993</v>
      </c>
      <c r="AI713">
        <v>94.088449999999995</v>
      </c>
      <c r="AJ713">
        <v>78.860730000000004</v>
      </c>
      <c r="AK713">
        <v>88.486710000000002</v>
      </c>
      <c r="AL713">
        <v>87.463589999999996</v>
      </c>
      <c r="AM713">
        <v>88.863879999999995</v>
      </c>
      <c r="AN713">
        <v>88.431560000000005</v>
      </c>
      <c r="AO713">
        <v>89.371870000000001</v>
      </c>
      <c r="AP713">
        <v>93.271709999999999</v>
      </c>
      <c r="AQ713"/>
      <c r="AR713"/>
      <c r="AS713">
        <v>87.932869999999994</v>
      </c>
      <c r="AT713">
        <v>94.551569999999998</v>
      </c>
      <c r="AU713">
        <v>96.748900000000006</v>
      </c>
      <c r="AV713">
        <v>60.610309999999998</v>
      </c>
      <c r="AW713">
        <v>88.776920000000004</v>
      </c>
      <c r="AX713">
        <v>69.6006</v>
      </c>
    </row>
    <row r="714" spans="1:50" x14ac:dyDescent="0.35">
      <c r="A714" s="75">
        <v>39569</v>
      </c>
      <c r="B714">
        <v>87.519300000000001</v>
      </c>
      <c r="C714">
        <v>88.818020000000004</v>
      </c>
      <c r="D714"/>
      <c r="E714">
        <v>89.547520000000006</v>
      </c>
      <c r="F714">
        <v>101.054</v>
      </c>
      <c r="G714">
        <v>85.40343</v>
      </c>
      <c r="H714"/>
      <c r="I714">
        <v>80.186390000000003</v>
      </c>
      <c r="J714">
        <v>68.918090000000007</v>
      </c>
      <c r="K714">
        <v>95.5</v>
      </c>
      <c r="L714">
        <v>91.919430000000006</v>
      </c>
      <c r="M714">
        <v>89.795000000000002</v>
      </c>
      <c r="N714">
        <v>92.24</v>
      </c>
      <c r="O714">
        <v>95.195040000000006</v>
      </c>
      <c r="P714">
        <v>88.652199999999993</v>
      </c>
      <c r="Q714"/>
      <c r="R714">
        <v>91.241820000000004</v>
      </c>
      <c r="S714">
        <v>93.38212</v>
      </c>
      <c r="T714"/>
      <c r="U714">
        <v>90.81944</v>
      </c>
      <c r="V714">
        <v>87.6</v>
      </c>
      <c r="W714">
        <v>97.27261</v>
      </c>
      <c r="X714">
        <v>80.540949999999995</v>
      </c>
      <c r="Y714"/>
      <c r="Z714"/>
      <c r="AA714">
        <v>101.1082</v>
      </c>
      <c r="AB714">
        <v>72.38082</v>
      </c>
      <c r="AC714">
        <v>86.553060000000002</v>
      </c>
      <c r="AD714">
        <v>90.770390000000006</v>
      </c>
      <c r="AE714">
        <v>100.5705</v>
      </c>
      <c r="AF714">
        <v>86.43768</v>
      </c>
      <c r="AG714">
        <v>89.427400000000006</v>
      </c>
      <c r="AH714">
        <v>87.973929999999996</v>
      </c>
      <c r="AI714">
        <v>94.606430000000003</v>
      </c>
      <c r="AJ714">
        <v>78.991770000000002</v>
      </c>
      <c r="AK714">
        <v>88.616829999999993</v>
      </c>
      <c r="AL714">
        <v>87.343509999999995</v>
      </c>
      <c r="AM714">
        <v>89.060890000000001</v>
      </c>
      <c r="AN714">
        <v>88.770169999999993</v>
      </c>
      <c r="AO714">
        <v>89.545749999999998</v>
      </c>
      <c r="AP714">
        <v>93.388499999999993</v>
      </c>
      <c r="AQ714"/>
      <c r="AR714"/>
      <c r="AS714">
        <v>88.02843</v>
      </c>
      <c r="AT714">
        <v>94.931579999999997</v>
      </c>
      <c r="AU714">
        <v>96.926509999999993</v>
      </c>
      <c r="AV714">
        <v>61.995150000000002</v>
      </c>
      <c r="AW714">
        <v>88.82687</v>
      </c>
      <c r="AX714">
        <v>69.73751</v>
      </c>
    </row>
    <row r="715" spans="1:50" x14ac:dyDescent="0.35">
      <c r="A715" s="75">
        <v>39600</v>
      </c>
      <c r="B715">
        <v>87.602969999999999</v>
      </c>
      <c r="C715">
        <v>89.021979999999999</v>
      </c>
      <c r="D715"/>
      <c r="E715">
        <v>89.577439999999996</v>
      </c>
      <c r="F715">
        <v>100.777</v>
      </c>
      <c r="G715">
        <v>85.822460000000007</v>
      </c>
      <c r="H715"/>
      <c r="I715">
        <v>80.382580000000004</v>
      </c>
      <c r="J715">
        <v>69.57987</v>
      </c>
      <c r="K715">
        <v>95.5</v>
      </c>
      <c r="L715">
        <v>91.917190000000005</v>
      </c>
      <c r="M715">
        <v>89.726330000000004</v>
      </c>
      <c r="N715">
        <v>92.33</v>
      </c>
      <c r="O715">
        <v>95.368449999999996</v>
      </c>
      <c r="P715">
        <v>88.935969999999998</v>
      </c>
      <c r="Q715"/>
      <c r="R715">
        <v>91.430760000000006</v>
      </c>
      <c r="S715">
        <v>93.428250000000006</v>
      </c>
      <c r="T715"/>
      <c r="U715">
        <v>90.952799999999996</v>
      </c>
      <c r="V715">
        <v>87.9</v>
      </c>
      <c r="W715">
        <v>97.394559999999998</v>
      </c>
      <c r="X715">
        <v>80.616079999999997</v>
      </c>
      <c r="Y715"/>
      <c r="Z715"/>
      <c r="AA715">
        <v>101.3537</v>
      </c>
      <c r="AB715">
        <v>72.806489999999997</v>
      </c>
      <c r="AC715">
        <v>86.957989999999995</v>
      </c>
      <c r="AD715">
        <v>90.933890000000005</v>
      </c>
      <c r="AE715">
        <v>100.65470000000001</v>
      </c>
      <c r="AF715">
        <v>86.597430000000003</v>
      </c>
      <c r="AG715">
        <v>89.735699999999994</v>
      </c>
      <c r="AH715">
        <v>88.015259999999998</v>
      </c>
      <c r="AI715">
        <v>94.709379999999996</v>
      </c>
      <c r="AJ715">
        <v>79.302670000000006</v>
      </c>
      <c r="AK715">
        <v>88.207340000000002</v>
      </c>
      <c r="AL715">
        <v>87.550380000000004</v>
      </c>
      <c r="AM715">
        <v>89.206289999999996</v>
      </c>
      <c r="AN715">
        <v>88.902889999999999</v>
      </c>
      <c r="AO715">
        <v>89.806560000000005</v>
      </c>
      <c r="AP715">
        <v>93.435180000000003</v>
      </c>
      <c r="AQ715"/>
      <c r="AR715"/>
      <c r="AS715">
        <v>88.21069</v>
      </c>
      <c r="AT715">
        <v>95.371589999999998</v>
      </c>
      <c r="AU715">
        <v>97.084010000000006</v>
      </c>
      <c r="AV715">
        <v>62.40775</v>
      </c>
      <c r="AW715">
        <v>88.980850000000004</v>
      </c>
      <c r="AX715">
        <v>70.552809999999994</v>
      </c>
    </row>
    <row r="716" spans="1:50" x14ac:dyDescent="0.35">
      <c r="A716" s="75">
        <v>39630</v>
      </c>
      <c r="B716">
        <v>87.519300000000001</v>
      </c>
      <c r="C716">
        <v>89.381330000000005</v>
      </c>
      <c r="D716"/>
      <c r="E716">
        <v>89.524270000000001</v>
      </c>
      <c r="F716">
        <v>100.0759</v>
      </c>
      <c r="G716">
        <v>86.562470000000005</v>
      </c>
      <c r="H716"/>
      <c r="I716">
        <v>80.62782</v>
      </c>
      <c r="J716">
        <v>70.828569999999999</v>
      </c>
      <c r="K716">
        <v>95.9</v>
      </c>
      <c r="L716">
        <v>92.449709999999996</v>
      </c>
      <c r="M716">
        <v>89.308689999999999</v>
      </c>
      <c r="N716">
        <v>91.9</v>
      </c>
      <c r="O716">
        <v>94.291200000000003</v>
      </c>
      <c r="P716">
        <v>89.617040000000003</v>
      </c>
      <c r="Q716"/>
      <c r="R716">
        <v>91.078639999999993</v>
      </c>
      <c r="S716">
        <v>93.135679999999994</v>
      </c>
      <c r="T716"/>
      <c r="U716">
        <v>91.101029999999994</v>
      </c>
      <c r="V716">
        <v>87.8</v>
      </c>
      <c r="W716">
        <v>96.489109999999997</v>
      </c>
      <c r="X716">
        <v>80.76634</v>
      </c>
      <c r="Y716"/>
      <c r="Z716"/>
      <c r="AA716">
        <v>100.9487</v>
      </c>
      <c r="AB716">
        <v>73.292990000000003</v>
      </c>
      <c r="AC716">
        <v>87.565380000000005</v>
      </c>
      <c r="AD716">
        <v>91.324029999999993</v>
      </c>
      <c r="AE716">
        <v>100.5872</v>
      </c>
      <c r="AF716">
        <v>86.998369999999994</v>
      </c>
      <c r="AG716">
        <v>89.835700000000003</v>
      </c>
      <c r="AH716">
        <v>87.180400000000006</v>
      </c>
      <c r="AI716">
        <v>94.516239999999996</v>
      </c>
      <c r="AJ716">
        <v>79.646739999999994</v>
      </c>
      <c r="AK716">
        <v>88.063289999999995</v>
      </c>
      <c r="AL716">
        <v>87.446730000000002</v>
      </c>
      <c r="AM716">
        <v>89.306479999999993</v>
      </c>
      <c r="AN716">
        <v>88.813010000000006</v>
      </c>
      <c r="AO716">
        <v>89.980440000000002</v>
      </c>
      <c r="AP716">
        <v>92.758520000000004</v>
      </c>
      <c r="AQ716"/>
      <c r="AR716"/>
      <c r="AS716">
        <v>88.526169999999993</v>
      </c>
      <c r="AT716">
        <v>94.801580000000001</v>
      </c>
      <c r="AU716">
        <v>96.547839999999994</v>
      </c>
      <c r="AV716">
        <v>61.991070000000001</v>
      </c>
      <c r="AW716">
        <v>89.183949999999996</v>
      </c>
      <c r="AX716">
        <v>70.981350000000006</v>
      </c>
    </row>
    <row r="717" spans="1:50" x14ac:dyDescent="0.35">
      <c r="A717" s="75">
        <v>39661</v>
      </c>
      <c r="B717">
        <v>87.602969999999999</v>
      </c>
      <c r="C717">
        <v>89.391040000000004</v>
      </c>
      <c r="D717"/>
      <c r="E717">
        <v>89.777690000000007</v>
      </c>
      <c r="F717">
        <v>100.25749999999999</v>
      </c>
      <c r="G717">
        <v>87.034999999999997</v>
      </c>
      <c r="H717"/>
      <c r="I717">
        <v>80.832189999999997</v>
      </c>
      <c r="J717">
        <v>71.747460000000004</v>
      </c>
      <c r="K717">
        <v>96.2</v>
      </c>
      <c r="L717">
        <v>92.513180000000006</v>
      </c>
      <c r="M717">
        <v>89.699619999999996</v>
      </c>
      <c r="N717">
        <v>92.21</v>
      </c>
      <c r="O717">
        <v>94.564449999999994</v>
      </c>
      <c r="P717">
        <v>90.638639999999995</v>
      </c>
      <c r="Q717"/>
      <c r="R717">
        <v>91.963229999999996</v>
      </c>
      <c r="S717">
        <v>93.693049999999999</v>
      </c>
      <c r="T717"/>
      <c r="U717">
        <v>91.325999999999993</v>
      </c>
      <c r="V717">
        <v>88.2</v>
      </c>
      <c r="W717">
        <v>95.465069999999997</v>
      </c>
      <c r="X717">
        <v>80.76634</v>
      </c>
      <c r="Y717"/>
      <c r="Z717"/>
      <c r="AA717">
        <v>101.5611</v>
      </c>
      <c r="AB717">
        <v>74.072659999999999</v>
      </c>
      <c r="AC717">
        <v>88.577699999999993</v>
      </c>
      <c r="AD717">
        <v>91.702749999999995</v>
      </c>
      <c r="AE717">
        <v>100.771</v>
      </c>
      <c r="AF717">
        <v>86.998369999999994</v>
      </c>
      <c r="AG717">
        <v>90.192899999999995</v>
      </c>
      <c r="AH717">
        <v>88.238439999999997</v>
      </c>
      <c r="AI717">
        <v>94.901300000000006</v>
      </c>
      <c r="AJ717">
        <v>80.021950000000004</v>
      </c>
      <c r="AK717">
        <v>88.493939999999995</v>
      </c>
      <c r="AL717">
        <v>87.56532</v>
      </c>
      <c r="AM717">
        <v>89.510990000000007</v>
      </c>
      <c r="AN717">
        <v>89.036749999999998</v>
      </c>
      <c r="AO717">
        <v>90.06738</v>
      </c>
      <c r="AP717">
        <v>92.468980000000002</v>
      </c>
      <c r="AQ717"/>
      <c r="AR717"/>
      <c r="AS717">
        <v>89.02225</v>
      </c>
      <c r="AT717">
        <v>95.231589999999997</v>
      </c>
      <c r="AU717">
        <v>97.013630000000006</v>
      </c>
      <c r="AV717">
        <v>61.725540000000002</v>
      </c>
      <c r="AW717">
        <v>89.361869999999996</v>
      </c>
      <c r="AX717">
        <v>71.324510000000004</v>
      </c>
    </row>
    <row r="718" spans="1:50" x14ac:dyDescent="0.35">
      <c r="A718" s="75">
        <v>39692</v>
      </c>
      <c r="B718">
        <v>88.021320000000003</v>
      </c>
      <c r="C718">
        <v>89.410470000000004</v>
      </c>
      <c r="D718"/>
      <c r="E718">
        <v>90.105339999999998</v>
      </c>
      <c r="F718">
        <v>100.4303</v>
      </c>
      <c r="G718">
        <v>87.650180000000006</v>
      </c>
      <c r="H718"/>
      <c r="I718">
        <v>80.954809999999995</v>
      </c>
      <c r="J718">
        <v>72.259519999999995</v>
      </c>
      <c r="K718">
        <v>96</v>
      </c>
      <c r="L718">
        <v>92.356610000000003</v>
      </c>
      <c r="M718">
        <v>90.242180000000005</v>
      </c>
      <c r="N718">
        <v>92.49</v>
      </c>
      <c r="O718">
        <v>94.738910000000004</v>
      </c>
      <c r="P718">
        <v>91.660240000000002</v>
      </c>
      <c r="Q718"/>
      <c r="R718">
        <v>92.375470000000007</v>
      </c>
      <c r="S718">
        <v>93.634479999999996</v>
      </c>
      <c r="T718"/>
      <c r="U718">
        <v>91.424319999999994</v>
      </c>
      <c r="V718">
        <v>88.3</v>
      </c>
      <c r="W718">
        <v>97.887180000000001</v>
      </c>
      <c r="X718">
        <v>80.76634</v>
      </c>
      <c r="Y718"/>
      <c r="Z718"/>
      <c r="AA718">
        <v>101.9492</v>
      </c>
      <c r="AB718">
        <v>74.821640000000002</v>
      </c>
      <c r="AC718">
        <v>88.577699999999993</v>
      </c>
      <c r="AD718">
        <v>91.408479999999997</v>
      </c>
      <c r="AE718">
        <v>100.97410000000001</v>
      </c>
      <c r="AF718">
        <v>87.317869999999999</v>
      </c>
      <c r="AG718">
        <v>90.820400000000006</v>
      </c>
      <c r="AH718">
        <v>88.403760000000005</v>
      </c>
      <c r="AI718">
        <v>96.597539999999995</v>
      </c>
      <c r="AJ718">
        <v>80.536090000000002</v>
      </c>
      <c r="AK718">
        <v>88.994550000000004</v>
      </c>
      <c r="AL718">
        <v>88.589089999999999</v>
      </c>
      <c r="AM718">
        <v>89.692179999999993</v>
      </c>
      <c r="AN718">
        <v>89.179630000000003</v>
      </c>
      <c r="AO718">
        <v>90.328190000000006</v>
      </c>
      <c r="AP718">
        <v>93.443629999999999</v>
      </c>
      <c r="AQ718"/>
      <c r="AR718"/>
      <c r="AS718">
        <v>89.777349999999998</v>
      </c>
      <c r="AT718">
        <v>95.451589999999996</v>
      </c>
      <c r="AU718">
        <v>98.069220000000001</v>
      </c>
      <c r="AV718">
        <v>61.958390000000001</v>
      </c>
      <c r="AW718">
        <v>89.521209999999996</v>
      </c>
      <c r="AX718">
        <v>71.918880000000001</v>
      </c>
    </row>
    <row r="719" spans="1:50" x14ac:dyDescent="0.35">
      <c r="A719" s="75">
        <v>39722</v>
      </c>
      <c r="B719">
        <v>88.272329999999997</v>
      </c>
      <c r="C719">
        <v>89.653270000000006</v>
      </c>
      <c r="D719"/>
      <c r="E719">
        <v>90.160640000000001</v>
      </c>
      <c r="F719">
        <v>101.2071</v>
      </c>
      <c r="G719">
        <v>88.194040000000001</v>
      </c>
      <c r="H719"/>
      <c r="I719">
        <v>81.240930000000006</v>
      </c>
      <c r="J719">
        <v>73.098140000000001</v>
      </c>
      <c r="K719">
        <v>95.7</v>
      </c>
      <c r="L719">
        <v>92.377780000000001</v>
      </c>
      <c r="M719">
        <v>90.33032</v>
      </c>
      <c r="N719">
        <v>92.85</v>
      </c>
      <c r="O719">
        <v>95.834029999999998</v>
      </c>
      <c r="P719">
        <v>91.603489999999994</v>
      </c>
      <c r="Q719"/>
      <c r="R719">
        <v>92.753360000000001</v>
      </c>
      <c r="S719">
        <v>93.764619999999994</v>
      </c>
      <c r="T719"/>
      <c r="U719">
        <v>91.486440000000002</v>
      </c>
      <c r="V719">
        <v>88.3</v>
      </c>
      <c r="W719">
        <v>98.210719999999995</v>
      </c>
      <c r="X719">
        <v>81.066860000000005</v>
      </c>
      <c r="Y719"/>
      <c r="Z719"/>
      <c r="AA719">
        <v>102.0615</v>
      </c>
      <c r="AB719">
        <v>76.406099999999995</v>
      </c>
      <c r="AC719">
        <v>88.780159999999995</v>
      </c>
      <c r="AD719">
        <v>91.525120000000001</v>
      </c>
      <c r="AE719">
        <v>101.0211</v>
      </c>
      <c r="AF719">
        <v>87.39828</v>
      </c>
      <c r="AG719">
        <v>91.588899999999995</v>
      </c>
      <c r="AH719">
        <v>88.536010000000005</v>
      </c>
      <c r="AI719">
        <v>96.989170000000001</v>
      </c>
      <c r="AJ719">
        <v>80.856480000000005</v>
      </c>
      <c r="AK719">
        <v>89.089330000000004</v>
      </c>
      <c r="AL719">
        <v>88.806089999999998</v>
      </c>
      <c r="AM719">
        <v>89.866290000000006</v>
      </c>
      <c r="AN719">
        <v>89.469570000000004</v>
      </c>
      <c r="AO719">
        <v>90.502070000000003</v>
      </c>
      <c r="AP719">
        <v>93.797839999999994</v>
      </c>
      <c r="AQ719"/>
      <c r="AR719"/>
      <c r="AS719">
        <v>90.319249999999997</v>
      </c>
      <c r="AT719">
        <v>95.82159</v>
      </c>
      <c r="AU719">
        <v>98.709270000000004</v>
      </c>
      <c r="AV719">
        <v>62.996000000000002</v>
      </c>
      <c r="AW719">
        <v>89.587670000000003</v>
      </c>
      <c r="AX719">
        <v>72.231350000000006</v>
      </c>
    </row>
    <row r="720" spans="1:50" x14ac:dyDescent="0.35">
      <c r="A720" s="75">
        <v>39753</v>
      </c>
      <c r="B720">
        <v>88.105000000000004</v>
      </c>
      <c r="C720">
        <v>89.662989999999994</v>
      </c>
      <c r="D720"/>
      <c r="E720">
        <v>91.000020000000006</v>
      </c>
      <c r="F720">
        <v>101.25230000000001</v>
      </c>
      <c r="G720">
        <v>88.934039999999996</v>
      </c>
      <c r="H720"/>
      <c r="I720">
        <v>81.388080000000002</v>
      </c>
      <c r="J720">
        <v>74.212310000000002</v>
      </c>
      <c r="K720">
        <v>95.5</v>
      </c>
      <c r="L720">
        <v>92.366320000000002</v>
      </c>
      <c r="M720">
        <v>90.284480000000002</v>
      </c>
      <c r="N720">
        <v>92.89</v>
      </c>
      <c r="O720">
        <v>96.154579999999996</v>
      </c>
      <c r="P720">
        <v>91.773750000000007</v>
      </c>
      <c r="Q720"/>
      <c r="R720">
        <v>92.564409999999995</v>
      </c>
      <c r="S720">
        <v>93.771069999999995</v>
      </c>
      <c r="T720"/>
      <c r="U720">
        <v>91.423630000000003</v>
      </c>
      <c r="V720">
        <v>88.5</v>
      </c>
      <c r="W720">
        <v>98.392539999999997</v>
      </c>
      <c r="X720">
        <v>81.141999999999996</v>
      </c>
      <c r="Y720"/>
      <c r="Z720"/>
      <c r="AA720">
        <v>101.3753</v>
      </c>
      <c r="AB720">
        <v>77.681939999999997</v>
      </c>
      <c r="AC720">
        <v>89.185079999999999</v>
      </c>
      <c r="AD720">
        <v>91.542479999999998</v>
      </c>
      <c r="AE720">
        <v>100.7257</v>
      </c>
      <c r="AF720">
        <v>87.717770000000002</v>
      </c>
      <c r="AG720">
        <v>91.725800000000007</v>
      </c>
      <c r="AH720">
        <v>88.585610000000003</v>
      </c>
      <c r="AI720">
        <v>96.927279999999996</v>
      </c>
      <c r="AJ720">
        <v>81.317040000000006</v>
      </c>
      <c r="AK720">
        <v>89.072280000000006</v>
      </c>
      <c r="AL720">
        <v>88.667259999999999</v>
      </c>
      <c r="AM720">
        <v>89.882480000000001</v>
      </c>
      <c r="AN720">
        <v>89.556920000000005</v>
      </c>
      <c r="AO720">
        <v>90.588999999999999</v>
      </c>
      <c r="AP720">
        <v>93.659059999999997</v>
      </c>
      <c r="AQ720"/>
      <c r="AR720"/>
      <c r="AS720">
        <v>90.91001</v>
      </c>
      <c r="AT720">
        <v>96.021600000000007</v>
      </c>
      <c r="AU720">
        <v>98.099379999999996</v>
      </c>
      <c r="AV720">
        <v>63.498460000000001</v>
      </c>
      <c r="AW720">
        <v>89.450209999999998</v>
      </c>
      <c r="AX720">
        <v>72.380709999999993</v>
      </c>
    </row>
    <row r="721" spans="1:50" x14ac:dyDescent="0.35">
      <c r="A721" s="75">
        <v>39783</v>
      </c>
      <c r="B721">
        <v>88.439670000000007</v>
      </c>
      <c r="C721">
        <v>89.876660000000001</v>
      </c>
      <c r="D721"/>
      <c r="E721">
        <v>90.870699999999999</v>
      </c>
      <c r="F721">
        <v>101.3379</v>
      </c>
      <c r="G721">
        <v>89.156940000000006</v>
      </c>
      <c r="H721"/>
      <c r="I721">
        <v>81.74776</v>
      </c>
      <c r="J721">
        <v>74.702669999999998</v>
      </c>
      <c r="K721">
        <v>95.5</v>
      </c>
      <c r="L721">
        <v>93.272450000000006</v>
      </c>
      <c r="M721">
        <v>90.229860000000002</v>
      </c>
      <c r="N721">
        <v>93.28</v>
      </c>
      <c r="O721">
        <v>96.148269999999997</v>
      </c>
      <c r="P721">
        <v>91.830510000000004</v>
      </c>
      <c r="Q721"/>
      <c r="R721">
        <v>92.607349999999997</v>
      </c>
      <c r="S721">
        <v>93.972520000000003</v>
      </c>
      <c r="T721"/>
      <c r="U721">
        <v>91.346649999999997</v>
      </c>
      <c r="V721">
        <v>88.3</v>
      </c>
      <c r="W721">
        <v>98.787490000000005</v>
      </c>
      <c r="X721">
        <v>81.217129999999997</v>
      </c>
      <c r="Y721"/>
      <c r="Z721"/>
      <c r="AA721">
        <v>100.34650000000001</v>
      </c>
      <c r="AB721">
        <v>79.282420000000002</v>
      </c>
      <c r="AC721">
        <v>89.893709999999999</v>
      </c>
      <c r="AD721">
        <v>91.656970000000001</v>
      </c>
      <c r="AE721">
        <v>100.59690000000001</v>
      </c>
      <c r="AF721">
        <v>88.037260000000003</v>
      </c>
      <c r="AG721">
        <v>91.6511</v>
      </c>
      <c r="AH721">
        <v>88.643469999999994</v>
      </c>
      <c r="AI721">
        <v>96.563239999999993</v>
      </c>
      <c r="AJ721">
        <v>81.718540000000004</v>
      </c>
      <c r="AK721">
        <v>88.487520000000004</v>
      </c>
      <c r="AL721">
        <v>88.851479999999995</v>
      </c>
      <c r="AM721">
        <v>89.849239999999995</v>
      </c>
      <c r="AN721">
        <v>89.67183</v>
      </c>
      <c r="AO721">
        <v>90.675939999999997</v>
      </c>
      <c r="AP721">
        <v>93.589550000000003</v>
      </c>
      <c r="AQ721"/>
      <c r="AR721"/>
      <c r="AS721">
        <v>90.973879999999994</v>
      </c>
      <c r="AT721">
        <v>96.151600000000002</v>
      </c>
      <c r="AU721">
        <v>96.638310000000004</v>
      </c>
      <c r="AV721">
        <v>63.34731</v>
      </c>
      <c r="AW721">
        <v>89.206659999999999</v>
      </c>
      <c r="AX721">
        <v>72.675430000000006</v>
      </c>
    </row>
    <row r="722" spans="1:50" x14ac:dyDescent="0.35">
      <c r="A722" s="75">
        <v>39814</v>
      </c>
      <c r="B722">
        <v>87.937650000000005</v>
      </c>
      <c r="C722">
        <v>89.857230000000001</v>
      </c>
      <c r="D722"/>
      <c r="E722">
        <v>90.369799999999998</v>
      </c>
      <c r="F722">
        <v>100.65389999999999</v>
      </c>
      <c r="G722">
        <v>88.880549999999999</v>
      </c>
      <c r="H722"/>
      <c r="I722">
        <v>82.181030000000007</v>
      </c>
      <c r="J722">
        <v>75.399169999999998</v>
      </c>
      <c r="K722">
        <v>96.2</v>
      </c>
      <c r="L722">
        <v>92.361130000000003</v>
      </c>
      <c r="M722">
        <v>89.921360000000007</v>
      </c>
      <c r="N722">
        <v>92.07</v>
      </c>
      <c r="O722">
        <v>94.471969999999999</v>
      </c>
      <c r="P722">
        <v>91.830510000000004</v>
      </c>
      <c r="Q722"/>
      <c r="R722">
        <v>92.100650000000002</v>
      </c>
      <c r="S722">
        <v>93.555819999999997</v>
      </c>
      <c r="T722"/>
      <c r="U722">
        <v>91.252330000000001</v>
      </c>
      <c r="V722">
        <v>87.8</v>
      </c>
      <c r="W722">
        <v>97.820269999999994</v>
      </c>
      <c r="X722">
        <v>81.517650000000003</v>
      </c>
      <c r="Y722"/>
      <c r="Z722"/>
      <c r="AA722">
        <v>98.578699999999998</v>
      </c>
      <c r="AB722">
        <v>79.477410000000006</v>
      </c>
      <c r="AC722">
        <v>89.590010000000007</v>
      </c>
      <c r="AD722">
        <v>91.676320000000004</v>
      </c>
      <c r="AE722">
        <v>99.895259999999993</v>
      </c>
      <c r="AF722">
        <v>88.037260000000003</v>
      </c>
      <c r="AG722">
        <v>93.261600000000001</v>
      </c>
      <c r="AH722">
        <v>87.775549999999996</v>
      </c>
      <c r="AI722">
        <v>98.517349999999993</v>
      </c>
      <c r="AJ722">
        <v>82.007199999999997</v>
      </c>
      <c r="AK722">
        <v>88.201049999999995</v>
      </c>
      <c r="AL722">
        <v>88.525589999999994</v>
      </c>
      <c r="AM722">
        <v>89.721530000000001</v>
      </c>
      <c r="AN722">
        <v>89.187970000000007</v>
      </c>
      <c r="AO722">
        <v>90.849819999999994</v>
      </c>
      <c r="AP722">
        <v>93.073149999999998</v>
      </c>
      <c r="AQ722"/>
      <c r="AR722"/>
      <c r="AS722">
        <v>91.553650000000005</v>
      </c>
      <c r="AT722">
        <v>94.63158</v>
      </c>
      <c r="AU722">
        <v>95.813950000000006</v>
      </c>
      <c r="AV722">
        <v>63.290120000000002</v>
      </c>
      <c r="AW722">
        <v>89.462180000000004</v>
      </c>
      <c r="AX722">
        <v>73.307569999999998</v>
      </c>
    </row>
    <row r="723" spans="1:50" x14ac:dyDescent="0.35">
      <c r="A723" s="75">
        <v>39845</v>
      </c>
      <c r="B723">
        <v>88.355999999999995</v>
      </c>
      <c r="C723">
        <v>90.498239999999996</v>
      </c>
      <c r="D723"/>
      <c r="E723">
        <v>90.77749</v>
      </c>
      <c r="F723">
        <v>100.9466</v>
      </c>
      <c r="G723">
        <v>87.413179999999997</v>
      </c>
      <c r="H723"/>
      <c r="I723">
        <v>82.998500000000007</v>
      </c>
      <c r="J723">
        <v>76.203059999999994</v>
      </c>
      <c r="K723">
        <v>96.2</v>
      </c>
      <c r="L723">
        <v>93.042540000000002</v>
      </c>
      <c r="M723">
        <v>91.079520000000002</v>
      </c>
      <c r="N723">
        <v>92.52</v>
      </c>
      <c r="O723">
        <v>94.371080000000006</v>
      </c>
      <c r="P723">
        <v>91.660240000000002</v>
      </c>
      <c r="Q723"/>
      <c r="R723">
        <v>91.971819999999994</v>
      </c>
      <c r="S723">
        <v>93.965310000000002</v>
      </c>
      <c r="T723"/>
      <c r="U723">
        <v>91.595699999999994</v>
      </c>
      <c r="V723">
        <v>88.2</v>
      </c>
      <c r="W723">
        <v>96.35172</v>
      </c>
      <c r="X723">
        <v>81.818179999999998</v>
      </c>
      <c r="Y723"/>
      <c r="Z723"/>
      <c r="AA723">
        <v>98.020210000000006</v>
      </c>
      <c r="AB723">
        <v>79.974450000000004</v>
      </c>
      <c r="AC723">
        <v>89.185079999999999</v>
      </c>
      <c r="AD723">
        <v>91.854280000000003</v>
      </c>
      <c r="AE723">
        <v>99.705150000000003</v>
      </c>
      <c r="AF723">
        <v>88.438209999999998</v>
      </c>
      <c r="AG723">
        <v>93.6006</v>
      </c>
      <c r="AH723">
        <v>89.461789999999993</v>
      </c>
      <c r="AI723">
        <v>99.777919999999995</v>
      </c>
      <c r="AJ723">
        <v>82.361729999999994</v>
      </c>
      <c r="AK723">
        <v>88.798659999999998</v>
      </c>
      <c r="AL723">
        <v>89.208420000000004</v>
      </c>
      <c r="AM723">
        <v>90.002359999999996</v>
      </c>
      <c r="AN723">
        <v>89.447360000000003</v>
      </c>
      <c r="AO723">
        <v>91.023690000000002</v>
      </c>
      <c r="AP723">
        <v>92.998980000000003</v>
      </c>
      <c r="AQ723"/>
      <c r="AR723"/>
      <c r="AS723">
        <v>91.573750000000004</v>
      </c>
      <c r="AT723">
        <v>95.051580000000001</v>
      </c>
      <c r="AU723">
        <v>95.602829999999997</v>
      </c>
      <c r="AV723">
        <v>63.053190000000001</v>
      </c>
      <c r="AW723">
        <v>89.860950000000003</v>
      </c>
      <c r="AX723">
        <v>74.084370000000007</v>
      </c>
    </row>
    <row r="724" spans="1:50" x14ac:dyDescent="0.35">
      <c r="A724" s="75">
        <v>39873</v>
      </c>
      <c r="B724">
        <v>88.858019999999996</v>
      </c>
      <c r="C724">
        <v>90.449680000000001</v>
      </c>
      <c r="D724"/>
      <c r="E724">
        <v>90.945930000000004</v>
      </c>
      <c r="F724">
        <v>100.9117</v>
      </c>
      <c r="G724">
        <v>87.788759999999996</v>
      </c>
      <c r="H724"/>
      <c r="I724">
        <v>83.358199999999997</v>
      </c>
      <c r="J724">
        <v>76.102170000000001</v>
      </c>
      <c r="K724">
        <v>96.3</v>
      </c>
      <c r="L724">
        <v>93.013300000000001</v>
      </c>
      <c r="M724">
        <v>91.554050000000004</v>
      </c>
      <c r="N724">
        <v>93.19</v>
      </c>
      <c r="O724">
        <v>94.916529999999995</v>
      </c>
      <c r="P724">
        <v>91.376459999999994</v>
      </c>
      <c r="Q724"/>
      <c r="R724">
        <v>92.083470000000005</v>
      </c>
      <c r="S724">
        <v>94.394030000000001</v>
      </c>
      <c r="T724"/>
      <c r="U724">
        <v>91.91028</v>
      </c>
      <c r="V724">
        <v>88.5</v>
      </c>
      <c r="W724">
        <v>98.95017</v>
      </c>
      <c r="X724">
        <v>82.193839999999994</v>
      </c>
      <c r="Y724"/>
      <c r="Z724"/>
      <c r="AA724">
        <v>98.016750000000002</v>
      </c>
      <c r="AB724">
        <v>79.627200000000002</v>
      </c>
      <c r="AC724">
        <v>89.590010000000007</v>
      </c>
      <c r="AD724">
        <v>91.940880000000007</v>
      </c>
      <c r="AE724">
        <v>100.00239999999999</v>
      </c>
      <c r="AF724">
        <v>88.837050000000005</v>
      </c>
      <c r="AG724">
        <v>93.801599999999993</v>
      </c>
      <c r="AH724">
        <v>89.379140000000007</v>
      </c>
      <c r="AI724">
        <v>100.5449</v>
      </c>
      <c r="AJ724">
        <v>82.748930000000001</v>
      </c>
      <c r="AK724">
        <v>89.935649999999995</v>
      </c>
      <c r="AL724">
        <v>89.432339999999996</v>
      </c>
      <c r="AM724">
        <v>90.341009999999997</v>
      </c>
      <c r="AN724">
        <v>89.756439999999998</v>
      </c>
      <c r="AO724">
        <v>91.371440000000007</v>
      </c>
      <c r="AP724">
        <v>94.250780000000006</v>
      </c>
      <c r="AQ724"/>
      <c r="AR724"/>
      <c r="AS724">
        <v>91.390990000000002</v>
      </c>
      <c r="AT724">
        <v>96.371600000000001</v>
      </c>
      <c r="AU724">
        <v>95.897729999999996</v>
      </c>
      <c r="AV724">
        <v>63.049100000000003</v>
      </c>
      <c r="AW724">
        <v>90.254760000000005</v>
      </c>
      <c r="AX724">
        <v>75.109660000000005</v>
      </c>
    </row>
    <row r="725" spans="1:50" x14ac:dyDescent="0.35">
      <c r="A725" s="75">
        <v>39904</v>
      </c>
      <c r="B725">
        <v>89.025369999999995</v>
      </c>
      <c r="C725">
        <v>90.595359999999999</v>
      </c>
      <c r="D725"/>
      <c r="E725">
        <v>91.157470000000004</v>
      </c>
      <c r="F725">
        <v>101.8963</v>
      </c>
      <c r="G725">
        <v>87.701419999999999</v>
      </c>
      <c r="H725"/>
      <c r="I725">
        <v>83.587090000000003</v>
      </c>
      <c r="J725">
        <v>76.250799999999998</v>
      </c>
      <c r="K725">
        <v>96.3</v>
      </c>
      <c r="L725">
        <v>93.103859999999997</v>
      </c>
      <c r="M725">
        <v>91.542810000000003</v>
      </c>
      <c r="N725">
        <v>93.64</v>
      </c>
      <c r="O725">
        <v>96.298559999999995</v>
      </c>
      <c r="P725">
        <v>91.035929999999993</v>
      </c>
      <c r="Q725"/>
      <c r="R725">
        <v>91.937470000000005</v>
      </c>
      <c r="S725">
        <v>94.576700000000002</v>
      </c>
      <c r="T725"/>
      <c r="U725">
        <v>92.112530000000007</v>
      </c>
      <c r="V725">
        <v>88.8</v>
      </c>
      <c r="W725">
        <v>98.993440000000007</v>
      </c>
      <c r="X725">
        <v>82.945149999999998</v>
      </c>
      <c r="Y725"/>
      <c r="Z725"/>
      <c r="AA725">
        <v>97.049840000000003</v>
      </c>
      <c r="AB725">
        <v>79.827849999999998</v>
      </c>
      <c r="AC725">
        <v>90.197400000000002</v>
      </c>
      <c r="AD725">
        <v>92.230289999999997</v>
      </c>
      <c r="AE725">
        <v>100.15219999999999</v>
      </c>
      <c r="AF725">
        <v>88.756649999999993</v>
      </c>
      <c r="AG725">
        <v>93.883099999999999</v>
      </c>
      <c r="AH725">
        <v>89.602310000000003</v>
      </c>
      <c r="AI725">
        <v>100.5625</v>
      </c>
      <c r="AJ725">
        <v>83.021270000000001</v>
      </c>
      <c r="AK725">
        <v>90.172250000000005</v>
      </c>
      <c r="AL725">
        <v>89.776439999999994</v>
      </c>
      <c r="AM725">
        <v>90.587940000000003</v>
      </c>
      <c r="AN725">
        <v>90.078659999999999</v>
      </c>
      <c r="AO725">
        <v>91.719189999999998</v>
      </c>
      <c r="AP725">
        <v>94.532259999999994</v>
      </c>
      <c r="AQ725"/>
      <c r="AR725"/>
      <c r="AS725">
        <v>91.499269999999996</v>
      </c>
      <c r="AT725">
        <v>96.471609999999998</v>
      </c>
      <c r="AU725">
        <v>96.088740000000001</v>
      </c>
      <c r="AV725">
        <v>63.424930000000003</v>
      </c>
      <c r="AW725">
        <v>90.462810000000005</v>
      </c>
      <c r="AX725">
        <v>75.451210000000003</v>
      </c>
    </row>
    <row r="726" spans="1:50" x14ac:dyDescent="0.35">
      <c r="A726" s="75">
        <v>39934</v>
      </c>
      <c r="B726">
        <v>89.276380000000003</v>
      </c>
      <c r="C726">
        <v>90.673060000000007</v>
      </c>
      <c r="D726"/>
      <c r="E726">
        <v>91.41319</v>
      </c>
      <c r="F726">
        <v>101.9071</v>
      </c>
      <c r="G726">
        <v>87.369510000000005</v>
      </c>
      <c r="H726"/>
      <c r="I726">
        <v>83.775109999999998</v>
      </c>
      <c r="J726">
        <v>76.404849999999996</v>
      </c>
      <c r="K726">
        <v>96.4</v>
      </c>
      <c r="L726">
        <v>92.980879999999999</v>
      </c>
      <c r="M726">
        <v>91.793660000000003</v>
      </c>
      <c r="N726">
        <v>93.67</v>
      </c>
      <c r="O726">
        <v>96.256519999999995</v>
      </c>
      <c r="P726">
        <v>91.092690000000005</v>
      </c>
      <c r="Q726"/>
      <c r="R726">
        <v>91.774289999999993</v>
      </c>
      <c r="S726">
        <v>94.754540000000006</v>
      </c>
      <c r="T726"/>
      <c r="U726">
        <v>92.143460000000005</v>
      </c>
      <c r="V726">
        <v>89.1</v>
      </c>
      <c r="W726">
        <v>99.134519999999995</v>
      </c>
      <c r="X726">
        <v>83.320809999999994</v>
      </c>
      <c r="Y726"/>
      <c r="Z726"/>
      <c r="AA726">
        <v>96.694950000000006</v>
      </c>
      <c r="AB726">
        <v>80.670100000000005</v>
      </c>
      <c r="AC726">
        <v>90.703559999999996</v>
      </c>
      <c r="AD726">
        <v>92.437370000000001</v>
      </c>
      <c r="AE726">
        <v>100.0488</v>
      </c>
      <c r="AF726">
        <v>89.077200000000005</v>
      </c>
      <c r="AG726">
        <v>93.644800000000004</v>
      </c>
      <c r="AH726">
        <v>89.651910000000001</v>
      </c>
      <c r="AI726">
        <v>100.13720000000001</v>
      </c>
      <c r="AJ726">
        <v>83.034790000000001</v>
      </c>
      <c r="AK726">
        <v>90.249380000000002</v>
      </c>
      <c r="AL726">
        <v>89.916929999999994</v>
      </c>
      <c r="AM726">
        <v>90.660939999999997</v>
      </c>
      <c r="AN726">
        <v>90.253389999999996</v>
      </c>
      <c r="AO726">
        <v>91.98</v>
      </c>
      <c r="AP726">
        <v>94.343950000000007</v>
      </c>
      <c r="AQ726"/>
      <c r="AR726"/>
      <c r="AS726">
        <v>91.439769999999996</v>
      </c>
      <c r="AT726">
        <v>97.19162</v>
      </c>
      <c r="AU726">
        <v>95.689959999999999</v>
      </c>
      <c r="AV726">
        <v>64.421689999999998</v>
      </c>
      <c r="AW726">
        <v>90.456620000000001</v>
      </c>
      <c r="AX726">
        <v>75.660769999999999</v>
      </c>
    </row>
    <row r="727" spans="1:50" x14ac:dyDescent="0.35">
      <c r="A727" s="75">
        <v>39965</v>
      </c>
      <c r="B727">
        <v>89.025369999999995</v>
      </c>
      <c r="C727">
        <v>90.8673</v>
      </c>
      <c r="D727"/>
      <c r="E727">
        <v>91.375510000000006</v>
      </c>
      <c r="F727">
        <v>101.601</v>
      </c>
      <c r="G727">
        <v>87.378240000000005</v>
      </c>
      <c r="H727"/>
      <c r="I727">
        <v>83.95496</v>
      </c>
      <c r="J727">
        <v>76.648949999999999</v>
      </c>
      <c r="K727">
        <v>96.3</v>
      </c>
      <c r="L727">
        <v>93.037509999999997</v>
      </c>
      <c r="M727">
        <v>91.768619999999999</v>
      </c>
      <c r="N727">
        <v>93.63</v>
      </c>
      <c r="O727">
        <v>96.172449999999998</v>
      </c>
      <c r="P727">
        <v>90.979169999999996</v>
      </c>
      <c r="Q727"/>
      <c r="R727">
        <v>91.757109999999997</v>
      </c>
      <c r="S727">
        <v>94.758560000000003</v>
      </c>
      <c r="T727"/>
      <c r="U727">
        <v>92.169210000000007</v>
      </c>
      <c r="V727">
        <v>89.2</v>
      </c>
      <c r="W727">
        <v>99.111310000000003</v>
      </c>
      <c r="X727">
        <v>83.621340000000004</v>
      </c>
      <c r="Y727"/>
      <c r="Z727"/>
      <c r="AA727">
        <v>96.190150000000003</v>
      </c>
      <c r="AB727">
        <v>81.540040000000005</v>
      </c>
      <c r="AC727">
        <v>91.513409999999993</v>
      </c>
      <c r="AD727">
        <v>92.352980000000002</v>
      </c>
      <c r="AE727">
        <v>99.906040000000004</v>
      </c>
      <c r="AF727">
        <v>89.236949999999993</v>
      </c>
      <c r="AG727">
        <v>93.463800000000006</v>
      </c>
      <c r="AH727">
        <v>89.833759999999998</v>
      </c>
      <c r="AI727">
        <v>99.584710000000001</v>
      </c>
      <c r="AJ727">
        <v>83.229730000000004</v>
      </c>
      <c r="AK727">
        <v>89.714780000000005</v>
      </c>
      <c r="AL727">
        <v>90.239639999999994</v>
      </c>
      <c r="AM727">
        <v>90.705370000000002</v>
      </c>
      <c r="AN727">
        <v>90.286010000000005</v>
      </c>
      <c r="AO727">
        <v>92.240809999999996</v>
      </c>
      <c r="AP727">
        <v>94.428899999999999</v>
      </c>
      <c r="AQ727"/>
      <c r="AR727"/>
      <c r="AS727">
        <v>91.801240000000007</v>
      </c>
      <c r="AT727">
        <v>97.721630000000005</v>
      </c>
      <c r="AU727">
        <v>95.669849999999997</v>
      </c>
      <c r="AV727">
        <v>64.82611</v>
      </c>
      <c r="AW727">
        <v>90.520610000000005</v>
      </c>
      <c r="AX727">
        <v>75.938609999999997</v>
      </c>
    </row>
    <row r="728" spans="1:50" x14ac:dyDescent="0.35">
      <c r="A728" s="75">
        <v>39995</v>
      </c>
      <c r="B728">
        <v>88.774360000000001</v>
      </c>
      <c r="C728">
        <v>91.003270000000001</v>
      </c>
      <c r="D728"/>
      <c r="E728">
        <v>91.370930000000001</v>
      </c>
      <c r="F728">
        <v>100.99769999999999</v>
      </c>
      <c r="G728">
        <v>87.002660000000006</v>
      </c>
      <c r="H728"/>
      <c r="I728">
        <v>84.102099999999993</v>
      </c>
      <c r="J728">
        <v>77.129549999999995</v>
      </c>
      <c r="K728">
        <v>96.5</v>
      </c>
      <c r="L728">
        <v>93.493459999999999</v>
      </c>
      <c r="M728">
        <v>91.480350000000001</v>
      </c>
      <c r="N728">
        <v>93.1</v>
      </c>
      <c r="O728">
        <v>94.827200000000005</v>
      </c>
      <c r="P728">
        <v>91.319710000000001</v>
      </c>
      <c r="Q728"/>
      <c r="R728">
        <v>91.233230000000006</v>
      </c>
      <c r="S728">
        <v>94.44359</v>
      </c>
      <c r="T728"/>
      <c r="U728">
        <v>92.189509999999999</v>
      </c>
      <c r="V728">
        <v>89.2</v>
      </c>
      <c r="W728">
        <v>98.166560000000004</v>
      </c>
      <c r="X728">
        <v>85.499629999999996</v>
      </c>
      <c r="Y728"/>
      <c r="Z728"/>
      <c r="AA728">
        <v>95.544290000000004</v>
      </c>
      <c r="AB728">
        <v>81.407749999999993</v>
      </c>
      <c r="AC728">
        <v>92.323269999999994</v>
      </c>
      <c r="AD728">
        <v>92.543430000000001</v>
      </c>
      <c r="AE728">
        <v>99.677499999999995</v>
      </c>
      <c r="AF728">
        <v>89.317340000000002</v>
      </c>
      <c r="AG728">
        <v>93.291200000000003</v>
      </c>
      <c r="AH728">
        <v>88.841849999999994</v>
      </c>
      <c r="AI728">
        <v>99.449789999999993</v>
      </c>
      <c r="AJ728">
        <v>83.495930000000001</v>
      </c>
      <c r="AK728">
        <v>89.649479999999997</v>
      </c>
      <c r="AL728">
        <v>89.687929999999994</v>
      </c>
      <c r="AM728">
        <v>90.720849999999999</v>
      </c>
      <c r="AN728">
        <v>90.253200000000007</v>
      </c>
      <c r="AO728">
        <v>92.588570000000004</v>
      </c>
      <c r="AP728">
        <v>94.113609999999994</v>
      </c>
      <c r="AQ728"/>
      <c r="AR728"/>
      <c r="AS728">
        <v>92.064480000000003</v>
      </c>
      <c r="AT728">
        <v>96.461609999999993</v>
      </c>
      <c r="AU728">
        <v>95.395070000000004</v>
      </c>
      <c r="AV728">
        <v>65.336749999999995</v>
      </c>
      <c r="AW728">
        <v>90.548259999999999</v>
      </c>
      <c r="AX728">
        <v>76.489739999999998</v>
      </c>
    </row>
    <row r="729" spans="1:50" x14ac:dyDescent="0.35">
      <c r="A729" s="75">
        <v>40026</v>
      </c>
      <c r="B729">
        <v>89.192710000000005</v>
      </c>
      <c r="C729">
        <v>91.012990000000002</v>
      </c>
      <c r="D729"/>
      <c r="E729">
        <v>91.227199999999996</v>
      </c>
      <c r="F729">
        <v>100.97620000000001</v>
      </c>
      <c r="G729">
        <v>86.915319999999994</v>
      </c>
      <c r="H729"/>
      <c r="I729">
        <v>84.208370000000002</v>
      </c>
      <c r="J729">
        <v>77.270579999999995</v>
      </c>
      <c r="K729">
        <v>96.4</v>
      </c>
      <c r="L729">
        <v>93.578770000000006</v>
      </c>
      <c r="M729">
        <v>91.619619999999998</v>
      </c>
      <c r="N729">
        <v>93.42</v>
      </c>
      <c r="O729">
        <v>94.888149999999996</v>
      </c>
      <c r="P729">
        <v>91.546729999999997</v>
      </c>
      <c r="Q729"/>
      <c r="R729">
        <v>91.619709999999998</v>
      </c>
      <c r="S729">
        <v>95.053669999999997</v>
      </c>
      <c r="T729"/>
      <c r="U729">
        <v>92.350399999999993</v>
      </c>
      <c r="V729">
        <v>89.6</v>
      </c>
      <c r="W729">
        <v>97.209509999999995</v>
      </c>
      <c r="X729">
        <v>85.725020000000001</v>
      </c>
      <c r="Y729"/>
      <c r="Z729"/>
      <c r="AA729">
        <v>95.899600000000007</v>
      </c>
      <c r="AB729">
        <v>81.548190000000005</v>
      </c>
      <c r="AC729">
        <v>92.626959999999997</v>
      </c>
      <c r="AD729">
        <v>92.886020000000002</v>
      </c>
      <c r="AE729">
        <v>99.784000000000006</v>
      </c>
      <c r="AF729">
        <v>89.396690000000007</v>
      </c>
      <c r="AG729">
        <v>93.220799999999997</v>
      </c>
      <c r="AH729">
        <v>90.164389999999997</v>
      </c>
      <c r="AI729">
        <v>98.739500000000007</v>
      </c>
      <c r="AJ729">
        <v>83.679940000000002</v>
      </c>
      <c r="AK729">
        <v>89.915719999999993</v>
      </c>
      <c r="AL729">
        <v>89.502880000000005</v>
      </c>
      <c r="AM729">
        <v>90.849199999999996</v>
      </c>
      <c r="AN729">
        <v>90.442149999999998</v>
      </c>
      <c r="AO729">
        <v>92.588570000000004</v>
      </c>
      <c r="AP729">
        <v>93.659409999999994</v>
      </c>
      <c r="AQ729"/>
      <c r="AR729"/>
      <c r="AS729">
        <v>92.171750000000003</v>
      </c>
      <c r="AT729">
        <v>96.64161</v>
      </c>
      <c r="AU729">
        <v>95.542509999999993</v>
      </c>
      <c r="AV729">
        <v>65.271389999999997</v>
      </c>
      <c r="AW729">
        <v>90.649810000000002</v>
      </c>
      <c r="AX729">
        <v>76.760720000000006</v>
      </c>
    </row>
    <row r="730" spans="1:50" x14ac:dyDescent="0.35">
      <c r="A730" s="75">
        <v>40057</v>
      </c>
      <c r="B730">
        <v>89.360050000000001</v>
      </c>
      <c r="C730">
        <v>91.071259999999995</v>
      </c>
      <c r="D730"/>
      <c r="E730">
        <v>91.56026</v>
      </c>
      <c r="F730">
        <v>101.0737</v>
      </c>
      <c r="G730">
        <v>87.168620000000004</v>
      </c>
      <c r="H730"/>
      <c r="I730">
        <v>84.257419999999996</v>
      </c>
      <c r="J730">
        <v>77.459360000000004</v>
      </c>
      <c r="K730">
        <v>96</v>
      </c>
      <c r="L730">
        <v>93.466939999999994</v>
      </c>
      <c r="M730">
        <v>92.069010000000006</v>
      </c>
      <c r="N730">
        <v>93.61</v>
      </c>
      <c r="O730">
        <v>94.83981</v>
      </c>
      <c r="P730">
        <v>91.716999999999999</v>
      </c>
      <c r="Q730"/>
      <c r="R730">
        <v>91.971819999999994</v>
      </c>
      <c r="S730">
        <v>94.726479999999995</v>
      </c>
      <c r="T730"/>
      <c r="U730">
        <v>92.449709999999996</v>
      </c>
      <c r="V730">
        <v>89.6</v>
      </c>
      <c r="W730">
        <v>99.718990000000005</v>
      </c>
      <c r="X730">
        <v>85.725020000000001</v>
      </c>
      <c r="Y730"/>
      <c r="Z730"/>
      <c r="AA730">
        <v>95.728700000000003</v>
      </c>
      <c r="AB730">
        <v>82.297889999999995</v>
      </c>
      <c r="AC730">
        <v>92.525729999999996</v>
      </c>
      <c r="AD730">
        <v>92.671379999999999</v>
      </c>
      <c r="AE730">
        <v>99.819689999999994</v>
      </c>
      <c r="AF730">
        <v>89.556439999999995</v>
      </c>
      <c r="AG730">
        <v>94.227099999999993</v>
      </c>
      <c r="AH730">
        <v>90.172659999999993</v>
      </c>
      <c r="AI730">
        <v>98.955060000000003</v>
      </c>
      <c r="AJ730">
        <v>83.993970000000004</v>
      </c>
      <c r="AK730">
        <v>90.693010000000001</v>
      </c>
      <c r="AL730">
        <v>90.446359999999999</v>
      </c>
      <c r="AM730">
        <v>90.998949999999994</v>
      </c>
      <c r="AN730">
        <v>90.515339999999995</v>
      </c>
      <c r="AO730">
        <v>92.762439999999998</v>
      </c>
      <c r="AP730">
        <v>94.082729999999998</v>
      </c>
      <c r="AQ730"/>
      <c r="AR730"/>
      <c r="AS730">
        <v>92.208539999999999</v>
      </c>
      <c r="AT730">
        <v>96.281599999999997</v>
      </c>
      <c r="AU730">
        <v>96.376930000000002</v>
      </c>
      <c r="AV730">
        <v>65.577770000000001</v>
      </c>
      <c r="AW730">
        <v>90.873140000000006</v>
      </c>
      <c r="AX730">
        <v>76.991140000000001</v>
      </c>
    </row>
    <row r="731" spans="1:50" x14ac:dyDescent="0.35">
      <c r="A731" s="75">
        <v>40087</v>
      </c>
      <c r="B731">
        <v>89.443719999999999</v>
      </c>
      <c r="C731">
        <v>91.119820000000004</v>
      </c>
      <c r="D731"/>
      <c r="E731">
        <v>91.740600000000001</v>
      </c>
      <c r="F731">
        <v>101.9572</v>
      </c>
      <c r="G731">
        <v>87.028869999999998</v>
      </c>
      <c r="H731"/>
      <c r="I731">
        <v>84.273769999999999</v>
      </c>
      <c r="J731">
        <v>77.703450000000004</v>
      </c>
      <c r="K731">
        <v>96.1</v>
      </c>
      <c r="L731">
        <v>93.479259999999996</v>
      </c>
      <c r="M731">
        <v>92.156139999999994</v>
      </c>
      <c r="N731">
        <v>93.93</v>
      </c>
      <c r="O731">
        <v>95.865560000000002</v>
      </c>
      <c r="P731">
        <v>91.660240000000002</v>
      </c>
      <c r="Q731"/>
      <c r="R731">
        <v>92.298169999999999</v>
      </c>
      <c r="S731">
        <v>94.713890000000006</v>
      </c>
      <c r="T731"/>
      <c r="U731">
        <v>92.589759999999998</v>
      </c>
      <c r="V731">
        <v>89.6</v>
      </c>
      <c r="W731">
        <v>100.116</v>
      </c>
      <c r="X731">
        <v>85.950419999999994</v>
      </c>
      <c r="Y731"/>
      <c r="Z731"/>
      <c r="AA731">
        <v>95.738619999999997</v>
      </c>
      <c r="AB731">
        <v>83.399100000000004</v>
      </c>
      <c r="AC731">
        <v>92.728200000000001</v>
      </c>
      <c r="AD731">
        <v>92.862499999999997</v>
      </c>
      <c r="AE731">
        <v>99.667180000000002</v>
      </c>
      <c r="AF731">
        <v>89.556439999999995</v>
      </c>
      <c r="AG731">
        <v>94.634</v>
      </c>
      <c r="AH731">
        <v>90.213989999999995</v>
      </c>
      <c r="AI731">
        <v>98.842339999999993</v>
      </c>
      <c r="AJ731">
        <v>84.24136</v>
      </c>
      <c r="AK731">
        <v>90.740319999999997</v>
      </c>
      <c r="AL731">
        <v>90.444860000000006</v>
      </c>
      <c r="AM731">
        <v>91.215289999999996</v>
      </c>
      <c r="AN731">
        <v>90.796139999999994</v>
      </c>
      <c r="AO731">
        <v>92.936319999999995</v>
      </c>
      <c r="AP731">
        <v>94.245059999999995</v>
      </c>
      <c r="AQ731"/>
      <c r="AR731"/>
      <c r="AS731">
        <v>92.50891</v>
      </c>
      <c r="AT731">
        <v>96.741619999999998</v>
      </c>
      <c r="AU731">
        <v>96.604799999999997</v>
      </c>
      <c r="AV731">
        <v>66.905420000000007</v>
      </c>
      <c r="AW731">
        <v>91.118350000000007</v>
      </c>
      <c r="AX731">
        <v>77.010279999999995</v>
      </c>
    </row>
    <row r="732" spans="1:50" x14ac:dyDescent="0.35">
      <c r="A732" s="75">
        <v>40118</v>
      </c>
      <c r="B732">
        <v>89.276380000000003</v>
      </c>
      <c r="C732">
        <v>91.090680000000006</v>
      </c>
      <c r="D732"/>
      <c r="E732">
        <v>91.795310000000001</v>
      </c>
      <c r="F732">
        <v>102.03019999999999</v>
      </c>
      <c r="G732">
        <v>86.819239999999994</v>
      </c>
      <c r="H732"/>
      <c r="I732">
        <v>84.322819999999993</v>
      </c>
      <c r="J732">
        <v>77.708879999999994</v>
      </c>
      <c r="K732">
        <v>96</v>
      </c>
      <c r="L732">
        <v>93.239429999999999</v>
      </c>
      <c r="M732">
        <v>91.996690000000001</v>
      </c>
      <c r="N732">
        <v>93.85</v>
      </c>
      <c r="O732">
        <v>96.314319999999995</v>
      </c>
      <c r="P732">
        <v>91.262950000000004</v>
      </c>
      <c r="Q732"/>
      <c r="R732">
        <v>91.989000000000004</v>
      </c>
      <c r="S732">
        <v>94.703069999999997</v>
      </c>
      <c r="T732"/>
      <c r="U732">
        <v>92.490470000000002</v>
      </c>
      <c r="V732">
        <v>89.7</v>
      </c>
      <c r="W732">
        <v>100.5085</v>
      </c>
      <c r="X732">
        <v>86.025540000000007</v>
      </c>
      <c r="Y732"/>
      <c r="Z732"/>
      <c r="AA732">
        <v>95.625399999999999</v>
      </c>
      <c r="AB732">
        <v>83.933400000000006</v>
      </c>
      <c r="AC732">
        <v>92.829419999999999</v>
      </c>
      <c r="AD732">
        <v>92.741150000000005</v>
      </c>
      <c r="AE732">
        <v>99.670370000000005</v>
      </c>
      <c r="AF732">
        <v>89.795529999999999</v>
      </c>
      <c r="AG732">
        <v>94.652699999999996</v>
      </c>
      <c r="AH732">
        <v>90.304919999999996</v>
      </c>
      <c r="AI732">
        <v>98.09648</v>
      </c>
      <c r="AJ732">
        <v>84.468329999999995</v>
      </c>
      <c r="AK732">
        <v>90.555539999999993</v>
      </c>
      <c r="AL732">
        <v>90.448589999999996</v>
      </c>
      <c r="AM732">
        <v>91.187439999999995</v>
      </c>
      <c r="AN732">
        <v>90.827709999999996</v>
      </c>
      <c r="AO732">
        <v>92.936319999999995</v>
      </c>
      <c r="AP732">
        <v>94.31559</v>
      </c>
      <c r="AQ732"/>
      <c r="AR732"/>
      <c r="AS732">
        <v>92.612489999999994</v>
      </c>
      <c r="AT732">
        <v>97.221620000000001</v>
      </c>
      <c r="AU732">
        <v>96.450649999999996</v>
      </c>
      <c r="AV732">
        <v>67.407880000000006</v>
      </c>
      <c r="AW732">
        <v>90.975110000000001</v>
      </c>
      <c r="AX732">
        <v>77.025270000000006</v>
      </c>
    </row>
    <row r="733" spans="1:50" x14ac:dyDescent="0.35">
      <c r="A733" s="75">
        <v>40148</v>
      </c>
      <c r="B733">
        <v>89.694730000000007</v>
      </c>
      <c r="C733">
        <v>91.304339999999996</v>
      </c>
      <c r="D733"/>
      <c r="E733">
        <v>91.547610000000006</v>
      </c>
      <c r="F733">
        <v>101.8807</v>
      </c>
      <c r="G733">
        <v>86.662030000000001</v>
      </c>
      <c r="H733"/>
      <c r="I733">
        <v>84.437269999999998</v>
      </c>
      <c r="J733">
        <v>78.245900000000006</v>
      </c>
      <c r="K733">
        <v>95.8</v>
      </c>
      <c r="L733">
        <v>94.217799999999997</v>
      </c>
      <c r="M733">
        <v>91.885000000000005</v>
      </c>
      <c r="N733">
        <v>94.29</v>
      </c>
      <c r="O733">
        <v>96.330089999999998</v>
      </c>
      <c r="P733">
        <v>91.206199999999995</v>
      </c>
      <c r="Q733"/>
      <c r="R733">
        <v>92.100650000000002</v>
      </c>
      <c r="S733">
        <v>95.082729999999998</v>
      </c>
      <c r="T733"/>
      <c r="U733">
        <v>92.517129999999995</v>
      </c>
      <c r="V733">
        <v>90</v>
      </c>
      <c r="W733">
        <v>101.00149999999999</v>
      </c>
      <c r="X733">
        <v>86.025540000000007</v>
      </c>
      <c r="Y733"/>
      <c r="Z733"/>
      <c r="AA733">
        <v>95.091650000000001</v>
      </c>
      <c r="AB733">
        <v>84.562970000000007</v>
      </c>
      <c r="AC733">
        <v>92.829419999999999</v>
      </c>
      <c r="AD733">
        <v>93.033199999999994</v>
      </c>
      <c r="AE733">
        <v>99.425629999999998</v>
      </c>
      <c r="AF733">
        <v>89.956339999999997</v>
      </c>
      <c r="AG733">
        <v>94.318700000000007</v>
      </c>
      <c r="AH733">
        <v>90.247060000000005</v>
      </c>
      <c r="AI733">
        <v>97.41507</v>
      </c>
      <c r="AJ733">
        <v>84.869889999999998</v>
      </c>
      <c r="AK733">
        <v>89.854709999999997</v>
      </c>
      <c r="AL733">
        <v>90.733680000000007</v>
      </c>
      <c r="AM733">
        <v>91.217449999999999</v>
      </c>
      <c r="AN733">
        <v>91.078130000000002</v>
      </c>
      <c r="AO733">
        <v>92.762439999999998</v>
      </c>
      <c r="AP733">
        <v>94.460849999999994</v>
      </c>
      <c r="AQ733"/>
      <c r="AR733"/>
      <c r="AS733">
        <v>92.560779999999994</v>
      </c>
      <c r="AT733">
        <v>96.721609999999998</v>
      </c>
      <c r="AU733">
        <v>96.638310000000004</v>
      </c>
      <c r="AV733">
        <v>67.179119999999998</v>
      </c>
      <c r="AW733">
        <v>90.826899999999995</v>
      </c>
      <c r="AX733">
        <v>77.141249999999999</v>
      </c>
    </row>
    <row r="734" spans="1:50" x14ac:dyDescent="0.35">
      <c r="A734" s="75">
        <v>40179</v>
      </c>
      <c r="B734">
        <v>89.025369999999995</v>
      </c>
      <c r="C734">
        <v>91.294629999999998</v>
      </c>
      <c r="D734"/>
      <c r="E734">
        <v>91.51464</v>
      </c>
      <c r="F734">
        <v>101.3056</v>
      </c>
      <c r="G734">
        <v>87.352040000000002</v>
      </c>
      <c r="H734"/>
      <c r="I734">
        <v>85.025859999999994</v>
      </c>
      <c r="J734">
        <v>79.656229999999994</v>
      </c>
      <c r="K734">
        <v>96.4</v>
      </c>
      <c r="L734">
        <v>93.095929999999996</v>
      </c>
      <c r="M734">
        <v>91.679079999999999</v>
      </c>
      <c r="N734">
        <v>92.79</v>
      </c>
      <c r="O734">
        <v>94.496139999999997</v>
      </c>
      <c r="P734">
        <v>90.808909999999997</v>
      </c>
      <c r="Q734"/>
      <c r="R734">
        <v>92.066289999999995</v>
      </c>
      <c r="S734">
        <v>94.400599999999997</v>
      </c>
      <c r="T734"/>
      <c r="U734">
        <v>92.319739999999996</v>
      </c>
      <c r="V734">
        <v>89.6</v>
      </c>
      <c r="W734">
        <v>99.540239999999997</v>
      </c>
      <c r="X734">
        <v>86.476330000000004</v>
      </c>
      <c r="Y734"/>
      <c r="Z734"/>
      <c r="AA734">
        <v>94.12912</v>
      </c>
      <c r="AB734">
        <v>83.685360000000003</v>
      </c>
      <c r="AC734">
        <v>92.222040000000007</v>
      </c>
      <c r="AD734">
        <v>93.132080000000002</v>
      </c>
      <c r="AE734">
        <v>99.029110000000003</v>
      </c>
      <c r="AF734">
        <v>90.179559999999995</v>
      </c>
      <c r="AG734">
        <v>94.063999999999993</v>
      </c>
      <c r="AH734">
        <v>89.180750000000003</v>
      </c>
      <c r="AI734">
        <v>96.779579999999996</v>
      </c>
      <c r="AJ734">
        <v>85.656909999999996</v>
      </c>
      <c r="AK734">
        <v>89.810010000000005</v>
      </c>
      <c r="AL734">
        <v>90.343209999999999</v>
      </c>
      <c r="AM734">
        <v>91.077449999999999</v>
      </c>
      <c r="AN734">
        <v>90.606059999999999</v>
      </c>
      <c r="AO734">
        <v>93.023250000000004</v>
      </c>
      <c r="AP734">
        <v>93.502880000000005</v>
      </c>
      <c r="AQ734"/>
      <c r="AR734"/>
      <c r="AS734">
        <v>92.808090000000007</v>
      </c>
      <c r="AT734">
        <v>95.031589999999994</v>
      </c>
      <c r="AU734">
        <v>95.059960000000004</v>
      </c>
      <c r="AV734">
        <v>68.22081</v>
      </c>
      <c r="AW734">
        <v>90.852090000000004</v>
      </c>
      <c r="AX734">
        <v>77.420559999999995</v>
      </c>
    </row>
    <row r="735" spans="1:50" x14ac:dyDescent="0.35">
      <c r="A735" s="75">
        <v>40210</v>
      </c>
      <c r="B735">
        <v>89.360050000000001</v>
      </c>
      <c r="C735">
        <v>91.731679999999997</v>
      </c>
      <c r="D735"/>
      <c r="E735">
        <v>92.127529999999993</v>
      </c>
      <c r="F735">
        <v>101.5171</v>
      </c>
      <c r="G735">
        <v>87.514809999999997</v>
      </c>
      <c r="H735"/>
      <c r="I735">
        <v>85.508160000000004</v>
      </c>
      <c r="J735">
        <v>80.278959999999998</v>
      </c>
      <c r="K735">
        <v>96.4</v>
      </c>
      <c r="L735">
        <v>93.632810000000006</v>
      </c>
      <c r="M735">
        <v>92.854129999999998</v>
      </c>
      <c r="N735">
        <v>93.2</v>
      </c>
      <c r="O735">
        <v>94.380529999999993</v>
      </c>
      <c r="P735">
        <v>90.922420000000002</v>
      </c>
      <c r="Q735"/>
      <c r="R735">
        <v>92.438280000000006</v>
      </c>
      <c r="S735">
        <v>95.064689999999999</v>
      </c>
      <c r="T735"/>
      <c r="U735">
        <v>92.567340000000002</v>
      </c>
      <c r="V735">
        <v>89.9</v>
      </c>
      <c r="W735">
        <v>98.070419999999999</v>
      </c>
      <c r="X735">
        <v>86.776859999999999</v>
      </c>
      <c r="Y735"/>
      <c r="Z735"/>
      <c r="AA735">
        <v>94.746650000000002</v>
      </c>
      <c r="AB735">
        <v>84.71884</v>
      </c>
      <c r="AC735">
        <v>92.019570000000002</v>
      </c>
      <c r="AD735">
        <v>93.199330000000003</v>
      </c>
      <c r="AE735">
        <v>98.944900000000004</v>
      </c>
      <c r="AF735">
        <v>90.361519999999999</v>
      </c>
      <c r="AG735">
        <v>93.642300000000006</v>
      </c>
      <c r="AH735">
        <v>90.610749999999996</v>
      </c>
      <c r="AI735">
        <v>96.336320000000001</v>
      </c>
      <c r="AJ735">
        <v>86.139060000000001</v>
      </c>
      <c r="AK735">
        <v>90.430160000000001</v>
      </c>
      <c r="AL735">
        <v>90.863810000000001</v>
      </c>
      <c r="AM735">
        <v>91.302940000000007</v>
      </c>
      <c r="AN735">
        <v>90.870170000000002</v>
      </c>
      <c r="AO735">
        <v>93.023250000000004</v>
      </c>
      <c r="AP735">
        <v>93.537790000000001</v>
      </c>
      <c r="AQ735"/>
      <c r="AR735"/>
      <c r="AS735">
        <v>92.75891</v>
      </c>
      <c r="AT735">
        <v>95.301590000000004</v>
      </c>
      <c r="AU735">
        <v>95.438630000000003</v>
      </c>
      <c r="AV735">
        <v>68.208560000000006</v>
      </c>
      <c r="AW735">
        <v>91.065089999999998</v>
      </c>
      <c r="AX735">
        <v>77.97636</v>
      </c>
    </row>
    <row r="736" spans="1:50" x14ac:dyDescent="0.35">
      <c r="A736" s="75">
        <v>40238</v>
      </c>
      <c r="B736">
        <v>90.196749999999994</v>
      </c>
      <c r="C736">
        <v>91.624849999999995</v>
      </c>
      <c r="D736"/>
      <c r="E736">
        <v>91.856909999999999</v>
      </c>
      <c r="F736">
        <v>101.40349999999999</v>
      </c>
      <c r="G736">
        <v>87.395449999999997</v>
      </c>
      <c r="H736"/>
      <c r="I736">
        <v>85.606260000000006</v>
      </c>
      <c r="J736">
        <v>80.556690000000003</v>
      </c>
      <c r="K736">
        <v>96.3</v>
      </c>
      <c r="L736">
        <v>93.815569999999994</v>
      </c>
      <c r="M736">
        <v>93.310569999999998</v>
      </c>
      <c r="N736">
        <v>94.23</v>
      </c>
      <c r="O736">
        <v>95.038439999999994</v>
      </c>
      <c r="P736">
        <v>91.433220000000006</v>
      </c>
      <c r="Q736"/>
      <c r="R736">
        <v>92.717259999999996</v>
      </c>
      <c r="S736">
        <v>95.401399999999995</v>
      </c>
      <c r="T736"/>
      <c r="U736">
        <v>92.756969999999995</v>
      </c>
      <c r="V736">
        <v>90.2</v>
      </c>
      <c r="W736">
        <v>101.3259</v>
      </c>
      <c r="X736">
        <v>87.152519999999996</v>
      </c>
      <c r="Y736"/>
      <c r="Z736"/>
      <c r="AA736">
        <v>94.594279999999998</v>
      </c>
      <c r="AB736">
        <v>85.140910000000005</v>
      </c>
      <c r="AC736">
        <v>92.222040000000007</v>
      </c>
      <c r="AD736">
        <v>93.404849999999996</v>
      </c>
      <c r="AE736">
        <v>99.140110000000007</v>
      </c>
      <c r="AF736">
        <v>90.361519999999999</v>
      </c>
      <c r="AG736">
        <v>93.796300000000002</v>
      </c>
      <c r="AH736">
        <v>90.825670000000002</v>
      </c>
      <c r="AI736">
        <v>96.538839999999993</v>
      </c>
      <c r="AJ736">
        <v>86.548869999999994</v>
      </c>
      <c r="AK736">
        <v>91.601200000000006</v>
      </c>
      <c r="AL736">
        <v>91.043559999999999</v>
      </c>
      <c r="AM736">
        <v>91.55386</v>
      </c>
      <c r="AN736">
        <v>91.268810000000002</v>
      </c>
      <c r="AO736">
        <v>93.197130000000001</v>
      </c>
      <c r="AP736">
        <v>94.731260000000006</v>
      </c>
      <c r="AQ736"/>
      <c r="AR736"/>
      <c r="AS736">
        <v>92.740110000000001</v>
      </c>
      <c r="AT736">
        <v>96.451610000000002</v>
      </c>
      <c r="AU736">
        <v>95.850809999999996</v>
      </c>
      <c r="AV736">
        <v>68.612979999999993</v>
      </c>
      <c r="AW736">
        <v>91.253749999999997</v>
      </c>
      <c r="AX736">
        <v>78.791640000000001</v>
      </c>
    </row>
    <row r="737" spans="1:50" x14ac:dyDescent="0.35">
      <c r="A737" s="75">
        <v>40269</v>
      </c>
      <c r="B737">
        <v>90.196749999999994</v>
      </c>
      <c r="C737">
        <v>91.673410000000004</v>
      </c>
      <c r="D737"/>
      <c r="E737">
        <v>92.185370000000006</v>
      </c>
      <c r="F737">
        <v>102.2989</v>
      </c>
      <c r="G737">
        <v>87.579920000000001</v>
      </c>
      <c r="H737"/>
      <c r="I737">
        <v>85.671660000000003</v>
      </c>
      <c r="J737">
        <v>80.571879999999993</v>
      </c>
      <c r="K737">
        <v>96.5</v>
      </c>
      <c r="L737">
        <v>93.717219999999998</v>
      </c>
      <c r="M737">
        <v>93.31062</v>
      </c>
      <c r="N737">
        <v>94.43</v>
      </c>
      <c r="O737">
        <v>96.146169999999998</v>
      </c>
      <c r="P737">
        <v>91.376459999999994</v>
      </c>
      <c r="Q737"/>
      <c r="R737">
        <v>92.903260000000003</v>
      </c>
      <c r="S737">
        <v>95.383369999999999</v>
      </c>
      <c r="T737"/>
      <c r="U737">
        <v>92.796149999999997</v>
      </c>
      <c r="V737">
        <v>90.6</v>
      </c>
      <c r="W737">
        <v>102.3152</v>
      </c>
      <c r="X737">
        <v>87.528180000000006</v>
      </c>
      <c r="Y737"/>
      <c r="Z737"/>
      <c r="AA737">
        <v>94.743290000000002</v>
      </c>
      <c r="AB737">
        <v>85.172160000000005</v>
      </c>
      <c r="AC737">
        <v>92.829419999999999</v>
      </c>
      <c r="AD737">
        <v>93.708380000000005</v>
      </c>
      <c r="AE737">
        <v>98.828100000000006</v>
      </c>
      <c r="AF737">
        <v>90.452500000000001</v>
      </c>
      <c r="AG737">
        <v>93.730900000000005</v>
      </c>
      <c r="AH737">
        <v>90.767809999999997</v>
      </c>
      <c r="AI737">
        <v>96.546009999999995</v>
      </c>
      <c r="AJ737">
        <v>86.578860000000006</v>
      </c>
      <c r="AK737">
        <v>91.852519999999998</v>
      </c>
      <c r="AL737">
        <v>91.330830000000006</v>
      </c>
      <c r="AM737">
        <v>91.686220000000006</v>
      </c>
      <c r="AN737">
        <v>91.563339999999997</v>
      </c>
      <c r="AO737">
        <v>93.371009999999998</v>
      </c>
      <c r="AP737">
        <v>94.922229999999999</v>
      </c>
      <c r="AQ737"/>
      <c r="AR737"/>
      <c r="AS737">
        <v>92.794579999999996</v>
      </c>
      <c r="AT737">
        <v>97.351619999999997</v>
      </c>
      <c r="AU737">
        <v>96.048519999999996</v>
      </c>
      <c r="AV737">
        <v>69.258420000000001</v>
      </c>
      <c r="AW737">
        <v>91.297910000000002</v>
      </c>
      <c r="AX737">
        <v>78.771929999999998</v>
      </c>
    </row>
    <row r="738" spans="1:50" x14ac:dyDescent="0.35">
      <c r="A738" s="75">
        <v>40299</v>
      </c>
      <c r="B738">
        <v>90.364099999999993</v>
      </c>
      <c r="C738">
        <v>91.955060000000003</v>
      </c>
      <c r="D738"/>
      <c r="E738">
        <v>92.340819999999994</v>
      </c>
      <c r="F738">
        <v>102.1918</v>
      </c>
      <c r="G738">
        <v>87.699280000000002</v>
      </c>
      <c r="H738"/>
      <c r="I738">
        <v>85.818809999999999</v>
      </c>
      <c r="J738">
        <v>80.797529999999995</v>
      </c>
      <c r="K738">
        <v>96.7</v>
      </c>
      <c r="L738">
        <v>93.657039999999995</v>
      </c>
      <c r="M738">
        <v>93.320139999999995</v>
      </c>
      <c r="N738">
        <v>94.53</v>
      </c>
      <c r="O738">
        <v>96.364769999999993</v>
      </c>
      <c r="P738">
        <v>91.433220000000006</v>
      </c>
      <c r="Q738"/>
      <c r="R738">
        <v>92.996250000000003</v>
      </c>
      <c r="S738">
        <v>95.457409999999996</v>
      </c>
      <c r="T738"/>
      <c r="U738">
        <v>92.815669999999997</v>
      </c>
      <c r="V738">
        <v>90.8</v>
      </c>
      <c r="W738">
        <v>103.07729999999999</v>
      </c>
      <c r="X738">
        <v>87.603300000000004</v>
      </c>
      <c r="Y738"/>
      <c r="Z738"/>
      <c r="AA738">
        <v>95.121449999999996</v>
      </c>
      <c r="AB738">
        <v>85.751519999999999</v>
      </c>
      <c r="AC738">
        <v>93.234350000000006</v>
      </c>
      <c r="AD738">
        <v>93.706770000000006</v>
      </c>
      <c r="AE738">
        <v>98.771529999999998</v>
      </c>
      <c r="AF738">
        <v>90.634460000000004</v>
      </c>
      <c r="AG738">
        <v>93.580600000000004</v>
      </c>
      <c r="AH738">
        <v>90.825670000000002</v>
      </c>
      <c r="AI738">
        <v>96.264669999999995</v>
      </c>
      <c r="AJ738">
        <v>86.59384</v>
      </c>
      <c r="AK738">
        <v>91.917540000000002</v>
      </c>
      <c r="AL738">
        <v>91.356459999999998</v>
      </c>
      <c r="AM738">
        <v>91.766180000000006</v>
      </c>
      <c r="AN738">
        <v>91.740039999999993</v>
      </c>
      <c r="AO738">
        <v>93.457949999999997</v>
      </c>
      <c r="AP738">
        <v>95.048389999999998</v>
      </c>
      <c r="AQ738"/>
      <c r="AR738"/>
      <c r="AS738">
        <v>92.746899999999997</v>
      </c>
      <c r="AT738">
        <v>97.511629999999997</v>
      </c>
      <c r="AU738">
        <v>96.36018</v>
      </c>
      <c r="AV738">
        <v>70.304199999999994</v>
      </c>
      <c r="AW738">
        <v>91.309060000000002</v>
      </c>
      <c r="AX738">
        <v>78.834209999999999</v>
      </c>
    </row>
    <row r="739" spans="1:50" x14ac:dyDescent="0.35">
      <c r="A739" s="75">
        <v>40330</v>
      </c>
      <c r="B739">
        <v>90.53143</v>
      </c>
      <c r="C739">
        <v>92.032759999999996</v>
      </c>
      <c r="D739"/>
      <c r="E739">
        <v>92.394710000000003</v>
      </c>
      <c r="F739">
        <v>101.82</v>
      </c>
      <c r="G739">
        <v>87.905450000000002</v>
      </c>
      <c r="H739"/>
      <c r="I739">
        <v>85.941429999999997</v>
      </c>
      <c r="J739">
        <v>80.866969999999995</v>
      </c>
      <c r="K739">
        <v>96.6</v>
      </c>
      <c r="L739">
        <v>93.705190000000002</v>
      </c>
      <c r="M739">
        <v>93.237250000000003</v>
      </c>
      <c r="N739">
        <v>94.55</v>
      </c>
      <c r="O739">
        <v>96.445689999999999</v>
      </c>
      <c r="P739">
        <v>92.114289999999997</v>
      </c>
      <c r="Q739"/>
      <c r="R739">
        <v>93.182249999999996</v>
      </c>
      <c r="S739">
        <v>95.537220000000005</v>
      </c>
      <c r="T739"/>
      <c r="U739">
        <v>92.83869</v>
      </c>
      <c r="V739">
        <v>91</v>
      </c>
      <c r="W739">
        <v>103.1176</v>
      </c>
      <c r="X739">
        <v>87.603300000000004</v>
      </c>
      <c r="Y739"/>
      <c r="Z739"/>
      <c r="AA739">
        <v>95.078800000000001</v>
      </c>
      <c r="AB739">
        <v>86.039850000000001</v>
      </c>
      <c r="AC739">
        <v>93.841740000000001</v>
      </c>
      <c r="AD739">
        <v>93.74418</v>
      </c>
      <c r="AE739">
        <v>98.586119999999994</v>
      </c>
      <c r="AF739">
        <v>90.72439</v>
      </c>
      <c r="AG739">
        <v>93.678600000000003</v>
      </c>
      <c r="AH739">
        <v>90.949650000000005</v>
      </c>
      <c r="AI739">
        <v>96.157229999999998</v>
      </c>
      <c r="AJ739">
        <v>86.768540000000002</v>
      </c>
      <c r="AK739">
        <v>91.361789999999999</v>
      </c>
      <c r="AL739">
        <v>91.645399999999995</v>
      </c>
      <c r="AM739">
        <v>91.803120000000007</v>
      </c>
      <c r="AN739">
        <v>91.804659999999998</v>
      </c>
      <c r="AO739">
        <v>93.631820000000005</v>
      </c>
      <c r="AP739">
        <v>95.148349999999994</v>
      </c>
      <c r="AQ739"/>
      <c r="AR739"/>
      <c r="AS739">
        <v>92.834990000000005</v>
      </c>
      <c r="AT739">
        <v>97.881630000000001</v>
      </c>
      <c r="AU739">
        <v>96.397030000000001</v>
      </c>
      <c r="AV739">
        <v>70.463520000000003</v>
      </c>
      <c r="AW739">
        <v>91.33878</v>
      </c>
      <c r="AX739">
        <v>79.021370000000005</v>
      </c>
    </row>
    <row r="740" spans="1:50" x14ac:dyDescent="0.35">
      <c r="A740" s="75">
        <v>40360</v>
      </c>
      <c r="B740">
        <v>90.113079999999997</v>
      </c>
      <c r="C740">
        <v>92.227010000000007</v>
      </c>
      <c r="D740"/>
      <c r="E740">
        <v>92.56335</v>
      </c>
      <c r="F740">
        <v>101.1152</v>
      </c>
      <c r="G740">
        <v>88.448009999999996</v>
      </c>
      <c r="H740"/>
      <c r="I740">
        <v>85.982299999999995</v>
      </c>
      <c r="J740">
        <v>81.162049999999994</v>
      </c>
      <c r="K740">
        <v>96.9</v>
      </c>
      <c r="L740">
        <v>94.050370000000001</v>
      </c>
      <c r="M740">
        <v>92.966930000000005</v>
      </c>
      <c r="N740">
        <v>93.99</v>
      </c>
      <c r="O740">
        <v>95.574439999999996</v>
      </c>
      <c r="P740">
        <v>92.171040000000005</v>
      </c>
      <c r="Q740"/>
      <c r="R740">
        <v>92.345280000000002</v>
      </c>
      <c r="S740">
        <v>95.296660000000003</v>
      </c>
      <c r="T740"/>
      <c r="U740">
        <v>92.825860000000006</v>
      </c>
      <c r="V740">
        <v>90.8</v>
      </c>
      <c r="W740">
        <v>102.3818</v>
      </c>
      <c r="X740">
        <v>87.678439999999995</v>
      </c>
      <c r="Y740"/>
      <c r="Z740"/>
      <c r="AA740">
        <v>95.060130000000001</v>
      </c>
      <c r="AB740">
        <v>85.305850000000007</v>
      </c>
      <c r="AC740">
        <v>94.246669999999995</v>
      </c>
      <c r="AD740">
        <v>94.126339999999999</v>
      </c>
      <c r="AE740">
        <v>98.229389999999995</v>
      </c>
      <c r="AF740">
        <v>90.907409999999999</v>
      </c>
      <c r="AG740">
        <v>93.334100000000007</v>
      </c>
      <c r="AH740">
        <v>90.503299999999996</v>
      </c>
      <c r="AI740">
        <v>95.801100000000005</v>
      </c>
      <c r="AJ740">
        <v>86.974130000000002</v>
      </c>
      <c r="AK740">
        <v>90.897149999999996</v>
      </c>
      <c r="AL740">
        <v>91.070260000000005</v>
      </c>
      <c r="AM740">
        <v>91.77328</v>
      </c>
      <c r="AN740">
        <v>91.685599999999994</v>
      </c>
      <c r="AO740">
        <v>93.718760000000003</v>
      </c>
      <c r="AP740">
        <v>95.262979999999999</v>
      </c>
      <c r="AQ740"/>
      <c r="AR740"/>
      <c r="AS740">
        <v>92.907939999999996</v>
      </c>
      <c r="AT740">
        <v>96.501609999999999</v>
      </c>
      <c r="AU740">
        <v>96.159109999999998</v>
      </c>
      <c r="AV740">
        <v>70.120379999999997</v>
      </c>
      <c r="AW740">
        <v>91.335890000000006</v>
      </c>
      <c r="AX740">
        <v>79.181380000000004</v>
      </c>
    </row>
    <row r="741" spans="1:50" x14ac:dyDescent="0.35">
      <c r="A741" s="75">
        <v>40391</v>
      </c>
      <c r="B741">
        <v>90.280429999999996</v>
      </c>
      <c r="C741">
        <v>92.275570000000002</v>
      </c>
      <c r="D741"/>
      <c r="E741">
        <v>92.56183</v>
      </c>
      <c r="F741">
        <v>101.0729</v>
      </c>
      <c r="G741">
        <v>87.851200000000006</v>
      </c>
      <c r="H741"/>
      <c r="I741">
        <v>86.121269999999996</v>
      </c>
      <c r="J741">
        <v>81.310680000000005</v>
      </c>
      <c r="K741">
        <v>96.8</v>
      </c>
      <c r="L741">
        <v>94.25694</v>
      </c>
      <c r="M741">
        <v>93.426990000000004</v>
      </c>
      <c r="N741">
        <v>94.31</v>
      </c>
      <c r="O741">
        <v>95.843490000000003</v>
      </c>
      <c r="P741">
        <v>92.511570000000006</v>
      </c>
      <c r="Q741"/>
      <c r="R741">
        <v>92.903260000000003</v>
      </c>
      <c r="S741">
        <v>95.762439999999998</v>
      </c>
      <c r="T741"/>
      <c r="U741">
        <v>92.991950000000003</v>
      </c>
      <c r="V741">
        <v>91.3</v>
      </c>
      <c r="W741">
        <v>101.232</v>
      </c>
      <c r="X741">
        <v>87.753569999999996</v>
      </c>
      <c r="Y741"/>
      <c r="Z741"/>
      <c r="AA741">
        <v>95.979010000000002</v>
      </c>
      <c r="AB741">
        <v>85.443309999999997</v>
      </c>
      <c r="AC741">
        <v>94.75282</v>
      </c>
      <c r="AD741">
        <v>94.432609999999997</v>
      </c>
      <c r="AE741">
        <v>98.191879999999998</v>
      </c>
      <c r="AF741">
        <v>91.089370000000002</v>
      </c>
      <c r="AG741">
        <v>93.118200000000002</v>
      </c>
      <c r="AH741">
        <v>91.71011</v>
      </c>
      <c r="AI741">
        <v>95.464849999999998</v>
      </c>
      <c r="AJ741">
        <v>87.096829999999997</v>
      </c>
      <c r="AK741">
        <v>91.069249999999997</v>
      </c>
      <c r="AL741">
        <v>90.976519999999994</v>
      </c>
      <c r="AM741">
        <v>91.896039999999999</v>
      </c>
      <c r="AN741">
        <v>91.866219999999998</v>
      </c>
      <c r="AO741">
        <v>93.631820000000005</v>
      </c>
      <c r="AP741">
        <v>94.889049999999997</v>
      </c>
      <c r="AQ741"/>
      <c r="AR741"/>
      <c r="AS741">
        <v>92.95429</v>
      </c>
      <c r="AT741">
        <v>97.081620000000001</v>
      </c>
      <c r="AU741">
        <v>96.172520000000006</v>
      </c>
      <c r="AV741">
        <v>69.695530000000005</v>
      </c>
      <c r="AW741">
        <v>91.45684</v>
      </c>
      <c r="AX741">
        <v>79.255020000000002</v>
      </c>
    </row>
    <row r="742" spans="1:50" x14ac:dyDescent="0.35">
      <c r="A742" s="75">
        <v>40422</v>
      </c>
      <c r="B742">
        <v>90.615099999999998</v>
      </c>
      <c r="C742">
        <v>92.362979999999993</v>
      </c>
      <c r="D742"/>
      <c r="E742">
        <v>92.892269999999996</v>
      </c>
      <c r="F742">
        <v>101.1198</v>
      </c>
      <c r="G742">
        <v>88.155029999999996</v>
      </c>
      <c r="H742"/>
      <c r="I742">
        <v>86.203019999999995</v>
      </c>
      <c r="J742">
        <v>81.381200000000007</v>
      </c>
      <c r="K742">
        <v>96.5</v>
      </c>
      <c r="L742">
        <v>94.071870000000004</v>
      </c>
      <c r="M742">
        <v>93.805430000000001</v>
      </c>
      <c r="N742">
        <v>94.7</v>
      </c>
      <c r="O742">
        <v>95.878169999999997</v>
      </c>
      <c r="P742">
        <v>93.192639999999997</v>
      </c>
      <c r="Q742"/>
      <c r="R742">
        <v>93.27525</v>
      </c>
      <c r="S742">
        <v>95.614559999999997</v>
      </c>
      <c r="T742"/>
      <c r="U742">
        <v>93.041730000000001</v>
      </c>
      <c r="V742">
        <v>91.3</v>
      </c>
      <c r="W742">
        <v>103.7413</v>
      </c>
      <c r="X742">
        <v>87.678439999999995</v>
      </c>
      <c r="Y742"/>
      <c r="Z742"/>
      <c r="AA742">
        <v>95.76782</v>
      </c>
      <c r="AB742">
        <v>85.502809999999997</v>
      </c>
      <c r="AC742">
        <v>94.550359999999998</v>
      </c>
      <c r="AD742">
        <v>94.129840000000002</v>
      </c>
      <c r="AE742">
        <v>98.186899999999994</v>
      </c>
      <c r="AF742">
        <v>91.179289999999995</v>
      </c>
      <c r="AG742">
        <v>93.616100000000003</v>
      </c>
      <c r="AH742">
        <v>91.718379999999996</v>
      </c>
      <c r="AI742">
        <v>96.140540000000001</v>
      </c>
      <c r="AJ742">
        <v>87.449680000000001</v>
      </c>
      <c r="AK742">
        <v>91.809389999999993</v>
      </c>
      <c r="AL742">
        <v>91.561319999999995</v>
      </c>
      <c r="AM742">
        <v>91.995750000000001</v>
      </c>
      <c r="AN742">
        <v>91.900679999999994</v>
      </c>
      <c r="AO742">
        <v>93.805689999999998</v>
      </c>
      <c r="AP742">
        <v>95.204409999999996</v>
      </c>
      <c r="AQ742"/>
      <c r="AR742"/>
      <c r="AS742">
        <v>92.979579999999999</v>
      </c>
      <c r="AT742">
        <v>96.571610000000007</v>
      </c>
      <c r="AU742">
        <v>97.161079999999998</v>
      </c>
      <c r="AV742">
        <v>69.556629999999998</v>
      </c>
      <c r="AW742">
        <v>91.603800000000007</v>
      </c>
      <c r="AX742">
        <v>79.419039999999995</v>
      </c>
    </row>
    <row r="743" spans="1:50" x14ac:dyDescent="0.35">
      <c r="A743" s="75">
        <v>40452</v>
      </c>
      <c r="B743">
        <v>90.866119999999995</v>
      </c>
      <c r="C743">
        <v>92.489230000000006</v>
      </c>
      <c r="D743"/>
      <c r="E743">
        <v>93.295469999999995</v>
      </c>
      <c r="F743">
        <v>101.8475</v>
      </c>
      <c r="G743">
        <v>87.992260000000002</v>
      </c>
      <c r="H743"/>
      <c r="I743">
        <v>86.235720000000001</v>
      </c>
      <c r="J743">
        <v>81.763080000000002</v>
      </c>
      <c r="K743">
        <v>96.3</v>
      </c>
      <c r="L743">
        <v>94.151859999999999</v>
      </c>
      <c r="M743">
        <v>93.734560000000002</v>
      </c>
      <c r="N743">
        <v>94.98</v>
      </c>
      <c r="O743">
        <v>96.92389</v>
      </c>
      <c r="P743">
        <v>93.306150000000002</v>
      </c>
      <c r="Q743"/>
      <c r="R743">
        <v>93.647229999999993</v>
      </c>
      <c r="S743">
        <v>95.598439999999997</v>
      </c>
      <c r="T743"/>
      <c r="U743">
        <v>93.171329999999998</v>
      </c>
      <c r="V743">
        <v>91.4</v>
      </c>
      <c r="W743">
        <v>104.0622</v>
      </c>
      <c r="X743">
        <v>87.828699999999998</v>
      </c>
      <c r="Y743"/>
      <c r="Z743"/>
      <c r="AA743">
        <v>95.802319999999995</v>
      </c>
      <c r="AB743">
        <v>85.859430000000003</v>
      </c>
      <c r="AC743">
        <v>94.550359999999998</v>
      </c>
      <c r="AD743">
        <v>94.340919999999997</v>
      </c>
      <c r="AE743">
        <v>98.594260000000006</v>
      </c>
      <c r="AF743">
        <v>91.179289999999995</v>
      </c>
      <c r="AG743">
        <v>93.729399999999998</v>
      </c>
      <c r="AH743">
        <v>91.759709999999998</v>
      </c>
      <c r="AI743">
        <v>96.298150000000007</v>
      </c>
      <c r="AJ743">
        <v>87.657259999999994</v>
      </c>
      <c r="AK743">
        <v>91.913970000000006</v>
      </c>
      <c r="AL743">
        <v>91.667919999999995</v>
      </c>
      <c r="AM743">
        <v>92.173950000000005</v>
      </c>
      <c r="AN743">
        <v>92.147319999999993</v>
      </c>
      <c r="AO743">
        <v>93.979569999999995</v>
      </c>
      <c r="AP743">
        <v>95.725549999999998</v>
      </c>
      <c r="AQ743"/>
      <c r="AR743"/>
      <c r="AS743">
        <v>93.065200000000004</v>
      </c>
      <c r="AT743">
        <v>96.711609999999993</v>
      </c>
      <c r="AU743">
        <v>97.546459999999996</v>
      </c>
      <c r="AV743">
        <v>70.169399999999996</v>
      </c>
      <c r="AW743">
        <v>91.674800000000005</v>
      </c>
      <c r="AX743">
        <v>79.520309999999995</v>
      </c>
    </row>
    <row r="744" spans="1:50" x14ac:dyDescent="0.35">
      <c r="A744" s="75">
        <v>40483</v>
      </c>
      <c r="B744">
        <v>90.698779999999999</v>
      </c>
      <c r="C744">
        <v>92.518370000000004</v>
      </c>
      <c r="D744"/>
      <c r="E744">
        <v>93.255790000000005</v>
      </c>
      <c r="F744">
        <v>102.0149</v>
      </c>
      <c r="G744">
        <v>87.796940000000006</v>
      </c>
      <c r="H744"/>
      <c r="I744">
        <v>86.301119999999997</v>
      </c>
      <c r="J744">
        <v>81.945340000000002</v>
      </c>
      <c r="K744">
        <v>96.2</v>
      </c>
      <c r="L744">
        <v>94.105800000000002</v>
      </c>
      <c r="M744">
        <v>93.738669999999999</v>
      </c>
      <c r="N744">
        <v>94.89</v>
      </c>
      <c r="O744">
        <v>97.454629999999995</v>
      </c>
      <c r="P744">
        <v>92.795360000000002</v>
      </c>
      <c r="Q744"/>
      <c r="R744">
        <v>93.740229999999997</v>
      </c>
      <c r="S744">
        <v>95.558400000000006</v>
      </c>
      <c r="T744"/>
      <c r="U744">
        <v>93.143349999999998</v>
      </c>
      <c r="V744">
        <v>91.6</v>
      </c>
      <c r="W744">
        <v>104.18940000000001</v>
      </c>
      <c r="X744">
        <v>87.753569999999996</v>
      </c>
      <c r="Y744"/>
      <c r="Z744"/>
      <c r="AA744">
        <v>95.580600000000004</v>
      </c>
      <c r="AB744">
        <v>85.695899999999995</v>
      </c>
      <c r="AC744">
        <v>94.75282</v>
      </c>
      <c r="AD744">
        <v>94.258349999999993</v>
      </c>
      <c r="AE744">
        <v>98.349379999999996</v>
      </c>
      <c r="AF744">
        <v>91.179289999999995</v>
      </c>
      <c r="AG744">
        <v>93.553299999999993</v>
      </c>
      <c r="AH744">
        <v>91.916759999999996</v>
      </c>
      <c r="AI744">
        <v>96.090239999999994</v>
      </c>
      <c r="AJ744">
        <v>87.943219999999997</v>
      </c>
      <c r="AK744">
        <v>91.722179999999994</v>
      </c>
      <c r="AL744">
        <v>91.748419999999996</v>
      </c>
      <c r="AM744">
        <v>92.197400000000002</v>
      </c>
      <c r="AN744">
        <v>92.236369999999994</v>
      </c>
      <c r="AO744">
        <v>93.979569999999995</v>
      </c>
      <c r="AP744">
        <v>95.853059999999999</v>
      </c>
      <c r="AQ744"/>
      <c r="AR744"/>
      <c r="AS744">
        <v>93.056139999999999</v>
      </c>
      <c r="AT744">
        <v>96.931619999999995</v>
      </c>
      <c r="AU744">
        <v>97.633579999999995</v>
      </c>
      <c r="AV744">
        <v>70.704539999999994</v>
      </c>
      <c r="AW744">
        <v>91.673969999999997</v>
      </c>
      <c r="AX744">
        <v>79.576089999999994</v>
      </c>
    </row>
    <row r="745" spans="1:50" x14ac:dyDescent="0.35">
      <c r="A745" s="75">
        <v>40513</v>
      </c>
      <c r="B745">
        <v>91.033460000000005</v>
      </c>
      <c r="C745">
        <v>92.596069999999997</v>
      </c>
      <c r="D745"/>
      <c r="E745">
        <v>92.916399999999996</v>
      </c>
      <c r="F745">
        <v>102.0637</v>
      </c>
      <c r="G745">
        <v>87.916300000000007</v>
      </c>
      <c r="H745"/>
      <c r="I745">
        <v>86.480959999999996</v>
      </c>
      <c r="J745">
        <v>82.168819999999997</v>
      </c>
      <c r="K745">
        <v>96.2</v>
      </c>
      <c r="L745">
        <v>94.407470000000004</v>
      </c>
      <c r="M745">
        <v>93.64143</v>
      </c>
      <c r="N745">
        <v>95.27</v>
      </c>
      <c r="O745">
        <v>97.543959999999998</v>
      </c>
      <c r="P745">
        <v>92.852109999999996</v>
      </c>
      <c r="Q745"/>
      <c r="R745">
        <v>93.740229999999997</v>
      </c>
      <c r="S745">
        <v>95.890299999999996</v>
      </c>
      <c r="T745"/>
      <c r="U745">
        <v>93.164150000000006</v>
      </c>
      <c r="V745">
        <v>92.1</v>
      </c>
      <c r="W745">
        <v>104.2885</v>
      </c>
      <c r="X745">
        <v>87.753569999999996</v>
      </c>
      <c r="Y745"/>
      <c r="Z745"/>
      <c r="AA745">
        <v>95.416039999999995</v>
      </c>
      <c r="AB745">
        <v>85.781930000000003</v>
      </c>
      <c r="AC745">
        <v>95.157749999999993</v>
      </c>
      <c r="AD745">
        <v>94.49539</v>
      </c>
      <c r="AE745">
        <v>98.353390000000005</v>
      </c>
      <c r="AF745">
        <v>91.452240000000003</v>
      </c>
      <c r="AG745">
        <v>93.493600000000001</v>
      </c>
      <c r="AH745">
        <v>91.850639999999999</v>
      </c>
      <c r="AI745">
        <v>95.346289999999996</v>
      </c>
      <c r="AJ745">
        <v>88.282340000000005</v>
      </c>
      <c r="AK745">
        <v>91.236750000000001</v>
      </c>
      <c r="AL745">
        <v>91.870699999999999</v>
      </c>
      <c r="AM745">
        <v>92.245410000000007</v>
      </c>
      <c r="AN745">
        <v>92.444230000000005</v>
      </c>
      <c r="AO745">
        <v>94.066509999999994</v>
      </c>
      <c r="AP745">
        <v>95.869579999999999</v>
      </c>
      <c r="AQ745"/>
      <c r="AR745"/>
      <c r="AS745">
        <v>93.093699999999998</v>
      </c>
      <c r="AT745">
        <v>96.781620000000004</v>
      </c>
      <c r="AU745">
        <v>97.834649999999996</v>
      </c>
      <c r="AV745">
        <v>70.839349999999996</v>
      </c>
      <c r="AW745">
        <v>91.557559999999995</v>
      </c>
      <c r="AX745">
        <v>79.605099999999993</v>
      </c>
    </row>
    <row r="746" spans="1:50" x14ac:dyDescent="0.35">
      <c r="A746" s="75">
        <v>40544</v>
      </c>
      <c r="B746">
        <v>90.364099999999993</v>
      </c>
      <c r="C746">
        <v>92.955420000000004</v>
      </c>
      <c r="D746"/>
      <c r="E746">
        <v>92.902600000000007</v>
      </c>
      <c r="F746">
        <v>101.54730000000001</v>
      </c>
      <c r="G746">
        <v>88.046520000000001</v>
      </c>
      <c r="H746"/>
      <c r="I746">
        <v>87.069550000000007</v>
      </c>
      <c r="J746">
        <v>82.808899999999994</v>
      </c>
      <c r="K746">
        <v>96.4</v>
      </c>
      <c r="L746">
        <v>93.809340000000006</v>
      </c>
      <c r="M746">
        <v>93.440579999999997</v>
      </c>
      <c r="N746">
        <v>93.77</v>
      </c>
      <c r="O746">
        <v>95.684790000000007</v>
      </c>
      <c r="P746">
        <v>92.738600000000005</v>
      </c>
      <c r="Q746"/>
      <c r="R746">
        <v>93.554230000000004</v>
      </c>
      <c r="S746">
        <v>95.253789999999995</v>
      </c>
      <c r="T746"/>
      <c r="U746">
        <v>93.089839999999995</v>
      </c>
      <c r="V746">
        <v>91.9</v>
      </c>
      <c r="W746">
        <v>102.7033</v>
      </c>
      <c r="X746">
        <v>87.828699999999998</v>
      </c>
      <c r="Y746"/>
      <c r="Z746"/>
      <c r="AA746">
        <v>94.868570000000005</v>
      </c>
      <c r="AB746">
        <v>84.251059999999995</v>
      </c>
      <c r="AC746">
        <v>95.056520000000006</v>
      </c>
      <c r="AD746">
        <v>94.613619999999997</v>
      </c>
      <c r="AE746">
        <v>97.836560000000006</v>
      </c>
      <c r="AF746">
        <v>91.906090000000006</v>
      </c>
      <c r="AG746">
        <v>93.110699999999994</v>
      </c>
      <c r="AH746">
        <v>91.040580000000006</v>
      </c>
      <c r="AI746">
        <v>95.634050000000002</v>
      </c>
      <c r="AJ746">
        <v>88.708190000000002</v>
      </c>
      <c r="AK746">
        <v>91.089429999999993</v>
      </c>
      <c r="AL746">
        <v>91.265690000000006</v>
      </c>
      <c r="AM746">
        <v>92.161460000000005</v>
      </c>
      <c r="AN746">
        <v>92.039779999999993</v>
      </c>
      <c r="AO746">
        <v>94.414259999999999</v>
      </c>
      <c r="AP746">
        <v>96.093360000000004</v>
      </c>
      <c r="AQ746"/>
      <c r="AR746"/>
      <c r="AS746">
        <v>93.693420000000003</v>
      </c>
      <c r="AT746">
        <v>94.661580000000001</v>
      </c>
      <c r="AU746">
        <v>97.22475</v>
      </c>
      <c r="AV746">
        <v>70.712710000000001</v>
      </c>
      <c r="AW746">
        <v>91.715260000000001</v>
      </c>
      <c r="AX746">
        <v>79.652519999999996</v>
      </c>
    </row>
    <row r="747" spans="1:50" x14ac:dyDescent="0.35">
      <c r="A747" s="75">
        <v>40575</v>
      </c>
      <c r="B747">
        <v>91.086290000000005</v>
      </c>
      <c r="C747">
        <v>93.305059999999997</v>
      </c>
      <c r="D747"/>
      <c r="E747">
        <v>93.124889999999994</v>
      </c>
      <c r="F747">
        <v>101.8309</v>
      </c>
      <c r="G747">
        <v>88.339500000000001</v>
      </c>
      <c r="H747"/>
      <c r="I747">
        <v>87.641779999999997</v>
      </c>
      <c r="J747">
        <v>83.366529999999997</v>
      </c>
      <c r="K747">
        <v>96.4</v>
      </c>
      <c r="L747">
        <v>94.335340000000002</v>
      </c>
      <c r="M747">
        <v>94.644000000000005</v>
      </c>
      <c r="N747">
        <v>94.1</v>
      </c>
      <c r="O747">
        <v>95.715270000000004</v>
      </c>
      <c r="P747">
        <v>92.908869999999993</v>
      </c>
      <c r="Q747"/>
      <c r="R747">
        <v>93.926220000000001</v>
      </c>
      <c r="S747">
        <v>95.664019999999994</v>
      </c>
      <c r="T747"/>
      <c r="U747">
        <v>93.40213</v>
      </c>
      <c r="V747">
        <v>92.4</v>
      </c>
      <c r="W747">
        <v>100.5698</v>
      </c>
      <c r="X747">
        <v>87.903829999999999</v>
      </c>
      <c r="Y747"/>
      <c r="Z747"/>
      <c r="AA747">
        <v>95.775279999999995</v>
      </c>
      <c r="AB747">
        <v>85.286990000000003</v>
      </c>
      <c r="AC747">
        <v>95.157749999999993</v>
      </c>
      <c r="AD747">
        <v>94.815610000000007</v>
      </c>
      <c r="AE747">
        <v>97.768529999999998</v>
      </c>
      <c r="AF747">
        <v>92.268960000000007</v>
      </c>
      <c r="AG747">
        <v>92.563199999999995</v>
      </c>
      <c r="AH747">
        <v>92.735079999999996</v>
      </c>
      <c r="AI747">
        <v>95.368750000000006</v>
      </c>
      <c r="AJ747">
        <v>89.009799999999998</v>
      </c>
      <c r="AK747">
        <v>91.685320000000004</v>
      </c>
      <c r="AL747">
        <v>91.607190000000003</v>
      </c>
      <c r="AM747">
        <v>92.439580000000007</v>
      </c>
      <c r="AN747">
        <v>92.329599999999999</v>
      </c>
      <c r="AO747">
        <v>94.501199999999997</v>
      </c>
      <c r="AP747">
        <v>95.94314</v>
      </c>
      <c r="AQ747"/>
      <c r="AR747"/>
      <c r="AS747">
        <v>93.822159999999997</v>
      </c>
      <c r="AT747">
        <v>94.301569999999998</v>
      </c>
      <c r="AU747">
        <v>97.864810000000006</v>
      </c>
      <c r="AV747">
        <v>70.720879999999994</v>
      </c>
      <c r="AW747">
        <v>92.059529999999995</v>
      </c>
      <c r="AX747">
        <v>80.19905</v>
      </c>
    </row>
    <row r="748" spans="1:50" x14ac:dyDescent="0.35">
      <c r="A748" s="75">
        <v>40603</v>
      </c>
      <c r="B748">
        <v>91.989019999999996</v>
      </c>
      <c r="C748">
        <v>93.421610000000001</v>
      </c>
      <c r="D748"/>
      <c r="E748">
        <v>93.650540000000007</v>
      </c>
      <c r="F748">
        <v>102.3057</v>
      </c>
      <c r="G748">
        <v>88.654179999999997</v>
      </c>
      <c r="H748"/>
      <c r="I748">
        <v>87.780749999999998</v>
      </c>
      <c r="J748">
        <v>83.708269999999999</v>
      </c>
      <c r="K748">
        <v>96.3</v>
      </c>
      <c r="L748">
        <v>94.648250000000004</v>
      </c>
      <c r="M748">
        <v>95.121269999999996</v>
      </c>
      <c r="N748">
        <v>95.45</v>
      </c>
      <c r="O748">
        <v>96.299610000000001</v>
      </c>
      <c r="P748">
        <v>93.476420000000005</v>
      </c>
      <c r="Q748"/>
      <c r="R748">
        <v>94.298199999999994</v>
      </c>
      <c r="S748">
        <v>96.254810000000006</v>
      </c>
      <c r="T748"/>
      <c r="U748">
        <v>93.691069999999996</v>
      </c>
      <c r="V748">
        <v>92.7</v>
      </c>
      <c r="W748">
        <v>104.5615</v>
      </c>
      <c r="X748">
        <v>88.279489999999996</v>
      </c>
      <c r="Y748"/>
      <c r="Z748"/>
      <c r="AA748">
        <v>96.607780000000005</v>
      </c>
      <c r="AB748">
        <v>85.952479999999994</v>
      </c>
      <c r="AC748">
        <v>95.461449999999999</v>
      </c>
      <c r="AD748">
        <v>95.043329999999997</v>
      </c>
      <c r="AE748">
        <v>97.868110000000001</v>
      </c>
      <c r="AF748">
        <v>92.541899999999998</v>
      </c>
      <c r="AG748">
        <v>93.290400000000005</v>
      </c>
      <c r="AH748">
        <v>93.016130000000004</v>
      </c>
      <c r="AI748">
        <v>95.988209999999995</v>
      </c>
      <c r="AJ748">
        <v>89.15849</v>
      </c>
      <c r="AK748">
        <v>92.813609999999997</v>
      </c>
      <c r="AL748">
        <v>92.078479999999999</v>
      </c>
      <c r="AM748">
        <v>92.785139999999998</v>
      </c>
      <c r="AN748">
        <v>92.845240000000004</v>
      </c>
      <c r="AO748">
        <v>94.935879999999997</v>
      </c>
      <c r="AP748">
        <v>97.694230000000005</v>
      </c>
      <c r="AQ748"/>
      <c r="AR748"/>
      <c r="AS748">
        <v>94.098920000000007</v>
      </c>
      <c r="AT748">
        <v>96.371600000000001</v>
      </c>
      <c r="AU748">
        <v>98.535020000000003</v>
      </c>
      <c r="AV748">
        <v>71.121219999999994</v>
      </c>
      <c r="AW748">
        <v>92.339830000000006</v>
      </c>
      <c r="AX748">
        <v>81.077259999999995</v>
      </c>
    </row>
    <row r="749" spans="1:50" x14ac:dyDescent="0.35">
      <c r="A749" s="75">
        <v>40634</v>
      </c>
      <c r="B749">
        <v>92.440389999999994</v>
      </c>
      <c r="C749">
        <v>93.343909999999994</v>
      </c>
      <c r="D749"/>
      <c r="E749">
        <v>93.427710000000005</v>
      </c>
      <c r="F749">
        <v>102.4632</v>
      </c>
      <c r="G749">
        <v>88.643330000000006</v>
      </c>
      <c r="H749"/>
      <c r="I749">
        <v>87.895200000000003</v>
      </c>
      <c r="J749">
        <v>84.01746</v>
      </c>
      <c r="K749">
        <v>96.4</v>
      </c>
      <c r="L749">
        <v>94.452560000000005</v>
      </c>
      <c r="M749">
        <v>95.340969999999999</v>
      </c>
      <c r="N749">
        <v>95.94</v>
      </c>
      <c r="O749">
        <v>97.733140000000006</v>
      </c>
      <c r="P749">
        <v>93.703450000000004</v>
      </c>
      <c r="Q749"/>
      <c r="R749">
        <v>94.484189999999998</v>
      </c>
      <c r="S749">
        <v>96.521379999999994</v>
      </c>
      <c r="T749"/>
      <c r="U749">
        <v>93.854100000000003</v>
      </c>
      <c r="V749">
        <v>93.4</v>
      </c>
      <c r="W749">
        <v>104.9896</v>
      </c>
      <c r="X749">
        <v>88.655140000000003</v>
      </c>
      <c r="Y749"/>
      <c r="Z749"/>
      <c r="AA749">
        <v>97.100470000000001</v>
      </c>
      <c r="AB749">
        <v>86.715190000000007</v>
      </c>
      <c r="AC749">
        <v>95.967609999999993</v>
      </c>
      <c r="AD749">
        <v>95.462630000000004</v>
      </c>
      <c r="AE749">
        <v>97.845740000000006</v>
      </c>
      <c r="AF749">
        <v>92.722809999999996</v>
      </c>
      <c r="AG749">
        <v>93.736699999999999</v>
      </c>
      <c r="AH749">
        <v>93.173180000000002</v>
      </c>
      <c r="AI749">
        <v>96.468909999999994</v>
      </c>
      <c r="AJ749">
        <v>89.15943</v>
      </c>
      <c r="AK749">
        <v>93.15455</v>
      </c>
      <c r="AL749">
        <v>92.91516</v>
      </c>
      <c r="AM749">
        <v>93.036699999999996</v>
      </c>
      <c r="AN749">
        <v>93.294399999999996</v>
      </c>
      <c r="AO749">
        <v>95.283630000000002</v>
      </c>
      <c r="AP749">
        <v>98.080150000000003</v>
      </c>
      <c r="AQ749"/>
      <c r="AR749"/>
      <c r="AS749">
        <v>94.442920000000001</v>
      </c>
      <c r="AT749">
        <v>97.091620000000006</v>
      </c>
      <c r="AU749">
        <v>99.111400000000003</v>
      </c>
      <c r="AV749">
        <v>72.199680000000001</v>
      </c>
      <c r="AW749">
        <v>92.516509999999997</v>
      </c>
      <c r="AX749">
        <v>81.224130000000002</v>
      </c>
    </row>
    <row r="750" spans="1:50" x14ac:dyDescent="0.35">
      <c r="A750" s="75">
        <v>40664</v>
      </c>
      <c r="B750">
        <v>92.530670000000001</v>
      </c>
      <c r="C750">
        <v>93.538150000000002</v>
      </c>
      <c r="D750"/>
      <c r="E750">
        <v>94.051550000000006</v>
      </c>
      <c r="F750">
        <v>102.4324</v>
      </c>
      <c r="G750">
        <v>88.762699999999995</v>
      </c>
      <c r="H750"/>
      <c r="I750">
        <v>88.050520000000006</v>
      </c>
      <c r="J750">
        <v>84.291929999999994</v>
      </c>
      <c r="K750">
        <v>96.6</v>
      </c>
      <c r="L750">
        <v>94.494470000000007</v>
      </c>
      <c r="M750">
        <v>95.384299999999996</v>
      </c>
      <c r="N750">
        <v>95.92</v>
      </c>
      <c r="O750">
        <v>97.839290000000005</v>
      </c>
      <c r="P750">
        <v>93.987219999999994</v>
      </c>
      <c r="Q750"/>
      <c r="R750">
        <v>94.670190000000005</v>
      </c>
      <c r="S750">
        <v>96.577740000000006</v>
      </c>
      <c r="T750"/>
      <c r="U750">
        <v>93.999629999999996</v>
      </c>
      <c r="V750">
        <v>93.4</v>
      </c>
      <c r="W750">
        <v>105.1512</v>
      </c>
      <c r="X750">
        <v>88.880539999999996</v>
      </c>
      <c r="Y750"/>
      <c r="Z750"/>
      <c r="AA750">
        <v>97.081909999999993</v>
      </c>
      <c r="AB750">
        <v>87.528369999999995</v>
      </c>
      <c r="AC750">
        <v>96.372540000000001</v>
      </c>
      <c r="AD750">
        <v>95.437449999999998</v>
      </c>
      <c r="AE750">
        <v>98.012420000000006</v>
      </c>
      <c r="AF750">
        <v>93.086730000000003</v>
      </c>
      <c r="AG750">
        <v>94.161100000000005</v>
      </c>
      <c r="AH750">
        <v>93.247569999999996</v>
      </c>
      <c r="AI750">
        <v>96.439920000000001</v>
      </c>
      <c r="AJ750">
        <v>89.277540000000002</v>
      </c>
      <c r="AK750">
        <v>93.220370000000003</v>
      </c>
      <c r="AL750">
        <v>92.646050000000002</v>
      </c>
      <c r="AM750">
        <v>93.220190000000002</v>
      </c>
      <c r="AN750">
        <v>93.464560000000006</v>
      </c>
      <c r="AO750">
        <v>95.631389999999996</v>
      </c>
      <c r="AP750">
        <v>98.0351</v>
      </c>
      <c r="AQ750"/>
      <c r="AR750"/>
      <c r="AS750">
        <v>94.61345</v>
      </c>
      <c r="AT750">
        <v>97.591629999999995</v>
      </c>
      <c r="AU750">
        <v>99.409649999999999</v>
      </c>
      <c r="AV750">
        <v>73.433369999999996</v>
      </c>
      <c r="AW750">
        <v>92.688230000000004</v>
      </c>
      <c r="AX750">
        <v>81.351749999999996</v>
      </c>
    </row>
    <row r="751" spans="1:50" x14ac:dyDescent="0.35">
      <c r="A751" s="75">
        <v>40695</v>
      </c>
      <c r="B751">
        <v>92.801490000000001</v>
      </c>
      <c r="C751">
        <v>93.683840000000004</v>
      </c>
      <c r="D751"/>
      <c r="E751">
        <v>93.447239999999994</v>
      </c>
      <c r="F751">
        <v>102.23180000000001</v>
      </c>
      <c r="G751">
        <v>88.719290000000001</v>
      </c>
      <c r="H751"/>
      <c r="I751">
        <v>88.287589999999994</v>
      </c>
      <c r="J751">
        <v>84.567490000000006</v>
      </c>
      <c r="K751">
        <v>96.5</v>
      </c>
      <c r="L751">
        <v>94.730040000000002</v>
      </c>
      <c r="M751">
        <v>95.133669999999995</v>
      </c>
      <c r="N751">
        <v>96</v>
      </c>
      <c r="O751">
        <v>97.896039999999999</v>
      </c>
      <c r="P751">
        <v>94.100729999999999</v>
      </c>
      <c r="Q751"/>
      <c r="R751">
        <v>94.949169999999995</v>
      </c>
      <c r="S751">
        <v>96.679959999999994</v>
      </c>
      <c r="T751"/>
      <c r="U751">
        <v>94.070319999999995</v>
      </c>
      <c r="V751">
        <v>93.3</v>
      </c>
      <c r="W751">
        <v>105.14100000000001</v>
      </c>
      <c r="X751">
        <v>88.880539999999996</v>
      </c>
      <c r="Y751"/>
      <c r="Z751"/>
      <c r="AA751">
        <v>97.210489999999993</v>
      </c>
      <c r="AB751">
        <v>88.011470000000003</v>
      </c>
      <c r="AC751">
        <v>96.979920000000007</v>
      </c>
      <c r="AD751">
        <v>95.636049999999997</v>
      </c>
      <c r="AE751">
        <v>97.845830000000007</v>
      </c>
      <c r="AF751">
        <v>93.26764</v>
      </c>
      <c r="AG751">
        <v>94.362099999999998</v>
      </c>
      <c r="AH751">
        <v>93.313699999999997</v>
      </c>
      <c r="AI751">
        <v>96.573070000000001</v>
      </c>
      <c r="AJ751">
        <v>89.405959999999993</v>
      </c>
      <c r="AK751">
        <v>92.679270000000002</v>
      </c>
      <c r="AL751">
        <v>92.524119999999996</v>
      </c>
      <c r="AM751">
        <v>93.298820000000006</v>
      </c>
      <c r="AN751">
        <v>93.559330000000003</v>
      </c>
      <c r="AO751">
        <v>95.718320000000006</v>
      </c>
      <c r="AP751">
        <v>97.905180000000001</v>
      </c>
      <c r="AQ751"/>
      <c r="AR751"/>
      <c r="AS751">
        <v>94.669799999999995</v>
      </c>
      <c r="AT751">
        <v>97.591629999999995</v>
      </c>
      <c r="AU751">
        <v>99.34599</v>
      </c>
      <c r="AV751">
        <v>73.890900000000002</v>
      </c>
      <c r="AW751">
        <v>92.835599999999999</v>
      </c>
      <c r="AX751">
        <v>81.825649999999996</v>
      </c>
    </row>
    <row r="752" spans="1:50" x14ac:dyDescent="0.35">
      <c r="A752" s="75">
        <v>40725</v>
      </c>
      <c r="B752">
        <v>92.440389999999994</v>
      </c>
      <c r="C752">
        <v>93.897509999999997</v>
      </c>
      <c r="D752"/>
      <c r="E752">
        <v>93.455029999999994</v>
      </c>
      <c r="F752">
        <v>101.48650000000001</v>
      </c>
      <c r="G752">
        <v>88.784390000000002</v>
      </c>
      <c r="H752"/>
      <c r="I752">
        <v>88.377510000000001</v>
      </c>
      <c r="J752">
        <v>84.864750000000001</v>
      </c>
      <c r="K752">
        <v>96.9</v>
      </c>
      <c r="L752">
        <v>94.896770000000004</v>
      </c>
      <c r="M752">
        <v>94.927629999999994</v>
      </c>
      <c r="N752">
        <v>95.12</v>
      </c>
      <c r="O752">
        <v>96.724209999999999</v>
      </c>
      <c r="P752">
        <v>94.44126</v>
      </c>
      <c r="Q752"/>
      <c r="R752">
        <v>94.763180000000006</v>
      </c>
      <c r="S752">
        <v>96.158829999999995</v>
      </c>
      <c r="T752"/>
      <c r="U752">
        <v>94.119810000000001</v>
      </c>
      <c r="V752">
        <v>93.3</v>
      </c>
      <c r="W752">
        <v>103.20359999999999</v>
      </c>
      <c r="X752">
        <v>89.030810000000002</v>
      </c>
      <c r="Y752"/>
      <c r="Z752"/>
      <c r="AA752">
        <v>97.050529999999995</v>
      </c>
      <c r="AB752">
        <v>87.874499999999998</v>
      </c>
      <c r="AC752">
        <v>96.979920000000007</v>
      </c>
      <c r="AD752">
        <v>95.954920000000001</v>
      </c>
      <c r="AE752">
        <v>97.722110000000001</v>
      </c>
      <c r="AF752">
        <v>93.449600000000004</v>
      </c>
      <c r="AG752">
        <v>93.760999999999996</v>
      </c>
      <c r="AH752">
        <v>92.181269999999998</v>
      </c>
      <c r="AI752">
        <v>96.173869999999994</v>
      </c>
      <c r="AJ752">
        <v>89.594530000000006</v>
      </c>
      <c r="AK752">
        <v>93.019469999999998</v>
      </c>
      <c r="AL752">
        <v>92.063770000000005</v>
      </c>
      <c r="AM752">
        <v>93.30395</v>
      </c>
      <c r="AN752">
        <v>93.402829999999994</v>
      </c>
      <c r="AO752">
        <v>95.805260000000004</v>
      </c>
      <c r="AP752">
        <v>97.672579999999996</v>
      </c>
      <c r="AQ752"/>
      <c r="AR752"/>
      <c r="AS752">
        <v>94.892259999999993</v>
      </c>
      <c r="AT752">
        <v>96.101600000000005</v>
      </c>
      <c r="AU752">
        <v>99.235399999999998</v>
      </c>
      <c r="AV752">
        <v>73.707070000000002</v>
      </c>
      <c r="AW752">
        <v>92.948300000000003</v>
      </c>
      <c r="AX752">
        <v>82.211820000000003</v>
      </c>
    </row>
    <row r="753" spans="1:50" x14ac:dyDescent="0.35">
      <c r="A753" s="75">
        <v>40756</v>
      </c>
      <c r="B753">
        <v>92.711209999999994</v>
      </c>
      <c r="C753">
        <v>93.907219999999995</v>
      </c>
      <c r="D753"/>
      <c r="E753">
        <v>93.819019999999995</v>
      </c>
      <c r="F753">
        <v>101.33580000000001</v>
      </c>
      <c r="G753">
        <v>88.882059999999996</v>
      </c>
      <c r="H753"/>
      <c r="I753">
        <v>88.410210000000006</v>
      </c>
      <c r="J753">
        <v>85.138140000000007</v>
      </c>
      <c r="K753">
        <v>96.9</v>
      </c>
      <c r="L753">
        <v>95.143690000000007</v>
      </c>
      <c r="M753">
        <v>95.041420000000002</v>
      </c>
      <c r="N753">
        <v>95.43</v>
      </c>
      <c r="O753">
        <v>96.973280000000003</v>
      </c>
      <c r="P753">
        <v>94.498019999999997</v>
      </c>
      <c r="Q753"/>
      <c r="R753">
        <v>95.228160000000003</v>
      </c>
      <c r="S753">
        <v>96.803610000000006</v>
      </c>
      <c r="T753"/>
      <c r="U753">
        <v>94.424120000000002</v>
      </c>
      <c r="V753">
        <v>93.8</v>
      </c>
      <c r="W753">
        <v>101.3167</v>
      </c>
      <c r="X753">
        <v>89.105930000000001</v>
      </c>
      <c r="Y753"/>
      <c r="Z753"/>
      <c r="AA753">
        <v>97.162319999999994</v>
      </c>
      <c r="AB753">
        <v>88.175089999999997</v>
      </c>
      <c r="AC753">
        <v>97.38485</v>
      </c>
      <c r="AD753">
        <v>96.286770000000004</v>
      </c>
      <c r="AE753">
        <v>97.788989999999998</v>
      </c>
      <c r="AF753">
        <v>93.631559999999993</v>
      </c>
      <c r="AG753">
        <v>93.5197</v>
      </c>
      <c r="AH753">
        <v>93.735259999999997</v>
      </c>
      <c r="AI753">
        <v>96.387730000000005</v>
      </c>
      <c r="AJ753">
        <v>89.711029999999994</v>
      </c>
      <c r="AK753">
        <v>93.307100000000005</v>
      </c>
      <c r="AL753">
        <v>91.79034</v>
      </c>
      <c r="AM753">
        <v>93.544280000000001</v>
      </c>
      <c r="AN753">
        <v>93.657340000000005</v>
      </c>
      <c r="AO753">
        <v>95.979129999999998</v>
      </c>
      <c r="AP753">
        <v>97.026020000000003</v>
      </c>
      <c r="AQ753"/>
      <c r="AR753"/>
      <c r="AS753">
        <v>94.854240000000004</v>
      </c>
      <c r="AT753">
        <v>96.181600000000003</v>
      </c>
      <c r="AU753">
        <v>99.356030000000004</v>
      </c>
      <c r="AV753">
        <v>73.919489999999996</v>
      </c>
      <c r="AW753">
        <v>93.241389999999996</v>
      </c>
      <c r="AX753">
        <v>82.254679999999993</v>
      </c>
    </row>
    <row r="754" spans="1:50" x14ac:dyDescent="0.35">
      <c r="A754" s="75">
        <v>40787</v>
      </c>
      <c r="B754">
        <v>93.072310000000002</v>
      </c>
      <c r="C754">
        <v>93.936359999999993</v>
      </c>
      <c r="D754"/>
      <c r="E754">
        <v>94.414630000000002</v>
      </c>
      <c r="F754">
        <v>101.624</v>
      </c>
      <c r="G754">
        <v>89.218440000000001</v>
      </c>
      <c r="H754"/>
      <c r="I754">
        <v>88.54101</v>
      </c>
      <c r="J754">
        <v>85.360529999999997</v>
      </c>
      <c r="K754">
        <v>96.5</v>
      </c>
      <c r="L754">
        <v>95.111980000000003</v>
      </c>
      <c r="M754">
        <v>95.421350000000004</v>
      </c>
      <c r="N754">
        <v>96.23</v>
      </c>
      <c r="O754">
        <v>96.997460000000004</v>
      </c>
      <c r="P754">
        <v>95.065569999999994</v>
      </c>
      <c r="Q754"/>
      <c r="R754">
        <v>95.600149999999999</v>
      </c>
      <c r="S754">
        <v>96.589089999999999</v>
      </c>
      <c r="T754"/>
      <c r="U754">
        <v>94.538989999999998</v>
      </c>
      <c r="V754">
        <v>94</v>
      </c>
      <c r="W754">
        <v>105.767</v>
      </c>
      <c r="X754">
        <v>89.030810000000002</v>
      </c>
      <c r="Y754"/>
      <c r="Z754"/>
      <c r="AA754">
        <v>97.505660000000006</v>
      </c>
      <c r="AB754">
        <v>88.775080000000003</v>
      </c>
      <c r="AC754">
        <v>97.38485</v>
      </c>
      <c r="AD754">
        <v>96.233940000000004</v>
      </c>
      <c r="AE754">
        <v>97.803830000000005</v>
      </c>
      <c r="AF754">
        <v>93.540580000000006</v>
      </c>
      <c r="AG754">
        <v>94.252600000000001</v>
      </c>
      <c r="AH754">
        <v>93.817920000000001</v>
      </c>
      <c r="AI754">
        <v>96.882909999999995</v>
      </c>
      <c r="AJ754">
        <v>89.930819999999997</v>
      </c>
      <c r="AK754">
        <v>93.688140000000004</v>
      </c>
      <c r="AL754">
        <v>92.798810000000003</v>
      </c>
      <c r="AM754">
        <v>93.71893</v>
      </c>
      <c r="AN754">
        <v>93.867249999999999</v>
      </c>
      <c r="AO754">
        <v>96.153009999999995</v>
      </c>
      <c r="AP754">
        <v>98.022540000000006</v>
      </c>
      <c r="AQ754"/>
      <c r="AR754"/>
      <c r="AS754">
        <v>95.231070000000003</v>
      </c>
      <c r="AT754">
        <v>97.081620000000001</v>
      </c>
      <c r="AU754">
        <v>100.3848</v>
      </c>
      <c r="AV754">
        <v>74.397450000000006</v>
      </c>
      <c r="AW754">
        <v>93.412700000000001</v>
      </c>
      <c r="AX754">
        <v>82.465209999999999</v>
      </c>
    </row>
    <row r="755" spans="1:50" x14ac:dyDescent="0.35">
      <c r="A755" s="75">
        <v>40817</v>
      </c>
      <c r="B755">
        <v>93.072310000000002</v>
      </c>
      <c r="C755">
        <v>94.130600000000001</v>
      </c>
      <c r="D755"/>
      <c r="E755">
        <v>94.5822</v>
      </c>
      <c r="F755">
        <v>101.5052</v>
      </c>
      <c r="G755">
        <v>89.348659999999995</v>
      </c>
      <c r="H755"/>
      <c r="I755">
        <v>88.614580000000004</v>
      </c>
      <c r="J755">
        <v>85.621989999999997</v>
      </c>
      <c r="K755">
        <v>96.6</v>
      </c>
      <c r="L755">
        <v>95.052499999999995</v>
      </c>
      <c r="M755">
        <v>95.335210000000004</v>
      </c>
      <c r="N755">
        <v>96.49</v>
      </c>
      <c r="O755">
        <v>98.053690000000003</v>
      </c>
      <c r="P755">
        <v>95.179079999999999</v>
      </c>
      <c r="Q755"/>
      <c r="R755">
        <v>95.879140000000007</v>
      </c>
      <c r="S755">
        <v>96.748689999999996</v>
      </c>
      <c r="T755"/>
      <c r="U755">
        <v>94.680490000000006</v>
      </c>
      <c r="V755">
        <v>94.1</v>
      </c>
      <c r="W755">
        <v>105.7343</v>
      </c>
      <c r="X755">
        <v>89.481589999999997</v>
      </c>
      <c r="Y755"/>
      <c r="Z755"/>
      <c r="AA755">
        <v>97.699209999999994</v>
      </c>
      <c r="AB755">
        <v>89.313990000000004</v>
      </c>
      <c r="AC755">
        <v>97.486080000000001</v>
      </c>
      <c r="AD755">
        <v>96.688239999999993</v>
      </c>
      <c r="AE755">
        <v>97.721329999999995</v>
      </c>
      <c r="AF755">
        <v>93.540580000000006</v>
      </c>
      <c r="AG755">
        <v>94.295400000000001</v>
      </c>
      <c r="AH755">
        <v>94.098960000000005</v>
      </c>
      <c r="AI755">
        <v>96.982389999999995</v>
      </c>
      <c r="AJ755">
        <v>90.070589999999996</v>
      </c>
      <c r="AK755">
        <v>93.772509999999997</v>
      </c>
      <c r="AL755">
        <v>92.826629999999994</v>
      </c>
      <c r="AM755">
        <v>93.948390000000003</v>
      </c>
      <c r="AN755">
        <v>94.252020000000002</v>
      </c>
      <c r="AO755">
        <v>96.413830000000004</v>
      </c>
      <c r="AP755">
        <v>98.571789999999993</v>
      </c>
      <c r="AQ755"/>
      <c r="AR755"/>
      <c r="AS755">
        <v>95.366230000000002</v>
      </c>
      <c r="AT755">
        <v>97.751630000000006</v>
      </c>
      <c r="AU755">
        <v>100.482</v>
      </c>
      <c r="AV755">
        <v>76.44408</v>
      </c>
      <c r="AW755">
        <v>93.600110000000001</v>
      </c>
      <c r="AX755">
        <v>82.659610000000001</v>
      </c>
    </row>
    <row r="756" spans="1:50" x14ac:dyDescent="0.35">
      <c r="A756" s="75">
        <v>40848</v>
      </c>
      <c r="B756">
        <v>92.982039999999998</v>
      </c>
      <c r="C756">
        <v>94.247150000000005</v>
      </c>
      <c r="D756"/>
      <c r="E756">
        <v>94.759159999999994</v>
      </c>
      <c r="F756">
        <v>101.3176</v>
      </c>
      <c r="G756">
        <v>89.424610000000001</v>
      </c>
      <c r="H756"/>
      <c r="I756">
        <v>88.786249999999995</v>
      </c>
      <c r="J756">
        <v>85.75761</v>
      </c>
      <c r="K756">
        <v>96.6</v>
      </c>
      <c r="L756">
        <v>95.150769999999994</v>
      </c>
      <c r="M756">
        <v>95.197969999999998</v>
      </c>
      <c r="N756">
        <v>96.4</v>
      </c>
      <c r="O756">
        <v>98.49615</v>
      </c>
      <c r="P756">
        <v>95.122330000000005</v>
      </c>
      <c r="Q756"/>
      <c r="R756">
        <v>95.693150000000003</v>
      </c>
      <c r="S756">
        <v>96.919880000000006</v>
      </c>
      <c r="T756"/>
      <c r="U756">
        <v>94.669520000000006</v>
      </c>
      <c r="V756">
        <v>94.2</v>
      </c>
      <c r="W756">
        <v>105.7432</v>
      </c>
      <c r="X756">
        <v>89.631860000000003</v>
      </c>
      <c r="Y756"/>
      <c r="Z756"/>
      <c r="AA756">
        <v>97.671369999999996</v>
      </c>
      <c r="AB756">
        <v>89.406980000000004</v>
      </c>
      <c r="AC756">
        <v>97.081149999999994</v>
      </c>
      <c r="AD756">
        <v>96.352639999999994</v>
      </c>
      <c r="AE756">
        <v>97.3035</v>
      </c>
      <c r="AF756">
        <v>93.721490000000003</v>
      </c>
      <c r="AG756">
        <v>94.327299999999994</v>
      </c>
      <c r="AH756">
        <v>94.165080000000003</v>
      </c>
      <c r="AI756">
        <v>96.867800000000003</v>
      </c>
      <c r="AJ756">
        <v>90.308869999999999</v>
      </c>
      <c r="AK756">
        <v>93.410690000000002</v>
      </c>
      <c r="AL756">
        <v>92.760409999999993</v>
      </c>
      <c r="AM756">
        <v>94.006609999999995</v>
      </c>
      <c r="AN756">
        <v>94.398309999999995</v>
      </c>
      <c r="AO756">
        <v>96.674639999999997</v>
      </c>
      <c r="AP756">
        <v>98.448490000000007</v>
      </c>
      <c r="AQ756"/>
      <c r="AR756"/>
      <c r="AS756">
        <v>95.868480000000005</v>
      </c>
      <c r="AT756">
        <v>98.041629999999998</v>
      </c>
      <c r="AU756">
        <v>100.6093</v>
      </c>
      <c r="AV756">
        <v>77.596069999999997</v>
      </c>
      <c r="AW756">
        <v>93.647999999999996</v>
      </c>
      <c r="AX756">
        <v>82.635249999999999</v>
      </c>
    </row>
    <row r="757" spans="1:50" x14ac:dyDescent="0.35">
      <c r="A757" s="75">
        <v>40878</v>
      </c>
      <c r="B757">
        <v>93.252859999999998</v>
      </c>
      <c r="C757">
        <v>94.383110000000002</v>
      </c>
      <c r="D757"/>
      <c r="E757">
        <v>94.171670000000006</v>
      </c>
      <c r="F757">
        <v>101.05500000000001</v>
      </c>
      <c r="G757">
        <v>89.99973</v>
      </c>
      <c r="H757"/>
      <c r="I757">
        <v>89.080539999999999</v>
      </c>
      <c r="J757">
        <v>86.070049999999995</v>
      </c>
      <c r="K757">
        <v>96.6</v>
      </c>
      <c r="L757">
        <v>95.43835</v>
      </c>
      <c r="M757">
        <v>95.115340000000003</v>
      </c>
      <c r="N757">
        <v>96.82</v>
      </c>
      <c r="O757">
        <v>98.651690000000002</v>
      </c>
      <c r="P757">
        <v>95.065569999999994</v>
      </c>
      <c r="Q757"/>
      <c r="R757">
        <v>95.693150000000003</v>
      </c>
      <c r="S757">
        <v>97.377430000000004</v>
      </c>
      <c r="T757"/>
      <c r="U757">
        <v>94.725300000000004</v>
      </c>
      <c r="V757">
        <v>94.6</v>
      </c>
      <c r="W757">
        <v>105.4967</v>
      </c>
      <c r="X757">
        <v>90.007509999999996</v>
      </c>
      <c r="Y757"/>
      <c r="Z757"/>
      <c r="AA757">
        <v>97.265739999999994</v>
      </c>
      <c r="AB757">
        <v>89.574929999999995</v>
      </c>
      <c r="AC757">
        <v>97.182389999999998</v>
      </c>
      <c r="AD757">
        <v>96.653030000000001</v>
      </c>
      <c r="AE757">
        <v>97.340900000000005</v>
      </c>
      <c r="AF757">
        <v>93.903450000000007</v>
      </c>
      <c r="AG757">
        <v>94.154700000000005</v>
      </c>
      <c r="AH757">
        <v>94.181619999999995</v>
      </c>
      <c r="AI757">
        <v>96.853070000000002</v>
      </c>
      <c r="AJ757">
        <v>90.651709999999994</v>
      </c>
      <c r="AK757">
        <v>93.072299999999998</v>
      </c>
      <c r="AL757">
        <v>93.071039999999996</v>
      </c>
      <c r="AM757">
        <v>94.078980000000001</v>
      </c>
      <c r="AN757">
        <v>94.608379999999997</v>
      </c>
      <c r="AO757">
        <v>96.848510000000005</v>
      </c>
      <c r="AP757">
        <v>98.448589999999996</v>
      </c>
      <c r="AQ757"/>
      <c r="AR757"/>
      <c r="AS757">
        <v>95.952070000000006</v>
      </c>
      <c r="AT757">
        <v>97.171620000000004</v>
      </c>
      <c r="AU757">
        <v>100.93770000000001</v>
      </c>
      <c r="AV757">
        <v>77.58381</v>
      </c>
      <c r="AW757">
        <v>93.598879999999994</v>
      </c>
      <c r="AX757">
        <v>82.850620000000006</v>
      </c>
    </row>
    <row r="758" spans="1:50" x14ac:dyDescent="0.35">
      <c r="A758" s="75">
        <v>40909</v>
      </c>
      <c r="B758">
        <v>92.440389999999994</v>
      </c>
      <c r="C758">
        <v>95.014399999999995</v>
      </c>
      <c r="D758"/>
      <c r="E758">
        <v>94.297139999999999</v>
      </c>
      <c r="F758">
        <v>100.4944</v>
      </c>
      <c r="G758">
        <v>90.314409999999995</v>
      </c>
      <c r="H758"/>
      <c r="I758">
        <v>89.554680000000005</v>
      </c>
      <c r="J758">
        <v>86.756770000000003</v>
      </c>
      <c r="K758">
        <v>97.3</v>
      </c>
      <c r="L758">
        <v>94.958079999999995</v>
      </c>
      <c r="M758">
        <v>95.367609999999999</v>
      </c>
      <c r="N758">
        <v>95.2</v>
      </c>
      <c r="O758">
        <v>96.580219999999997</v>
      </c>
      <c r="P758">
        <v>95.00882</v>
      </c>
      <c r="Q758"/>
      <c r="R758">
        <v>95.972139999999996</v>
      </c>
      <c r="S758">
        <v>96.678169999999994</v>
      </c>
      <c r="T758"/>
      <c r="U758">
        <v>94.676699999999997</v>
      </c>
      <c r="V758">
        <v>94.1</v>
      </c>
      <c r="W758">
        <v>103.70269999999999</v>
      </c>
      <c r="X758">
        <v>91.359880000000004</v>
      </c>
      <c r="Y758"/>
      <c r="Z758"/>
      <c r="AA758">
        <v>96.365070000000003</v>
      </c>
      <c r="AB758">
        <v>89.240859999999998</v>
      </c>
      <c r="AC758">
        <v>97.081149999999994</v>
      </c>
      <c r="AD758">
        <v>96.511619999999994</v>
      </c>
      <c r="AE758">
        <v>97.047839999999994</v>
      </c>
      <c r="AF758">
        <v>94.121380000000002</v>
      </c>
      <c r="AG758">
        <v>93.895499999999998</v>
      </c>
      <c r="AH758">
        <v>93.057460000000006</v>
      </c>
      <c r="AI758">
        <v>96.47381</v>
      </c>
      <c r="AJ758">
        <v>90.909649999999999</v>
      </c>
      <c r="AK758">
        <v>92.813190000000006</v>
      </c>
      <c r="AL758">
        <v>92.524640000000005</v>
      </c>
      <c r="AM758">
        <v>93.994029999999995</v>
      </c>
      <c r="AN758">
        <v>94.121570000000006</v>
      </c>
      <c r="AO758">
        <v>96.674639999999997</v>
      </c>
      <c r="AP758">
        <v>98.226489999999998</v>
      </c>
      <c r="AQ758"/>
      <c r="AR758"/>
      <c r="AS758">
        <v>96.445030000000003</v>
      </c>
      <c r="AT758">
        <v>95.691599999999994</v>
      </c>
      <c r="AU758">
        <v>99.332579999999993</v>
      </c>
      <c r="AV758">
        <v>77.624660000000006</v>
      </c>
      <c r="AW758">
        <v>93.804040000000001</v>
      </c>
      <c r="AX758">
        <v>83.192859999999996</v>
      </c>
    </row>
    <row r="759" spans="1:50" x14ac:dyDescent="0.35">
      <c r="A759" s="75">
        <v>40940</v>
      </c>
      <c r="B759">
        <v>92.891760000000005</v>
      </c>
      <c r="C759">
        <v>95.422319999999999</v>
      </c>
      <c r="D759"/>
      <c r="E759">
        <v>94.64555</v>
      </c>
      <c r="F759">
        <v>100.73</v>
      </c>
      <c r="G759">
        <v>90.726759999999999</v>
      </c>
      <c r="H759"/>
      <c r="I759">
        <v>90.151439999999994</v>
      </c>
      <c r="J759">
        <v>87.42398</v>
      </c>
      <c r="K759">
        <v>97.4</v>
      </c>
      <c r="L759">
        <v>95.445239999999998</v>
      </c>
      <c r="M759">
        <v>96.508870000000002</v>
      </c>
      <c r="N759">
        <v>95.53</v>
      </c>
      <c r="O759">
        <v>96.501400000000004</v>
      </c>
      <c r="P759">
        <v>95.122330000000005</v>
      </c>
      <c r="Q759"/>
      <c r="R759">
        <v>96.344120000000004</v>
      </c>
      <c r="S759">
        <v>96.972920000000002</v>
      </c>
      <c r="T759"/>
      <c r="U759">
        <v>94.961579999999998</v>
      </c>
      <c r="V759">
        <v>94.5</v>
      </c>
      <c r="W759">
        <v>101.2889</v>
      </c>
      <c r="X759">
        <v>91.735529999999997</v>
      </c>
      <c r="Y759"/>
      <c r="Z759"/>
      <c r="AA759">
        <v>97.299359999999993</v>
      </c>
      <c r="AB759">
        <v>90.184539999999998</v>
      </c>
      <c r="AC759">
        <v>96.777460000000005</v>
      </c>
      <c r="AD759">
        <v>96.719440000000006</v>
      </c>
      <c r="AE759">
        <v>97.247810000000001</v>
      </c>
      <c r="AF759">
        <v>94.485309999999998</v>
      </c>
      <c r="AG759">
        <v>93.98</v>
      </c>
      <c r="AH759">
        <v>94.818089999999998</v>
      </c>
      <c r="AI759">
        <v>96.222290000000001</v>
      </c>
      <c r="AJ759">
        <v>91.202529999999996</v>
      </c>
      <c r="AK759">
        <v>93.289910000000006</v>
      </c>
      <c r="AL759">
        <v>93.054079999999999</v>
      </c>
      <c r="AM759">
        <v>94.246579999999994</v>
      </c>
      <c r="AN759">
        <v>94.364329999999995</v>
      </c>
      <c r="AO759">
        <v>96.935450000000003</v>
      </c>
      <c r="AP759">
        <v>98.137320000000003</v>
      </c>
      <c r="AQ759"/>
      <c r="AR759"/>
      <c r="AS759">
        <v>96.63503</v>
      </c>
      <c r="AT759">
        <v>95.8416</v>
      </c>
      <c r="AU759">
        <v>99.825190000000006</v>
      </c>
      <c r="AV759">
        <v>77.502110000000002</v>
      </c>
      <c r="AW759">
        <v>94.063280000000006</v>
      </c>
      <c r="AX759">
        <v>83.723550000000003</v>
      </c>
    </row>
    <row r="760" spans="1:50" x14ac:dyDescent="0.35">
      <c r="A760" s="75">
        <v>40969</v>
      </c>
      <c r="B760">
        <v>93.884770000000003</v>
      </c>
      <c r="C760">
        <v>95.412610000000001</v>
      </c>
      <c r="D760"/>
      <c r="E760">
        <v>94.997219999999999</v>
      </c>
      <c r="F760">
        <v>101.1782</v>
      </c>
      <c r="G760">
        <v>90.683350000000004</v>
      </c>
      <c r="H760"/>
      <c r="I760">
        <v>90.323099999999997</v>
      </c>
      <c r="J760">
        <v>87.629019999999997</v>
      </c>
      <c r="K760">
        <v>97.2</v>
      </c>
      <c r="L760">
        <v>95.881200000000007</v>
      </c>
      <c r="M760">
        <v>96.854429999999994</v>
      </c>
      <c r="N760">
        <v>96.98</v>
      </c>
      <c r="O760">
        <v>97.086789999999993</v>
      </c>
      <c r="P760">
        <v>95.973659999999995</v>
      </c>
      <c r="Q760"/>
      <c r="R760">
        <v>96.623109999999997</v>
      </c>
      <c r="S760">
        <v>97.756950000000003</v>
      </c>
      <c r="T760"/>
      <c r="U760">
        <v>95.33399</v>
      </c>
      <c r="V760">
        <v>94.8</v>
      </c>
      <c r="W760">
        <v>104.82769999999999</v>
      </c>
      <c r="X760">
        <v>92.336590000000001</v>
      </c>
      <c r="Y760"/>
      <c r="Z760"/>
      <c r="AA760">
        <v>98.322029999999998</v>
      </c>
      <c r="AB760">
        <v>91.038629999999998</v>
      </c>
      <c r="AC760">
        <v>97.081149999999994</v>
      </c>
      <c r="AD760">
        <v>97.105400000000003</v>
      </c>
      <c r="AE760">
        <v>97.460800000000006</v>
      </c>
      <c r="AF760">
        <v>94.203900000000004</v>
      </c>
      <c r="AG760">
        <v>94.860699999999994</v>
      </c>
      <c r="AH760">
        <v>94.942080000000004</v>
      </c>
      <c r="AI760">
        <v>96.722139999999996</v>
      </c>
      <c r="AJ760">
        <v>91.366820000000004</v>
      </c>
      <c r="AK760">
        <v>94.498699999999999</v>
      </c>
      <c r="AL760">
        <v>93.412199999999999</v>
      </c>
      <c r="AM760">
        <v>94.614999999999995</v>
      </c>
      <c r="AN760">
        <v>94.893320000000003</v>
      </c>
      <c r="AO760">
        <v>97.196259999999995</v>
      </c>
      <c r="AP760">
        <v>99.365899999999996</v>
      </c>
      <c r="AQ760"/>
      <c r="AR760"/>
      <c r="AS760">
        <v>96.873480000000001</v>
      </c>
      <c r="AT760">
        <v>96.951610000000002</v>
      </c>
      <c r="AU760">
        <v>100.18040000000001</v>
      </c>
      <c r="AV760">
        <v>77.771730000000005</v>
      </c>
      <c r="AW760">
        <v>94.422420000000002</v>
      </c>
      <c r="AX760">
        <v>84.787639999999996</v>
      </c>
    </row>
    <row r="761" spans="1:50" x14ac:dyDescent="0.35">
      <c r="A761" s="75">
        <v>41000</v>
      </c>
      <c r="B761">
        <v>94.245869999999996</v>
      </c>
      <c r="C761">
        <v>95.451449999999994</v>
      </c>
      <c r="D761"/>
      <c r="E761">
        <v>95.370549999999994</v>
      </c>
      <c r="F761">
        <v>101.3379</v>
      </c>
      <c r="G761">
        <v>90.846119999999999</v>
      </c>
      <c r="H761"/>
      <c r="I761">
        <v>90.502949999999998</v>
      </c>
      <c r="J761">
        <v>87.811279999999996</v>
      </c>
      <c r="K761">
        <v>97.4</v>
      </c>
      <c r="L761">
        <v>95.630200000000002</v>
      </c>
      <c r="M761">
        <v>97.014719999999997</v>
      </c>
      <c r="N761">
        <v>97.44</v>
      </c>
      <c r="O761">
        <v>98.429929999999999</v>
      </c>
      <c r="P761">
        <v>96.143929999999997</v>
      </c>
      <c r="Q761"/>
      <c r="R761">
        <v>96.995090000000005</v>
      </c>
      <c r="S761">
        <v>97.916480000000007</v>
      </c>
      <c r="T761"/>
      <c r="U761">
        <v>95.550880000000006</v>
      </c>
      <c r="V761">
        <v>95.2</v>
      </c>
      <c r="W761">
        <v>105.81780000000001</v>
      </c>
      <c r="X761">
        <v>92.787379999999999</v>
      </c>
      <c r="Y761"/>
      <c r="Z761"/>
      <c r="AA761">
        <v>97.976380000000006</v>
      </c>
      <c r="AB761">
        <v>91.647490000000005</v>
      </c>
      <c r="AC761">
        <v>97.891009999999994</v>
      </c>
      <c r="AD761">
        <v>97.473089999999999</v>
      </c>
      <c r="AE761">
        <v>97.738879999999995</v>
      </c>
      <c r="AF761">
        <v>94.176389999999998</v>
      </c>
      <c r="AG761">
        <v>95.361199999999997</v>
      </c>
      <c r="AH761">
        <v>95.090869999999995</v>
      </c>
      <c r="AI761">
        <v>97.313839999999999</v>
      </c>
      <c r="AJ761">
        <v>91.485770000000002</v>
      </c>
      <c r="AK761">
        <v>94.880160000000004</v>
      </c>
      <c r="AL761">
        <v>93.801349999999999</v>
      </c>
      <c r="AM761">
        <v>94.913910000000001</v>
      </c>
      <c r="AN761">
        <v>95.299930000000003</v>
      </c>
      <c r="AO761">
        <v>97.717889999999997</v>
      </c>
      <c r="AP761">
        <v>99.544240000000002</v>
      </c>
      <c r="AQ761"/>
      <c r="AR761"/>
      <c r="AS761">
        <v>97.349440000000001</v>
      </c>
      <c r="AT761">
        <v>97.931629999999998</v>
      </c>
      <c r="AU761">
        <v>100.57250000000001</v>
      </c>
      <c r="AV761">
        <v>79.176990000000004</v>
      </c>
      <c r="AW761">
        <v>94.656890000000004</v>
      </c>
      <c r="AX761">
        <v>84.981440000000006</v>
      </c>
    </row>
    <row r="762" spans="1:50" x14ac:dyDescent="0.35">
      <c r="A762" s="75">
        <v>41030</v>
      </c>
      <c r="B762">
        <v>94.33614</v>
      </c>
      <c r="C762">
        <v>95.69426</v>
      </c>
      <c r="D762"/>
      <c r="E762">
        <v>95.446969999999993</v>
      </c>
      <c r="F762">
        <v>101.27930000000001</v>
      </c>
      <c r="G762">
        <v>90.856970000000004</v>
      </c>
      <c r="H762"/>
      <c r="I762">
        <v>90.658270000000002</v>
      </c>
      <c r="J762">
        <v>88.437259999999995</v>
      </c>
      <c r="K762">
        <v>97.5</v>
      </c>
      <c r="L762">
        <v>95.85633</v>
      </c>
      <c r="M762">
        <v>97.281700000000001</v>
      </c>
      <c r="N762">
        <v>97.43</v>
      </c>
      <c r="O762">
        <v>98.558149999999998</v>
      </c>
      <c r="P762">
        <v>96.370959999999997</v>
      </c>
      <c r="Q762"/>
      <c r="R762">
        <v>97.274090000000001</v>
      </c>
      <c r="S762">
        <v>97.977069999999998</v>
      </c>
      <c r="T762"/>
      <c r="U762">
        <v>95.627430000000004</v>
      </c>
      <c r="V762">
        <v>95.3</v>
      </c>
      <c r="W762">
        <v>105.5716</v>
      </c>
      <c r="X762">
        <v>92.86251</v>
      </c>
      <c r="Y762"/>
      <c r="Z762"/>
      <c r="AA762">
        <v>98.016109999999998</v>
      </c>
      <c r="AB762">
        <v>91.932460000000006</v>
      </c>
      <c r="AC762">
        <v>97.891009999999994</v>
      </c>
      <c r="AD762">
        <v>97.447199999999995</v>
      </c>
      <c r="AE762">
        <v>97.539609999999996</v>
      </c>
      <c r="AF762">
        <v>94.457800000000006</v>
      </c>
      <c r="AG762">
        <v>95.714699999999993</v>
      </c>
      <c r="AH762">
        <v>95.156999999999996</v>
      </c>
      <c r="AI762">
        <v>97.39564</v>
      </c>
      <c r="AJ762">
        <v>91.71217</v>
      </c>
      <c r="AK762">
        <v>94.866659999999996</v>
      </c>
      <c r="AL762">
        <v>93.937029999999993</v>
      </c>
      <c r="AM762">
        <v>95.030379999999994</v>
      </c>
      <c r="AN762">
        <v>95.468789999999998</v>
      </c>
      <c r="AO762">
        <v>97.717889999999997</v>
      </c>
      <c r="AP762">
        <v>99.385710000000003</v>
      </c>
      <c r="AQ762"/>
      <c r="AR762"/>
      <c r="AS762">
        <v>97.418270000000007</v>
      </c>
      <c r="AT762">
        <v>98.541640000000001</v>
      </c>
      <c r="AU762">
        <v>100.6764</v>
      </c>
      <c r="AV762">
        <v>80.112470000000002</v>
      </c>
      <c r="AW762">
        <v>94.780320000000003</v>
      </c>
      <c r="AX762">
        <v>84.977919999999997</v>
      </c>
    </row>
    <row r="763" spans="1:50" x14ac:dyDescent="0.35">
      <c r="A763" s="75">
        <v>41061</v>
      </c>
      <c r="B763">
        <v>94.606960000000001</v>
      </c>
      <c r="C763">
        <v>95.781670000000005</v>
      </c>
      <c r="D763"/>
      <c r="E763">
        <v>95.142430000000004</v>
      </c>
      <c r="F763">
        <v>101.1272</v>
      </c>
      <c r="G763">
        <v>90.932929999999999</v>
      </c>
      <c r="H763"/>
      <c r="I763">
        <v>90.829939999999993</v>
      </c>
      <c r="J763">
        <v>88.445939999999993</v>
      </c>
      <c r="K763">
        <v>97.6</v>
      </c>
      <c r="L763">
        <v>95.769570000000002</v>
      </c>
      <c r="M763">
        <v>97.06071</v>
      </c>
      <c r="N763">
        <v>97.5</v>
      </c>
      <c r="O763">
        <v>98.594939999999994</v>
      </c>
      <c r="P763">
        <v>96.370959999999997</v>
      </c>
      <c r="Q763"/>
      <c r="R763">
        <v>97.460080000000005</v>
      </c>
      <c r="S763">
        <v>98.171999999999997</v>
      </c>
      <c r="T763"/>
      <c r="U763">
        <v>95.656899999999993</v>
      </c>
      <c r="V763">
        <v>95.1</v>
      </c>
      <c r="W763">
        <v>105.4798</v>
      </c>
      <c r="X763">
        <v>93.238169999999997</v>
      </c>
      <c r="Y763"/>
      <c r="Z763"/>
      <c r="AA763">
        <v>98.079319999999996</v>
      </c>
      <c r="AB763">
        <v>92.57826</v>
      </c>
      <c r="AC763">
        <v>97.891009999999994</v>
      </c>
      <c r="AD763">
        <v>97.730109999999996</v>
      </c>
      <c r="AE763">
        <v>97.295659999999998</v>
      </c>
      <c r="AF763">
        <v>94.558300000000003</v>
      </c>
      <c r="AG763">
        <v>96.069100000000006</v>
      </c>
      <c r="AH763">
        <v>95.272720000000007</v>
      </c>
      <c r="AI763">
        <v>97.489689999999996</v>
      </c>
      <c r="AJ763">
        <v>91.857619999999997</v>
      </c>
      <c r="AK763">
        <v>94.363630000000001</v>
      </c>
      <c r="AL763">
        <v>93.630589999999998</v>
      </c>
      <c r="AM763">
        <v>95.071759999999998</v>
      </c>
      <c r="AN763">
        <v>95.507980000000003</v>
      </c>
      <c r="AO763">
        <v>97.804820000000007</v>
      </c>
      <c r="AP763">
        <v>99.256910000000005</v>
      </c>
      <c r="AQ763"/>
      <c r="AR763"/>
      <c r="AS763">
        <v>97.496269999999996</v>
      </c>
      <c r="AT763">
        <v>98.391639999999995</v>
      </c>
      <c r="AU763">
        <v>100.4183</v>
      </c>
      <c r="AV763">
        <v>80.471959999999996</v>
      </c>
      <c r="AW763">
        <v>94.894660000000002</v>
      </c>
      <c r="AX763">
        <v>85.60942</v>
      </c>
    </row>
    <row r="764" spans="1:50" x14ac:dyDescent="0.35">
      <c r="A764" s="75">
        <v>41091</v>
      </c>
      <c r="B764">
        <v>94.155590000000004</v>
      </c>
      <c r="C764">
        <v>95.995339999999999</v>
      </c>
      <c r="D764"/>
      <c r="E764">
        <v>94.876009999999994</v>
      </c>
      <c r="F764">
        <v>100.5692</v>
      </c>
      <c r="G764">
        <v>90.976330000000004</v>
      </c>
      <c r="H764"/>
      <c r="I764">
        <v>91.050669999999997</v>
      </c>
      <c r="J764">
        <v>88.364570000000001</v>
      </c>
      <c r="K764">
        <v>97.8</v>
      </c>
      <c r="L764">
        <v>96.170500000000004</v>
      </c>
      <c r="M764">
        <v>96.882440000000003</v>
      </c>
      <c r="N764">
        <v>96.73</v>
      </c>
      <c r="O764">
        <v>97.732089999999999</v>
      </c>
      <c r="P764">
        <v>96.257450000000006</v>
      </c>
      <c r="Q764"/>
      <c r="R764">
        <v>97.088089999999994</v>
      </c>
      <c r="S764">
        <v>97.718999999999994</v>
      </c>
      <c r="T764"/>
      <c r="U764">
        <v>95.657380000000003</v>
      </c>
      <c r="V764">
        <v>95.2</v>
      </c>
      <c r="W764">
        <v>103.6846</v>
      </c>
      <c r="X764">
        <v>93.538700000000006</v>
      </c>
      <c r="Y764"/>
      <c r="Z764"/>
      <c r="AA764">
        <v>98.057609999999997</v>
      </c>
      <c r="AB764">
        <v>91.603160000000003</v>
      </c>
      <c r="AC764">
        <v>98.194699999999997</v>
      </c>
      <c r="AD764">
        <v>98.078460000000007</v>
      </c>
      <c r="AE764">
        <v>97.069180000000003</v>
      </c>
      <c r="AF764">
        <v>94.566760000000002</v>
      </c>
      <c r="AG764">
        <v>95.719099999999997</v>
      </c>
      <c r="AH764">
        <v>94.181619999999995</v>
      </c>
      <c r="AI764">
        <v>96.820719999999994</v>
      </c>
      <c r="AJ764">
        <v>92.098749999999995</v>
      </c>
      <c r="AK764">
        <v>95.043019999999999</v>
      </c>
      <c r="AL764">
        <v>93.531850000000006</v>
      </c>
      <c r="AM764">
        <v>95.054259999999999</v>
      </c>
      <c r="AN764">
        <v>95.442430000000002</v>
      </c>
      <c r="AO764">
        <v>97.891760000000005</v>
      </c>
      <c r="AP764">
        <v>98.92004</v>
      </c>
      <c r="AQ764"/>
      <c r="AR764"/>
      <c r="AS764">
        <v>97.673419999999993</v>
      </c>
      <c r="AT764">
        <v>97.101619999999997</v>
      </c>
      <c r="AU764">
        <v>100.11669999999999</v>
      </c>
      <c r="AV764">
        <v>80.120639999999995</v>
      </c>
      <c r="AW764">
        <v>94.900440000000003</v>
      </c>
      <c r="AX764">
        <v>85.933080000000004</v>
      </c>
    </row>
    <row r="765" spans="1:50" x14ac:dyDescent="0.35">
      <c r="A765" s="75">
        <v>41122</v>
      </c>
      <c r="B765">
        <v>94.155590000000004</v>
      </c>
      <c r="C765">
        <v>96.092460000000003</v>
      </c>
      <c r="D765"/>
      <c r="E765">
        <v>94.899600000000007</v>
      </c>
      <c r="F765">
        <v>100.35639999999999</v>
      </c>
      <c r="G765">
        <v>90.618250000000003</v>
      </c>
      <c r="H765"/>
      <c r="I765">
        <v>91.107889999999998</v>
      </c>
      <c r="J765">
        <v>89.206440000000001</v>
      </c>
      <c r="K765">
        <v>97.8</v>
      </c>
      <c r="L765">
        <v>96.352710000000002</v>
      </c>
      <c r="M765">
        <v>96.987620000000007</v>
      </c>
      <c r="N765">
        <v>96.89</v>
      </c>
      <c r="O765">
        <v>97.898139999999998</v>
      </c>
      <c r="P765">
        <v>96.427710000000005</v>
      </c>
      <c r="Q765"/>
      <c r="R765">
        <v>97.181079999999994</v>
      </c>
      <c r="S765">
        <v>98.273949999999999</v>
      </c>
      <c r="T765"/>
      <c r="U765">
        <v>95.852710000000002</v>
      </c>
      <c r="V765">
        <v>95.6</v>
      </c>
      <c r="W765">
        <v>101.7782</v>
      </c>
      <c r="X765">
        <v>93.688959999999994</v>
      </c>
      <c r="Y765"/>
      <c r="Z765"/>
      <c r="AA765">
        <v>98.371139999999997</v>
      </c>
      <c r="AB765">
        <v>91.385919999999999</v>
      </c>
      <c r="AC765">
        <v>98.802090000000007</v>
      </c>
      <c r="AD765">
        <v>98.361660000000001</v>
      </c>
      <c r="AE765">
        <v>97.2988</v>
      </c>
      <c r="AF765">
        <v>94.721220000000002</v>
      </c>
      <c r="AG765">
        <v>95.973200000000006</v>
      </c>
      <c r="AH765">
        <v>95.603359999999995</v>
      </c>
      <c r="AI765">
        <v>96.446280000000002</v>
      </c>
      <c r="AJ765">
        <v>92.305499999999995</v>
      </c>
      <c r="AK765">
        <v>95.102940000000004</v>
      </c>
      <c r="AL765">
        <v>93.010840000000002</v>
      </c>
      <c r="AM765">
        <v>95.192499999999995</v>
      </c>
      <c r="AN765">
        <v>95.585549999999998</v>
      </c>
      <c r="AO765">
        <v>97.804820000000007</v>
      </c>
      <c r="AP765">
        <v>98.414739999999995</v>
      </c>
      <c r="AQ765"/>
      <c r="AR765"/>
      <c r="AS765">
        <v>97.806430000000006</v>
      </c>
      <c r="AT765">
        <v>97.471630000000005</v>
      </c>
      <c r="AU765">
        <v>100.0162</v>
      </c>
      <c r="AV765">
        <v>79.932730000000006</v>
      </c>
      <c r="AW765">
        <v>95.02552</v>
      </c>
      <c r="AX765">
        <v>86.113590000000002</v>
      </c>
    </row>
    <row r="766" spans="1:50" x14ac:dyDescent="0.35">
      <c r="A766" s="75">
        <v>41153</v>
      </c>
      <c r="B766">
        <v>94.968059999999994</v>
      </c>
      <c r="C766">
        <v>96.092460000000003</v>
      </c>
      <c r="D766"/>
      <c r="E766">
        <v>95.214179999999999</v>
      </c>
      <c r="F766">
        <v>100.6529</v>
      </c>
      <c r="G766">
        <v>91.030590000000004</v>
      </c>
      <c r="H766"/>
      <c r="I766">
        <v>91.255039999999994</v>
      </c>
      <c r="J766">
        <v>89.4679</v>
      </c>
      <c r="K766">
        <v>97.5</v>
      </c>
      <c r="L766">
        <v>96.321839999999995</v>
      </c>
      <c r="M766">
        <v>97.345050000000001</v>
      </c>
      <c r="N766">
        <v>97.68</v>
      </c>
      <c r="O766">
        <v>98.817740000000001</v>
      </c>
      <c r="P766">
        <v>96.768240000000006</v>
      </c>
      <c r="Q766"/>
      <c r="R766">
        <v>97.460080000000005</v>
      </c>
      <c r="S766">
        <v>97.948830000000001</v>
      </c>
      <c r="T766"/>
      <c r="U766">
        <v>95.954080000000005</v>
      </c>
      <c r="V766">
        <v>95.8</v>
      </c>
      <c r="W766">
        <v>105.2346</v>
      </c>
      <c r="X766">
        <v>93.839219999999997</v>
      </c>
      <c r="Y766"/>
      <c r="Z766"/>
      <c r="AA766">
        <v>97.938739999999996</v>
      </c>
      <c r="AB766">
        <v>91.956410000000005</v>
      </c>
      <c r="AC766">
        <v>98.194699999999997</v>
      </c>
      <c r="AD766">
        <v>97.986279999999994</v>
      </c>
      <c r="AE766">
        <v>97.200829999999996</v>
      </c>
      <c r="AF766">
        <v>94.812200000000004</v>
      </c>
      <c r="AG766">
        <v>96.656800000000004</v>
      </c>
      <c r="AH766">
        <v>95.776939999999996</v>
      </c>
      <c r="AI766">
        <v>96.896850000000001</v>
      </c>
      <c r="AJ766">
        <v>92.436220000000006</v>
      </c>
      <c r="AK766">
        <v>95.498660000000001</v>
      </c>
      <c r="AL766">
        <v>94.081569999999999</v>
      </c>
      <c r="AM766">
        <v>95.356070000000003</v>
      </c>
      <c r="AN766">
        <v>95.739879999999999</v>
      </c>
      <c r="AO766">
        <v>97.804820000000007</v>
      </c>
      <c r="AP766">
        <v>99.098389999999995</v>
      </c>
      <c r="AQ766"/>
      <c r="AR766"/>
      <c r="AS766">
        <v>98.079970000000003</v>
      </c>
      <c r="AT766">
        <v>98.411640000000006</v>
      </c>
      <c r="AU766">
        <v>100.5021</v>
      </c>
      <c r="AV766">
        <v>80.087969999999999</v>
      </c>
      <c r="AW766">
        <v>95.266599999999997</v>
      </c>
      <c r="AX766">
        <v>86.37621</v>
      </c>
    </row>
    <row r="767" spans="1:50" x14ac:dyDescent="0.35">
      <c r="A767" s="75">
        <v>41183</v>
      </c>
      <c r="B767">
        <v>95.238879999999995</v>
      </c>
      <c r="C767">
        <v>96.247860000000003</v>
      </c>
      <c r="D767"/>
      <c r="E767">
        <v>95.497280000000003</v>
      </c>
      <c r="F767">
        <v>100.78279999999999</v>
      </c>
      <c r="G767">
        <v>91.030590000000004</v>
      </c>
      <c r="H767"/>
      <c r="I767">
        <v>91.385829999999999</v>
      </c>
      <c r="J767">
        <v>89.634960000000007</v>
      </c>
      <c r="K767">
        <v>97.7</v>
      </c>
      <c r="L767">
        <v>96.403059999999996</v>
      </c>
      <c r="M767">
        <v>97.44408</v>
      </c>
      <c r="N767">
        <v>97.91</v>
      </c>
      <c r="O767">
        <v>100.34059999999999</v>
      </c>
      <c r="P767">
        <v>97.052019999999999</v>
      </c>
      <c r="Q767"/>
      <c r="R767">
        <v>97.553070000000005</v>
      </c>
      <c r="S767">
        <v>98.004930000000002</v>
      </c>
      <c r="T767"/>
      <c r="U767">
        <v>96.118979999999993</v>
      </c>
      <c r="V767">
        <v>96.3</v>
      </c>
      <c r="W767">
        <v>105.4933</v>
      </c>
      <c r="X767">
        <v>93.98948</v>
      </c>
      <c r="Y767"/>
      <c r="Z767"/>
      <c r="AA767">
        <v>97.651750000000007</v>
      </c>
      <c r="AB767">
        <v>92.146249999999995</v>
      </c>
      <c r="AC767">
        <v>98.093469999999996</v>
      </c>
      <c r="AD767">
        <v>97.942760000000007</v>
      </c>
      <c r="AE767">
        <v>97.177120000000002</v>
      </c>
      <c r="AF767">
        <v>94.857699999999994</v>
      </c>
      <c r="AG767">
        <v>96.970799999999997</v>
      </c>
      <c r="AH767">
        <v>95.991849999999999</v>
      </c>
      <c r="AI767">
        <v>96.642080000000007</v>
      </c>
      <c r="AJ767">
        <v>92.623639999999995</v>
      </c>
      <c r="AK767">
        <v>95.964519999999993</v>
      </c>
      <c r="AL767">
        <v>94.196479999999994</v>
      </c>
      <c r="AM767">
        <v>95.586830000000006</v>
      </c>
      <c r="AN767">
        <v>96.088210000000004</v>
      </c>
      <c r="AO767">
        <v>98.065640000000002</v>
      </c>
      <c r="AP767">
        <v>99.50461</v>
      </c>
      <c r="AQ767"/>
      <c r="AR767"/>
      <c r="AS767">
        <v>98.459469999999996</v>
      </c>
      <c r="AT767">
        <v>98.901650000000004</v>
      </c>
      <c r="AU767">
        <v>100.51220000000001</v>
      </c>
      <c r="AV767">
        <v>81.039789999999996</v>
      </c>
      <c r="AW767">
        <v>95.471350000000001</v>
      </c>
      <c r="AX767">
        <v>86.59357</v>
      </c>
    </row>
    <row r="768" spans="1:50" x14ac:dyDescent="0.35">
      <c r="A768" s="75">
        <v>41214</v>
      </c>
      <c r="B768">
        <v>95.419430000000006</v>
      </c>
      <c r="C768">
        <v>96.296419999999998</v>
      </c>
      <c r="D768"/>
      <c r="E768">
        <v>95.590119999999999</v>
      </c>
      <c r="F768">
        <v>100.7196</v>
      </c>
      <c r="G768">
        <v>91.052289999999999</v>
      </c>
      <c r="H768"/>
      <c r="I768">
        <v>91.483919999999998</v>
      </c>
      <c r="J768">
        <v>90.367260000000002</v>
      </c>
      <c r="K768">
        <v>97.5</v>
      </c>
      <c r="L768">
        <v>96.533869999999993</v>
      </c>
      <c r="M768">
        <v>97.261250000000004</v>
      </c>
      <c r="N768">
        <v>97.76</v>
      </c>
      <c r="O768">
        <v>100.5382</v>
      </c>
      <c r="P768">
        <v>96.825000000000003</v>
      </c>
      <c r="Q768"/>
      <c r="R768">
        <v>97.274090000000001</v>
      </c>
      <c r="S768">
        <v>97.938180000000003</v>
      </c>
      <c r="T768"/>
      <c r="U768">
        <v>96.096429999999998</v>
      </c>
      <c r="V768">
        <v>96.4</v>
      </c>
      <c r="W768">
        <v>105.1666</v>
      </c>
      <c r="X768">
        <v>94.139750000000006</v>
      </c>
      <c r="Y768"/>
      <c r="Z768"/>
      <c r="AA768">
        <v>97.433440000000004</v>
      </c>
      <c r="AB768">
        <v>92.596670000000003</v>
      </c>
      <c r="AC768">
        <v>97.891009999999994</v>
      </c>
      <c r="AD768">
        <v>97.770809999999997</v>
      </c>
      <c r="AE768">
        <v>96.95438</v>
      </c>
      <c r="AF768">
        <v>95.002629999999996</v>
      </c>
      <c r="AG768">
        <v>96.868799999999993</v>
      </c>
      <c r="AH768">
        <v>96.173699999999997</v>
      </c>
      <c r="AI768">
        <v>96.670090000000002</v>
      </c>
      <c r="AJ768">
        <v>92.615309999999994</v>
      </c>
      <c r="AK768">
        <v>95.591790000000003</v>
      </c>
      <c r="AL768">
        <v>94.257480000000001</v>
      </c>
      <c r="AM768">
        <v>95.595600000000005</v>
      </c>
      <c r="AN768">
        <v>96.148120000000006</v>
      </c>
      <c r="AO768">
        <v>98.152569999999997</v>
      </c>
      <c r="AP768">
        <v>99.484790000000004</v>
      </c>
      <c r="AQ768"/>
      <c r="AR768"/>
      <c r="AS768">
        <v>98.519909999999996</v>
      </c>
      <c r="AT768">
        <v>99.271649999999994</v>
      </c>
      <c r="AU768">
        <v>100.27419999999999</v>
      </c>
      <c r="AV768">
        <v>81.6648</v>
      </c>
      <c r="AW768">
        <v>95.465980000000002</v>
      </c>
      <c r="AX768">
        <v>86.633470000000003</v>
      </c>
    </row>
    <row r="769" spans="1:50" x14ac:dyDescent="0.35">
      <c r="A769" s="75">
        <v>41244</v>
      </c>
      <c r="B769">
        <v>95.599980000000002</v>
      </c>
      <c r="C769">
        <v>96.40325</v>
      </c>
      <c r="D769"/>
      <c r="E769">
        <v>95.083179999999999</v>
      </c>
      <c r="F769">
        <v>100.501</v>
      </c>
      <c r="G769">
        <v>91.334429999999998</v>
      </c>
      <c r="H769"/>
      <c r="I769">
        <v>91.671940000000006</v>
      </c>
      <c r="J769">
        <v>90.91404</v>
      </c>
      <c r="K769">
        <v>97.3</v>
      </c>
      <c r="L769">
        <v>96.927090000000007</v>
      </c>
      <c r="M769">
        <v>97.157200000000003</v>
      </c>
      <c r="N769">
        <v>98.26</v>
      </c>
      <c r="O769">
        <v>100.5487</v>
      </c>
      <c r="P769">
        <v>96.881749999999997</v>
      </c>
      <c r="Q769"/>
      <c r="R769">
        <v>97.367080000000001</v>
      </c>
      <c r="S769">
        <v>98.361170000000001</v>
      </c>
      <c r="T769"/>
      <c r="U769">
        <v>96.090540000000004</v>
      </c>
      <c r="V769">
        <v>96.6</v>
      </c>
      <c r="W769">
        <v>104.8909</v>
      </c>
      <c r="X769">
        <v>94.290009999999995</v>
      </c>
      <c r="Y769"/>
      <c r="Z769"/>
      <c r="AA769">
        <v>97.585719999999995</v>
      </c>
      <c r="AB769">
        <v>92.7637</v>
      </c>
      <c r="AC769">
        <v>98.093469999999996</v>
      </c>
      <c r="AD769">
        <v>98.006190000000004</v>
      </c>
      <c r="AE769">
        <v>96.758139999999997</v>
      </c>
      <c r="AF769">
        <v>95.147570000000002</v>
      </c>
      <c r="AG769">
        <v>96.709400000000002</v>
      </c>
      <c r="AH769">
        <v>96.033180000000002</v>
      </c>
      <c r="AI769">
        <v>96.449740000000006</v>
      </c>
      <c r="AJ769">
        <v>92.663799999999995</v>
      </c>
      <c r="AK769">
        <v>95.320660000000004</v>
      </c>
      <c r="AL769">
        <v>94.35145</v>
      </c>
      <c r="AM769">
        <v>95.599369999999993</v>
      </c>
      <c r="AN769">
        <v>96.312219999999996</v>
      </c>
      <c r="AO769">
        <v>98.065640000000002</v>
      </c>
      <c r="AP769">
        <v>99.613590000000002</v>
      </c>
      <c r="AQ769"/>
      <c r="AR769"/>
      <c r="AS769">
        <v>98.481700000000004</v>
      </c>
      <c r="AT769">
        <v>98.821650000000005</v>
      </c>
      <c r="AU769">
        <v>100.4284</v>
      </c>
      <c r="AV769">
        <v>81.668890000000005</v>
      </c>
      <c r="AW769">
        <v>95.371039999999994</v>
      </c>
      <c r="AX769">
        <v>86.993070000000003</v>
      </c>
    </row>
    <row r="770" spans="1:50" x14ac:dyDescent="0.35">
      <c r="A770" s="75">
        <v>41275</v>
      </c>
      <c r="B770">
        <v>94.787509999999997</v>
      </c>
      <c r="C770">
        <v>96.160449999999997</v>
      </c>
      <c r="D770"/>
      <c r="E770">
        <v>95.068470000000005</v>
      </c>
      <c r="F770">
        <v>100.107</v>
      </c>
      <c r="G770">
        <v>91.334429999999998</v>
      </c>
      <c r="H770"/>
      <c r="I770">
        <v>91.949889999999996</v>
      </c>
      <c r="J770">
        <v>91.794960000000003</v>
      </c>
      <c r="K770">
        <v>98.1</v>
      </c>
      <c r="L770">
        <v>95.953379999999996</v>
      </c>
      <c r="M770">
        <v>96.496809999999996</v>
      </c>
      <c r="N770">
        <v>96.47</v>
      </c>
      <c r="O770">
        <v>98.380539999999996</v>
      </c>
      <c r="P770">
        <v>96.370959999999997</v>
      </c>
      <c r="Q770"/>
      <c r="R770">
        <v>97.088089999999994</v>
      </c>
      <c r="S770">
        <v>97.565659999999994</v>
      </c>
      <c r="T770"/>
      <c r="U770">
        <v>95.998679999999993</v>
      </c>
      <c r="V770">
        <v>95.9</v>
      </c>
      <c r="W770">
        <v>102.49169999999999</v>
      </c>
      <c r="X770">
        <v>94.815929999999994</v>
      </c>
      <c r="Y770"/>
      <c r="Z770"/>
      <c r="AA770">
        <v>97.000069999999994</v>
      </c>
      <c r="AB770">
        <v>92.822850000000003</v>
      </c>
      <c r="AC770">
        <v>97.789770000000004</v>
      </c>
      <c r="AD770">
        <v>98.057720000000003</v>
      </c>
      <c r="AE770">
        <v>96.433269999999993</v>
      </c>
      <c r="AF770">
        <v>95.529480000000007</v>
      </c>
      <c r="AG770">
        <v>96.143900000000002</v>
      </c>
      <c r="AH770">
        <v>94.900750000000002</v>
      </c>
      <c r="AI770">
        <v>95.939980000000006</v>
      </c>
      <c r="AJ770">
        <v>93.081379999999996</v>
      </c>
      <c r="AK770">
        <v>95.324579999999997</v>
      </c>
      <c r="AL770">
        <v>93.825829999999996</v>
      </c>
      <c r="AM770">
        <v>95.499920000000003</v>
      </c>
      <c r="AN770">
        <v>95.740989999999996</v>
      </c>
      <c r="AO770">
        <v>97.978700000000003</v>
      </c>
      <c r="AP770">
        <v>97.899540000000002</v>
      </c>
      <c r="AQ770"/>
      <c r="AR770"/>
      <c r="AS770">
        <v>98.745069999999998</v>
      </c>
      <c r="AT770">
        <v>97.171620000000004</v>
      </c>
      <c r="AU770">
        <v>99.161670000000001</v>
      </c>
      <c r="AV770">
        <v>82.571690000000004</v>
      </c>
      <c r="AW770">
        <v>95.610050000000001</v>
      </c>
      <c r="AX770">
        <v>87.256619999999998</v>
      </c>
    </row>
    <row r="771" spans="1:50" x14ac:dyDescent="0.35">
      <c r="A771" s="75">
        <v>41306</v>
      </c>
      <c r="B771">
        <v>95.058329999999998</v>
      </c>
      <c r="C771">
        <v>96.568359999999998</v>
      </c>
      <c r="D771"/>
      <c r="E771">
        <v>95.623559999999998</v>
      </c>
      <c r="F771">
        <v>100.3194</v>
      </c>
      <c r="G771">
        <v>91.453789999999998</v>
      </c>
      <c r="H771"/>
      <c r="I771">
        <v>92.473079999999996</v>
      </c>
      <c r="J771">
        <v>92.448059999999998</v>
      </c>
      <c r="K771">
        <v>98.2</v>
      </c>
      <c r="L771">
        <v>96.495350000000002</v>
      </c>
      <c r="M771">
        <v>97.709239999999994</v>
      </c>
      <c r="N771">
        <v>96.76</v>
      </c>
      <c r="O771">
        <v>98.374229999999997</v>
      </c>
      <c r="P771">
        <v>96.484470000000002</v>
      </c>
      <c r="Q771"/>
      <c r="R771">
        <v>97.274090000000001</v>
      </c>
      <c r="S771">
        <v>97.763109999999998</v>
      </c>
      <c r="T771"/>
      <c r="U771">
        <v>96.296710000000004</v>
      </c>
      <c r="V771">
        <v>96.4</v>
      </c>
      <c r="W771">
        <v>99.963759999999994</v>
      </c>
      <c r="X771">
        <v>95.416979999999995</v>
      </c>
      <c r="Y771"/>
      <c r="Z771"/>
      <c r="AA771">
        <v>97.890389999999996</v>
      </c>
      <c r="AB771">
        <v>94.294939999999997</v>
      </c>
      <c r="AC771">
        <v>97.38485</v>
      </c>
      <c r="AD771">
        <v>98.088070000000002</v>
      </c>
      <c r="AE771">
        <v>96.363560000000007</v>
      </c>
      <c r="AF771">
        <v>95.774919999999995</v>
      </c>
      <c r="AG771">
        <v>96.005899999999997</v>
      </c>
      <c r="AH771">
        <v>96.950689999999994</v>
      </c>
      <c r="AI771">
        <v>95.931790000000007</v>
      </c>
      <c r="AJ771">
        <v>93.663830000000004</v>
      </c>
      <c r="AK771">
        <v>95.974429999999998</v>
      </c>
      <c r="AL771">
        <v>94.428830000000005</v>
      </c>
      <c r="AM771">
        <v>95.768060000000006</v>
      </c>
      <c r="AN771">
        <v>95.977279999999993</v>
      </c>
      <c r="AO771">
        <v>97.891760000000005</v>
      </c>
      <c r="AP771">
        <v>97.67165</v>
      </c>
      <c r="AQ771"/>
      <c r="AR771"/>
      <c r="AS771">
        <v>98.769540000000006</v>
      </c>
      <c r="AT771">
        <v>97.561620000000005</v>
      </c>
      <c r="AU771">
        <v>99.607370000000003</v>
      </c>
      <c r="AV771">
        <v>82.579859999999996</v>
      </c>
      <c r="AW771">
        <v>95.948549999999997</v>
      </c>
      <c r="AX771">
        <v>88.244280000000003</v>
      </c>
    </row>
    <row r="772" spans="1:50" x14ac:dyDescent="0.35">
      <c r="A772" s="75">
        <v>41334</v>
      </c>
      <c r="B772">
        <v>96.231899999999996</v>
      </c>
      <c r="C772">
        <v>96.752889999999994</v>
      </c>
      <c r="D772"/>
      <c r="E772">
        <v>95.937560000000005</v>
      </c>
      <c r="F772">
        <v>100.5872</v>
      </c>
      <c r="G772">
        <v>91.692509999999999</v>
      </c>
      <c r="H772"/>
      <c r="I772">
        <v>92.742840000000001</v>
      </c>
      <c r="J772">
        <v>92.568479999999994</v>
      </c>
      <c r="K772">
        <v>98.1</v>
      </c>
      <c r="L772">
        <v>97.177779999999998</v>
      </c>
      <c r="M772">
        <v>98.089560000000006</v>
      </c>
      <c r="N772">
        <v>98.42</v>
      </c>
      <c r="O772">
        <v>99.037400000000005</v>
      </c>
      <c r="P772">
        <v>97.449309999999997</v>
      </c>
      <c r="Q772"/>
      <c r="R772">
        <v>97.739069999999998</v>
      </c>
      <c r="S772">
        <v>98.654839999999993</v>
      </c>
      <c r="T772"/>
      <c r="U772">
        <v>96.659710000000004</v>
      </c>
      <c r="V772">
        <v>96.8</v>
      </c>
      <c r="W772">
        <v>103.39019999999999</v>
      </c>
      <c r="X772">
        <v>95.792640000000006</v>
      </c>
      <c r="Y772"/>
      <c r="Z772"/>
      <c r="AA772">
        <v>98.447299999999998</v>
      </c>
      <c r="AB772">
        <v>94.724620000000002</v>
      </c>
      <c r="AC772">
        <v>97.688550000000006</v>
      </c>
      <c r="AD772">
        <v>98.293030000000002</v>
      </c>
      <c r="AE772">
        <v>96.776139999999998</v>
      </c>
      <c r="AF772">
        <v>95.638440000000003</v>
      </c>
      <c r="AG772">
        <v>96.697800000000001</v>
      </c>
      <c r="AH772">
        <v>96.983760000000004</v>
      </c>
      <c r="AI772">
        <v>96.724140000000006</v>
      </c>
      <c r="AJ772">
        <v>93.970230000000001</v>
      </c>
      <c r="AK772">
        <v>97.281040000000004</v>
      </c>
      <c r="AL772">
        <v>94.748679999999993</v>
      </c>
      <c r="AM772">
        <v>96.148859999999999</v>
      </c>
      <c r="AN772">
        <v>96.575000000000003</v>
      </c>
      <c r="AO772">
        <v>98.152569999999997</v>
      </c>
      <c r="AP772">
        <v>99.722579999999994</v>
      </c>
      <c r="AQ772"/>
      <c r="AR772"/>
      <c r="AS772">
        <v>98.891270000000006</v>
      </c>
      <c r="AT772">
        <v>98.101640000000003</v>
      </c>
      <c r="AU772">
        <v>100.18040000000001</v>
      </c>
      <c r="AV772">
        <v>82.857650000000007</v>
      </c>
      <c r="AW772">
        <v>96.204480000000004</v>
      </c>
      <c r="AX772">
        <v>89.258409999999998</v>
      </c>
    </row>
    <row r="773" spans="1:50" x14ac:dyDescent="0.35">
      <c r="A773" s="75">
        <v>41365</v>
      </c>
      <c r="B773">
        <v>96.231899999999996</v>
      </c>
      <c r="C773">
        <v>96.568359999999998</v>
      </c>
      <c r="D773"/>
      <c r="E773">
        <v>95.907929999999993</v>
      </c>
      <c r="F773">
        <v>100.73990000000001</v>
      </c>
      <c r="G773">
        <v>91.562299999999993</v>
      </c>
      <c r="H773"/>
      <c r="I773">
        <v>92.889979999999994</v>
      </c>
      <c r="J773">
        <v>92.55547</v>
      </c>
      <c r="K773">
        <v>98.4</v>
      </c>
      <c r="L773">
        <v>96.518860000000004</v>
      </c>
      <c r="M773">
        <v>98.124390000000005</v>
      </c>
      <c r="N773">
        <v>98.39</v>
      </c>
      <c r="O773">
        <v>100.01900000000001</v>
      </c>
      <c r="P773">
        <v>97.506069999999994</v>
      </c>
      <c r="Q773"/>
      <c r="R773">
        <v>98.018050000000002</v>
      </c>
      <c r="S773">
        <v>98.519630000000006</v>
      </c>
      <c r="T773"/>
      <c r="U773">
        <v>96.701939999999993</v>
      </c>
      <c r="V773">
        <v>96.9</v>
      </c>
      <c r="W773">
        <v>104.1443</v>
      </c>
      <c r="X773">
        <v>96.168300000000002</v>
      </c>
      <c r="Y773"/>
      <c r="Z773"/>
      <c r="AA773">
        <v>98.415559999999999</v>
      </c>
      <c r="AB773">
        <v>95.156210000000002</v>
      </c>
      <c r="AC773">
        <v>98.194699999999997</v>
      </c>
      <c r="AD773">
        <v>98.514859999999999</v>
      </c>
      <c r="AE773">
        <v>97.162210000000002</v>
      </c>
      <c r="AF773">
        <v>95.574969999999993</v>
      </c>
      <c r="AG773">
        <v>97.042900000000003</v>
      </c>
      <c r="AH773">
        <v>97.124279999999999</v>
      </c>
      <c r="AI773">
        <v>96.979190000000003</v>
      </c>
      <c r="AJ773">
        <v>94.223879999999994</v>
      </c>
      <c r="AK773">
        <v>97.562510000000003</v>
      </c>
      <c r="AL773">
        <v>95.162959999999998</v>
      </c>
      <c r="AM773">
        <v>96.295389999999998</v>
      </c>
      <c r="AN773">
        <v>96.733860000000007</v>
      </c>
      <c r="AO773">
        <v>98.761139999999997</v>
      </c>
      <c r="AP773">
        <v>99.851380000000006</v>
      </c>
      <c r="AQ773"/>
      <c r="AR773"/>
      <c r="AS773">
        <v>99.002350000000007</v>
      </c>
      <c r="AT773">
        <v>98.991650000000007</v>
      </c>
      <c r="AU773">
        <v>100.00279999999999</v>
      </c>
      <c r="AV773">
        <v>84.042320000000004</v>
      </c>
      <c r="AW773">
        <v>96.280439999999999</v>
      </c>
      <c r="AX773">
        <v>89.424819999999997</v>
      </c>
    </row>
    <row r="774" spans="1:50" x14ac:dyDescent="0.35">
      <c r="A774" s="75">
        <v>41395</v>
      </c>
      <c r="B774">
        <v>96.502719999999997</v>
      </c>
      <c r="C774">
        <v>96.937420000000003</v>
      </c>
      <c r="D774"/>
      <c r="E774">
        <v>96.026830000000004</v>
      </c>
      <c r="F774">
        <v>100.89279999999999</v>
      </c>
      <c r="G774">
        <v>91.649109999999993</v>
      </c>
      <c r="H774"/>
      <c r="I774">
        <v>93.094359999999995</v>
      </c>
      <c r="J774">
        <v>92.765929999999997</v>
      </c>
      <c r="K774">
        <v>98.1</v>
      </c>
      <c r="L774">
        <v>96.948840000000004</v>
      </c>
      <c r="M774">
        <v>98.217910000000003</v>
      </c>
      <c r="N774">
        <v>98.59</v>
      </c>
      <c r="O774">
        <v>100.32689999999999</v>
      </c>
      <c r="P774">
        <v>97.846599999999995</v>
      </c>
      <c r="Q774"/>
      <c r="R774">
        <v>98.018050000000002</v>
      </c>
      <c r="S774">
        <v>98.723309999999998</v>
      </c>
      <c r="T774"/>
      <c r="U774">
        <v>96.843069999999997</v>
      </c>
      <c r="V774">
        <v>97.2</v>
      </c>
      <c r="W774">
        <v>103.83799999999999</v>
      </c>
      <c r="X774">
        <v>96.24342</v>
      </c>
      <c r="Y774"/>
      <c r="Z774"/>
      <c r="AA774">
        <v>98.535169999999994</v>
      </c>
      <c r="AB774">
        <v>95.208529999999996</v>
      </c>
      <c r="AC774">
        <v>98.39716</v>
      </c>
      <c r="AD774">
        <v>98.57996</v>
      </c>
      <c r="AE774">
        <v>97.232659999999996</v>
      </c>
      <c r="AF774">
        <v>95.937839999999994</v>
      </c>
      <c r="AG774">
        <v>97.3566</v>
      </c>
      <c r="AH774">
        <v>97.19041</v>
      </c>
      <c r="AI774">
        <v>97.24033</v>
      </c>
      <c r="AJ774">
        <v>94.443219999999997</v>
      </c>
      <c r="AK774">
        <v>97.595079999999996</v>
      </c>
      <c r="AL774">
        <v>95.428700000000006</v>
      </c>
      <c r="AM774">
        <v>96.470339999999993</v>
      </c>
      <c r="AN774">
        <v>97.019880000000001</v>
      </c>
      <c r="AO774">
        <v>98.674199999999999</v>
      </c>
      <c r="AP774">
        <v>99.920739999999995</v>
      </c>
      <c r="AQ774"/>
      <c r="AR774"/>
      <c r="AS774">
        <v>99.051349999999999</v>
      </c>
      <c r="AT774">
        <v>99.301659999999998</v>
      </c>
      <c r="AU774">
        <v>100.1435</v>
      </c>
      <c r="AV774">
        <v>85.079930000000004</v>
      </c>
      <c r="AW774">
        <v>96.373729999999995</v>
      </c>
      <c r="AX774">
        <v>89.470169999999996</v>
      </c>
    </row>
    <row r="775" spans="1:50" x14ac:dyDescent="0.35">
      <c r="A775" s="75">
        <v>41426</v>
      </c>
      <c r="B775">
        <v>96.412450000000007</v>
      </c>
      <c r="C775">
        <v>97.11224</v>
      </c>
      <c r="D775"/>
      <c r="E775">
        <v>95.79177</v>
      </c>
      <c r="F775">
        <v>100.902</v>
      </c>
      <c r="G775">
        <v>91.638260000000002</v>
      </c>
      <c r="H775"/>
      <c r="I775">
        <v>93.331429999999997</v>
      </c>
      <c r="J775">
        <v>92.914559999999994</v>
      </c>
      <c r="K775">
        <v>98</v>
      </c>
      <c r="L775">
        <v>97.026309999999995</v>
      </c>
      <c r="M775">
        <v>98.066490000000002</v>
      </c>
      <c r="N775">
        <v>98.63</v>
      </c>
      <c r="O775">
        <v>100.3122</v>
      </c>
      <c r="P775">
        <v>98.130380000000002</v>
      </c>
      <c r="Q775"/>
      <c r="R775">
        <v>98.018050000000002</v>
      </c>
      <c r="S775">
        <v>98.837720000000004</v>
      </c>
      <c r="T775"/>
      <c r="U775">
        <v>96.886830000000003</v>
      </c>
      <c r="V775">
        <v>97.1</v>
      </c>
      <c r="W775">
        <v>103.5264</v>
      </c>
      <c r="X775">
        <v>96.468819999999994</v>
      </c>
      <c r="Y775"/>
      <c r="Z775"/>
      <c r="AA775">
        <v>98.67062</v>
      </c>
      <c r="AB775">
        <v>95.703130000000002</v>
      </c>
      <c r="AC775">
        <v>99.004549999999995</v>
      </c>
      <c r="AD775">
        <v>98.800669999999997</v>
      </c>
      <c r="AE775">
        <v>97.172920000000005</v>
      </c>
      <c r="AF775">
        <v>95.992850000000004</v>
      </c>
      <c r="AG775">
        <v>97.493399999999994</v>
      </c>
      <c r="AH775">
        <v>97.397049999999993</v>
      </c>
      <c r="AI775">
        <v>97.025199999999998</v>
      </c>
      <c r="AJ775">
        <v>94.644009999999994</v>
      </c>
      <c r="AK775">
        <v>97.110690000000005</v>
      </c>
      <c r="AL775">
        <v>95.13946</v>
      </c>
      <c r="AM775">
        <v>96.519120000000001</v>
      </c>
      <c r="AN775">
        <v>97.06362</v>
      </c>
      <c r="AO775">
        <v>98.674199999999999</v>
      </c>
      <c r="AP775">
        <v>99.891009999999994</v>
      </c>
      <c r="AQ775"/>
      <c r="AR775"/>
      <c r="AS775">
        <v>98.953509999999994</v>
      </c>
      <c r="AT775">
        <v>99.531660000000002</v>
      </c>
      <c r="AU775">
        <v>100.0061</v>
      </c>
      <c r="AV775">
        <v>85.3904</v>
      </c>
      <c r="AW775">
        <v>96.447209999999998</v>
      </c>
      <c r="AX775">
        <v>89.991810000000001</v>
      </c>
    </row>
    <row r="776" spans="1:50" x14ac:dyDescent="0.35">
      <c r="A776" s="75">
        <v>41456</v>
      </c>
      <c r="B776">
        <v>95.870800000000003</v>
      </c>
      <c r="C776">
        <v>97.355050000000006</v>
      </c>
      <c r="D776"/>
      <c r="E776">
        <v>95.689319999999995</v>
      </c>
      <c r="F776">
        <v>100.25960000000001</v>
      </c>
      <c r="G776">
        <v>91.779319999999998</v>
      </c>
      <c r="H776"/>
      <c r="I776">
        <v>93.552149999999997</v>
      </c>
      <c r="J776">
        <v>93.238939999999999</v>
      </c>
      <c r="K776">
        <v>98.2</v>
      </c>
      <c r="L776">
        <v>97.488420000000005</v>
      </c>
      <c r="M776">
        <v>97.718969999999999</v>
      </c>
      <c r="N776">
        <v>97.78</v>
      </c>
      <c r="O776">
        <v>98.980639999999994</v>
      </c>
      <c r="P776">
        <v>98.016869999999997</v>
      </c>
      <c r="Q776"/>
      <c r="R776">
        <v>97.925060000000002</v>
      </c>
      <c r="S776">
        <v>98.56277</v>
      </c>
      <c r="T776"/>
      <c r="U776">
        <v>96.945080000000004</v>
      </c>
      <c r="V776">
        <v>97</v>
      </c>
      <c r="W776">
        <v>101.4405</v>
      </c>
      <c r="X776">
        <v>96.468819999999994</v>
      </c>
      <c r="Y776"/>
      <c r="Z776"/>
      <c r="AA776">
        <v>98.396720000000002</v>
      </c>
      <c r="AB776">
        <v>95.176569999999998</v>
      </c>
      <c r="AC776">
        <v>99.308250000000001</v>
      </c>
      <c r="AD776">
        <v>99.035229999999999</v>
      </c>
      <c r="AE776">
        <v>97.147059999999996</v>
      </c>
      <c r="AF776">
        <v>96.010829999999999</v>
      </c>
      <c r="AG776">
        <v>96.840100000000007</v>
      </c>
      <c r="AH776">
        <v>95.983580000000003</v>
      </c>
      <c r="AI776">
        <v>96.902150000000006</v>
      </c>
      <c r="AJ776">
        <v>94.698880000000003</v>
      </c>
      <c r="AK776">
        <v>98.132639999999995</v>
      </c>
      <c r="AL776">
        <v>95.143349999999998</v>
      </c>
      <c r="AM776">
        <v>96.551339999999996</v>
      </c>
      <c r="AN776">
        <v>97.025739999999999</v>
      </c>
      <c r="AO776">
        <v>99.282769999999999</v>
      </c>
      <c r="AP776">
        <v>99.375810000000001</v>
      </c>
      <c r="AQ776"/>
      <c r="AR776"/>
      <c r="AS776">
        <v>98.985600000000005</v>
      </c>
      <c r="AT776">
        <v>98.981650000000002</v>
      </c>
      <c r="AU776">
        <v>99.627470000000002</v>
      </c>
      <c r="AV776">
        <v>85.517039999999994</v>
      </c>
      <c r="AW776">
        <v>96.509960000000007</v>
      </c>
      <c r="AX776">
        <v>90.348770000000002</v>
      </c>
    </row>
    <row r="777" spans="1:50" x14ac:dyDescent="0.35">
      <c r="A777" s="75">
        <v>41487</v>
      </c>
      <c r="B777">
        <v>96.051349999999999</v>
      </c>
      <c r="C777">
        <v>97.432739999999995</v>
      </c>
      <c r="D777"/>
      <c r="E777">
        <v>95.777060000000006</v>
      </c>
      <c r="F777">
        <v>100.26949999999999</v>
      </c>
      <c r="G777">
        <v>91.692509999999999</v>
      </c>
      <c r="H777"/>
      <c r="I777">
        <v>93.609369999999998</v>
      </c>
      <c r="J777">
        <v>93.334400000000002</v>
      </c>
      <c r="K777">
        <v>98.2</v>
      </c>
      <c r="L777">
        <v>97.624170000000007</v>
      </c>
      <c r="M777">
        <v>97.87379</v>
      </c>
      <c r="N777">
        <v>97.96</v>
      </c>
      <c r="O777">
        <v>99.095200000000006</v>
      </c>
      <c r="P777">
        <v>98.187129999999996</v>
      </c>
      <c r="Q777"/>
      <c r="R777">
        <v>97.925060000000002</v>
      </c>
      <c r="S777">
        <v>99.10745</v>
      </c>
      <c r="T777"/>
      <c r="U777">
        <v>97.177350000000004</v>
      </c>
      <c r="V777">
        <v>97.3</v>
      </c>
      <c r="W777">
        <v>99.178179999999998</v>
      </c>
      <c r="X777">
        <v>96.318560000000005</v>
      </c>
      <c r="Y777"/>
      <c r="Z777"/>
      <c r="AA777">
        <v>98.557280000000006</v>
      </c>
      <c r="AB777">
        <v>95.484700000000004</v>
      </c>
      <c r="AC777">
        <v>99.510710000000003</v>
      </c>
      <c r="AD777">
        <v>99.534199999999998</v>
      </c>
      <c r="AE777">
        <v>97.352940000000004</v>
      </c>
      <c r="AF777">
        <v>95.965339999999998</v>
      </c>
      <c r="AG777">
        <v>97.057599999999994</v>
      </c>
      <c r="AH777">
        <v>97.678089999999997</v>
      </c>
      <c r="AI777">
        <v>96.579179999999994</v>
      </c>
      <c r="AJ777">
        <v>94.806640000000002</v>
      </c>
      <c r="AK777">
        <v>98.056150000000002</v>
      </c>
      <c r="AL777">
        <v>95.165180000000007</v>
      </c>
      <c r="AM777">
        <v>96.71284</v>
      </c>
      <c r="AN777">
        <v>97.189710000000005</v>
      </c>
      <c r="AO777">
        <v>99.195819999999998</v>
      </c>
      <c r="AP777">
        <v>98.464280000000002</v>
      </c>
      <c r="AQ777"/>
      <c r="AR777"/>
      <c r="AS777">
        <v>99.048950000000005</v>
      </c>
      <c r="AT777">
        <v>99.391649999999998</v>
      </c>
      <c r="AU777">
        <v>99.858699999999999</v>
      </c>
      <c r="AV777">
        <v>85.57423</v>
      </c>
      <c r="AW777">
        <v>96.70232</v>
      </c>
      <c r="AX777">
        <v>90.540869999999998</v>
      </c>
    </row>
    <row r="778" spans="1:50" x14ac:dyDescent="0.35">
      <c r="A778" s="75">
        <v>41518</v>
      </c>
      <c r="B778">
        <v>96.863810000000001</v>
      </c>
      <c r="C778">
        <v>97.432739999999995</v>
      </c>
      <c r="D778"/>
      <c r="E778">
        <v>96.163669999999996</v>
      </c>
      <c r="F778">
        <v>100.51479999999999</v>
      </c>
      <c r="G778">
        <v>92.343580000000003</v>
      </c>
      <c r="H778"/>
      <c r="I778">
        <v>93.707470000000001</v>
      </c>
      <c r="J778">
        <v>93.419030000000006</v>
      </c>
      <c r="K778">
        <v>97.8</v>
      </c>
      <c r="L778">
        <v>97.604550000000003</v>
      </c>
      <c r="M778">
        <v>98.153059999999996</v>
      </c>
      <c r="N778">
        <v>98.67</v>
      </c>
      <c r="O778">
        <v>99.097309999999993</v>
      </c>
      <c r="P778">
        <v>97.903360000000006</v>
      </c>
      <c r="Q778"/>
      <c r="R778">
        <v>98.390039999999999</v>
      </c>
      <c r="S778">
        <v>98.820430000000002</v>
      </c>
      <c r="T778"/>
      <c r="U778">
        <v>97.294460000000001</v>
      </c>
      <c r="V778">
        <v>97.7</v>
      </c>
      <c r="W778">
        <v>102.8908</v>
      </c>
      <c r="X778">
        <v>96.994739999999993</v>
      </c>
      <c r="Y778"/>
      <c r="Z778"/>
      <c r="AA778">
        <v>98.38691</v>
      </c>
      <c r="AB778">
        <v>95.966059999999999</v>
      </c>
      <c r="AC778">
        <v>99.20702</v>
      </c>
      <c r="AD778">
        <v>99.145120000000006</v>
      </c>
      <c r="AE778">
        <v>97.326549999999997</v>
      </c>
      <c r="AF778">
        <v>96.256270000000001</v>
      </c>
      <c r="AG778">
        <v>97.662899999999993</v>
      </c>
      <c r="AH778">
        <v>97.678089999999997</v>
      </c>
      <c r="AI778">
        <v>97.162040000000005</v>
      </c>
      <c r="AJ778">
        <v>95.118579999999994</v>
      </c>
      <c r="AK778">
        <v>98.231999999999999</v>
      </c>
      <c r="AL778">
        <v>95.588909999999998</v>
      </c>
      <c r="AM778">
        <v>96.884690000000006</v>
      </c>
      <c r="AN778">
        <v>97.330119999999994</v>
      </c>
      <c r="AO778">
        <v>99.108890000000002</v>
      </c>
      <c r="AP778">
        <v>99.435249999999996</v>
      </c>
      <c r="AQ778"/>
      <c r="AR778"/>
      <c r="AS778">
        <v>99.034139999999994</v>
      </c>
      <c r="AT778">
        <v>99.791659999999993</v>
      </c>
      <c r="AU778">
        <v>100.25749999999999</v>
      </c>
      <c r="AV778">
        <v>86.097110000000001</v>
      </c>
      <c r="AW778">
        <v>96.918629999999993</v>
      </c>
      <c r="AX778">
        <v>90.993290000000002</v>
      </c>
    </row>
    <row r="779" spans="1:50" x14ac:dyDescent="0.35">
      <c r="A779" s="75">
        <v>41548</v>
      </c>
      <c r="B779">
        <v>96.863810000000001</v>
      </c>
      <c r="C779">
        <v>97.578419999999994</v>
      </c>
      <c r="D779"/>
      <c r="E779">
        <v>96.443389999999994</v>
      </c>
      <c r="F779">
        <v>100.6691</v>
      </c>
      <c r="G779">
        <v>92.462940000000003</v>
      </c>
      <c r="H779"/>
      <c r="I779">
        <v>93.781040000000004</v>
      </c>
      <c r="J779">
        <v>93.588260000000005</v>
      </c>
      <c r="K779">
        <v>98.2</v>
      </c>
      <c r="L779">
        <v>97.544330000000002</v>
      </c>
      <c r="M779">
        <v>98.431370000000001</v>
      </c>
      <c r="N779">
        <v>98.72</v>
      </c>
      <c r="O779">
        <v>100.0137</v>
      </c>
      <c r="P779">
        <v>97.96011</v>
      </c>
      <c r="Q779"/>
      <c r="R779">
        <v>98.576030000000003</v>
      </c>
      <c r="S779">
        <v>98.794510000000002</v>
      </c>
      <c r="T779"/>
      <c r="U779">
        <v>97.419169999999994</v>
      </c>
      <c r="V779">
        <v>97.8</v>
      </c>
      <c r="W779">
        <v>102.93259999999999</v>
      </c>
      <c r="X779">
        <v>97.069869999999995</v>
      </c>
      <c r="Y779"/>
      <c r="Z779"/>
      <c r="AA779">
        <v>98.307689999999994</v>
      </c>
      <c r="AB779">
        <v>96.027649999999994</v>
      </c>
      <c r="AC779">
        <v>99.611949999999993</v>
      </c>
      <c r="AD779">
        <v>99.084350000000001</v>
      </c>
      <c r="AE779">
        <v>97.566299999999998</v>
      </c>
      <c r="AF779">
        <v>96.365229999999997</v>
      </c>
      <c r="AG779">
        <v>97.8245</v>
      </c>
      <c r="AH779">
        <v>97.942599999999999</v>
      </c>
      <c r="AI779">
        <v>97.602699999999999</v>
      </c>
      <c r="AJ779">
        <v>95.274140000000003</v>
      </c>
      <c r="AK779">
        <v>98.075729999999993</v>
      </c>
      <c r="AL779">
        <v>95.805149999999998</v>
      </c>
      <c r="AM779">
        <v>97.087069999999997</v>
      </c>
      <c r="AN779">
        <v>97.551779999999994</v>
      </c>
      <c r="AO779">
        <v>99.543580000000006</v>
      </c>
      <c r="AP779">
        <v>99.692859999999996</v>
      </c>
      <c r="AQ779"/>
      <c r="AR779"/>
      <c r="AS779">
        <v>99.217920000000007</v>
      </c>
      <c r="AT779">
        <v>100.2517</v>
      </c>
      <c r="AU779">
        <v>100.3312</v>
      </c>
      <c r="AV779">
        <v>87.343059999999994</v>
      </c>
      <c r="AW779">
        <v>97.075500000000005</v>
      </c>
      <c r="AX779">
        <v>91.162409999999994</v>
      </c>
    </row>
    <row r="780" spans="1:50" x14ac:dyDescent="0.35">
      <c r="A780" s="75">
        <v>41579</v>
      </c>
      <c r="B780">
        <v>96.954089999999994</v>
      </c>
      <c r="C780">
        <v>97.724109999999996</v>
      </c>
      <c r="D780"/>
      <c r="E780">
        <v>96.224530000000001</v>
      </c>
      <c r="F780">
        <v>100.7577</v>
      </c>
      <c r="G780">
        <v>92.734229999999997</v>
      </c>
      <c r="H780"/>
      <c r="I780">
        <v>93.895480000000006</v>
      </c>
      <c r="J780">
        <v>93.947360000000003</v>
      </c>
      <c r="K780">
        <v>98</v>
      </c>
      <c r="L780">
        <v>97.869619999999998</v>
      </c>
      <c r="M780">
        <v>98.227779999999996</v>
      </c>
      <c r="N780">
        <v>98.69</v>
      </c>
      <c r="O780">
        <v>100.4299</v>
      </c>
      <c r="P780">
        <v>97.789839999999998</v>
      </c>
      <c r="Q780"/>
      <c r="R780">
        <v>98.390039999999999</v>
      </c>
      <c r="S780">
        <v>98.797510000000003</v>
      </c>
      <c r="T780"/>
      <c r="U780">
        <v>97.44829</v>
      </c>
      <c r="V780">
        <v>98</v>
      </c>
      <c r="W780">
        <v>101.33540000000001</v>
      </c>
      <c r="X780">
        <v>97.445530000000005</v>
      </c>
      <c r="Y780"/>
      <c r="Z780"/>
      <c r="AA780">
        <v>98.23854</v>
      </c>
      <c r="AB780">
        <v>96.539019999999994</v>
      </c>
      <c r="AC780">
        <v>99.409480000000002</v>
      </c>
      <c r="AD780">
        <v>98.76088</v>
      </c>
      <c r="AE780">
        <v>97.528120000000001</v>
      </c>
      <c r="AF780">
        <v>96.609620000000007</v>
      </c>
      <c r="AG780">
        <v>97.817499999999995</v>
      </c>
      <c r="AH780">
        <v>98.025260000000003</v>
      </c>
      <c r="AI780">
        <v>97.213290000000001</v>
      </c>
      <c r="AJ780">
        <v>95.415229999999994</v>
      </c>
      <c r="AK780">
        <v>97.576160000000002</v>
      </c>
      <c r="AL780">
        <v>95.990039999999993</v>
      </c>
      <c r="AM780">
        <v>97.13158</v>
      </c>
      <c r="AN780">
        <v>97.620170000000002</v>
      </c>
      <c r="AO780">
        <v>99.369709999999998</v>
      </c>
      <c r="AP780">
        <v>99.464969999999994</v>
      </c>
      <c r="AQ780"/>
      <c r="AR780"/>
      <c r="AS780">
        <v>99.20899</v>
      </c>
      <c r="AT780">
        <v>100.21169999999999</v>
      </c>
      <c r="AU780">
        <v>100.2139</v>
      </c>
      <c r="AV780">
        <v>87.788340000000005</v>
      </c>
      <c r="AW780">
        <v>97.108940000000004</v>
      </c>
      <c r="AX780">
        <v>91.241110000000006</v>
      </c>
    </row>
    <row r="781" spans="1:50" x14ac:dyDescent="0.35">
      <c r="A781" s="75">
        <v>41609</v>
      </c>
      <c r="B781">
        <v>97.585999999999999</v>
      </c>
      <c r="C781">
        <v>97.82123</v>
      </c>
      <c r="D781"/>
      <c r="E781">
        <v>95.859189999999998</v>
      </c>
      <c r="F781">
        <v>100.4144</v>
      </c>
      <c r="G781">
        <v>93.265940000000001</v>
      </c>
      <c r="H781"/>
      <c r="I781">
        <v>94.124380000000002</v>
      </c>
      <c r="J781">
        <v>94.799000000000007</v>
      </c>
      <c r="K781">
        <v>98</v>
      </c>
      <c r="L781">
        <v>98.116720000000001</v>
      </c>
      <c r="M781">
        <v>98.107590000000002</v>
      </c>
      <c r="N781">
        <v>98.96</v>
      </c>
      <c r="O781">
        <v>100.32380000000001</v>
      </c>
      <c r="P781">
        <v>97.846599999999995</v>
      </c>
      <c r="Q781"/>
      <c r="R781">
        <v>98.669030000000006</v>
      </c>
      <c r="S781">
        <v>99.131450000000001</v>
      </c>
      <c r="T781"/>
      <c r="U781">
        <v>97.424999999999997</v>
      </c>
      <c r="V781">
        <v>98.1</v>
      </c>
      <c r="W781">
        <v>102.476</v>
      </c>
      <c r="X781">
        <v>97.595789999999994</v>
      </c>
      <c r="Y781"/>
      <c r="Z781"/>
      <c r="AA781">
        <v>98.195220000000006</v>
      </c>
      <c r="AB781">
        <v>97.007900000000006</v>
      </c>
      <c r="AC781">
        <v>99.409480000000002</v>
      </c>
      <c r="AD781">
        <v>98.795019999999994</v>
      </c>
      <c r="AE781">
        <v>97.487899999999996</v>
      </c>
      <c r="AF781">
        <v>96.674149999999997</v>
      </c>
      <c r="AG781">
        <v>97.636600000000001</v>
      </c>
      <c r="AH781">
        <v>97.950869999999995</v>
      </c>
      <c r="AI781">
        <v>97.010069999999999</v>
      </c>
      <c r="AJ781">
        <v>95.816890000000001</v>
      </c>
      <c r="AK781">
        <v>97.444370000000006</v>
      </c>
      <c r="AL781">
        <v>96.172780000000003</v>
      </c>
      <c r="AM781">
        <v>97.139269999999996</v>
      </c>
      <c r="AN781">
        <v>97.716239999999999</v>
      </c>
      <c r="AO781">
        <v>99.282769999999999</v>
      </c>
      <c r="AP781">
        <v>99.811750000000004</v>
      </c>
      <c r="AQ781"/>
      <c r="AR781"/>
      <c r="AS781">
        <v>99.187079999999995</v>
      </c>
      <c r="AT781">
        <v>98.751649999999998</v>
      </c>
      <c r="AU781">
        <v>100.616</v>
      </c>
      <c r="AV781">
        <v>87.486050000000006</v>
      </c>
      <c r="AW781">
        <v>97.008629999999997</v>
      </c>
      <c r="AX781">
        <v>91.533339999999995</v>
      </c>
    </row>
    <row r="782" spans="1:50" x14ac:dyDescent="0.35">
      <c r="A782" s="75">
        <v>41640</v>
      </c>
      <c r="B782">
        <v>96.502719999999997</v>
      </c>
      <c r="C782">
        <v>98.015469999999993</v>
      </c>
      <c r="D782"/>
      <c r="E782">
        <v>96.080380000000005</v>
      </c>
      <c r="F782">
        <v>100.001</v>
      </c>
      <c r="G782">
        <v>93.515510000000006</v>
      </c>
      <c r="H782"/>
      <c r="I782">
        <v>94.508589999999998</v>
      </c>
      <c r="J782">
        <v>95.383740000000003</v>
      </c>
      <c r="K782">
        <v>98.2</v>
      </c>
      <c r="L782">
        <v>97.425849999999997</v>
      </c>
      <c r="M782">
        <v>97.869169999999997</v>
      </c>
      <c r="N782">
        <v>97.25</v>
      </c>
      <c r="O782">
        <v>98.20608</v>
      </c>
      <c r="P782">
        <v>97.789839999999998</v>
      </c>
      <c r="Q782"/>
      <c r="R782">
        <v>98.390039999999999</v>
      </c>
      <c r="S782">
        <v>98.343029999999999</v>
      </c>
      <c r="T782"/>
      <c r="U782">
        <v>97.319310000000002</v>
      </c>
      <c r="V782">
        <v>97.4</v>
      </c>
      <c r="W782">
        <v>100.4567</v>
      </c>
      <c r="X782">
        <v>97.821190000000001</v>
      </c>
      <c r="Y782"/>
      <c r="Z782"/>
      <c r="AA782">
        <v>97.655019999999993</v>
      </c>
      <c r="AB782">
        <v>96.17353</v>
      </c>
      <c r="AC782">
        <v>98.700860000000006</v>
      </c>
      <c r="AD782">
        <v>98.919880000000006</v>
      </c>
      <c r="AE782">
        <v>97.151920000000004</v>
      </c>
      <c r="AF782">
        <v>96.946039999999996</v>
      </c>
      <c r="AG782">
        <v>96.986199999999997</v>
      </c>
      <c r="AH782">
        <v>96.818439999999995</v>
      </c>
      <c r="AI782">
        <v>97.395219999999995</v>
      </c>
      <c r="AJ782">
        <v>96.500330000000005</v>
      </c>
      <c r="AK782">
        <v>97.154439999999994</v>
      </c>
      <c r="AL782">
        <v>95.905910000000006</v>
      </c>
      <c r="AM782">
        <v>97.027249999999995</v>
      </c>
      <c r="AN782">
        <v>97.177250000000001</v>
      </c>
      <c r="AO782">
        <v>98.848079999999996</v>
      </c>
      <c r="AP782">
        <v>97.978800000000007</v>
      </c>
      <c r="AQ782"/>
      <c r="AR782"/>
      <c r="AS782">
        <v>99.19632</v>
      </c>
      <c r="AT782">
        <v>97.701629999999994</v>
      </c>
      <c r="AU782">
        <v>99.195179999999993</v>
      </c>
      <c r="AV782">
        <v>88.347989999999996</v>
      </c>
      <c r="AW782">
        <v>97.160129999999995</v>
      </c>
      <c r="AX782">
        <v>91.86148</v>
      </c>
    </row>
    <row r="783" spans="1:50" x14ac:dyDescent="0.35">
      <c r="A783" s="75">
        <v>41671</v>
      </c>
      <c r="B783">
        <v>96.773539999999997</v>
      </c>
      <c r="C783">
        <v>98.219430000000003</v>
      </c>
      <c r="D783"/>
      <c r="E783">
        <v>96.677499999999995</v>
      </c>
      <c r="F783">
        <v>100.16849999999999</v>
      </c>
      <c r="G783">
        <v>93.841049999999996</v>
      </c>
      <c r="H783"/>
      <c r="I783">
        <v>95.105350000000001</v>
      </c>
      <c r="J783">
        <v>96.386179999999996</v>
      </c>
      <c r="K783">
        <v>98.4</v>
      </c>
      <c r="L783">
        <v>97.984309999999994</v>
      </c>
      <c r="M783">
        <v>98.640630000000002</v>
      </c>
      <c r="N783">
        <v>97.71</v>
      </c>
      <c r="O783">
        <v>98.239710000000002</v>
      </c>
      <c r="P783">
        <v>98.016869999999997</v>
      </c>
      <c r="Q783"/>
      <c r="R783">
        <v>98.669030000000006</v>
      </c>
      <c r="S783">
        <v>99.076179999999994</v>
      </c>
      <c r="T783"/>
      <c r="U783">
        <v>97.646910000000005</v>
      </c>
      <c r="V783">
        <v>97.9</v>
      </c>
      <c r="W783">
        <v>98.550110000000004</v>
      </c>
      <c r="X783">
        <v>97.670919999999995</v>
      </c>
      <c r="Y783"/>
      <c r="Z783"/>
      <c r="AA783">
        <v>98.330569999999994</v>
      </c>
      <c r="AB783">
        <v>97.036299999999997</v>
      </c>
      <c r="AC783">
        <v>98.700860000000006</v>
      </c>
      <c r="AD783">
        <v>98.912189999999995</v>
      </c>
      <c r="AE783">
        <v>97.250900000000001</v>
      </c>
      <c r="AF783">
        <v>97.110020000000006</v>
      </c>
      <c r="AG783">
        <v>96.593299999999999</v>
      </c>
      <c r="AH783">
        <v>98.388959999999997</v>
      </c>
      <c r="AI783">
        <v>97.186869999999999</v>
      </c>
      <c r="AJ783">
        <v>96.800799999999995</v>
      </c>
      <c r="AK783">
        <v>97.572429999999997</v>
      </c>
      <c r="AL783">
        <v>96.434420000000003</v>
      </c>
      <c r="AM783">
        <v>97.326080000000005</v>
      </c>
      <c r="AN783">
        <v>97.530230000000003</v>
      </c>
      <c r="AO783">
        <v>99.021950000000004</v>
      </c>
      <c r="AP783">
        <v>97.780640000000005</v>
      </c>
      <c r="AQ783"/>
      <c r="AR783"/>
      <c r="AS783">
        <v>99.19041</v>
      </c>
      <c r="AT783">
        <v>98.141630000000006</v>
      </c>
      <c r="AU783">
        <v>99.624120000000005</v>
      </c>
      <c r="AV783">
        <v>88.944410000000005</v>
      </c>
      <c r="AW783">
        <v>97.452380000000005</v>
      </c>
      <c r="AX783">
        <v>92.861980000000003</v>
      </c>
    </row>
    <row r="784" spans="1:50" x14ac:dyDescent="0.35">
      <c r="A784" s="75">
        <v>41699</v>
      </c>
      <c r="B784">
        <v>98.037369999999996</v>
      </c>
      <c r="C784">
        <v>98.345690000000005</v>
      </c>
      <c r="D784"/>
      <c r="E784">
        <v>96.947209999999998</v>
      </c>
      <c r="F784">
        <v>100.5508</v>
      </c>
      <c r="G784">
        <v>94.546369999999996</v>
      </c>
      <c r="H784"/>
      <c r="I784">
        <v>95.375119999999995</v>
      </c>
      <c r="J784">
        <v>96.940539999999999</v>
      </c>
      <c r="K784">
        <v>98.4</v>
      </c>
      <c r="L784">
        <v>98.427859999999995</v>
      </c>
      <c r="M784">
        <v>98.881010000000003</v>
      </c>
      <c r="N784">
        <v>99.13</v>
      </c>
      <c r="O784">
        <v>98.825100000000006</v>
      </c>
      <c r="P784">
        <v>98.641170000000002</v>
      </c>
      <c r="Q784"/>
      <c r="R784">
        <v>99.227010000000007</v>
      </c>
      <c r="S784">
        <v>99.698130000000006</v>
      </c>
      <c r="T784"/>
      <c r="U784">
        <v>97.992549999999994</v>
      </c>
      <c r="V784">
        <v>98.2</v>
      </c>
      <c r="W784">
        <v>101.88890000000001</v>
      </c>
      <c r="X784">
        <v>97.896320000000003</v>
      </c>
      <c r="Y784"/>
      <c r="Z784"/>
      <c r="AA784">
        <v>99.224299999999999</v>
      </c>
      <c r="AB784">
        <v>97.529679999999999</v>
      </c>
      <c r="AC784">
        <v>99.004549999999995</v>
      </c>
      <c r="AD784">
        <v>99.124889999999994</v>
      </c>
      <c r="AE784">
        <v>97.502380000000002</v>
      </c>
      <c r="AF784">
        <v>97.299390000000002</v>
      </c>
      <c r="AG784">
        <v>97.172899999999998</v>
      </c>
      <c r="AH784">
        <v>98.463359999999994</v>
      </c>
      <c r="AI784">
        <v>97.981729999999999</v>
      </c>
      <c r="AJ784">
        <v>97.006020000000007</v>
      </c>
      <c r="AK784">
        <v>98.618359999999996</v>
      </c>
      <c r="AL784">
        <v>96.742859999999993</v>
      </c>
      <c r="AM784">
        <v>97.718329999999995</v>
      </c>
      <c r="AN784">
        <v>98.079620000000006</v>
      </c>
      <c r="AO784">
        <v>99.282769999999999</v>
      </c>
      <c r="AP784">
        <v>99.534329999999997</v>
      </c>
      <c r="AQ784"/>
      <c r="AR784"/>
      <c r="AS784">
        <v>99.204830000000001</v>
      </c>
      <c r="AT784">
        <v>99.391649999999998</v>
      </c>
      <c r="AU784">
        <v>99.717950000000002</v>
      </c>
      <c r="AV784">
        <v>89.90849</v>
      </c>
      <c r="AW784">
        <v>97.798320000000004</v>
      </c>
      <c r="AX784">
        <v>93.980220000000003</v>
      </c>
    </row>
    <row r="785" spans="1:50" x14ac:dyDescent="0.35">
      <c r="A785" s="75">
        <v>41730</v>
      </c>
      <c r="B785">
        <v>98.217920000000007</v>
      </c>
      <c r="C785">
        <v>98.442809999999994</v>
      </c>
      <c r="D785"/>
      <c r="E785">
        <v>96.988060000000004</v>
      </c>
      <c r="F785">
        <v>100.6802</v>
      </c>
      <c r="G785">
        <v>95.273409999999998</v>
      </c>
      <c r="H785"/>
      <c r="I785">
        <v>95.612189999999998</v>
      </c>
      <c r="J785">
        <v>97.337620000000001</v>
      </c>
      <c r="K785">
        <v>98.6</v>
      </c>
      <c r="L785">
        <v>98.14819</v>
      </c>
      <c r="M785">
        <v>99.045590000000004</v>
      </c>
      <c r="N785">
        <v>99.38</v>
      </c>
      <c r="O785">
        <v>100.14619999999999</v>
      </c>
      <c r="P785">
        <v>98.754679999999993</v>
      </c>
      <c r="Q785"/>
      <c r="R785">
        <v>99.505989999999997</v>
      </c>
      <c r="S785">
        <v>99.69659</v>
      </c>
      <c r="T785"/>
      <c r="U785">
        <v>98.418109999999999</v>
      </c>
      <c r="V785">
        <v>98.7</v>
      </c>
      <c r="W785">
        <v>102.3546</v>
      </c>
      <c r="X785">
        <v>97.971450000000004</v>
      </c>
      <c r="Y785"/>
      <c r="Z785"/>
      <c r="AA785">
        <v>99.374279999999999</v>
      </c>
      <c r="AB785">
        <v>97.899289999999993</v>
      </c>
      <c r="AC785">
        <v>99.308250000000001</v>
      </c>
      <c r="AD785">
        <v>99.503050000000002</v>
      </c>
      <c r="AE785">
        <v>99.435490000000001</v>
      </c>
      <c r="AF785">
        <v>97.436909999999997</v>
      </c>
      <c r="AG785">
        <v>97.695099999999996</v>
      </c>
      <c r="AH785">
        <v>98.546009999999995</v>
      </c>
      <c r="AI785">
        <v>98.459100000000007</v>
      </c>
      <c r="AJ785">
        <v>97.263760000000005</v>
      </c>
      <c r="AK785">
        <v>99.109660000000005</v>
      </c>
      <c r="AL785">
        <v>97.550489999999996</v>
      </c>
      <c r="AM785">
        <v>98.183620000000005</v>
      </c>
      <c r="AN785">
        <v>98.475089999999994</v>
      </c>
      <c r="AO785">
        <v>99.543580000000006</v>
      </c>
      <c r="AP785">
        <v>99.940550000000002</v>
      </c>
      <c r="AQ785"/>
      <c r="AR785"/>
      <c r="AS785">
        <v>99.510090000000005</v>
      </c>
      <c r="AT785">
        <v>99.951669999999993</v>
      </c>
      <c r="AU785">
        <v>100.1972</v>
      </c>
      <c r="AV785">
        <v>91.534360000000007</v>
      </c>
      <c r="AW785">
        <v>98.044349999999994</v>
      </c>
      <c r="AX785">
        <v>94.243049999999997</v>
      </c>
    </row>
    <row r="786" spans="1:50" x14ac:dyDescent="0.35">
      <c r="A786" s="75">
        <v>41760</v>
      </c>
      <c r="B786">
        <v>98.398470000000003</v>
      </c>
      <c r="C786">
        <v>98.598209999999995</v>
      </c>
      <c r="D786"/>
      <c r="E786">
        <v>97.281639999999996</v>
      </c>
      <c r="F786">
        <v>100.8544</v>
      </c>
      <c r="G786">
        <v>95.447019999999995</v>
      </c>
      <c r="H786"/>
      <c r="I786">
        <v>95.898309999999995</v>
      </c>
      <c r="J786">
        <v>97.5535</v>
      </c>
      <c r="K786">
        <v>98.7</v>
      </c>
      <c r="L786">
        <v>98.052800000000005</v>
      </c>
      <c r="M786">
        <v>98.888800000000003</v>
      </c>
      <c r="N786">
        <v>99.25</v>
      </c>
      <c r="O786">
        <v>100.245</v>
      </c>
      <c r="P786">
        <v>99.038470000000004</v>
      </c>
      <c r="Q786"/>
      <c r="R786">
        <v>99.32</v>
      </c>
      <c r="S786">
        <v>99.721689999999995</v>
      </c>
      <c r="T786"/>
      <c r="U786">
        <v>98.554000000000002</v>
      </c>
      <c r="V786">
        <v>98.7</v>
      </c>
      <c r="W786">
        <v>101.4109</v>
      </c>
      <c r="X786">
        <v>98.121709999999993</v>
      </c>
      <c r="Y786"/>
      <c r="Z786"/>
      <c r="AA786">
        <v>99.165310000000005</v>
      </c>
      <c r="AB786">
        <v>97.949910000000003</v>
      </c>
      <c r="AC786">
        <v>99.308250000000001</v>
      </c>
      <c r="AD786">
        <v>99.352519999999998</v>
      </c>
      <c r="AE786">
        <v>99.599580000000003</v>
      </c>
      <c r="AF786">
        <v>97.672830000000005</v>
      </c>
      <c r="AG786">
        <v>98.019199999999998</v>
      </c>
      <c r="AH786">
        <v>98.587339999999998</v>
      </c>
      <c r="AI786">
        <v>98.684489999999997</v>
      </c>
      <c r="AJ786">
        <v>97.344380000000001</v>
      </c>
      <c r="AK786">
        <v>98.741389999999996</v>
      </c>
      <c r="AL786">
        <v>97.531630000000007</v>
      </c>
      <c r="AM786">
        <v>98.334010000000006</v>
      </c>
      <c r="AN786">
        <v>98.547790000000006</v>
      </c>
      <c r="AO786">
        <v>99.543580000000006</v>
      </c>
      <c r="AP786">
        <v>99.910830000000004</v>
      </c>
      <c r="AQ786"/>
      <c r="AR786"/>
      <c r="AS786">
        <v>99.508589999999998</v>
      </c>
      <c r="AT786">
        <v>100.4217</v>
      </c>
      <c r="AU786">
        <v>100.0933</v>
      </c>
      <c r="AV786">
        <v>92.772130000000004</v>
      </c>
      <c r="AW786">
        <v>98.259</v>
      </c>
      <c r="AX786">
        <v>94.491190000000003</v>
      </c>
    </row>
    <row r="787" spans="1:50" x14ac:dyDescent="0.35">
      <c r="A787" s="75">
        <v>41791</v>
      </c>
      <c r="B787">
        <v>98.488740000000007</v>
      </c>
      <c r="C787">
        <v>98.66619</v>
      </c>
      <c r="D787"/>
      <c r="E787">
        <v>97.265299999999996</v>
      </c>
      <c r="F787">
        <v>100.69370000000001</v>
      </c>
      <c r="G787">
        <v>95.436170000000004</v>
      </c>
      <c r="H787"/>
      <c r="I787">
        <v>96.0291</v>
      </c>
      <c r="J787">
        <v>97.617519999999999</v>
      </c>
      <c r="K787">
        <v>98.9</v>
      </c>
      <c r="L787">
        <v>98.350459999999998</v>
      </c>
      <c r="M787">
        <v>98.740930000000006</v>
      </c>
      <c r="N787">
        <v>99.38</v>
      </c>
      <c r="O787">
        <v>100.30070000000001</v>
      </c>
      <c r="P787">
        <v>99.038470000000004</v>
      </c>
      <c r="Q787"/>
      <c r="R787">
        <v>99.32</v>
      </c>
      <c r="S787">
        <v>99.719399999999993</v>
      </c>
      <c r="T787"/>
      <c r="U787">
        <v>98.612430000000003</v>
      </c>
      <c r="V787">
        <v>98.9</v>
      </c>
      <c r="W787">
        <v>102.41240000000001</v>
      </c>
      <c r="X787">
        <v>98.271969999999996</v>
      </c>
      <c r="Y787"/>
      <c r="Z787"/>
      <c r="AA787">
        <v>99.446449999999999</v>
      </c>
      <c r="AB787">
        <v>98.376270000000005</v>
      </c>
      <c r="AC787">
        <v>99.915639999999996</v>
      </c>
      <c r="AD787">
        <v>99.451769999999996</v>
      </c>
      <c r="AE787">
        <v>99.482079999999996</v>
      </c>
      <c r="AF787">
        <v>97.636859999999999</v>
      </c>
      <c r="AG787">
        <v>98.354100000000003</v>
      </c>
      <c r="AH787">
        <v>98.727860000000007</v>
      </c>
      <c r="AI787">
        <v>98.898099999999999</v>
      </c>
      <c r="AJ787">
        <v>97.544020000000003</v>
      </c>
      <c r="AK787">
        <v>98.369259999999997</v>
      </c>
      <c r="AL787">
        <v>97.306520000000006</v>
      </c>
      <c r="AM787">
        <v>98.405670000000001</v>
      </c>
      <c r="AN787">
        <v>98.687960000000004</v>
      </c>
      <c r="AO787">
        <v>99.717449999999999</v>
      </c>
      <c r="AP787">
        <v>99.900919999999999</v>
      </c>
      <c r="AQ787"/>
      <c r="AR787"/>
      <c r="AS787">
        <v>99.588499999999996</v>
      </c>
      <c r="AT787">
        <v>100.68170000000001</v>
      </c>
      <c r="AU787">
        <v>100.3211</v>
      </c>
      <c r="AV787">
        <v>93.025409999999994</v>
      </c>
      <c r="AW787">
        <v>98.311840000000004</v>
      </c>
      <c r="AX787">
        <v>95.051699999999997</v>
      </c>
    </row>
    <row r="788" spans="1:50" x14ac:dyDescent="0.35">
      <c r="A788" s="75">
        <v>41821</v>
      </c>
      <c r="B788">
        <v>97.947100000000006</v>
      </c>
      <c r="C788">
        <v>98.928420000000003</v>
      </c>
      <c r="D788"/>
      <c r="E788">
        <v>97.162000000000006</v>
      </c>
      <c r="F788">
        <v>100.2188</v>
      </c>
      <c r="G788">
        <v>95.403620000000004</v>
      </c>
      <c r="H788"/>
      <c r="I788">
        <v>96.01276</v>
      </c>
      <c r="J788">
        <v>98.210949999999997</v>
      </c>
      <c r="K788">
        <v>99.2</v>
      </c>
      <c r="L788">
        <v>98.722920000000002</v>
      </c>
      <c r="M788">
        <v>98.532089999999997</v>
      </c>
      <c r="N788">
        <v>98.55</v>
      </c>
      <c r="O788">
        <v>98.952269999999999</v>
      </c>
      <c r="P788">
        <v>98.697929999999999</v>
      </c>
      <c r="Q788"/>
      <c r="R788">
        <v>99.134010000000004</v>
      </c>
      <c r="S788">
        <v>99.404390000000006</v>
      </c>
      <c r="T788"/>
      <c r="U788">
        <v>98.620329999999996</v>
      </c>
      <c r="V788">
        <v>98.6</v>
      </c>
      <c r="W788">
        <v>100.6395</v>
      </c>
      <c r="X788">
        <v>98.497370000000004</v>
      </c>
      <c r="Y788"/>
      <c r="Z788"/>
      <c r="AA788">
        <v>99.135599999999997</v>
      </c>
      <c r="AB788">
        <v>98.071079999999995</v>
      </c>
      <c r="AC788">
        <v>100.01690000000001</v>
      </c>
      <c r="AD788">
        <v>99.632450000000006</v>
      </c>
      <c r="AE788">
        <v>99.58699</v>
      </c>
      <c r="AF788">
        <v>97.817760000000007</v>
      </c>
      <c r="AG788">
        <v>97.900700000000001</v>
      </c>
      <c r="AH788">
        <v>97.487979999999993</v>
      </c>
      <c r="AI788">
        <v>98.343710000000002</v>
      </c>
      <c r="AJ788">
        <v>97.724350000000001</v>
      </c>
      <c r="AK788">
        <v>99.396109999999993</v>
      </c>
      <c r="AL788">
        <v>97.506129999999999</v>
      </c>
      <c r="AM788">
        <v>98.403220000000005</v>
      </c>
      <c r="AN788">
        <v>98.594920000000002</v>
      </c>
      <c r="AO788">
        <v>99.717449999999999</v>
      </c>
      <c r="AP788">
        <v>98.979489999999998</v>
      </c>
      <c r="AQ788"/>
      <c r="AR788"/>
      <c r="AS788">
        <v>99.6113</v>
      </c>
      <c r="AT788">
        <v>99.251660000000001</v>
      </c>
      <c r="AU788">
        <v>99.791669999999996</v>
      </c>
      <c r="AV788">
        <v>93.491110000000006</v>
      </c>
      <c r="AW788">
        <v>98.304000000000002</v>
      </c>
      <c r="AX788">
        <v>95.500129999999999</v>
      </c>
    </row>
    <row r="789" spans="1:50" x14ac:dyDescent="0.35">
      <c r="A789" s="75">
        <v>41852</v>
      </c>
      <c r="B789">
        <v>98.037369999999996</v>
      </c>
      <c r="C789">
        <v>98.811869999999999</v>
      </c>
      <c r="D789"/>
      <c r="E789">
        <v>97.607249999999993</v>
      </c>
      <c r="F789">
        <v>100.206</v>
      </c>
      <c r="G789">
        <v>95.740009999999998</v>
      </c>
      <c r="H789"/>
      <c r="I789">
        <v>96.110849999999999</v>
      </c>
      <c r="J789">
        <v>98.283630000000002</v>
      </c>
      <c r="K789">
        <v>99.2</v>
      </c>
      <c r="L789">
        <v>98.855320000000006</v>
      </c>
      <c r="M789">
        <v>98.514309999999995</v>
      </c>
      <c r="N789">
        <v>98.87</v>
      </c>
      <c r="O789">
        <v>99.117270000000005</v>
      </c>
      <c r="P789">
        <v>99.038470000000004</v>
      </c>
      <c r="Q789"/>
      <c r="R789">
        <v>99.505989999999997</v>
      </c>
      <c r="S789">
        <v>100.18380000000001</v>
      </c>
      <c r="T789"/>
      <c r="U789">
        <v>98.803210000000007</v>
      </c>
      <c r="V789">
        <v>99.1</v>
      </c>
      <c r="W789">
        <v>99.003460000000004</v>
      </c>
      <c r="X789">
        <v>98.647639999999996</v>
      </c>
      <c r="Y789"/>
      <c r="Z789"/>
      <c r="AA789">
        <v>99.467789999999994</v>
      </c>
      <c r="AB789">
        <v>98.440989999999999</v>
      </c>
      <c r="AC789">
        <v>99.814409999999995</v>
      </c>
      <c r="AD789">
        <v>99.936449999999994</v>
      </c>
      <c r="AE789">
        <v>99.707759999999993</v>
      </c>
      <c r="AF789">
        <v>97.954239999999999</v>
      </c>
      <c r="AG789">
        <v>98.2</v>
      </c>
      <c r="AH789">
        <v>98.959299999999999</v>
      </c>
      <c r="AI789">
        <v>98.302329999999998</v>
      </c>
      <c r="AJ789">
        <v>97.924189999999996</v>
      </c>
      <c r="AK789">
        <v>99.479399999999998</v>
      </c>
      <c r="AL789">
        <v>97.145600000000002</v>
      </c>
      <c r="AM789">
        <v>98.545249999999996</v>
      </c>
      <c r="AN789">
        <v>98.807069999999996</v>
      </c>
      <c r="AO789">
        <v>99.717449999999999</v>
      </c>
      <c r="AP789">
        <v>98.811059999999998</v>
      </c>
      <c r="AQ789"/>
      <c r="AR789"/>
      <c r="AS789">
        <v>99.63306</v>
      </c>
      <c r="AT789">
        <v>99.661659999999998</v>
      </c>
      <c r="AU789">
        <v>99.771569999999997</v>
      </c>
      <c r="AV789">
        <v>93.417580000000001</v>
      </c>
      <c r="AW789">
        <v>98.369219999999999</v>
      </c>
      <c r="AX789">
        <v>95.697950000000006</v>
      </c>
    </row>
    <row r="790" spans="1:50" x14ac:dyDescent="0.35">
      <c r="A790" s="75">
        <v>41883</v>
      </c>
      <c r="B790">
        <v>98.669290000000004</v>
      </c>
      <c r="C790">
        <v>98.850719999999995</v>
      </c>
      <c r="D790"/>
      <c r="E790">
        <v>97.872039999999998</v>
      </c>
      <c r="F790">
        <v>100.39700000000001</v>
      </c>
      <c r="G790">
        <v>96.239159999999998</v>
      </c>
      <c r="H790"/>
      <c r="I790">
        <v>96.208950000000002</v>
      </c>
      <c r="J790">
        <v>98.472399999999993</v>
      </c>
      <c r="K790">
        <v>98.8</v>
      </c>
      <c r="L790">
        <v>98.815160000000006</v>
      </c>
      <c r="M790">
        <v>99.007840000000002</v>
      </c>
      <c r="N790">
        <v>99.42</v>
      </c>
      <c r="O790">
        <v>99.069980000000001</v>
      </c>
      <c r="P790">
        <v>98.584419999999994</v>
      </c>
      <c r="Q790"/>
      <c r="R790">
        <v>100.06399999999999</v>
      </c>
      <c r="S790">
        <v>99.618970000000004</v>
      </c>
      <c r="T790"/>
      <c r="U790">
        <v>98.869439999999997</v>
      </c>
      <c r="V790">
        <v>99.2</v>
      </c>
      <c r="W790">
        <v>102.0714</v>
      </c>
      <c r="X790">
        <v>98.271969999999996</v>
      </c>
      <c r="Y790"/>
      <c r="Z790"/>
      <c r="AA790">
        <v>99.191370000000006</v>
      </c>
      <c r="AB790">
        <v>98.31156</v>
      </c>
      <c r="AC790">
        <v>99.713179999999994</v>
      </c>
      <c r="AD790">
        <v>99.447980000000001</v>
      </c>
      <c r="AE790">
        <v>99.6511</v>
      </c>
      <c r="AF790">
        <v>97.864320000000006</v>
      </c>
      <c r="AG790">
        <v>98.827100000000002</v>
      </c>
      <c r="AH790">
        <v>98.818790000000007</v>
      </c>
      <c r="AI790">
        <v>99.290310000000005</v>
      </c>
      <c r="AJ790">
        <v>98.217579999999998</v>
      </c>
      <c r="AK790">
        <v>99.487849999999995</v>
      </c>
      <c r="AL790">
        <v>97.879199999999997</v>
      </c>
      <c r="AM790">
        <v>98.645499999999998</v>
      </c>
      <c r="AN790">
        <v>98.792169999999999</v>
      </c>
      <c r="AO790">
        <v>99.717449999999999</v>
      </c>
      <c r="AP790">
        <v>99.554150000000007</v>
      </c>
      <c r="AQ790"/>
      <c r="AR790"/>
      <c r="AS790">
        <v>99.713390000000004</v>
      </c>
      <c r="AT790">
        <v>99.921670000000006</v>
      </c>
      <c r="AU790">
        <v>100.0162</v>
      </c>
      <c r="AV790">
        <v>93.548299999999998</v>
      </c>
      <c r="AW790">
        <v>98.594200000000001</v>
      </c>
      <c r="AX790">
        <v>96.04504</v>
      </c>
    </row>
    <row r="791" spans="1:50" x14ac:dyDescent="0.35">
      <c r="A791" s="75">
        <v>41913</v>
      </c>
      <c r="B791">
        <v>98.669290000000004</v>
      </c>
      <c r="C791">
        <v>98.967269999999999</v>
      </c>
      <c r="D791"/>
      <c r="E791">
        <v>98.346969999999999</v>
      </c>
      <c r="F791">
        <v>100.652</v>
      </c>
      <c r="G791">
        <v>96.684060000000002</v>
      </c>
      <c r="H791"/>
      <c r="I791">
        <v>96.38879</v>
      </c>
      <c r="J791">
        <v>98.701310000000007</v>
      </c>
      <c r="K791">
        <v>99</v>
      </c>
      <c r="L791">
        <v>98.658420000000007</v>
      </c>
      <c r="M791">
        <v>99.148169999999993</v>
      </c>
      <c r="N791">
        <v>99.42</v>
      </c>
      <c r="O791">
        <v>99.964359999999999</v>
      </c>
      <c r="P791">
        <v>98.868200000000002</v>
      </c>
      <c r="Q791"/>
      <c r="R791">
        <v>100.06399999999999</v>
      </c>
      <c r="S791">
        <v>99.556640000000002</v>
      </c>
      <c r="T791"/>
      <c r="U791">
        <v>99.036000000000001</v>
      </c>
      <c r="V791">
        <v>99.4</v>
      </c>
      <c r="W791">
        <v>101.7649</v>
      </c>
      <c r="X791">
        <v>98.572500000000005</v>
      </c>
      <c r="Y791"/>
      <c r="Z791"/>
      <c r="AA791">
        <v>99.072360000000003</v>
      </c>
      <c r="AB791">
        <v>98.669179999999997</v>
      </c>
      <c r="AC791">
        <v>100.01690000000001</v>
      </c>
      <c r="AD791">
        <v>99.466239999999999</v>
      </c>
      <c r="AE791">
        <v>99.808679999999995</v>
      </c>
      <c r="AF791">
        <v>97.918270000000007</v>
      </c>
      <c r="AG791">
        <v>99.026499999999999</v>
      </c>
      <c r="AH791">
        <v>98.818790000000007</v>
      </c>
      <c r="AI791">
        <v>99.427520000000001</v>
      </c>
      <c r="AJ791">
        <v>98.355459999999994</v>
      </c>
      <c r="AK791">
        <v>99.438910000000007</v>
      </c>
      <c r="AL791">
        <v>98.228589999999997</v>
      </c>
      <c r="AM791">
        <v>98.875600000000006</v>
      </c>
      <c r="AN791">
        <v>99.011229999999998</v>
      </c>
      <c r="AO791">
        <v>99.891329999999996</v>
      </c>
      <c r="AP791">
        <v>99.851380000000006</v>
      </c>
      <c r="AQ791"/>
      <c r="AR791"/>
      <c r="AS791">
        <v>99.944320000000005</v>
      </c>
      <c r="AT791">
        <v>100.40170000000001</v>
      </c>
      <c r="AU791">
        <v>100.3044</v>
      </c>
      <c r="AV791">
        <v>94.892290000000003</v>
      </c>
      <c r="AW791">
        <v>98.83032</v>
      </c>
      <c r="AX791">
        <v>96.292159999999996</v>
      </c>
    </row>
    <row r="792" spans="1:50" x14ac:dyDescent="0.35">
      <c r="A792" s="75">
        <v>41944</v>
      </c>
      <c r="B792">
        <v>99.120660000000001</v>
      </c>
      <c r="C792">
        <v>98.899280000000005</v>
      </c>
      <c r="D792"/>
      <c r="E792">
        <v>98.261740000000003</v>
      </c>
      <c r="F792">
        <v>100.77330000000001</v>
      </c>
      <c r="G792">
        <v>97.009600000000006</v>
      </c>
      <c r="H792"/>
      <c r="I792">
        <v>96.560460000000006</v>
      </c>
      <c r="J792">
        <v>98.886830000000003</v>
      </c>
      <c r="K792">
        <v>98.8</v>
      </c>
      <c r="L792">
        <v>98.862340000000003</v>
      </c>
      <c r="M792">
        <v>99.001000000000005</v>
      </c>
      <c r="N792">
        <v>99.35</v>
      </c>
      <c r="O792">
        <v>100.39319999999999</v>
      </c>
      <c r="P792">
        <v>98.130380000000002</v>
      </c>
      <c r="Q792"/>
      <c r="R792">
        <v>99.970969999999994</v>
      </c>
      <c r="S792">
        <v>99.404430000000005</v>
      </c>
      <c r="T792"/>
      <c r="U792">
        <v>98.976579999999998</v>
      </c>
      <c r="V792">
        <v>99.3</v>
      </c>
      <c r="W792">
        <v>100.6803</v>
      </c>
      <c r="X792">
        <v>98.722759999999994</v>
      </c>
      <c r="Y792"/>
      <c r="Z792"/>
      <c r="AA792">
        <v>98.999160000000003</v>
      </c>
      <c r="AB792">
        <v>98.245339999999999</v>
      </c>
      <c r="AC792">
        <v>100.1181</v>
      </c>
      <c r="AD792">
        <v>99.228620000000006</v>
      </c>
      <c r="AE792">
        <v>99.759119999999996</v>
      </c>
      <c r="AF792">
        <v>97.900279999999995</v>
      </c>
      <c r="AG792">
        <v>99.153999999999996</v>
      </c>
      <c r="AH792">
        <v>98.752660000000006</v>
      </c>
      <c r="AI792">
        <v>99.227490000000003</v>
      </c>
      <c r="AJ792">
        <v>98.5124</v>
      </c>
      <c r="AK792">
        <v>98.816159999999996</v>
      </c>
      <c r="AL792">
        <v>98.18092</v>
      </c>
      <c r="AM792">
        <v>98.856740000000002</v>
      </c>
      <c r="AN792">
        <v>99.021240000000006</v>
      </c>
      <c r="AO792">
        <v>99.804389999999998</v>
      </c>
      <c r="AP792">
        <v>99.772120000000001</v>
      </c>
      <c r="AQ792"/>
      <c r="AR792"/>
      <c r="AS792">
        <v>99.877009999999999</v>
      </c>
      <c r="AT792">
        <v>100.1417</v>
      </c>
      <c r="AU792">
        <v>100.11</v>
      </c>
      <c r="AV792">
        <v>95.402919999999995</v>
      </c>
      <c r="AW792">
        <v>98.762209999999996</v>
      </c>
      <c r="AX792">
        <v>96.433689999999999</v>
      </c>
    </row>
    <row r="793" spans="1:50" x14ac:dyDescent="0.35">
      <c r="A793" s="75">
        <v>41974</v>
      </c>
      <c r="B793">
        <v>99.391480000000001</v>
      </c>
      <c r="C793">
        <v>99.044970000000006</v>
      </c>
      <c r="D793"/>
      <c r="E793">
        <v>98.002459999999999</v>
      </c>
      <c r="F793">
        <v>100.5578</v>
      </c>
      <c r="G793">
        <v>97.291730000000001</v>
      </c>
      <c r="H793"/>
      <c r="I793">
        <v>96.969200000000001</v>
      </c>
      <c r="J793">
        <v>99.088610000000003</v>
      </c>
      <c r="K793">
        <v>99</v>
      </c>
      <c r="L793">
        <v>99.326239999999999</v>
      </c>
      <c r="M793">
        <v>99.112449999999995</v>
      </c>
      <c r="N793">
        <v>99.7</v>
      </c>
      <c r="O793">
        <v>100.37949999999999</v>
      </c>
      <c r="P793">
        <v>98.584419999999994</v>
      </c>
      <c r="Q793"/>
      <c r="R793">
        <v>100.06399999999999</v>
      </c>
      <c r="S793">
        <v>99.801320000000004</v>
      </c>
      <c r="T793"/>
      <c r="U793">
        <v>98.930679999999995</v>
      </c>
      <c r="V793">
        <v>99.5</v>
      </c>
      <c r="W793">
        <v>101.07129999999999</v>
      </c>
      <c r="X793">
        <v>98.647639999999996</v>
      </c>
      <c r="Y793"/>
      <c r="Z793"/>
      <c r="AA793">
        <v>98.912800000000004</v>
      </c>
      <c r="AB793">
        <v>98.683580000000006</v>
      </c>
      <c r="AC793">
        <v>100.4218</v>
      </c>
      <c r="AD793">
        <v>99.430940000000007</v>
      </c>
      <c r="AE793">
        <v>99.607969999999995</v>
      </c>
      <c r="AF793">
        <v>98.027240000000006</v>
      </c>
      <c r="AG793">
        <v>99.024799999999999</v>
      </c>
      <c r="AH793">
        <v>98.67</v>
      </c>
      <c r="AI793">
        <v>98.906859999999995</v>
      </c>
      <c r="AJ793">
        <v>98.722170000000006</v>
      </c>
      <c r="AK793">
        <v>98.784000000000006</v>
      </c>
      <c r="AL793">
        <v>98.461879999999994</v>
      </c>
      <c r="AM793">
        <v>98.84469</v>
      </c>
      <c r="AN793">
        <v>99.201840000000004</v>
      </c>
      <c r="AO793">
        <v>99.804389999999998</v>
      </c>
      <c r="AP793">
        <v>100.0694</v>
      </c>
      <c r="AQ793"/>
      <c r="AR793"/>
      <c r="AS793">
        <v>99.69238</v>
      </c>
      <c r="AT793">
        <v>100.0817</v>
      </c>
      <c r="AU793">
        <v>100.56910000000001</v>
      </c>
      <c r="AV793">
        <v>95.104709999999997</v>
      </c>
      <c r="AW793">
        <v>98.566959999999995</v>
      </c>
      <c r="AX793">
        <v>96.662509999999997</v>
      </c>
    </row>
    <row r="794" spans="1:50" x14ac:dyDescent="0.35">
      <c r="A794" s="75">
        <v>42005</v>
      </c>
      <c r="B794">
        <v>98.308189999999996</v>
      </c>
      <c r="C794">
        <v>99.248919999999998</v>
      </c>
      <c r="D794"/>
      <c r="E794">
        <v>98.406080000000003</v>
      </c>
      <c r="F794">
        <v>100.21250000000001</v>
      </c>
      <c r="G794">
        <v>97.975350000000006</v>
      </c>
      <c r="H794"/>
      <c r="I794">
        <v>97.484210000000004</v>
      </c>
      <c r="J794">
        <v>99.717839999999995</v>
      </c>
      <c r="K794">
        <v>99.2</v>
      </c>
      <c r="L794">
        <v>98.433790000000002</v>
      </c>
      <c r="M794">
        <v>98.660629999999998</v>
      </c>
      <c r="N794">
        <v>97.87</v>
      </c>
      <c r="O794">
        <v>98.446749999999994</v>
      </c>
      <c r="P794">
        <v>98.754679999999993</v>
      </c>
      <c r="Q794"/>
      <c r="R794">
        <v>99.32</v>
      </c>
      <c r="S794">
        <v>98.703379999999996</v>
      </c>
      <c r="T794"/>
      <c r="U794">
        <v>98.816490000000002</v>
      </c>
      <c r="V794">
        <v>98.9</v>
      </c>
      <c r="W794">
        <v>99.251630000000006</v>
      </c>
      <c r="X794">
        <v>98.873019999999997</v>
      </c>
      <c r="Y794"/>
      <c r="Z794"/>
      <c r="AA794">
        <v>98.582759999999993</v>
      </c>
      <c r="AB794">
        <v>97.731610000000003</v>
      </c>
      <c r="AC794">
        <v>99.713179999999994</v>
      </c>
      <c r="AD794">
        <v>99.24982</v>
      </c>
      <c r="AE794">
        <v>99.305419999999998</v>
      </c>
      <c r="AF794">
        <v>99.32002</v>
      </c>
      <c r="AG794">
        <v>98.364599999999996</v>
      </c>
      <c r="AH794">
        <v>98.06</v>
      </c>
      <c r="AI794">
        <v>98.490880000000004</v>
      </c>
      <c r="AJ794">
        <v>98.671019999999999</v>
      </c>
      <c r="AK794">
        <v>98.045839999999998</v>
      </c>
      <c r="AL794">
        <v>98.296869999999998</v>
      </c>
      <c r="AM794">
        <v>98.735550000000003</v>
      </c>
      <c r="AN794">
        <v>98.563389999999998</v>
      </c>
      <c r="AO794">
        <v>99.630520000000004</v>
      </c>
      <c r="AP794">
        <v>98.256219999999999</v>
      </c>
      <c r="AQ794"/>
      <c r="AR794"/>
      <c r="AS794">
        <v>99.809020000000004</v>
      </c>
      <c r="AT794">
        <v>98.721649999999997</v>
      </c>
      <c r="AU794">
        <v>99.299059999999997</v>
      </c>
      <c r="AV794">
        <v>95.856369999999998</v>
      </c>
      <c r="AW794">
        <v>98.762209999999996</v>
      </c>
      <c r="AX794">
        <v>97.036349999999999</v>
      </c>
    </row>
    <row r="795" spans="1:50" x14ac:dyDescent="0.35">
      <c r="A795" s="75">
        <v>42036</v>
      </c>
      <c r="B795">
        <v>98.608220000000003</v>
      </c>
      <c r="C795">
        <v>99.637410000000003</v>
      </c>
      <c r="D795"/>
      <c r="E795">
        <v>99.253739999999993</v>
      </c>
      <c r="F795">
        <v>100.1345</v>
      </c>
      <c r="G795">
        <v>98.235780000000005</v>
      </c>
      <c r="H795"/>
      <c r="I795">
        <v>98.407960000000003</v>
      </c>
      <c r="J795">
        <v>100.18980000000001</v>
      </c>
      <c r="K795">
        <v>99.5</v>
      </c>
      <c r="L795">
        <v>98.964160000000007</v>
      </c>
      <c r="M795">
        <v>99.748019999999997</v>
      </c>
      <c r="N795">
        <v>98.38</v>
      </c>
      <c r="O795">
        <v>98.394199999999998</v>
      </c>
      <c r="P795">
        <v>99.095219999999998</v>
      </c>
      <c r="Q795"/>
      <c r="R795">
        <v>99.69</v>
      </c>
      <c r="S795">
        <v>99.306060000000002</v>
      </c>
      <c r="T795"/>
      <c r="U795">
        <v>99.173479999999998</v>
      </c>
      <c r="V795">
        <v>99.3</v>
      </c>
      <c r="W795">
        <v>97.563320000000004</v>
      </c>
      <c r="X795">
        <v>99.173550000000006</v>
      </c>
      <c r="Y795"/>
      <c r="Z795"/>
      <c r="AA795">
        <v>99.406459999999996</v>
      </c>
      <c r="AB795">
        <v>98.587159999999997</v>
      </c>
      <c r="AC795">
        <v>99.308250000000001</v>
      </c>
      <c r="AD795">
        <v>99.583410000000001</v>
      </c>
      <c r="AE795">
        <v>99.315430000000006</v>
      </c>
      <c r="AF795">
        <v>99.439570000000003</v>
      </c>
      <c r="AG795">
        <v>97.955399999999997</v>
      </c>
      <c r="AH795">
        <v>99.83</v>
      </c>
      <c r="AI795">
        <v>98.52337</v>
      </c>
      <c r="AJ795">
        <v>99.085269999999994</v>
      </c>
      <c r="AK795">
        <v>98.405090000000001</v>
      </c>
      <c r="AL795">
        <v>98.484340000000003</v>
      </c>
      <c r="AM795">
        <v>99.036789999999996</v>
      </c>
      <c r="AN795">
        <v>98.854050000000001</v>
      </c>
      <c r="AO795">
        <v>99.630520000000004</v>
      </c>
      <c r="AP795">
        <v>98.038250000000005</v>
      </c>
      <c r="AQ795"/>
      <c r="AR795"/>
      <c r="AS795">
        <v>99.83417</v>
      </c>
      <c r="AT795">
        <v>99.041650000000004</v>
      </c>
      <c r="AU795">
        <v>99.835239999999999</v>
      </c>
      <c r="AV795">
        <v>95.786919999999995</v>
      </c>
      <c r="AW795">
        <v>99.106899999999996</v>
      </c>
      <c r="AX795">
        <v>98.262150000000005</v>
      </c>
    </row>
    <row r="796" spans="1:50" x14ac:dyDescent="0.35">
      <c r="A796" s="75">
        <v>42064</v>
      </c>
      <c r="B796">
        <v>99.808319999999995</v>
      </c>
      <c r="C796">
        <v>99.404319999999998</v>
      </c>
      <c r="D796"/>
      <c r="E796">
        <v>99.833619999999996</v>
      </c>
      <c r="F796">
        <v>100.386</v>
      </c>
      <c r="G796">
        <v>98.930250000000001</v>
      </c>
      <c r="H796"/>
      <c r="I796">
        <v>98.824870000000004</v>
      </c>
      <c r="J796">
        <v>100.2201</v>
      </c>
      <c r="K796">
        <v>99.5</v>
      </c>
      <c r="L796">
        <v>99.395499999999998</v>
      </c>
      <c r="M796">
        <v>100.0979</v>
      </c>
      <c r="N796">
        <v>99.77</v>
      </c>
      <c r="O796">
        <v>98.997460000000004</v>
      </c>
      <c r="P796">
        <v>99.719539999999995</v>
      </c>
      <c r="Q796"/>
      <c r="R796">
        <v>99.89</v>
      </c>
      <c r="S796">
        <v>100.00149999999999</v>
      </c>
      <c r="T796"/>
      <c r="U796">
        <v>99.546109999999999</v>
      </c>
      <c r="V796">
        <v>99.4</v>
      </c>
      <c r="W796">
        <v>100.4482</v>
      </c>
      <c r="X796">
        <v>99.398949999999999</v>
      </c>
      <c r="Y796"/>
      <c r="Z796"/>
      <c r="AA796">
        <v>99.82056</v>
      </c>
      <c r="AB796">
        <v>99.628929999999997</v>
      </c>
      <c r="AC796">
        <v>99.510710000000003</v>
      </c>
      <c r="AD796">
        <v>99.513869999999997</v>
      </c>
      <c r="AE796">
        <v>99.56635</v>
      </c>
      <c r="AF796">
        <v>99.589789999999994</v>
      </c>
      <c r="AG796">
        <v>98.841899999999995</v>
      </c>
      <c r="AH796">
        <v>99.75</v>
      </c>
      <c r="AI796">
        <v>99.487020000000001</v>
      </c>
      <c r="AJ796">
        <v>99.404830000000004</v>
      </c>
      <c r="AK796">
        <v>99.596369999999993</v>
      </c>
      <c r="AL796">
        <v>99.170779999999993</v>
      </c>
      <c r="AM796">
        <v>99.431880000000007</v>
      </c>
      <c r="AN796">
        <v>99.294259999999994</v>
      </c>
      <c r="AO796">
        <v>99.717449999999999</v>
      </c>
      <c r="AP796">
        <v>100.1585</v>
      </c>
      <c r="AQ796"/>
      <c r="AR796"/>
      <c r="AS796">
        <v>99.788250000000005</v>
      </c>
      <c r="AT796">
        <v>99.941670000000002</v>
      </c>
      <c r="AU796">
        <v>99.868750000000006</v>
      </c>
      <c r="AV796">
        <v>96.330240000000003</v>
      </c>
      <c r="AW796">
        <v>99.513099999999994</v>
      </c>
      <c r="AX796">
        <v>99.220380000000006</v>
      </c>
    </row>
    <row r="797" spans="1:50" x14ac:dyDescent="0.35">
      <c r="A797" s="75">
        <v>42095</v>
      </c>
      <c r="B797">
        <v>99.908330000000007</v>
      </c>
      <c r="C797">
        <v>99.715109999999996</v>
      </c>
      <c r="D797"/>
      <c r="E797">
        <v>99.86591</v>
      </c>
      <c r="F797">
        <v>100.2221</v>
      </c>
      <c r="G797">
        <v>99.3643</v>
      </c>
      <c r="H797"/>
      <c r="I797">
        <v>99.258139999999997</v>
      </c>
      <c r="J797">
        <v>100.33620000000001</v>
      </c>
      <c r="K797">
        <v>99.9</v>
      </c>
      <c r="L797">
        <v>99.861660000000001</v>
      </c>
      <c r="M797">
        <v>100.1829</v>
      </c>
      <c r="N797">
        <v>100.3</v>
      </c>
      <c r="O797">
        <v>100.30589999999999</v>
      </c>
      <c r="P797">
        <v>99.946560000000005</v>
      </c>
      <c r="Q797"/>
      <c r="R797">
        <v>99.88</v>
      </c>
      <c r="S797">
        <v>100.1202</v>
      </c>
      <c r="T797"/>
      <c r="U797">
        <v>99.873220000000003</v>
      </c>
      <c r="V797">
        <v>99.7</v>
      </c>
      <c r="W797">
        <v>100.9293</v>
      </c>
      <c r="X797">
        <v>99.774600000000007</v>
      </c>
      <c r="Y797"/>
      <c r="Z797"/>
      <c r="AA797">
        <v>99.746250000000003</v>
      </c>
      <c r="AB797">
        <v>99.811610000000002</v>
      </c>
      <c r="AC797">
        <v>99.915639999999996</v>
      </c>
      <c r="AD797">
        <v>99.930269999999993</v>
      </c>
      <c r="AE797">
        <v>99.984409999999997</v>
      </c>
      <c r="AF797">
        <v>99.650090000000006</v>
      </c>
      <c r="AG797">
        <v>99.551100000000005</v>
      </c>
      <c r="AH797">
        <v>99.86</v>
      </c>
      <c r="AI797">
        <v>100.1281</v>
      </c>
      <c r="AJ797">
        <v>99.537509999999997</v>
      </c>
      <c r="AK797">
        <v>100.2603</v>
      </c>
      <c r="AL797">
        <v>99.6053</v>
      </c>
      <c r="AM797">
        <v>99.810220000000001</v>
      </c>
      <c r="AN797">
        <v>99.812849999999997</v>
      </c>
      <c r="AO797">
        <v>100.1521</v>
      </c>
      <c r="AP797">
        <v>100.4062</v>
      </c>
      <c r="AQ797"/>
      <c r="AR797"/>
      <c r="AS797">
        <v>99.824169999999995</v>
      </c>
      <c r="AT797">
        <v>99.991669999999999</v>
      </c>
      <c r="AU797">
        <v>99.734700000000004</v>
      </c>
      <c r="AV797">
        <v>98.107249999999993</v>
      </c>
      <c r="AW797">
        <v>99.816509999999994</v>
      </c>
      <c r="AX797">
        <v>99.545169999999999</v>
      </c>
    </row>
    <row r="798" spans="1:50" x14ac:dyDescent="0.35">
      <c r="A798" s="75">
        <v>42125</v>
      </c>
      <c r="B798">
        <v>100.1083</v>
      </c>
      <c r="C798">
        <v>99.656840000000003</v>
      </c>
      <c r="D798"/>
      <c r="E798">
        <v>100.0895</v>
      </c>
      <c r="F798">
        <v>100.31140000000001</v>
      </c>
      <c r="G798">
        <v>99.494510000000005</v>
      </c>
      <c r="H798"/>
      <c r="I798">
        <v>99.609660000000005</v>
      </c>
      <c r="J798">
        <v>100.3058</v>
      </c>
      <c r="K798">
        <v>100</v>
      </c>
      <c r="L798">
        <v>99.993480000000005</v>
      </c>
      <c r="M798">
        <v>100.2627</v>
      </c>
      <c r="N798">
        <v>100.52</v>
      </c>
      <c r="O798">
        <v>100.6874</v>
      </c>
      <c r="P798">
        <v>100.17359999999999</v>
      </c>
      <c r="Q798"/>
      <c r="R798">
        <v>99.73</v>
      </c>
      <c r="S798">
        <v>100.29689999999999</v>
      </c>
      <c r="T798"/>
      <c r="U798">
        <v>99.991969999999995</v>
      </c>
      <c r="V798">
        <v>99.9</v>
      </c>
      <c r="W798">
        <v>99.995400000000004</v>
      </c>
      <c r="X798">
        <v>100</v>
      </c>
      <c r="Y798"/>
      <c r="Z798"/>
      <c r="AA798">
        <v>99.98339</v>
      </c>
      <c r="AB798">
        <v>99.882580000000004</v>
      </c>
      <c r="AC798">
        <v>99.915639999999996</v>
      </c>
      <c r="AD798">
        <v>99.935199999999995</v>
      </c>
      <c r="AE798">
        <v>100.1271</v>
      </c>
      <c r="AF798">
        <v>99.850040000000007</v>
      </c>
      <c r="AG798">
        <v>99.8215</v>
      </c>
      <c r="AH798">
        <v>100.09</v>
      </c>
      <c r="AI798">
        <v>100.4871</v>
      </c>
      <c r="AJ798">
        <v>99.658199999999994</v>
      </c>
      <c r="AK798">
        <v>100.45099999999999</v>
      </c>
      <c r="AL798">
        <v>99.832189999999997</v>
      </c>
      <c r="AM798">
        <v>99.983410000000006</v>
      </c>
      <c r="AN798">
        <v>100.0851</v>
      </c>
      <c r="AO798">
        <v>100.1521</v>
      </c>
      <c r="AP798">
        <v>100.65389999999999</v>
      </c>
      <c r="AQ798"/>
      <c r="AR798"/>
      <c r="AS798">
        <v>100.0091</v>
      </c>
      <c r="AT798">
        <v>100.3417</v>
      </c>
      <c r="AU798">
        <v>100.0564</v>
      </c>
      <c r="AV798">
        <v>99.831149999999994</v>
      </c>
      <c r="AW798">
        <v>99.947360000000003</v>
      </c>
      <c r="AX798">
        <v>99.654499999999999</v>
      </c>
    </row>
    <row r="799" spans="1:50" x14ac:dyDescent="0.35">
      <c r="A799" s="75">
        <v>42156</v>
      </c>
      <c r="B799">
        <v>100.2084</v>
      </c>
      <c r="C799">
        <v>99.96763</v>
      </c>
      <c r="D799"/>
      <c r="E799">
        <v>100.0442</v>
      </c>
      <c r="F799">
        <v>100.3052</v>
      </c>
      <c r="G799">
        <v>99.906859999999995</v>
      </c>
      <c r="H799"/>
      <c r="I799">
        <v>99.961169999999996</v>
      </c>
      <c r="J799">
        <v>100.48050000000001</v>
      </c>
      <c r="K799">
        <v>100.2</v>
      </c>
      <c r="L799">
        <v>100.128</v>
      </c>
      <c r="M799">
        <v>99.969629999999995</v>
      </c>
      <c r="N799">
        <v>100.57</v>
      </c>
      <c r="O799">
        <v>100.8146</v>
      </c>
      <c r="P799">
        <v>100.3438</v>
      </c>
      <c r="Q799"/>
      <c r="R799">
        <v>99.7</v>
      </c>
      <c r="S799">
        <v>100.2992</v>
      </c>
      <c r="T799"/>
      <c r="U799">
        <v>100.0561</v>
      </c>
      <c r="V799">
        <v>99.9</v>
      </c>
      <c r="W799">
        <v>100.82380000000001</v>
      </c>
      <c r="X799">
        <v>100.07510000000001</v>
      </c>
      <c r="Y799"/>
      <c r="Z799"/>
      <c r="AA799">
        <v>100.23820000000001</v>
      </c>
      <c r="AB799">
        <v>100.11490000000001</v>
      </c>
      <c r="AC799">
        <v>100.4218</v>
      </c>
      <c r="AD799">
        <v>100.1649</v>
      </c>
      <c r="AE799">
        <v>99.952960000000004</v>
      </c>
      <c r="AF799">
        <v>99.809839999999994</v>
      </c>
      <c r="AG799">
        <v>100.1104</v>
      </c>
      <c r="AH799">
        <v>100.3</v>
      </c>
      <c r="AI799">
        <v>100.62130000000001</v>
      </c>
      <c r="AJ799">
        <v>99.868210000000005</v>
      </c>
      <c r="AK799">
        <v>99.973339999999993</v>
      </c>
      <c r="AL799">
        <v>100.18980000000001</v>
      </c>
      <c r="AM799">
        <v>100.06399999999999</v>
      </c>
      <c r="AN799">
        <v>100.1802</v>
      </c>
      <c r="AO799">
        <v>100.0652</v>
      </c>
      <c r="AP799">
        <v>100.4954</v>
      </c>
      <c r="AQ799"/>
      <c r="AR799"/>
      <c r="AS799">
        <v>100.0692</v>
      </c>
      <c r="AT799">
        <v>100.4517</v>
      </c>
      <c r="AU799">
        <v>99.925719999999998</v>
      </c>
      <c r="AV799">
        <v>100.158</v>
      </c>
      <c r="AW799">
        <v>100.0444</v>
      </c>
      <c r="AX799">
        <v>100.0956</v>
      </c>
    </row>
    <row r="800" spans="1:50" x14ac:dyDescent="0.35">
      <c r="A800" s="75">
        <v>42186</v>
      </c>
      <c r="B800">
        <v>99.908330000000007</v>
      </c>
      <c r="C800">
        <v>100.15219999999999</v>
      </c>
      <c r="D800"/>
      <c r="E800">
        <v>100.0429</v>
      </c>
      <c r="F800">
        <v>99.668009999999995</v>
      </c>
      <c r="G800">
        <v>100.0479</v>
      </c>
      <c r="H800"/>
      <c r="I800">
        <v>100.092</v>
      </c>
      <c r="J800">
        <v>100.0455</v>
      </c>
      <c r="K800">
        <v>100.4</v>
      </c>
      <c r="L800">
        <v>100.5273</v>
      </c>
      <c r="M800">
        <v>99.927030000000002</v>
      </c>
      <c r="N800">
        <v>99.93</v>
      </c>
      <c r="O800">
        <v>99.612279999999998</v>
      </c>
      <c r="P800">
        <v>100.17359999999999</v>
      </c>
      <c r="Q800"/>
      <c r="R800">
        <v>99.73</v>
      </c>
      <c r="S800">
        <v>100.0093</v>
      </c>
      <c r="T800"/>
      <c r="U800">
        <v>100.1095</v>
      </c>
      <c r="V800">
        <v>100</v>
      </c>
      <c r="W800">
        <v>99.166790000000006</v>
      </c>
      <c r="X800">
        <v>100.37569999999999</v>
      </c>
      <c r="Y800"/>
      <c r="Z800"/>
      <c r="AA800">
        <v>100.1143</v>
      </c>
      <c r="AB800">
        <v>100.2899</v>
      </c>
      <c r="AC800">
        <v>100.62430000000001</v>
      </c>
      <c r="AD800">
        <v>100.35380000000001</v>
      </c>
      <c r="AE800">
        <v>100.01179999999999</v>
      </c>
      <c r="AF800">
        <v>100.27</v>
      </c>
      <c r="AG800">
        <v>99.703199999999995</v>
      </c>
      <c r="AH800">
        <v>99.17</v>
      </c>
      <c r="AI800">
        <v>99.787360000000007</v>
      </c>
      <c r="AJ800">
        <v>100.04219999999999</v>
      </c>
      <c r="AK800">
        <v>100.9798</v>
      </c>
      <c r="AL800">
        <v>100.04219999999999</v>
      </c>
      <c r="AM800">
        <v>100.1015</v>
      </c>
      <c r="AN800">
        <v>100.1507</v>
      </c>
      <c r="AO800">
        <v>100.23909999999999</v>
      </c>
      <c r="AP800">
        <v>99.702770000000001</v>
      </c>
      <c r="AQ800"/>
      <c r="AR800"/>
      <c r="AS800">
        <v>100.08029999999999</v>
      </c>
      <c r="AT800">
        <v>99.581659999999999</v>
      </c>
      <c r="AU800">
        <v>99.94247</v>
      </c>
      <c r="AV800">
        <v>100.2846</v>
      </c>
      <c r="AW800">
        <v>100.0782</v>
      </c>
      <c r="AX800">
        <v>100.4516</v>
      </c>
    </row>
    <row r="801" spans="1:50" x14ac:dyDescent="0.35">
      <c r="A801" s="75">
        <v>42217</v>
      </c>
      <c r="B801">
        <v>100.00830000000001</v>
      </c>
      <c r="C801">
        <v>100.2299</v>
      </c>
      <c r="D801"/>
      <c r="E801">
        <v>100.28440000000001</v>
      </c>
      <c r="F801">
        <v>99.551730000000006</v>
      </c>
      <c r="G801">
        <v>100.43859999999999</v>
      </c>
      <c r="H801"/>
      <c r="I801">
        <v>100.38630000000001</v>
      </c>
      <c r="J801">
        <v>99.921800000000005</v>
      </c>
      <c r="K801">
        <v>100.4</v>
      </c>
      <c r="L801">
        <v>100.84780000000001</v>
      </c>
      <c r="M801">
        <v>99.985659999999996</v>
      </c>
      <c r="N801">
        <v>100.24</v>
      </c>
      <c r="O801">
        <v>99.707920000000001</v>
      </c>
      <c r="P801">
        <v>100.4006</v>
      </c>
      <c r="Q801"/>
      <c r="R801">
        <v>100.09</v>
      </c>
      <c r="S801">
        <v>100.6525</v>
      </c>
      <c r="T801"/>
      <c r="U801">
        <v>100.3069</v>
      </c>
      <c r="V801">
        <v>100.3</v>
      </c>
      <c r="W801">
        <v>97.892600000000002</v>
      </c>
      <c r="X801">
        <v>100.4508</v>
      </c>
      <c r="Y801"/>
      <c r="Z801"/>
      <c r="AA801">
        <v>100.8717</v>
      </c>
      <c r="AB801">
        <v>100.9479</v>
      </c>
      <c r="AC801">
        <v>100.62430000000001</v>
      </c>
      <c r="AD801">
        <v>100.7632</v>
      </c>
      <c r="AE801">
        <v>100.20189999999999</v>
      </c>
      <c r="AF801">
        <v>100.47</v>
      </c>
      <c r="AG801">
        <v>99.656800000000004</v>
      </c>
      <c r="AH801">
        <v>100.66</v>
      </c>
      <c r="AI801">
        <v>100.0241</v>
      </c>
      <c r="AJ801">
        <v>100.25830000000001</v>
      </c>
      <c r="AK801">
        <v>100.764</v>
      </c>
      <c r="AL801">
        <v>99.958309999999997</v>
      </c>
      <c r="AM801">
        <v>100.2683</v>
      </c>
      <c r="AN801">
        <v>100.3856</v>
      </c>
      <c r="AO801">
        <v>100.1521</v>
      </c>
      <c r="AP801">
        <v>99.50461</v>
      </c>
      <c r="AQ801"/>
      <c r="AR801"/>
      <c r="AS801">
        <v>100.13039999999999</v>
      </c>
      <c r="AT801">
        <v>99.991669999999999</v>
      </c>
      <c r="AU801">
        <v>99.731350000000006</v>
      </c>
      <c r="AV801">
        <v>100.5787</v>
      </c>
      <c r="AW801">
        <v>100.167</v>
      </c>
      <c r="AX801">
        <v>100.6533</v>
      </c>
    </row>
    <row r="802" spans="1:50" x14ac:dyDescent="0.35">
      <c r="A802" s="75">
        <v>42248</v>
      </c>
      <c r="B802">
        <v>100.50839999999999</v>
      </c>
      <c r="C802">
        <v>100.0842</v>
      </c>
      <c r="D802"/>
      <c r="E802">
        <v>100.6099</v>
      </c>
      <c r="F802">
        <v>99.765659999999997</v>
      </c>
      <c r="G802">
        <v>100.90519999999999</v>
      </c>
      <c r="H802"/>
      <c r="I802">
        <v>100.8767</v>
      </c>
      <c r="J802">
        <v>99.84151</v>
      </c>
      <c r="K802">
        <v>100.2</v>
      </c>
      <c r="L802">
        <v>100.7698</v>
      </c>
      <c r="M802">
        <v>100.3471</v>
      </c>
      <c r="N802">
        <v>100.71</v>
      </c>
      <c r="O802">
        <v>99.764669999999995</v>
      </c>
      <c r="P802">
        <v>100.2303</v>
      </c>
      <c r="Q802"/>
      <c r="R802">
        <v>100.52</v>
      </c>
      <c r="S802">
        <v>100.1264</v>
      </c>
      <c r="T802"/>
      <c r="U802">
        <v>100.4499</v>
      </c>
      <c r="V802">
        <v>100.4</v>
      </c>
      <c r="W802">
        <v>100.8933</v>
      </c>
      <c r="X802">
        <v>100.22539999999999</v>
      </c>
      <c r="Y802"/>
      <c r="Z802"/>
      <c r="AA802">
        <v>100.5598</v>
      </c>
      <c r="AB802">
        <v>100.636</v>
      </c>
      <c r="AC802">
        <v>100.1181</v>
      </c>
      <c r="AD802">
        <v>100.312</v>
      </c>
      <c r="AE802">
        <v>100.3275</v>
      </c>
      <c r="AF802">
        <v>100.24039999999999</v>
      </c>
      <c r="AG802">
        <v>100.7332</v>
      </c>
      <c r="AH802">
        <v>100.66</v>
      </c>
      <c r="AI802">
        <v>100.55249999999999</v>
      </c>
      <c r="AJ802">
        <v>100.6348</v>
      </c>
      <c r="AK802">
        <v>100.75700000000001</v>
      </c>
      <c r="AL802">
        <v>100.774</v>
      </c>
      <c r="AM802">
        <v>100.4521</v>
      </c>
      <c r="AN802">
        <v>100.4453</v>
      </c>
      <c r="AO802">
        <v>99.978260000000006</v>
      </c>
      <c r="AP802">
        <v>100.6737</v>
      </c>
      <c r="AQ802"/>
      <c r="AR802"/>
      <c r="AS802">
        <v>100.02070000000001</v>
      </c>
      <c r="AT802">
        <v>100.2617</v>
      </c>
      <c r="AU802">
        <v>100.3848</v>
      </c>
      <c r="AV802">
        <v>101.4162</v>
      </c>
      <c r="AW802">
        <v>100.4592</v>
      </c>
      <c r="AX802">
        <v>100.9915</v>
      </c>
    </row>
    <row r="803" spans="1:50" x14ac:dyDescent="0.35">
      <c r="A803" s="75">
        <v>42278</v>
      </c>
      <c r="B803">
        <v>100.6084</v>
      </c>
      <c r="C803">
        <v>100.4727</v>
      </c>
      <c r="D803"/>
      <c r="E803">
        <v>100.8103</v>
      </c>
      <c r="F803">
        <v>99.937399999999997</v>
      </c>
      <c r="G803">
        <v>101.3501</v>
      </c>
      <c r="H803"/>
      <c r="I803">
        <v>101.261</v>
      </c>
      <c r="J803">
        <v>99.7851</v>
      </c>
      <c r="K803">
        <v>100.4</v>
      </c>
      <c r="L803">
        <v>100.85039999999999</v>
      </c>
      <c r="M803">
        <v>100.33199999999999</v>
      </c>
      <c r="N803">
        <v>100.87</v>
      </c>
      <c r="O803">
        <v>100.7841</v>
      </c>
      <c r="P803">
        <v>100.6844</v>
      </c>
      <c r="Q803"/>
      <c r="R803">
        <v>100.66</v>
      </c>
      <c r="S803">
        <v>100.1009</v>
      </c>
      <c r="T803"/>
      <c r="U803">
        <v>100.62479999999999</v>
      </c>
      <c r="V803">
        <v>100.6</v>
      </c>
      <c r="W803">
        <v>101.2594</v>
      </c>
      <c r="X803">
        <v>100.52589999999999</v>
      </c>
      <c r="Y803"/>
      <c r="Z803"/>
      <c r="AA803">
        <v>100.4298</v>
      </c>
      <c r="AB803">
        <v>100.79040000000001</v>
      </c>
      <c r="AC803">
        <v>100.01690000000001</v>
      </c>
      <c r="AD803">
        <v>100.37949999999999</v>
      </c>
      <c r="AE803">
        <v>100.42019999999999</v>
      </c>
      <c r="AF803">
        <v>100.3399</v>
      </c>
      <c r="AG803">
        <v>101.33620000000001</v>
      </c>
      <c r="AH803">
        <v>100.56</v>
      </c>
      <c r="AI803">
        <v>100.8335</v>
      </c>
      <c r="AJ803">
        <v>100.8557</v>
      </c>
      <c r="AK803">
        <v>100.74550000000001</v>
      </c>
      <c r="AL803">
        <v>101.12730000000001</v>
      </c>
      <c r="AM803">
        <v>100.72369999999999</v>
      </c>
      <c r="AN803">
        <v>100.7911</v>
      </c>
      <c r="AO803">
        <v>100.1521</v>
      </c>
      <c r="AP803">
        <v>100.78270000000001</v>
      </c>
      <c r="AQ803"/>
      <c r="AR803"/>
      <c r="AS803">
        <v>100.1427</v>
      </c>
      <c r="AT803">
        <v>100.5117</v>
      </c>
      <c r="AU803">
        <v>100.4418</v>
      </c>
      <c r="AV803">
        <v>103.40560000000001</v>
      </c>
      <c r="AW803">
        <v>100.71769999999999</v>
      </c>
      <c r="AX803">
        <v>101.1927</v>
      </c>
    </row>
    <row r="804" spans="1:50" x14ac:dyDescent="0.35">
      <c r="A804" s="75">
        <v>42309</v>
      </c>
      <c r="B804">
        <v>100.7084</v>
      </c>
      <c r="C804">
        <v>100.67659999999999</v>
      </c>
      <c r="D804"/>
      <c r="E804">
        <v>100.62569999999999</v>
      </c>
      <c r="F804">
        <v>99.798320000000004</v>
      </c>
      <c r="G804">
        <v>101.53449999999999</v>
      </c>
      <c r="H804"/>
      <c r="I804">
        <v>101.6942</v>
      </c>
      <c r="J804">
        <v>99.576809999999995</v>
      </c>
      <c r="K804">
        <v>100.1</v>
      </c>
      <c r="L804">
        <v>99.922830000000005</v>
      </c>
      <c r="M804">
        <v>100.2413</v>
      </c>
      <c r="N804">
        <v>100.25</v>
      </c>
      <c r="O804">
        <v>101.28019999999999</v>
      </c>
      <c r="P804">
        <v>100.3609</v>
      </c>
      <c r="Q804"/>
      <c r="R804">
        <v>100.34</v>
      </c>
      <c r="S804">
        <v>99.952330000000003</v>
      </c>
      <c r="T804"/>
      <c r="U804">
        <v>100.5239</v>
      </c>
      <c r="V804">
        <v>100.7</v>
      </c>
      <c r="W804">
        <v>100.21210000000001</v>
      </c>
      <c r="X804">
        <v>100.6011</v>
      </c>
      <c r="Y804"/>
      <c r="Z804"/>
      <c r="AA804">
        <v>100.1347</v>
      </c>
      <c r="AB804">
        <v>100.50920000000001</v>
      </c>
      <c r="AC804">
        <v>99.814409999999995</v>
      </c>
      <c r="AD804">
        <v>99.849850000000004</v>
      </c>
      <c r="AE804">
        <v>100.375</v>
      </c>
      <c r="AF804">
        <v>100.4002</v>
      </c>
      <c r="AG804">
        <v>102.1058</v>
      </c>
      <c r="AH804">
        <v>100.6</v>
      </c>
      <c r="AI804">
        <v>100.6027</v>
      </c>
      <c r="AJ804">
        <v>100.8574</v>
      </c>
      <c r="AK804">
        <v>100.0099</v>
      </c>
      <c r="AL804">
        <v>101.1499</v>
      </c>
      <c r="AM804">
        <v>100.6764</v>
      </c>
      <c r="AN804">
        <v>100.6127</v>
      </c>
      <c r="AO804">
        <v>100.0652</v>
      </c>
      <c r="AP804">
        <v>100.7431</v>
      </c>
      <c r="AQ804"/>
      <c r="AR804"/>
      <c r="AS804">
        <v>100.1966</v>
      </c>
      <c r="AT804">
        <v>100.8417</v>
      </c>
      <c r="AU804">
        <v>100.13679999999999</v>
      </c>
      <c r="AV804">
        <v>104.1572</v>
      </c>
      <c r="AW804">
        <v>100.7548</v>
      </c>
      <c r="AX804">
        <v>101.331</v>
      </c>
    </row>
    <row r="805" spans="1:50" x14ac:dyDescent="0.35">
      <c r="A805" s="75">
        <v>42339</v>
      </c>
      <c r="B805">
        <v>101.30840000000001</v>
      </c>
      <c r="C805">
        <v>100.7543</v>
      </c>
      <c r="D805"/>
      <c r="E805">
        <v>100.1337</v>
      </c>
      <c r="F805">
        <v>99.707319999999996</v>
      </c>
      <c r="G805">
        <v>101.8167</v>
      </c>
      <c r="H805"/>
      <c r="I805">
        <v>102.1438</v>
      </c>
      <c r="J805">
        <v>99.578980000000001</v>
      </c>
      <c r="K805">
        <v>100.3</v>
      </c>
      <c r="L805">
        <v>100.3052</v>
      </c>
      <c r="M805">
        <v>100.245</v>
      </c>
      <c r="N805">
        <v>100.61</v>
      </c>
      <c r="O805">
        <v>101.2045</v>
      </c>
      <c r="P805">
        <v>100.1168</v>
      </c>
      <c r="Q805"/>
      <c r="R805">
        <v>100.39</v>
      </c>
      <c r="S805">
        <v>100.4314</v>
      </c>
      <c r="T805"/>
      <c r="U805">
        <v>100.5278</v>
      </c>
      <c r="V805">
        <v>101</v>
      </c>
      <c r="W805">
        <v>101.5642</v>
      </c>
      <c r="X805">
        <v>100.52589999999999</v>
      </c>
      <c r="Y805"/>
      <c r="Z805"/>
      <c r="AA805">
        <v>100.1121</v>
      </c>
      <c r="AB805">
        <v>101.0699</v>
      </c>
      <c r="AC805">
        <v>100.01690000000001</v>
      </c>
      <c r="AD805">
        <v>99.964250000000007</v>
      </c>
      <c r="AE805">
        <v>100.41200000000001</v>
      </c>
      <c r="AF805">
        <v>100.6202</v>
      </c>
      <c r="AG805">
        <v>101.82</v>
      </c>
      <c r="AH805">
        <v>100.47</v>
      </c>
      <c r="AI805">
        <v>100.46210000000001</v>
      </c>
      <c r="AJ805">
        <v>101.12649999999999</v>
      </c>
      <c r="AK805">
        <v>100.01179999999999</v>
      </c>
      <c r="AL805">
        <v>101.3689</v>
      </c>
      <c r="AM805">
        <v>100.7161</v>
      </c>
      <c r="AN805">
        <v>100.82470000000001</v>
      </c>
      <c r="AO805">
        <v>100.0652</v>
      </c>
      <c r="AP805">
        <v>100.58459999999999</v>
      </c>
      <c r="AQ805"/>
      <c r="AR805"/>
      <c r="AS805">
        <v>100.0954</v>
      </c>
      <c r="AT805">
        <v>100.32170000000001</v>
      </c>
      <c r="AU805">
        <v>100.64279999999999</v>
      </c>
      <c r="AV805">
        <v>104.0878</v>
      </c>
      <c r="AW805">
        <v>100.6326</v>
      </c>
      <c r="AX805">
        <v>101.56570000000001</v>
      </c>
    </row>
    <row r="806" spans="1:50" x14ac:dyDescent="0.35">
      <c r="A806" s="75">
        <v>42370</v>
      </c>
      <c r="B806">
        <v>100.4084</v>
      </c>
      <c r="C806">
        <v>101.05540000000001</v>
      </c>
      <c r="D806"/>
      <c r="E806">
        <v>100.4359</v>
      </c>
      <c r="F806">
        <v>99.33954</v>
      </c>
      <c r="G806">
        <v>102.6956</v>
      </c>
      <c r="H806"/>
      <c r="I806">
        <v>102.9123</v>
      </c>
      <c r="J806">
        <v>100.0346</v>
      </c>
      <c r="K806">
        <v>100.8</v>
      </c>
      <c r="L806">
        <v>99.701589999999996</v>
      </c>
      <c r="M806">
        <v>99.829139999999995</v>
      </c>
      <c r="N806">
        <v>98.84</v>
      </c>
      <c r="O806">
        <v>99.244439999999997</v>
      </c>
      <c r="P806">
        <v>99.83305</v>
      </c>
      <c r="Q806"/>
      <c r="R806">
        <v>99.99</v>
      </c>
      <c r="S806">
        <v>99.335049999999995</v>
      </c>
      <c r="T806"/>
      <c r="U806">
        <v>100.48099999999999</v>
      </c>
      <c r="V806">
        <v>100.3</v>
      </c>
      <c r="W806">
        <v>99.004980000000003</v>
      </c>
      <c r="X806">
        <v>100.67619999999999</v>
      </c>
      <c r="Y806"/>
      <c r="Z806"/>
      <c r="AA806">
        <v>99.446870000000004</v>
      </c>
      <c r="AB806">
        <v>100.3125</v>
      </c>
      <c r="AC806">
        <v>99.510710000000003</v>
      </c>
      <c r="AD806">
        <v>100.00620000000001</v>
      </c>
      <c r="AE806">
        <v>99.792180000000002</v>
      </c>
      <c r="AF806">
        <v>101.0899</v>
      </c>
      <c r="AG806">
        <v>101.15260000000001</v>
      </c>
      <c r="AH806">
        <v>99.19</v>
      </c>
      <c r="AI806">
        <v>99.862039999999993</v>
      </c>
      <c r="AJ806">
        <v>101.35169999999999</v>
      </c>
      <c r="AK806">
        <v>99.046180000000007</v>
      </c>
      <c r="AL806">
        <v>101.3344</v>
      </c>
      <c r="AM806">
        <v>100.64660000000001</v>
      </c>
      <c r="AN806">
        <v>100.26600000000001</v>
      </c>
      <c r="AO806">
        <v>99.543580000000006</v>
      </c>
      <c r="AP806">
        <v>99.227189999999993</v>
      </c>
      <c r="AQ806"/>
      <c r="AR806"/>
      <c r="AS806">
        <v>100.307</v>
      </c>
      <c r="AT806">
        <v>98.841639999999998</v>
      </c>
      <c r="AU806">
        <v>99.734700000000004</v>
      </c>
      <c r="AV806">
        <v>105.2602</v>
      </c>
      <c r="AW806">
        <v>100.9418</v>
      </c>
      <c r="AX806">
        <v>102.29389999999999</v>
      </c>
    </row>
    <row r="807" spans="1:50" x14ac:dyDescent="0.35">
      <c r="A807" s="75">
        <v>42401</v>
      </c>
      <c r="B807">
        <v>100.50839999999999</v>
      </c>
      <c r="C807">
        <v>101.3079</v>
      </c>
      <c r="D807"/>
      <c r="E807">
        <v>101.0004</v>
      </c>
      <c r="F807">
        <v>99.605519999999999</v>
      </c>
      <c r="G807">
        <v>103.11879999999999</v>
      </c>
      <c r="H807"/>
      <c r="I807">
        <v>104.1058</v>
      </c>
      <c r="J807">
        <v>100.41759999999999</v>
      </c>
      <c r="K807">
        <v>101</v>
      </c>
      <c r="L807">
        <v>100.1118</v>
      </c>
      <c r="M807">
        <v>100.72329999999999</v>
      </c>
      <c r="N807">
        <v>99.24</v>
      </c>
      <c r="O807">
        <v>99.333770000000001</v>
      </c>
      <c r="P807">
        <v>100.6276</v>
      </c>
      <c r="Q807"/>
      <c r="R807">
        <v>100.34</v>
      </c>
      <c r="S807">
        <v>99.766090000000005</v>
      </c>
      <c r="T807"/>
      <c r="U807">
        <v>100.8592</v>
      </c>
      <c r="V807">
        <v>100.6</v>
      </c>
      <c r="W807">
        <v>97.161630000000002</v>
      </c>
      <c r="X807">
        <v>100.7513</v>
      </c>
      <c r="Y807"/>
      <c r="Z807"/>
      <c r="AA807">
        <v>100.26390000000001</v>
      </c>
      <c r="AB807">
        <v>101.2486</v>
      </c>
      <c r="AC807">
        <v>99.308250000000001</v>
      </c>
      <c r="AD807">
        <v>99.889290000000003</v>
      </c>
      <c r="AE807">
        <v>99.922740000000005</v>
      </c>
      <c r="AF807">
        <v>101.3301</v>
      </c>
      <c r="AG807">
        <v>100.765</v>
      </c>
      <c r="AH807">
        <v>100.93</v>
      </c>
      <c r="AI807">
        <v>99.950370000000007</v>
      </c>
      <c r="AJ807">
        <v>101.72110000000001</v>
      </c>
      <c r="AK807">
        <v>99.733860000000007</v>
      </c>
      <c r="AL807">
        <v>102.0125</v>
      </c>
      <c r="AM807">
        <v>100.9846</v>
      </c>
      <c r="AN807">
        <v>100.49079999999999</v>
      </c>
      <c r="AO807">
        <v>99.543580000000006</v>
      </c>
      <c r="AP807">
        <v>98.969579999999993</v>
      </c>
      <c r="AQ807"/>
      <c r="AR807"/>
      <c r="AS807">
        <v>100.36069999999999</v>
      </c>
      <c r="AT807">
        <v>99.151650000000004</v>
      </c>
      <c r="AU807">
        <v>100.3982</v>
      </c>
      <c r="AV807">
        <v>105.4032</v>
      </c>
      <c r="AW807">
        <v>101.4174</v>
      </c>
      <c r="AX807">
        <v>103.5519</v>
      </c>
    </row>
    <row r="808" spans="1:50" x14ac:dyDescent="0.35">
      <c r="A808" s="75">
        <v>42430</v>
      </c>
      <c r="B808">
        <v>101.4084</v>
      </c>
      <c r="C808">
        <v>101.73520000000001</v>
      </c>
      <c r="D808"/>
      <c r="E808">
        <v>101.60890000000001</v>
      </c>
      <c r="F808">
        <v>99.885580000000004</v>
      </c>
      <c r="G808">
        <v>103.6397</v>
      </c>
      <c r="H808"/>
      <c r="I808">
        <v>104.7761</v>
      </c>
      <c r="J808">
        <v>100.37090000000001</v>
      </c>
      <c r="K808">
        <v>101</v>
      </c>
      <c r="L808">
        <v>100.8382</v>
      </c>
      <c r="M808">
        <v>100.9011</v>
      </c>
      <c r="N808">
        <v>100.8</v>
      </c>
      <c r="O808">
        <v>99.996930000000006</v>
      </c>
      <c r="P808">
        <v>101.3087</v>
      </c>
      <c r="Q808"/>
      <c r="R808">
        <v>100.7</v>
      </c>
      <c r="S808">
        <v>100.4753</v>
      </c>
      <c r="T808"/>
      <c r="U808">
        <v>101.2362</v>
      </c>
      <c r="V808">
        <v>101.1</v>
      </c>
      <c r="W808">
        <v>99.059269999999998</v>
      </c>
      <c r="X808">
        <v>100.9016</v>
      </c>
      <c r="Y808"/>
      <c r="Z808"/>
      <c r="AA808">
        <v>100.69970000000001</v>
      </c>
      <c r="AB808">
        <v>101.6313</v>
      </c>
      <c r="AC808">
        <v>99.409480000000002</v>
      </c>
      <c r="AD808">
        <v>100.16670000000001</v>
      </c>
      <c r="AE808">
        <v>100.2171</v>
      </c>
      <c r="AF808">
        <v>101.4602</v>
      </c>
      <c r="AG808">
        <v>102.2483</v>
      </c>
      <c r="AH808">
        <v>100.85</v>
      </c>
      <c r="AI808">
        <v>101.16330000000001</v>
      </c>
      <c r="AJ808">
        <v>102.0573</v>
      </c>
      <c r="AK808">
        <v>100.8986</v>
      </c>
      <c r="AL808">
        <v>102.78959999999999</v>
      </c>
      <c r="AM808">
        <v>101.3807</v>
      </c>
      <c r="AN808">
        <v>101.06950000000001</v>
      </c>
      <c r="AO808">
        <v>99.543580000000006</v>
      </c>
      <c r="AP808">
        <v>101.12949999999999</v>
      </c>
      <c r="AQ808"/>
      <c r="AR808"/>
      <c r="AS808">
        <v>100.3296</v>
      </c>
      <c r="AT808">
        <v>100.07170000000001</v>
      </c>
      <c r="AU808">
        <v>100.80710000000001</v>
      </c>
      <c r="AV808">
        <v>105.8117</v>
      </c>
      <c r="AW808">
        <v>101.6972</v>
      </c>
      <c r="AX808">
        <v>104.6272</v>
      </c>
    </row>
    <row r="809" spans="1:50" x14ac:dyDescent="0.35">
      <c r="A809" s="75">
        <v>42461</v>
      </c>
      <c r="B809">
        <v>101.30840000000001</v>
      </c>
      <c r="C809">
        <v>101.7838</v>
      </c>
      <c r="D809"/>
      <c r="E809">
        <v>101.762</v>
      </c>
      <c r="F809">
        <v>100.1794</v>
      </c>
      <c r="G809">
        <v>103.9109</v>
      </c>
      <c r="H809"/>
      <c r="I809">
        <v>105.3811</v>
      </c>
      <c r="J809">
        <v>100.3764</v>
      </c>
      <c r="K809">
        <v>101.6</v>
      </c>
      <c r="L809">
        <v>100.82089999999999</v>
      </c>
      <c r="M809">
        <v>100.87520000000001</v>
      </c>
      <c r="N809">
        <v>101.02</v>
      </c>
      <c r="O809">
        <v>100.95959999999999</v>
      </c>
      <c r="P809">
        <v>101.3087</v>
      </c>
      <c r="Q809"/>
      <c r="R809">
        <v>100.97</v>
      </c>
      <c r="S809">
        <v>100.5432</v>
      </c>
      <c r="T809"/>
      <c r="U809">
        <v>101.4427</v>
      </c>
      <c r="V809">
        <v>101.2</v>
      </c>
      <c r="W809">
        <v>100.00879999999999</v>
      </c>
      <c r="X809">
        <v>101.3524</v>
      </c>
      <c r="Y809"/>
      <c r="Z809"/>
      <c r="AA809">
        <v>100.7834</v>
      </c>
      <c r="AB809">
        <v>101.72410000000001</v>
      </c>
      <c r="AC809">
        <v>99.713179999999994</v>
      </c>
      <c r="AD809">
        <v>100.28060000000001</v>
      </c>
      <c r="AE809">
        <v>100.57429999999999</v>
      </c>
      <c r="AF809">
        <v>101.64</v>
      </c>
      <c r="AG809">
        <v>102.441</v>
      </c>
      <c r="AH809">
        <v>101.02</v>
      </c>
      <c r="AI809">
        <v>101.3661</v>
      </c>
      <c r="AJ809">
        <v>102.133</v>
      </c>
      <c r="AK809">
        <v>100.9118</v>
      </c>
      <c r="AL809">
        <v>102.8165</v>
      </c>
      <c r="AM809">
        <v>101.6572</v>
      </c>
      <c r="AN809">
        <v>101.3858</v>
      </c>
      <c r="AO809">
        <v>99.804389999999998</v>
      </c>
      <c r="AP809">
        <v>101.1691</v>
      </c>
      <c r="AQ809"/>
      <c r="AR809"/>
      <c r="AS809">
        <v>100.6289</v>
      </c>
      <c r="AT809">
        <v>100.46169999999999</v>
      </c>
      <c r="AU809">
        <v>100.7769</v>
      </c>
      <c r="AV809">
        <v>107.5928</v>
      </c>
      <c r="AW809">
        <v>101.959</v>
      </c>
      <c r="AX809">
        <v>104.8937</v>
      </c>
    </row>
    <row r="810" spans="1:50" x14ac:dyDescent="0.35">
      <c r="A810" s="75">
        <v>42491</v>
      </c>
      <c r="B810">
        <v>101.5085</v>
      </c>
      <c r="C810">
        <v>101.9781</v>
      </c>
      <c r="D810"/>
      <c r="E810">
        <v>102.09569999999999</v>
      </c>
      <c r="F810">
        <v>100.1495</v>
      </c>
      <c r="G810">
        <v>103.80240000000001</v>
      </c>
      <c r="H810"/>
      <c r="I810">
        <v>105.8061</v>
      </c>
      <c r="J810">
        <v>100.4208</v>
      </c>
      <c r="K810">
        <v>101.6</v>
      </c>
      <c r="L810">
        <v>101.34739999999999</v>
      </c>
      <c r="M810">
        <v>100.9391</v>
      </c>
      <c r="N810">
        <v>101.32</v>
      </c>
      <c r="O810">
        <v>101.3201</v>
      </c>
      <c r="P810">
        <v>101.53570000000001</v>
      </c>
      <c r="Q810"/>
      <c r="R810">
        <v>100.98</v>
      </c>
      <c r="S810">
        <v>100.6456</v>
      </c>
      <c r="T810"/>
      <c r="U810">
        <v>101.6636</v>
      </c>
      <c r="V810">
        <v>101.4</v>
      </c>
      <c r="W810">
        <v>99.065969999999993</v>
      </c>
      <c r="X810">
        <v>101.42749999999999</v>
      </c>
      <c r="Y810"/>
      <c r="Z810"/>
      <c r="AA810">
        <v>101.2505</v>
      </c>
      <c r="AB810">
        <v>102.06829999999999</v>
      </c>
      <c r="AC810">
        <v>99.915639999999996</v>
      </c>
      <c r="AD810">
        <v>100.52670000000001</v>
      </c>
      <c r="AE810">
        <v>100.6126</v>
      </c>
      <c r="AF810">
        <v>101.8802</v>
      </c>
      <c r="AG810">
        <v>102.5412</v>
      </c>
      <c r="AH810">
        <v>101.13</v>
      </c>
      <c r="AI810">
        <v>102.0641</v>
      </c>
      <c r="AJ810">
        <v>102.252</v>
      </c>
      <c r="AK810">
        <v>101.01730000000001</v>
      </c>
      <c r="AL810">
        <v>103.16240000000001</v>
      </c>
      <c r="AM810">
        <v>101.8914</v>
      </c>
      <c r="AN810">
        <v>101.7072</v>
      </c>
      <c r="AO810">
        <v>99.804389999999998</v>
      </c>
      <c r="AP810">
        <v>101.4465</v>
      </c>
      <c r="AQ810"/>
      <c r="AR810"/>
      <c r="AS810">
        <v>100.5981</v>
      </c>
      <c r="AT810">
        <v>101.1217</v>
      </c>
      <c r="AU810">
        <v>100.91759999999999</v>
      </c>
      <c r="AV810">
        <v>108.9409</v>
      </c>
      <c r="AW810">
        <v>102.18680000000001</v>
      </c>
      <c r="AX810">
        <v>105.02589999999999</v>
      </c>
    </row>
    <row r="811" spans="1:50" x14ac:dyDescent="0.35">
      <c r="A811" s="75">
        <v>42522</v>
      </c>
      <c r="B811">
        <v>101.60850000000001</v>
      </c>
      <c r="C811">
        <v>101.9295</v>
      </c>
      <c r="D811"/>
      <c r="E811">
        <v>102.20910000000001</v>
      </c>
      <c r="F811">
        <v>100.0765</v>
      </c>
      <c r="G811">
        <v>104.128</v>
      </c>
      <c r="H811"/>
      <c r="I811">
        <v>106.2966</v>
      </c>
      <c r="J811">
        <v>100.4122</v>
      </c>
      <c r="K811">
        <v>101.6</v>
      </c>
      <c r="L811">
        <v>101.3707</v>
      </c>
      <c r="M811">
        <v>100.9183</v>
      </c>
      <c r="N811">
        <v>101.37</v>
      </c>
      <c r="O811">
        <v>101.3706</v>
      </c>
      <c r="P811">
        <v>101.53570000000001</v>
      </c>
      <c r="Q811"/>
      <c r="R811">
        <v>100.94</v>
      </c>
      <c r="S811">
        <v>100.7328</v>
      </c>
      <c r="T811"/>
      <c r="U811">
        <v>101.7273</v>
      </c>
      <c r="V811">
        <v>101.5</v>
      </c>
      <c r="W811">
        <v>100.1172</v>
      </c>
      <c r="X811">
        <v>101.5026</v>
      </c>
      <c r="Y811"/>
      <c r="Z811"/>
      <c r="AA811">
        <v>101.9076</v>
      </c>
      <c r="AB811">
        <v>102.2794</v>
      </c>
      <c r="AC811">
        <v>100.4218</v>
      </c>
      <c r="AD811">
        <v>100.52290000000001</v>
      </c>
      <c r="AE811">
        <v>100.49339999999999</v>
      </c>
      <c r="AF811">
        <v>101.9003</v>
      </c>
      <c r="AG811">
        <v>102.934</v>
      </c>
      <c r="AH811">
        <v>101.24</v>
      </c>
      <c r="AI811">
        <v>102.1264</v>
      </c>
      <c r="AJ811">
        <v>102.4868</v>
      </c>
      <c r="AK811">
        <v>100.51519999999999</v>
      </c>
      <c r="AL811">
        <v>103.46810000000001</v>
      </c>
      <c r="AM811">
        <v>101.9734</v>
      </c>
      <c r="AN811">
        <v>101.7765</v>
      </c>
      <c r="AO811">
        <v>99.891329999999996</v>
      </c>
      <c r="AP811">
        <v>101.2385</v>
      </c>
      <c r="AQ811"/>
      <c r="AR811"/>
      <c r="AS811">
        <v>100.5979</v>
      </c>
      <c r="AT811">
        <v>101.5917</v>
      </c>
      <c r="AU811">
        <v>100.9813</v>
      </c>
      <c r="AV811">
        <v>109.20229999999999</v>
      </c>
      <c r="AW811">
        <v>102.29</v>
      </c>
      <c r="AX811">
        <v>105.5565</v>
      </c>
    </row>
    <row r="812" spans="1:50" x14ac:dyDescent="0.35">
      <c r="A812" s="75">
        <v>42552</v>
      </c>
      <c r="B812">
        <v>101.2084</v>
      </c>
      <c r="C812">
        <v>102.2403</v>
      </c>
      <c r="D812"/>
      <c r="E812">
        <v>102.2003</v>
      </c>
      <c r="F812">
        <v>99.602599999999995</v>
      </c>
      <c r="G812">
        <v>104.23650000000001</v>
      </c>
      <c r="H812"/>
      <c r="I812">
        <v>106.5909</v>
      </c>
      <c r="J812">
        <v>100.6357</v>
      </c>
      <c r="K812">
        <v>102</v>
      </c>
      <c r="L812">
        <v>101.9743</v>
      </c>
      <c r="M812">
        <v>101.0428</v>
      </c>
      <c r="N812">
        <v>100.8</v>
      </c>
      <c r="O812">
        <v>100.2576</v>
      </c>
      <c r="P812">
        <v>101.1952</v>
      </c>
      <c r="Q812"/>
      <c r="R812">
        <v>100.9</v>
      </c>
      <c r="S812">
        <v>100.35590000000001</v>
      </c>
      <c r="T812"/>
      <c r="U812">
        <v>101.7565</v>
      </c>
      <c r="V812">
        <v>101.5</v>
      </c>
      <c r="W812">
        <v>97.458470000000005</v>
      </c>
      <c r="X812">
        <v>101.72799999999999</v>
      </c>
      <c r="Y812"/>
      <c r="Z812"/>
      <c r="AA812">
        <v>101.79859999999999</v>
      </c>
      <c r="AB812">
        <v>101.724</v>
      </c>
      <c r="AC812">
        <v>100.7255</v>
      </c>
      <c r="AD812">
        <v>100.9569</v>
      </c>
      <c r="AE812">
        <v>100.35380000000001</v>
      </c>
      <c r="AF812">
        <v>102.1203</v>
      </c>
      <c r="AG812">
        <v>102.41379999999999</v>
      </c>
      <c r="AH812">
        <v>99.95</v>
      </c>
      <c r="AI812">
        <v>101.9012</v>
      </c>
      <c r="AJ812">
        <v>102.8381</v>
      </c>
      <c r="AK812">
        <v>101.4258</v>
      </c>
      <c r="AL812">
        <v>103.83880000000001</v>
      </c>
      <c r="AM812">
        <v>102.0158</v>
      </c>
      <c r="AN812">
        <v>101.8356</v>
      </c>
      <c r="AO812">
        <v>99.891329999999996</v>
      </c>
      <c r="AP812">
        <v>100.4954</v>
      </c>
      <c r="AQ812"/>
      <c r="AR812"/>
      <c r="AS812">
        <v>100.559</v>
      </c>
      <c r="AT812">
        <v>100.49169999999999</v>
      </c>
      <c r="AU812">
        <v>100.9746</v>
      </c>
      <c r="AV812">
        <v>110.0275</v>
      </c>
      <c r="AW812">
        <v>102.2694</v>
      </c>
      <c r="AX812">
        <v>106.0776</v>
      </c>
    </row>
    <row r="813" spans="1:50" x14ac:dyDescent="0.35">
      <c r="A813" s="75">
        <v>42583</v>
      </c>
      <c r="B813">
        <v>101.1084</v>
      </c>
      <c r="C813">
        <v>102.3665</v>
      </c>
      <c r="D813"/>
      <c r="E813">
        <v>102.1722</v>
      </c>
      <c r="F813">
        <v>99.508520000000004</v>
      </c>
      <c r="G813">
        <v>104.33410000000001</v>
      </c>
      <c r="H813"/>
      <c r="I813">
        <v>106.7953</v>
      </c>
      <c r="J813">
        <v>100.7821</v>
      </c>
      <c r="K813">
        <v>102</v>
      </c>
      <c r="L813">
        <v>102.02160000000001</v>
      </c>
      <c r="M813">
        <v>100.7165</v>
      </c>
      <c r="N813">
        <v>101.04</v>
      </c>
      <c r="O813">
        <v>100.6349</v>
      </c>
      <c r="P813">
        <v>101.7627</v>
      </c>
      <c r="Q813"/>
      <c r="R813">
        <v>101.19</v>
      </c>
      <c r="S813">
        <v>100.9122</v>
      </c>
      <c r="T813"/>
      <c r="U813">
        <v>101.9669</v>
      </c>
      <c r="V813">
        <v>101.8</v>
      </c>
      <c r="W813">
        <v>96.935630000000003</v>
      </c>
      <c r="X813">
        <v>101.6529</v>
      </c>
      <c r="Y813"/>
      <c r="Z813"/>
      <c r="AA813">
        <v>101.824</v>
      </c>
      <c r="AB813">
        <v>102.27030000000001</v>
      </c>
      <c r="AC813">
        <v>100.523</v>
      </c>
      <c r="AD813">
        <v>101.2396</v>
      </c>
      <c r="AE813">
        <v>100.43</v>
      </c>
      <c r="AF813">
        <v>102.30970000000001</v>
      </c>
      <c r="AG813">
        <v>102.1176</v>
      </c>
      <c r="AH813">
        <v>101.49</v>
      </c>
      <c r="AI813">
        <v>101.6966</v>
      </c>
      <c r="AJ813">
        <v>103.0116</v>
      </c>
      <c r="AK813">
        <v>101.59310000000001</v>
      </c>
      <c r="AL813">
        <v>103.432</v>
      </c>
      <c r="AM813">
        <v>102.197</v>
      </c>
      <c r="AN813">
        <v>102.0269</v>
      </c>
      <c r="AO813">
        <v>99.804389999999998</v>
      </c>
      <c r="AP813">
        <v>100.1387</v>
      </c>
      <c r="AQ813"/>
      <c r="AR813"/>
      <c r="AS813">
        <v>100.548</v>
      </c>
      <c r="AT813">
        <v>100.8017</v>
      </c>
      <c r="AU813">
        <v>100.90089999999999</v>
      </c>
      <c r="AV813">
        <v>110.3747</v>
      </c>
      <c r="AW813">
        <v>102.4898</v>
      </c>
      <c r="AX813">
        <v>106.2538</v>
      </c>
    </row>
    <row r="814" spans="1:50" x14ac:dyDescent="0.35">
      <c r="A814" s="75">
        <v>42614</v>
      </c>
      <c r="B814">
        <v>101.8085</v>
      </c>
      <c r="C814">
        <v>102.17230000000001</v>
      </c>
      <c r="D814"/>
      <c r="E814">
        <v>102.5226</v>
      </c>
      <c r="F814">
        <v>99.573329999999999</v>
      </c>
      <c r="G814">
        <v>104.35590000000001</v>
      </c>
      <c r="H814"/>
      <c r="I814">
        <v>107.1386</v>
      </c>
      <c r="J814">
        <v>100.88630000000001</v>
      </c>
      <c r="K814">
        <v>101.7</v>
      </c>
      <c r="L814">
        <v>101.9213</v>
      </c>
      <c r="M814">
        <v>100.6799</v>
      </c>
      <c r="N814">
        <v>101.51</v>
      </c>
      <c r="O814">
        <v>100.65170000000001</v>
      </c>
      <c r="P814">
        <v>102.21680000000001</v>
      </c>
      <c r="Q814"/>
      <c r="R814">
        <v>101.33</v>
      </c>
      <c r="S814">
        <v>100.62130000000001</v>
      </c>
      <c r="T814"/>
      <c r="U814">
        <v>102.04259999999999</v>
      </c>
      <c r="V814">
        <v>102.1</v>
      </c>
      <c r="W814">
        <v>99.81711</v>
      </c>
      <c r="X814">
        <v>101.5778</v>
      </c>
      <c r="Y814"/>
      <c r="Z814"/>
      <c r="AA814">
        <v>101.2921</v>
      </c>
      <c r="AB814">
        <v>102.95829999999999</v>
      </c>
      <c r="AC814">
        <v>100.2193</v>
      </c>
      <c r="AD814">
        <v>100.8128</v>
      </c>
      <c r="AE814">
        <v>100.3402</v>
      </c>
      <c r="AF814">
        <v>102.23990000000001</v>
      </c>
      <c r="AG814">
        <v>102.6863</v>
      </c>
      <c r="AH814">
        <v>101.4</v>
      </c>
      <c r="AI814">
        <v>102.1044</v>
      </c>
      <c r="AJ814">
        <v>103.44370000000001</v>
      </c>
      <c r="AK814">
        <v>101.20399999999999</v>
      </c>
      <c r="AL814">
        <v>103.8623</v>
      </c>
      <c r="AM814">
        <v>102.2966</v>
      </c>
      <c r="AN814">
        <v>102.0378</v>
      </c>
      <c r="AO814">
        <v>99.630520000000004</v>
      </c>
      <c r="AP814">
        <v>101.2187</v>
      </c>
      <c r="AQ814"/>
      <c r="AR814"/>
      <c r="AS814">
        <v>100.64190000000001</v>
      </c>
      <c r="AT814">
        <v>100.71169999999999</v>
      </c>
      <c r="AU814">
        <v>101.15560000000001</v>
      </c>
      <c r="AV814">
        <v>110.4973</v>
      </c>
      <c r="AW814">
        <v>102.6768</v>
      </c>
      <c r="AX814">
        <v>106.5324</v>
      </c>
    </row>
    <row r="815" spans="1:50" x14ac:dyDescent="0.35">
      <c r="A815" s="75">
        <v>42644</v>
      </c>
      <c r="B815">
        <v>102.0085</v>
      </c>
      <c r="C815">
        <v>102.2694</v>
      </c>
      <c r="D815"/>
      <c r="E815">
        <v>102.7106</v>
      </c>
      <c r="F815">
        <v>99.586709999999997</v>
      </c>
      <c r="G815">
        <v>104.55119999999999</v>
      </c>
      <c r="H815"/>
      <c r="I815">
        <v>107.3103</v>
      </c>
      <c r="J815">
        <v>100.81140000000001</v>
      </c>
      <c r="K815">
        <v>102.1</v>
      </c>
      <c r="L815">
        <v>101.9915</v>
      </c>
      <c r="M815">
        <v>100.8597</v>
      </c>
      <c r="N815">
        <v>101.62</v>
      </c>
      <c r="O815">
        <v>101.69110000000001</v>
      </c>
      <c r="P815">
        <v>101.81950000000001</v>
      </c>
      <c r="Q815"/>
      <c r="R815">
        <v>101.39</v>
      </c>
      <c r="S815">
        <v>100.5487</v>
      </c>
      <c r="T815"/>
      <c r="U815">
        <v>102.1844</v>
      </c>
      <c r="V815">
        <v>102.2</v>
      </c>
      <c r="W815">
        <v>99.786159999999995</v>
      </c>
      <c r="X815">
        <v>101.8783</v>
      </c>
      <c r="Y815"/>
      <c r="Z815"/>
      <c r="AA815">
        <v>100.6123</v>
      </c>
      <c r="AB815">
        <v>103.09820000000001</v>
      </c>
      <c r="AC815">
        <v>100.4218</v>
      </c>
      <c r="AD815">
        <v>100.59569999999999</v>
      </c>
      <c r="AE815">
        <v>100.6135</v>
      </c>
      <c r="AF815">
        <v>102.19970000000001</v>
      </c>
      <c r="AG815">
        <v>103.2689</v>
      </c>
      <c r="AH815">
        <v>101.34</v>
      </c>
      <c r="AI815">
        <v>102.53700000000001</v>
      </c>
      <c r="AJ815">
        <v>103.68429999999999</v>
      </c>
      <c r="AK815">
        <v>101.4105</v>
      </c>
      <c r="AL815">
        <v>104.1964</v>
      </c>
      <c r="AM815">
        <v>102.5185</v>
      </c>
      <c r="AN815">
        <v>102.30029999999999</v>
      </c>
      <c r="AO815">
        <v>100.0652</v>
      </c>
      <c r="AP815">
        <v>101.5258</v>
      </c>
      <c r="AQ815"/>
      <c r="AR815"/>
      <c r="AS815">
        <v>100.8861</v>
      </c>
      <c r="AT815">
        <v>101.2617</v>
      </c>
      <c r="AU815">
        <v>101.246</v>
      </c>
      <c r="AV815">
        <v>112.02509999999999</v>
      </c>
      <c r="AW815">
        <v>102.8779</v>
      </c>
      <c r="AX815">
        <v>106.81780000000001</v>
      </c>
    </row>
    <row r="816" spans="1:50" x14ac:dyDescent="0.35">
      <c r="A816" s="75">
        <v>42675</v>
      </c>
      <c r="B816">
        <v>102.10850000000001</v>
      </c>
      <c r="C816">
        <v>102.3374</v>
      </c>
      <c r="D816"/>
      <c r="E816">
        <v>102.34990000000001</v>
      </c>
      <c r="F816">
        <v>99.403480000000002</v>
      </c>
      <c r="G816">
        <v>104.58369999999999</v>
      </c>
      <c r="H816"/>
      <c r="I816">
        <v>107.44110000000001</v>
      </c>
      <c r="J816">
        <v>100.7376</v>
      </c>
      <c r="K816">
        <v>102</v>
      </c>
      <c r="L816">
        <v>101.116</v>
      </c>
      <c r="M816">
        <v>100.6246</v>
      </c>
      <c r="N816">
        <v>101.04</v>
      </c>
      <c r="O816">
        <v>102.26600000000001</v>
      </c>
      <c r="P816">
        <v>101.4222</v>
      </c>
      <c r="Q816"/>
      <c r="R816">
        <v>101.32</v>
      </c>
      <c r="S816">
        <v>100.39579999999999</v>
      </c>
      <c r="T816"/>
      <c r="U816">
        <v>102.0711</v>
      </c>
      <c r="V816">
        <v>102.4</v>
      </c>
      <c r="W816">
        <v>98.298519999999996</v>
      </c>
      <c r="X816">
        <v>102.02849999999999</v>
      </c>
      <c r="Y816"/>
      <c r="Z816"/>
      <c r="AA816">
        <v>100.52160000000001</v>
      </c>
      <c r="AB816">
        <v>103.2102</v>
      </c>
      <c r="AC816">
        <v>100.01690000000001</v>
      </c>
      <c r="AD816">
        <v>100.3113</v>
      </c>
      <c r="AE816">
        <v>100.52460000000001</v>
      </c>
      <c r="AF816">
        <v>102.1002</v>
      </c>
      <c r="AG816">
        <v>103.5231</v>
      </c>
      <c r="AH816">
        <v>101.46</v>
      </c>
      <c r="AI816">
        <v>102.232</v>
      </c>
      <c r="AJ816">
        <v>103.9002</v>
      </c>
      <c r="AK816">
        <v>100.9919</v>
      </c>
      <c r="AL816">
        <v>104.08839999999999</v>
      </c>
      <c r="AM816">
        <v>102.4697</v>
      </c>
      <c r="AN816">
        <v>102.19670000000001</v>
      </c>
      <c r="AO816">
        <v>100.0652</v>
      </c>
      <c r="AP816">
        <v>101.19889999999999</v>
      </c>
      <c r="AQ816"/>
      <c r="AR816"/>
      <c r="AS816">
        <v>100.9897</v>
      </c>
      <c r="AT816">
        <v>101.4117</v>
      </c>
      <c r="AU816">
        <v>101.1824</v>
      </c>
      <c r="AV816">
        <v>112.91970000000001</v>
      </c>
      <c r="AW816">
        <v>102.88160000000001</v>
      </c>
      <c r="AX816">
        <v>106.8999</v>
      </c>
    </row>
    <row r="817" spans="1:50" x14ac:dyDescent="0.35">
      <c r="A817" s="75">
        <v>42705</v>
      </c>
      <c r="B817">
        <v>102.6086</v>
      </c>
      <c r="C817">
        <v>102.3374</v>
      </c>
      <c r="D817"/>
      <c r="E817">
        <v>102.0167</v>
      </c>
      <c r="F817">
        <v>99.358739999999997</v>
      </c>
      <c r="G817">
        <v>104.6922</v>
      </c>
      <c r="H817"/>
      <c r="I817">
        <v>107.8171</v>
      </c>
      <c r="J817">
        <v>100.8472</v>
      </c>
      <c r="K817">
        <v>102.1</v>
      </c>
      <c r="L817">
        <v>101.6478</v>
      </c>
      <c r="M817">
        <v>100.3437</v>
      </c>
      <c r="N817">
        <v>101.47</v>
      </c>
      <c r="O817">
        <v>102.3879</v>
      </c>
      <c r="P817">
        <v>101.4222</v>
      </c>
      <c r="Q817"/>
      <c r="R817">
        <v>101.45</v>
      </c>
      <c r="S817">
        <v>100.6585</v>
      </c>
      <c r="T817"/>
      <c r="U817">
        <v>102.1347</v>
      </c>
      <c r="V817">
        <v>102.8</v>
      </c>
      <c r="W817">
        <v>99.699610000000007</v>
      </c>
      <c r="X817">
        <v>102.1037</v>
      </c>
      <c r="Y817"/>
      <c r="Z817"/>
      <c r="AA817">
        <v>100.4319</v>
      </c>
      <c r="AB817">
        <v>103.4235</v>
      </c>
      <c r="AC817">
        <v>100.1181</v>
      </c>
      <c r="AD817">
        <v>100.6673</v>
      </c>
      <c r="AE817">
        <v>100.43980000000001</v>
      </c>
      <c r="AF817">
        <v>102.2304</v>
      </c>
      <c r="AG817">
        <v>103.3402</v>
      </c>
      <c r="AH817">
        <v>101.43</v>
      </c>
      <c r="AI817">
        <v>102.3128</v>
      </c>
      <c r="AJ817">
        <v>104.3172</v>
      </c>
      <c r="AK817">
        <v>100.9722</v>
      </c>
      <c r="AL817">
        <v>104.15860000000001</v>
      </c>
      <c r="AM817">
        <v>102.5938</v>
      </c>
      <c r="AN817">
        <v>102.5596</v>
      </c>
      <c r="AO817">
        <v>100.1521</v>
      </c>
      <c r="AP817">
        <v>101.0998</v>
      </c>
      <c r="AQ817"/>
      <c r="AR817"/>
      <c r="AS817">
        <v>100.9158</v>
      </c>
      <c r="AT817">
        <v>100.68170000000001</v>
      </c>
      <c r="AU817">
        <v>101.6917</v>
      </c>
      <c r="AV817">
        <v>113.9819</v>
      </c>
      <c r="AW817">
        <v>102.8432</v>
      </c>
      <c r="AX817">
        <v>107.3878</v>
      </c>
    </row>
    <row r="818" spans="1:50" x14ac:dyDescent="0.35">
      <c r="A818" s="75">
        <v>42736</v>
      </c>
      <c r="B818">
        <v>101.9085</v>
      </c>
      <c r="C818">
        <v>102.73560000000001</v>
      </c>
      <c r="D818"/>
      <c r="E818">
        <v>102.56959999999999</v>
      </c>
      <c r="F818">
        <v>99.127459999999999</v>
      </c>
      <c r="G818">
        <v>105.23480000000001</v>
      </c>
      <c r="H818"/>
      <c r="I818">
        <v>108.7736</v>
      </c>
      <c r="J818">
        <v>101.21169999999999</v>
      </c>
      <c r="K818">
        <v>102.7</v>
      </c>
      <c r="L818">
        <v>100.6846</v>
      </c>
      <c r="M818">
        <v>100.2749</v>
      </c>
      <c r="N818">
        <v>99.7</v>
      </c>
      <c r="O818">
        <v>100.4751</v>
      </c>
      <c r="P818">
        <v>101.36539999999999</v>
      </c>
      <c r="Q818"/>
      <c r="R818">
        <v>100.8</v>
      </c>
      <c r="S818">
        <v>99.825220000000002</v>
      </c>
      <c r="T818"/>
      <c r="U818">
        <v>102.1288</v>
      </c>
      <c r="V818">
        <v>102.1</v>
      </c>
      <c r="W818">
        <v>97.190340000000006</v>
      </c>
      <c r="X818">
        <v>102.1037</v>
      </c>
      <c r="Y818"/>
      <c r="Z818"/>
      <c r="AA818">
        <v>99.567740000000001</v>
      </c>
      <c r="AB818">
        <v>102.441</v>
      </c>
      <c r="AC818">
        <v>99.510710000000003</v>
      </c>
      <c r="AD818">
        <v>100.5359</v>
      </c>
      <c r="AE818">
        <v>99.969290000000001</v>
      </c>
      <c r="AF818">
        <v>102.85980000000001</v>
      </c>
      <c r="AG818">
        <v>102.94629999999999</v>
      </c>
      <c r="AH818">
        <v>100.32</v>
      </c>
      <c r="AI818">
        <v>101.4483</v>
      </c>
      <c r="AJ818">
        <v>104.9278</v>
      </c>
      <c r="AK818">
        <v>100.4396</v>
      </c>
      <c r="AL818">
        <v>103.72969999999999</v>
      </c>
      <c r="AM818">
        <v>102.58069999999999</v>
      </c>
      <c r="AN818">
        <v>101.9684</v>
      </c>
      <c r="AO818">
        <v>99.891329999999996</v>
      </c>
      <c r="AP818">
        <v>99.732489999999999</v>
      </c>
      <c r="AQ818"/>
      <c r="AR818"/>
      <c r="AS818">
        <v>101.24420000000001</v>
      </c>
      <c r="AT818">
        <v>99.031649999999999</v>
      </c>
      <c r="AU818">
        <v>100.54900000000001</v>
      </c>
      <c r="AV818">
        <v>115.1747</v>
      </c>
      <c r="AW818">
        <v>103.2349</v>
      </c>
      <c r="AX818">
        <v>107.63760000000001</v>
      </c>
    </row>
    <row r="819" spans="1:50" x14ac:dyDescent="0.35">
      <c r="A819" s="75">
        <v>42767</v>
      </c>
      <c r="B819">
        <v>102.2085</v>
      </c>
      <c r="C819">
        <v>102.9104</v>
      </c>
      <c r="D819"/>
      <c r="E819">
        <v>103.0415</v>
      </c>
      <c r="F819">
        <v>99.555430000000001</v>
      </c>
      <c r="G819">
        <v>105.41930000000001</v>
      </c>
      <c r="H819"/>
      <c r="I819">
        <v>110.1551</v>
      </c>
      <c r="J819">
        <v>101.5621</v>
      </c>
      <c r="K819">
        <v>103</v>
      </c>
      <c r="L819">
        <v>101.157</v>
      </c>
      <c r="M819">
        <v>101.089</v>
      </c>
      <c r="N819">
        <v>100.07</v>
      </c>
      <c r="O819">
        <v>100.4898</v>
      </c>
      <c r="P819">
        <v>102.4438</v>
      </c>
      <c r="Q819"/>
      <c r="R819">
        <v>101.14</v>
      </c>
      <c r="S819">
        <v>99.925030000000007</v>
      </c>
      <c r="T819"/>
      <c r="U819">
        <v>102.4918</v>
      </c>
      <c r="V819">
        <v>102.7</v>
      </c>
      <c r="W819">
        <v>96.726969999999994</v>
      </c>
      <c r="X819">
        <v>102.3291</v>
      </c>
      <c r="Y819"/>
      <c r="Z819"/>
      <c r="AA819">
        <v>100.4272</v>
      </c>
      <c r="AB819">
        <v>103.3143</v>
      </c>
      <c r="AC819">
        <v>99.308250000000001</v>
      </c>
      <c r="AD819">
        <v>100.6614</v>
      </c>
      <c r="AE819">
        <v>99.920100000000005</v>
      </c>
      <c r="AF819">
        <v>103.1296</v>
      </c>
      <c r="AG819">
        <v>102.95310000000001</v>
      </c>
      <c r="AH819">
        <v>101.94</v>
      </c>
      <c r="AI819">
        <v>101.45480000000001</v>
      </c>
      <c r="AJ819">
        <v>105.6703</v>
      </c>
      <c r="AK819">
        <v>101.07989999999999</v>
      </c>
      <c r="AL819">
        <v>103.9649</v>
      </c>
      <c r="AM819">
        <v>102.9545</v>
      </c>
      <c r="AN819">
        <v>102.31480000000001</v>
      </c>
      <c r="AO819">
        <v>99.978260000000006</v>
      </c>
      <c r="AP819">
        <v>99.564059999999998</v>
      </c>
      <c r="AQ819"/>
      <c r="AR819"/>
      <c r="AS819">
        <v>101.5896</v>
      </c>
      <c r="AT819">
        <v>100.1717</v>
      </c>
      <c r="AU819">
        <v>101.2997</v>
      </c>
      <c r="AV819">
        <v>115.9631</v>
      </c>
      <c r="AW819">
        <v>103.6725</v>
      </c>
      <c r="AX819">
        <v>108.94410000000001</v>
      </c>
    </row>
    <row r="820" spans="1:50" x14ac:dyDescent="0.35">
      <c r="A820" s="75">
        <v>42795</v>
      </c>
      <c r="B820">
        <v>103.1086</v>
      </c>
      <c r="C820">
        <v>103.0367</v>
      </c>
      <c r="D820"/>
      <c r="E820">
        <v>103.29559999999999</v>
      </c>
      <c r="F820">
        <v>100.0384</v>
      </c>
      <c r="G820">
        <v>105.8642</v>
      </c>
      <c r="H820"/>
      <c r="I820">
        <v>110.8254</v>
      </c>
      <c r="J820">
        <v>101.4764</v>
      </c>
      <c r="K820">
        <v>103.1</v>
      </c>
      <c r="L820">
        <v>101.7393</v>
      </c>
      <c r="M820">
        <v>101.4015</v>
      </c>
      <c r="N820">
        <v>101.5</v>
      </c>
      <c r="O820">
        <v>101.01739999999999</v>
      </c>
      <c r="P820">
        <v>102.8978</v>
      </c>
      <c r="Q820"/>
      <c r="R820">
        <v>101.37</v>
      </c>
      <c r="S820">
        <v>100.85339999999999</v>
      </c>
      <c r="T820"/>
      <c r="U820">
        <v>102.68429999999999</v>
      </c>
      <c r="V820">
        <v>103</v>
      </c>
      <c r="W820">
        <v>99.532709999999994</v>
      </c>
      <c r="X820">
        <v>102.4042</v>
      </c>
      <c r="Y820"/>
      <c r="Z820"/>
      <c r="AA820">
        <v>101.1604</v>
      </c>
      <c r="AB820">
        <v>103.6673</v>
      </c>
      <c r="AC820">
        <v>99.713179999999994</v>
      </c>
      <c r="AD820">
        <v>100.9057</v>
      </c>
      <c r="AE820">
        <v>99.929879999999997</v>
      </c>
      <c r="AF820">
        <v>103.1497</v>
      </c>
      <c r="AG820">
        <v>105.0917</v>
      </c>
      <c r="AH820">
        <v>102.04</v>
      </c>
      <c r="AI820">
        <v>103.0951</v>
      </c>
      <c r="AJ820">
        <v>106.19540000000001</v>
      </c>
      <c r="AK820">
        <v>101.55029999999999</v>
      </c>
      <c r="AL820">
        <v>104.49809999999999</v>
      </c>
      <c r="AM820">
        <v>103.24509999999999</v>
      </c>
      <c r="AN820">
        <v>102.9208</v>
      </c>
      <c r="AO820">
        <v>100.1521</v>
      </c>
      <c r="AP820">
        <v>101.7933</v>
      </c>
      <c r="AQ820"/>
      <c r="AR820"/>
      <c r="AS820">
        <v>101.64060000000001</v>
      </c>
      <c r="AT820">
        <v>100.8717</v>
      </c>
      <c r="AU820">
        <v>101.45050000000001</v>
      </c>
      <c r="AV820">
        <v>117.22539999999999</v>
      </c>
      <c r="AW820">
        <v>103.7332</v>
      </c>
      <c r="AX820">
        <v>109.568</v>
      </c>
    </row>
    <row r="821" spans="1:50" x14ac:dyDescent="0.35">
      <c r="A821" s="75">
        <v>42826</v>
      </c>
      <c r="B821">
        <v>103.3086</v>
      </c>
      <c r="C821">
        <v>103.44459999999999</v>
      </c>
      <c r="D821"/>
      <c r="E821">
        <v>103.3022</v>
      </c>
      <c r="F821">
        <v>100.3412</v>
      </c>
      <c r="G821">
        <v>106.0703</v>
      </c>
      <c r="H821"/>
      <c r="I821">
        <v>111.4222</v>
      </c>
      <c r="J821">
        <v>101.74550000000001</v>
      </c>
      <c r="K821">
        <v>103.3</v>
      </c>
      <c r="L821">
        <v>102.2064</v>
      </c>
      <c r="M821">
        <v>101.67870000000001</v>
      </c>
      <c r="N821">
        <v>102.29</v>
      </c>
      <c r="O821">
        <v>102.4426</v>
      </c>
      <c r="P821">
        <v>103.29510000000001</v>
      </c>
      <c r="Q821"/>
      <c r="R821">
        <v>101.71</v>
      </c>
      <c r="S821">
        <v>101.0094</v>
      </c>
      <c r="T821"/>
      <c r="U821">
        <v>102.94450000000001</v>
      </c>
      <c r="V821">
        <v>103.6</v>
      </c>
      <c r="W821">
        <v>100.43680000000001</v>
      </c>
      <c r="X821">
        <v>102.9301</v>
      </c>
      <c r="Y821"/>
      <c r="Z821"/>
      <c r="AA821">
        <v>101.7223</v>
      </c>
      <c r="AB821">
        <v>104.4029</v>
      </c>
      <c r="AC821">
        <v>100.01690000000001</v>
      </c>
      <c r="AD821">
        <v>101.52209999999999</v>
      </c>
      <c r="AE821">
        <v>100.3302</v>
      </c>
      <c r="AF821">
        <v>103.25020000000001</v>
      </c>
      <c r="AG821">
        <v>106.4413</v>
      </c>
      <c r="AH821">
        <v>102.36</v>
      </c>
      <c r="AI821">
        <v>103.8503</v>
      </c>
      <c r="AJ821">
        <v>106.6354</v>
      </c>
      <c r="AK821">
        <v>102.1532</v>
      </c>
      <c r="AL821">
        <v>105.226</v>
      </c>
      <c r="AM821">
        <v>103.62820000000001</v>
      </c>
      <c r="AN821">
        <v>103.6028</v>
      </c>
      <c r="AO821">
        <v>100.7607</v>
      </c>
      <c r="AP821">
        <v>102.8931</v>
      </c>
      <c r="AQ821"/>
      <c r="AR821"/>
      <c r="AS821">
        <v>101.7401</v>
      </c>
      <c r="AT821">
        <v>101.71169999999999</v>
      </c>
      <c r="AU821">
        <v>102.20780000000001</v>
      </c>
      <c r="AV821">
        <v>119.2189</v>
      </c>
      <c r="AW821">
        <v>103.8785</v>
      </c>
      <c r="AX821">
        <v>109.82980000000001</v>
      </c>
    </row>
    <row r="822" spans="1:50" x14ac:dyDescent="0.35">
      <c r="A822" s="75">
        <v>42856</v>
      </c>
      <c r="B822">
        <v>103.40860000000001</v>
      </c>
      <c r="C822">
        <v>103.4932</v>
      </c>
      <c r="D822"/>
      <c r="E822">
        <v>103.6044</v>
      </c>
      <c r="F822">
        <v>100.4469</v>
      </c>
      <c r="G822">
        <v>106.4067</v>
      </c>
      <c r="H822"/>
      <c r="I822">
        <v>111.69199999999999</v>
      </c>
      <c r="J822">
        <v>101.9961</v>
      </c>
      <c r="K822">
        <v>103.5</v>
      </c>
      <c r="L822">
        <v>102.37520000000001</v>
      </c>
      <c r="M822">
        <v>101.6554</v>
      </c>
      <c r="N822">
        <v>102.25</v>
      </c>
      <c r="O822">
        <v>102.4436</v>
      </c>
      <c r="P822">
        <v>103.40860000000001</v>
      </c>
      <c r="Q822"/>
      <c r="R822">
        <v>101.66</v>
      </c>
      <c r="S822">
        <v>101.0856</v>
      </c>
      <c r="T822"/>
      <c r="U822">
        <v>103.0403</v>
      </c>
      <c r="V822">
        <v>103.9</v>
      </c>
      <c r="W822">
        <v>99.778919999999999</v>
      </c>
      <c r="X822">
        <v>103.1555</v>
      </c>
      <c r="Y822"/>
      <c r="Z822"/>
      <c r="AA822">
        <v>101.4999</v>
      </c>
      <c r="AB822">
        <v>104.67529999999999</v>
      </c>
      <c r="AC822">
        <v>100.4218</v>
      </c>
      <c r="AD822">
        <v>101.2722</v>
      </c>
      <c r="AE822">
        <v>100.33669999999999</v>
      </c>
      <c r="AF822">
        <v>103.4502</v>
      </c>
      <c r="AG822">
        <v>106.6773</v>
      </c>
      <c r="AH822">
        <v>102.57</v>
      </c>
      <c r="AI822">
        <v>103.77889999999999</v>
      </c>
      <c r="AJ822">
        <v>107.0124</v>
      </c>
      <c r="AK822">
        <v>101.7972</v>
      </c>
      <c r="AL822">
        <v>104.9919</v>
      </c>
      <c r="AM822">
        <v>103.7574</v>
      </c>
      <c r="AN822">
        <v>103.7393</v>
      </c>
      <c r="AO822">
        <v>100.6738</v>
      </c>
      <c r="AP822">
        <v>102.6652</v>
      </c>
      <c r="AQ822"/>
      <c r="AR822"/>
      <c r="AS822">
        <v>101.8749</v>
      </c>
      <c r="AT822">
        <v>101.9817</v>
      </c>
      <c r="AU822">
        <v>102.36190000000001</v>
      </c>
      <c r="AV822">
        <v>120.518</v>
      </c>
      <c r="AW822">
        <v>103.95820000000001</v>
      </c>
      <c r="AX822">
        <v>109.91370000000001</v>
      </c>
    </row>
    <row r="823" spans="1:50" x14ac:dyDescent="0.35">
      <c r="A823" s="75">
        <v>42887</v>
      </c>
      <c r="B823">
        <v>103.7086</v>
      </c>
      <c r="C823">
        <v>103.4543</v>
      </c>
      <c r="D823"/>
      <c r="E823">
        <v>103.64360000000001</v>
      </c>
      <c r="F823">
        <v>100.34010000000001</v>
      </c>
      <c r="G823">
        <v>106.01609999999999</v>
      </c>
      <c r="H823"/>
      <c r="I823">
        <v>111.9944</v>
      </c>
      <c r="J823">
        <v>101.9907</v>
      </c>
      <c r="K823">
        <v>103.6</v>
      </c>
      <c r="L823">
        <v>102.8767</v>
      </c>
      <c r="M823">
        <v>101.54940000000001</v>
      </c>
      <c r="N823">
        <v>102.57</v>
      </c>
      <c r="O823">
        <v>102.6738</v>
      </c>
      <c r="P823">
        <v>103.1816</v>
      </c>
      <c r="Q823"/>
      <c r="R823">
        <v>101.85</v>
      </c>
      <c r="S823">
        <v>101.2749</v>
      </c>
      <c r="T823"/>
      <c r="U823">
        <v>103.14360000000001</v>
      </c>
      <c r="V823">
        <v>104</v>
      </c>
      <c r="W823">
        <v>101.16549999999999</v>
      </c>
      <c r="X823">
        <v>103.3659</v>
      </c>
      <c r="Y823"/>
      <c r="Z823"/>
      <c r="AA823">
        <v>101.8198</v>
      </c>
      <c r="AB823">
        <v>104.9853</v>
      </c>
      <c r="AC823">
        <v>99.915639999999996</v>
      </c>
      <c r="AD823">
        <v>101.398</v>
      </c>
      <c r="AE823">
        <v>100.30970000000001</v>
      </c>
      <c r="AF823">
        <v>103.3899</v>
      </c>
      <c r="AG823">
        <v>107.2024</v>
      </c>
      <c r="AH823">
        <v>102.74</v>
      </c>
      <c r="AI823">
        <v>104.0814</v>
      </c>
      <c r="AJ823">
        <v>107.306</v>
      </c>
      <c r="AK823">
        <v>101.4414</v>
      </c>
      <c r="AL823">
        <v>105.3588</v>
      </c>
      <c r="AM823">
        <v>103.8614</v>
      </c>
      <c r="AN823">
        <v>103.9362</v>
      </c>
      <c r="AO823">
        <v>100.6738</v>
      </c>
      <c r="AP823">
        <v>102.3779</v>
      </c>
      <c r="AQ823"/>
      <c r="AR823"/>
      <c r="AS823">
        <v>101.8938</v>
      </c>
      <c r="AT823">
        <v>102.35169999999999</v>
      </c>
      <c r="AU823">
        <v>102.6602</v>
      </c>
      <c r="AV823">
        <v>120.61190000000001</v>
      </c>
      <c r="AW823">
        <v>104.0321</v>
      </c>
      <c r="AX823">
        <v>110.3398</v>
      </c>
    </row>
    <row r="824" spans="1:50" x14ac:dyDescent="0.35">
      <c r="A824" s="75">
        <v>42917</v>
      </c>
      <c r="B824">
        <v>103.3086</v>
      </c>
      <c r="C824">
        <v>103.8719</v>
      </c>
      <c r="D824"/>
      <c r="E824">
        <v>103.636</v>
      </c>
      <c r="F824">
        <v>99.882149999999996</v>
      </c>
      <c r="G824">
        <v>106.28740000000001</v>
      </c>
      <c r="H824"/>
      <c r="I824">
        <v>112.0762</v>
      </c>
      <c r="J824">
        <v>102.0384</v>
      </c>
      <c r="K824">
        <v>104.1</v>
      </c>
      <c r="L824">
        <v>103.3754</v>
      </c>
      <c r="M824">
        <v>102.3601</v>
      </c>
      <c r="N824">
        <v>102.02</v>
      </c>
      <c r="O824">
        <v>101.7079</v>
      </c>
      <c r="P824">
        <v>103.97620000000001</v>
      </c>
      <c r="Q824"/>
      <c r="R824">
        <v>101.51</v>
      </c>
      <c r="S824">
        <v>100.9439</v>
      </c>
      <c r="T824"/>
      <c r="U824">
        <v>103.15560000000001</v>
      </c>
      <c r="V824">
        <v>103.9</v>
      </c>
      <c r="W824">
        <v>98.737560000000002</v>
      </c>
      <c r="X824">
        <v>103.7115</v>
      </c>
      <c r="Y824"/>
      <c r="Z824"/>
      <c r="AA824">
        <v>101.87730000000001</v>
      </c>
      <c r="AB824">
        <v>104.8874</v>
      </c>
      <c r="AC824">
        <v>100.01690000000001</v>
      </c>
      <c r="AD824">
        <v>101.83029999999999</v>
      </c>
      <c r="AE824">
        <v>100.14619999999999</v>
      </c>
      <c r="AF824">
        <v>103.6596</v>
      </c>
      <c r="AG824">
        <v>106.79179999999999</v>
      </c>
      <c r="AH824">
        <v>101.84</v>
      </c>
      <c r="AI824">
        <v>103.19889999999999</v>
      </c>
      <c r="AJ824">
        <v>107.60129999999999</v>
      </c>
      <c r="AK824">
        <v>102.3502</v>
      </c>
      <c r="AL824">
        <v>105.2351</v>
      </c>
      <c r="AM824">
        <v>103.88979999999999</v>
      </c>
      <c r="AN824">
        <v>103.9624</v>
      </c>
      <c r="AO824">
        <v>100.5868</v>
      </c>
      <c r="AP824">
        <v>101.5258</v>
      </c>
      <c r="AQ824"/>
      <c r="AR824"/>
      <c r="AS824">
        <v>101.9725</v>
      </c>
      <c r="AT824">
        <v>101.46169999999999</v>
      </c>
      <c r="AU824">
        <v>102.94840000000001</v>
      </c>
      <c r="AV824">
        <v>121.1553</v>
      </c>
      <c r="AW824">
        <v>103.9999</v>
      </c>
      <c r="AX824">
        <v>110.8062</v>
      </c>
    </row>
    <row r="825" spans="1:50" x14ac:dyDescent="0.35">
      <c r="A825" s="75">
        <v>42948</v>
      </c>
      <c r="B825">
        <v>103.2086</v>
      </c>
      <c r="C825">
        <v>103.85250000000001</v>
      </c>
      <c r="D825"/>
      <c r="E825">
        <v>103.6585</v>
      </c>
      <c r="F825">
        <v>99.865170000000006</v>
      </c>
      <c r="G825">
        <v>106.2114</v>
      </c>
      <c r="H825"/>
      <c r="I825">
        <v>112.1661</v>
      </c>
      <c r="J825">
        <v>102.09050000000001</v>
      </c>
      <c r="K825">
        <v>104.1</v>
      </c>
      <c r="L825">
        <v>103.4675</v>
      </c>
      <c r="M825">
        <v>102.0716</v>
      </c>
      <c r="N825">
        <v>102.28</v>
      </c>
      <c r="O825">
        <v>101.8887</v>
      </c>
      <c r="P825">
        <v>104.4302</v>
      </c>
      <c r="Q825"/>
      <c r="R825">
        <v>101.71</v>
      </c>
      <c r="S825">
        <v>101.48690000000001</v>
      </c>
      <c r="T825"/>
      <c r="U825">
        <v>103.4063</v>
      </c>
      <c r="V825">
        <v>104.5</v>
      </c>
      <c r="W825">
        <v>97.813069999999996</v>
      </c>
      <c r="X825">
        <v>103.8618</v>
      </c>
      <c r="Y825"/>
      <c r="Z825"/>
      <c r="AA825">
        <v>102.2989</v>
      </c>
      <c r="AB825">
        <v>105.01730000000001</v>
      </c>
      <c r="AC825">
        <v>100.1181</v>
      </c>
      <c r="AD825">
        <v>102.1572</v>
      </c>
      <c r="AE825">
        <v>100.3062</v>
      </c>
      <c r="AF825">
        <v>103.8098</v>
      </c>
      <c r="AG825">
        <v>106.6754</v>
      </c>
      <c r="AH825">
        <v>103.23</v>
      </c>
      <c r="AI825">
        <v>103.3678</v>
      </c>
      <c r="AJ825">
        <v>107.9019</v>
      </c>
      <c r="AK825">
        <v>102.4509</v>
      </c>
      <c r="AL825">
        <v>104.774</v>
      </c>
      <c r="AM825">
        <v>104.0993</v>
      </c>
      <c r="AN825">
        <v>104.1998</v>
      </c>
      <c r="AO825">
        <v>100.413</v>
      </c>
      <c r="AP825">
        <v>101.41679999999999</v>
      </c>
      <c r="AQ825"/>
      <c r="AR825"/>
      <c r="AS825">
        <v>102.0363</v>
      </c>
      <c r="AT825">
        <v>101.60169999999999</v>
      </c>
      <c r="AU825">
        <v>102.6602</v>
      </c>
      <c r="AV825">
        <v>121.7231</v>
      </c>
      <c r="AW825">
        <v>104.2162</v>
      </c>
      <c r="AX825">
        <v>110.9272</v>
      </c>
    </row>
    <row r="826" spans="1:50" x14ac:dyDescent="0.35">
      <c r="A826" s="75">
        <v>42979</v>
      </c>
      <c r="B826">
        <v>104.20869999999999</v>
      </c>
      <c r="C826">
        <v>103.7457</v>
      </c>
      <c r="D826"/>
      <c r="E826">
        <v>103.8998</v>
      </c>
      <c r="F826">
        <v>100.0817</v>
      </c>
      <c r="G826">
        <v>106.2114</v>
      </c>
      <c r="H826"/>
      <c r="I826">
        <v>112.3133</v>
      </c>
      <c r="J826">
        <v>102.34</v>
      </c>
      <c r="K826">
        <v>103.9</v>
      </c>
      <c r="L826">
        <v>103.387</v>
      </c>
      <c r="M826">
        <v>102.0018</v>
      </c>
      <c r="N826">
        <v>102.68</v>
      </c>
      <c r="O826">
        <v>101.9097</v>
      </c>
      <c r="P826">
        <v>104.6005</v>
      </c>
      <c r="Q826"/>
      <c r="R826">
        <v>101.93</v>
      </c>
      <c r="S826">
        <v>101.19370000000001</v>
      </c>
      <c r="T826"/>
      <c r="U826">
        <v>103.4701</v>
      </c>
      <c r="V826">
        <v>104.7</v>
      </c>
      <c r="W826">
        <v>100.4021</v>
      </c>
      <c r="X826">
        <v>103.7415</v>
      </c>
      <c r="Y826"/>
      <c r="Z826"/>
      <c r="AA826">
        <v>101.52589999999999</v>
      </c>
      <c r="AB826">
        <v>105.4252</v>
      </c>
      <c r="AC826">
        <v>100.1181</v>
      </c>
      <c r="AD826">
        <v>101.5873</v>
      </c>
      <c r="AE826">
        <v>100.38039999999999</v>
      </c>
      <c r="AF826">
        <v>103.6395</v>
      </c>
      <c r="AG826">
        <v>107.4825</v>
      </c>
      <c r="AH826">
        <v>102.94</v>
      </c>
      <c r="AI826">
        <v>103.6388</v>
      </c>
      <c r="AJ826">
        <v>108.10939999999999</v>
      </c>
      <c r="AK826">
        <v>102.1401</v>
      </c>
      <c r="AL826">
        <v>105.4211</v>
      </c>
      <c r="AM826">
        <v>104.2098</v>
      </c>
      <c r="AN826">
        <v>104.2706</v>
      </c>
      <c r="AO826">
        <v>100.4999</v>
      </c>
      <c r="AP826">
        <v>102.5463</v>
      </c>
      <c r="AQ826"/>
      <c r="AR826"/>
      <c r="AS826">
        <v>102.0981</v>
      </c>
      <c r="AT826">
        <v>101.65170000000001</v>
      </c>
      <c r="AU826">
        <v>102.7473</v>
      </c>
      <c r="AV826">
        <v>122.6994</v>
      </c>
      <c r="AW826">
        <v>104.4147</v>
      </c>
      <c r="AX826">
        <v>111.3449</v>
      </c>
    </row>
    <row r="827" spans="1:50" x14ac:dyDescent="0.35">
      <c r="A827" s="75">
        <v>43009</v>
      </c>
      <c r="B827">
        <v>104.20869999999999</v>
      </c>
      <c r="C827">
        <v>103.91079999999999</v>
      </c>
      <c r="D827"/>
      <c r="E827">
        <v>104.30370000000001</v>
      </c>
      <c r="F827">
        <v>100.11960000000001</v>
      </c>
      <c r="G827">
        <v>106.56950000000001</v>
      </c>
      <c r="H827"/>
      <c r="I827">
        <v>112.4032</v>
      </c>
      <c r="J827">
        <v>102.5939</v>
      </c>
      <c r="K827">
        <v>104.2</v>
      </c>
      <c r="L827">
        <v>103.0441</v>
      </c>
      <c r="M827">
        <v>102.0534</v>
      </c>
      <c r="N827">
        <v>102.51</v>
      </c>
      <c r="O827">
        <v>102.6181</v>
      </c>
      <c r="P827">
        <v>104.3167</v>
      </c>
      <c r="Q827"/>
      <c r="R827">
        <v>101.91</v>
      </c>
      <c r="S827">
        <v>101.1388</v>
      </c>
      <c r="T827"/>
      <c r="U827">
        <v>103.60209999999999</v>
      </c>
      <c r="V827">
        <v>104.7</v>
      </c>
      <c r="W827">
        <v>100.7178</v>
      </c>
      <c r="X827">
        <v>103.982</v>
      </c>
      <c r="Y827"/>
      <c r="Z827"/>
      <c r="AA827">
        <v>101.2475</v>
      </c>
      <c r="AB827">
        <v>105.70480000000001</v>
      </c>
      <c r="AC827">
        <v>100.3206</v>
      </c>
      <c r="AD827">
        <v>101.0125</v>
      </c>
      <c r="AE827">
        <v>100.5274</v>
      </c>
      <c r="AF827">
        <v>103.82989999999999</v>
      </c>
      <c r="AG827">
        <v>107.77460000000001</v>
      </c>
      <c r="AH827">
        <v>103</v>
      </c>
      <c r="AI827">
        <v>104.1815</v>
      </c>
      <c r="AJ827">
        <v>108.5489</v>
      </c>
      <c r="AK827">
        <v>102.3334</v>
      </c>
      <c r="AL827">
        <v>105.74209999999999</v>
      </c>
      <c r="AM827">
        <v>104.4496</v>
      </c>
      <c r="AN827">
        <v>104.4405</v>
      </c>
      <c r="AO827">
        <v>100.7607</v>
      </c>
      <c r="AP827">
        <v>102.8832</v>
      </c>
      <c r="AQ827"/>
      <c r="AR827"/>
      <c r="AS827">
        <v>102.23520000000001</v>
      </c>
      <c r="AT827">
        <v>101.6717</v>
      </c>
      <c r="AU827">
        <v>102.744</v>
      </c>
      <c r="AV827">
        <v>125.2894</v>
      </c>
      <c r="AW827">
        <v>104.7024</v>
      </c>
      <c r="AX827">
        <v>111.46339999999999</v>
      </c>
    </row>
    <row r="828" spans="1:50" x14ac:dyDescent="0.35">
      <c r="A828" s="75">
        <v>43040</v>
      </c>
      <c r="B828">
        <v>104.20869999999999</v>
      </c>
      <c r="C828">
        <v>103.6874</v>
      </c>
      <c r="D828"/>
      <c r="E828">
        <v>104.16070000000001</v>
      </c>
      <c r="F828">
        <v>99.985020000000006</v>
      </c>
      <c r="G828">
        <v>106.4393</v>
      </c>
      <c r="H828"/>
      <c r="I828">
        <v>112.6403</v>
      </c>
      <c r="J828">
        <v>102.6752</v>
      </c>
      <c r="K828">
        <v>104.2</v>
      </c>
      <c r="L828">
        <v>102.3695</v>
      </c>
      <c r="M828">
        <v>101.60169999999999</v>
      </c>
      <c r="N828">
        <v>101.97</v>
      </c>
      <c r="O828">
        <v>103.0458</v>
      </c>
      <c r="P828">
        <v>104.1465</v>
      </c>
      <c r="Q828"/>
      <c r="R828">
        <v>101.91</v>
      </c>
      <c r="S828">
        <v>101.0898</v>
      </c>
      <c r="T828"/>
      <c r="U828">
        <v>103.5004</v>
      </c>
      <c r="V828">
        <v>104.9</v>
      </c>
      <c r="W828">
        <v>99.28877</v>
      </c>
      <c r="X828">
        <v>103.982</v>
      </c>
      <c r="Y828"/>
      <c r="Z828"/>
      <c r="AA828">
        <v>100.8069</v>
      </c>
      <c r="AB828">
        <v>105.4538</v>
      </c>
      <c r="AC828">
        <v>100.2193</v>
      </c>
      <c r="AD828">
        <v>100.599</v>
      </c>
      <c r="AE828">
        <v>100.49039999999999</v>
      </c>
      <c r="AF828">
        <v>103.47029999999999</v>
      </c>
      <c r="AG828">
        <v>107.80629999999999</v>
      </c>
      <c r="AH828">
        <v>102.46</v>
      </c>
      <c r="AI828">
        <v>103.9178</v>
      </c>
      <c r="AJ828">
        <v>108.8874</v>
      </c>
      <c r="AK828">
        <v>101.9644</v>
      </c>
      <c r="AL828">
        <v>105.4485</v>
      </c>
      <c r="AM828">
        <v>104.4119</v>
      </c>
      <c r="AN828">
        <v>104.3737</v>
      </c>
      <c r="AO828">
        <v>100.8476</v>
      </c>
      <c r="AP828">
        <v>102.3184</v>
      </c>
      <c r="AQ828"/>
      <c r="AR828"/>
      <c r="AS828">
        <v>102.34650000000001</v>
      </c>
      <c r="AT828">
        <v>101.9117</v>
      </c>
      <c r="AU828">
        <v>102.69370000000001</v>
      </c>
      <c r="AV828">
        <v>126.64149999999999</v>
      </c>
      <c r="AW828">
        <v>104.6422</v>
      </c>
      <c r="AX828">
        <v>111.4487</v>
      </c>
    </row>
    <row r="829" spans="1:50" x14ac:dyDescent="0.35">
      <c r="A829" s="75">
        <v>43070</v>
      </c>
      <c r="B829">
        <v>104.8087</v>
      </c>
      <c r="C829">
        <v>103.91079999999999</v>
      </c>
      <c r="D829"/>
      <c r="E829">
        <v>103.7372</v>
      </c>
      <c r="F829">
        <v>100.01730000000001</v>
      </c>
      <c r="G829">
        <v>106.6563</v>
      </c>
      <c r="H829"/>
      <c r="I829">
        <v>113.14709999999999</v>
      </c>
      <c r="J829">
        <v>102.85639999999999</v>
      </c>
      <c r="K829">
        <v>104.1</v>
      </c>
      <c r="L829">
        <v>102.93219999999999</v>
      </c>
      <c r="M829">
        <v>101.4357</v>
      </c>
      <c r="N829">
        <v>102.4</v>
      </c>
      <c r="O829">
        <v>103.07</v>
      </c>
      <c r="P829">
        <v>103.7492</v>
      </c>
      <c r="Q829"/>
      <c r="R829">
        <v>101.98</v>
      </c>
      <c r="S829">
        <v>101.4461</v>
      </c>
      <c r="T829"/>
      <c r="U829">
        <v>103.6105</v>
      </c>
      <c r="V829">
        <v>105.2</v>
      </c>
      <c r="W829">
        <v>99.979709999999997</v>
      </c>
      <c r="X829">
        <v>104.05710000000001</v>
      </c>
      <c r="Y829"/>
      <c r="Z829"/>
      <c r="AA829">
        <v>100.7697</v>
      </c>
      <c r="AB829">
        <v>105.7186</v>
      </c>
      <c r="AC829">
        <v>100.4218</v>
      </c>
      <c r="AD829">
        <v>101.08029999999999</v>
      </c>
      <c r="AE829">
        <v>100.4906</v>
      </c>
      <c r="AF829">
        <v>103.6395</v>
      </c>
      <c r="AG829">
        <v>107.3275</v>
      </c>
      <c r="AH829">
        <v>102.55</v>
      </c>
      <c r="AI829">
        <v>103.5284</v>
      </c>
      <c r="AJ829">
        <v>109.31310000000001</v>
      </c>
      <c r="AK829">
        <v>101.95650000000001</v>
      </c>
      <c r="AL829">
        <v>105.7945</v>
      </c>
      <c r="AM829">
        <v>104.55329999999999</v>
      </c>
      <c r="AN829">
        <v>104.6978</v>
      </c>
      <c r="AO829">
        <v>100.9346</v>
      </c>
      <c r="AP829">
        <v>102.29859999999999</v>
      </c>
      <c r="AQ829"/>
      <c r="AR829"/>
      <c r="AS829">
        <v>102.33750000000001</v>
      </c>
      <c r="AT829">
        <v>101.5517</v>
      </c>
      <c r="AU829">
        <v>103.06570000000001</v>
      </c>
      <c r="AV829">
        <v>127.193</v>
      </c>
      <c r="AW829">
        <v>104.6694</v>
      </c>
      <c r="AX829">
        <v>111.7603</v>
      </c>
    </row>
    <row r="830" spans="1:50" x14ac:dyDescent="0.35">
      <c r="A830" s="75">
        <v>43101</v>
      </c>
      <c r="B830">
        <v>103.9087</v>
      </c>
      <c r="C830">
        <v>104.173</v>
      </c>
      <c r="D830"/>
      <c r="E830">
        <v>104.2608</v>
      </c>
      <c r="F830">
        <v>99.579279999999997</v>
      </c>
      <c r="G830">
        <v>106.971</v>
      </c>
      <c r="H830"/>
      <c r="I830">
        <v>113.74379999999999</v>
      </c>
      <c r="J830">
        <v>103.2632</v>
      </c>
      <c r="K830">
        <v>104.9</v>
      </c>
      <c r="L830">
        <v>102.0128</v>
      </c>
      <c r="M830">
        <v>100.9462</v>
      </c>
      <c r="N830">
        <v>100.67</v>
      </c>
      <c r="O830">
        <v>101.2308</v>
      </c>
      <c r="P830">
        <v>103.5222</v>
      </c>
      <c r="Q830"/>
      <c r="R830">
        <v>101.51</v>
      </c>
      <c r="S830">
        <v>100.77809999999999</v>
      </c>
      <c r="T830"/>
      <c r="U830">
        <v>103.649</v>
      </c>
      <c r="V830">
        <v>104.5</v>
      </c>
      <c r="W830">
        <v>97.256</v>
      </c>
      <c r="X830">
        <v>103.9068</v>
      </c>
      <c r="Y830"/>
      <c r="Z830"/>
      <c r="AA830">
        <v>99.855130000000003</v>
      </c>
      <c r="AB830">
        <v>105.35639999999999</v>
      </c>
      <c r="AC830">
        <v>99.814409999999995</v>
      </c>
      <c r="AD830">
        <v>100.9319</v>
      </c>
      <c r="AE830">
        <v>100.0669</v>
      </c>
      <c r="AF830">
        <v>103.8797</v>
      </c>
      <c r="AG830">
        <v>106.91119999999999</v>
      </c>
      <c r="AH830">
        <v>101.18</v>
      </c>
      <c r="AI830">
        <v>103.1009</v>
      </c>
      <c r="AJ830">
        <v>109.5656</v>
      </c>
      <c r="AK830">
        <v>101.4644</v>
      </c>
      <c r="AL830">
        <v>104.9195</v>
      </c>
      <c r="AM830">
        <v>104.517</v>
      </c>
      <c r="AN830">
        <v>104.0737</v>
      </c>
      <c r="AO830">
        <v>100.8476</v>
      </c>
      <c r="AP830">
        <v>100.6737</v>
      </c>
      <c r="AQ830"/>
      <c r="AR830"/>
      <c r="AS830">
        <v>102.755</v>
      </c>
      <c r="AT830">
        <v>99.891660000000002</v>
      </c>
      <c r="AU830">
        <v>101.7722</v>
      </c>
      <c r="AV830">
        <v>127.87520000000001</v>
      </c>
      <c r="AW830">
        <v>105.1152</v>
      </c>
      <c r="AX830">
        <v>112.1328</v>
      </c>
    </row>
    <row r="831" spans="1:50" x14ac:dyDescent="0.35">
      <c r="A831" s="75">
        <v>43132</v>
      </c>
      <c r="B831">
        <v>104.3087</v>
      </c>
      <c r="C831">
        <v>104.3672</v>
      </c>
      <c r="D831"/>
      <c r="E831">
        <v>105.09699999999999</v>
      </c>
      <c r="F831">
        <v>100.0754</v>
      </c>
      <c r="G831">
        <v>107.1554</v>
      </c>
      <c r="H831"/>
      <c r="I831">
        <v>114.7739</v>
      </c>
      <c r="J831">
        <v>103.67010000000001</v>
      </c>
      <c r="K831">
        <v>105</v>
      </c>
      <c r="L831">
        <v>102.4513</v>
      </c>
      <c r="M831">
        <v>101.86199999999999</v>
      </c>
      <c r="N831">
        <v>101.07</v>
      </c>
      <c r="O831">
        <v>101.55549999999999</v>
      </c>
      <c r="P831">
        <v>104.6005</v>
      </c>
      <c r="Q831"/>
      <c r="R831">
        <v>101.77</v>
      </c>
      <c r="S831">
        <v>100.7663</v>
      </c>
      <c r="T831"/>
      <c r="U831">
        <v>104.0423</v>
      </c>
      <c r="V831">
        <v>105</v>
      </c>
      <c r="W831">
        <v>97.211830000000006</v>
      </c>
      <c r="X831">
        <v>104.05710000000001</v>
      </c>
      <c r="Y831"/>
      <c r="Z831"/>
      <c r="AA831">
        <v>101.0622</v>
      </c>
      <c r="AB831">
        <v>106.1258</v>
      </c>
      <c r="AC831">
        <v>99.713179999999994</v>
      </c>
      <c r="AD831">
        <v>101.0737</v>
      </c>
      <c r="AE831">
        <v>100.1521</v>
      </c>
      <c r="AF831">
        <v>104.3198</v>
      </c>
      <c r="AG831">
        <v>106.87</v>
      </c>
      <c r="AH831">
        <v>102.86</v>
      </c>
      <c r="AI831">
        <v>103.1658</v>
      </c>
      <c r="AJ831">
        <v>110.1028</v>
      </c>
      <c r="AK831">
        <v>101.96939999999999</v>
      </c>
      <c r="AL831">
        <v>105.536</v>
      </c>
      <c r="AM831">
        <v>104.907</v>
      </c>
      <c r="AN831">
        <v>104.3963</v>
      </c>
      <c r="AO831">
        <v>100.8476</v>
      </c>
      <c r="AP831">
        <v>100.1387</v>
      </c>
      <c r="AQ831"/>
      <c r="AR831"/>
      <c r="AS831">
        <v>103.2444</v>
      </c>
      <c r="AT831">
        <v>100.6717</v>
      </c>
      <c r="AU831">
        <v>102.5898</v>
      </c>
      <c r="AV831">
        <v>128.4675</v>
      </c>
      <c r="AW831">
        <v>105.5879</v>
      </c>
      <c r="AX831">
        <v>113.2508</v>
      </c>
    </row>
    <row r="832" spans="1:50" x14ac:dyDescent="0.35">
      <c r="A832" s="75">
        <v>43160</v>
      </c>
      <c r="B832">
        <v>105.1088</v>
      </c>
      <c r="C832">
        <v>104.4255</v>
      </c>
      <c r="D832"/>
      <c r="E832">
        <v>105.4791</v>
      </c>
      <c r="F832">
        <v>100.5774</v>
      </c>
      <c r="G832">
        <v>107.51349999999999</v>
      </c>
      <c r="H832"/>
      <c r="I832">
        <v>115.10899999999999</v>
      </c>
      <c r="J832">
        <v>103.503</v>
      </c>
      <c r="K832">
        <v>105.1</v>
      </c>
      <c r="L832">
        <v>103.2604</v>
      </c>
      <c r="M832">
        <v>101.95529999999999</v>
      </c>
      <c r="N832">
        <v>102.63</v>
      </c>
      <c r="O832">
        <v>102.1609</v>
      </c>
      <c r="P832">
        <v>104.6005</v>
      </c>
      <c r="Q832"/>
      <c r="R832">
        <v>102.03</v>
      </c>
      <c r="S832">
        <v>102.09</v>
      </c>
      <c r="T832"/>
      <c r="U832">
        <v>104.4581</v>
      </c>
      <c r="V832">
        <v>105.2</v>
      </c>
      <c r="W832">
        <v>99.537120000000002</v>
      </c>
      <c r="X832">
        <v>104.2825</v>
      </c>
      <c r="Y832"/>
      <c r="Z832"/>
      <c r="AA832">
        <v>101.4204</v>
      </c>
      <c r="AB832">
        <v>106.8454</v>
      </c>
      <c r="AC832">
        <v>100.4218</v>
      </c>
      <c r="AD832">
        <v>101.5009</v>
      </c>
      <c r="AE832">
        <v>100.244</v>
      </c>
      <c r="AF832">
        <v>104.5303</v>
      </c>
      <c r="AG832">
        <v>107.75279999999999</v>
      </c>
      <c r="AH832">
        <v>102.96</v>
      </c>
      <c r="AI832">
        <v>105.2713</v>
      </c>
      <c r="AJ832">
        <v>110.4657</v>
      </c>
      <c r="AK832">
        <v>102.3446</v>
      </c>
      <c r="AL832">
        <v>106.02509999999999</v>
      </c>
      <c r="AM832">
        <v>105.3355</v>
      </c>
      <c r="AN832">
        <v>105.05159999999999</v>
      </c>
      <c r="AO832">
        <v>100.8476</v>
      </c>
      <c r="AP832">
        <v>102.586</v>
      </c>
      <c r="AQ832"/>
      <c r="AR832"/>
      <c r="AS832">
        <v>103.4145</v>
      </c>
      <c r="AT832">
        <v>101.2317</v>
      </c>
      <c r="AU832">
        <v>102.75069999999999</v>
      </c>
      <c r="AV832">
        <v>129.42349999999999</v>
      </c>
      <c r="AW832">
        <v>105.9293</v>
      </c>
      <c r="AX832">
        <v>114.0189</v>
      </c>
    </row>
    <row r="833" spans="1:50" x14ac:dyDescent="0.35">
      <c r="A833" s="75">
        <v>43191</v>
      </c>
      <c r="B833">
        <v>105.2088</v>
      </c>
      <c r="C833">
        <v>104.5518</v>
      </c>
      <c r="D833"/>
      <c r="E833">
        <v>105.4451</v>
      </c>
      <c r="F833">
        <v>100.72069999999999</v>
      </c>
      <c r="G833">
        <v>107.7957</v>
      </c>
      <c r="H833"/>
      <c r="I833">
        <v>115.3706</v>
      </c>
      <c r="J833">
        <v>103.61799999999999</v>
      </c>
      <c r="K833">
        <v>105.7</v>
      </c>
      <c r="L833">
        <v>103.2924</v>
      </c>
      <c r="M833">
        <v>102.35720000000001</v>
      </c>
      <c r="N833">
        <v>103.04</v>
      </c>
      <c r="O833">
        <v>103.1414</v>
      </c>
      <c r="P833">
        <v>105.45180000000001</v>
      </c>
      <c r="Q833"/>
      <c r="R833">
        <v>102.3</v>
      </c>
      <c r="S833">
        <v>102.19929999999999</v>
      </c>
      <c r="T833"/>
      <c r="U833">
        <v>104.63420000000001</v>
      </c>
      <c r="V833">
        <v>105.6</v>
      </c>
      <c r="W833">
        <v>100.7201</v>
      </c>
      <c r="X833">
        <v>104.80840000000001</v>
      </c>
      <c r="Y833"/>
      <c r="Z833"/>
      <c r="AA833">
        <v>101.1955</v>
      </c>
      <c r="AB833">
        <v>106.8184</v>
      </c>
      <c r="AC833">
        <v>100.523</v>
      </c>
      <c r="AD833">
        <v>101.8411</v>
      </c>
      <c r="AE833">
        <v>100.4178</v>
      </c>
      <c r="AF833">
        <v>104.7302</v>
      </c>
      <c r="AG833">
        <v>108.47029999999999</v>
      </c>
      <c r="AH833">
        <v>103.03</v>
      </c>
      <c r="AI833">
        <v>105.8107</v>
      </c>
      <c r="AJ833">
        <v>110.6105</v>
      </c>
      <c r="AK833">
        <v>102.94750000000001</v>
      </c>
      <c r="AL833">
        <v>106.6164</v>
      </c>
      <c r="AM833">
        <v>105.6497</v>
      </c>
      <c r="AN833">
        <v>105.60760000000001</v>
      </c>
      <c r="AO833">
        <v>101.3693</v>
      </c>
      <c r="AP833">
        <v>103.0714</v>
      </c>
      <c r="AQ833"/>
      <c r="AR833"/>
      <c r="AS833">
        <v>104.0968</v>
      </c>
      <c r="AT833">
        <v>102.24169999999999</v>
      </c>
      <c r="AU833">
        <v>103.27679999999999</v>
      </c>
      <c r="AV833">
        <v>132.56489999999999</v>
      </c>
      <c r="AW833">
        <v>106.1006</v>
      </c>
      <c r="AX833">
        <v>114.5566</v>
      </c>
    </row>
    <row r="834" spans="1:50" x14ac:dyDescent="0.35">
      <c r="A834" s="75">
        <v>43221</v>
      </c>
      <c r="B834">
        <v>105.2088</v>
      </c>
      <c r="C834">
        <v>104.7557</v>
      </c>
      <c r="D834"/>
      <c r="E834">
        <v>105.4584</v>
      </c>
      <c r="F834">
        <v>100.8028</v>
      </c>
      <c r="G834">
        <v>108.1212</v>
      </c>
      <c r="H834"/>
      <c r="I834">
        <v>115.6322</v>
      </c>
      <c r="J834">
        <v>103.542</v>
      </c>
      <c r="K834">
        <v>105.9</v>
      </c>
      <c r="L834">
        <v>103.9973</v>
      </c>
      <c r="M834">
        <v>102.41719999999999</v>
      </c>
      <c r="N834">
        <v>103.51</v>
      </c>
      <c r="O834">
        <v>103.5839</v>
      </c>
      <c r="P834">
        <v>105.5654</v>
      </c>
      <c r="Q834"/>
      <c r="R834">
        <v>102.24</v>
      </c>
      <c r="S834">
        <v>102.3689</v>
      </c>
      <c r="T834"/>
      <c r="U834">
        <v>104.8402</v>
      </c>
      <c r="V834">
        <v>105.9</v>
      </c>
      <c r="W834">
        <v>99.922160000000005</v>
      </c>
      <c r="X834">
        <v>105.0338</v>
      </c>
      <c r="Y834"/>
      <c r="Z834"/>
      <c r="AA834">
        <v>101.6947</v>
      </c>
      <c r="AB834">
        <v>106.63720000000001</v>
      </c>
      <c r="AC834">
        <v>100.928</v>
      </c>
      <c r="AD834">
        <v>101.9453</v>
      </c>
      <c r="AE834">
        <v>100.5471</v>
      </c>
      <c r="AF834">
        <v>104.8794</v>
      </c>
      <c r="AG834">
        <v>108.78660000000001</v>
      </c>
      <c r="AH834">
        <v>103.16</v>
      </c>
      <c r="AI834">
        <v>105.9392</v>
      </c>
      <c r="AJ834">
        <v>110.8909</v>
      </c>
      <c r="AK834">
        <v>103.1037</v>
      </c>
      <c r="AL834">
        <v>106.792</v>
      </c>
      <c r="AM834">
        <v>105.89830000000001</v>
      </c>
      <c r="AN834">
        <v>106.0193</v>
      </c>
      <c r="AO834">
        <v>101.28230000000001</v>
      </c>
      <c r="AP834">
        <v>103.31910000000001</v>
      </c>
      <c r="AQ834"/>
      <c r="AR834"/>
      <c r="AS834">
        <v>103.92919999999999</v>
      </c>
      <c r="AT834">
        <v>103.1617</v>
      </c>
      <c r="AU834">
        <v>103.3907</v>
      </c>
      <c r="AV834">
        <v>134.7422</v>
      </c>
      <c r="AW834">
        <v>106.2839</v>
      </c>
      <c r="AX834">
        <v>114.738</v>
      </c>
    </row>
    <row r="835" spans="1:50" x14ac:dyDescent="0.35">
      <c r="A835" s="75">
        <v>43252</v>
      </c>
      <c r="B835">
        <v>105.30880000000001</v>
      </c>
      <c r="C835">
        <v>104.62949999999999</v>
      </c>
      <c r="D835"/>
      <c r="E835">
        <v>105.64870000000001</v>
      </c>
      <c r="F835">
        <v>100.7063</v>
      </c>
      <c r="G835">
        <v>107.991</v>
      </c>
      <c r="H835"/>
      <c r="I835">
        <v>115.93470000000001</v>
      </c>
      <c r="J835">
        <v>103.6386</v>
      </c>
      <c r="K835">
        <v>106</v>
      </c>
      <c r="L835">
        <v>104.0752</v>
      </c>
      <c r="M835">
        <v>102.25749999999999</v>
      </c>
      <c r="N835">
        <v>103.56</v>
      </c>
      <c r="O835">
        <v>103.6711</v>
      </c>
      <c r="P835">
        <v>106.0762</v>
      </c>
      <c r="Q835"/>
      <c r="R835">
        <v>102.44</v>
      </c>
      <c r="S835">
        <v>102.3291</v>
      </c>
      <c r="T835"/>
      <c r="U835">
        <v>104.89700000000001</v>
      </c>
      <c r="V835">
        <v>105.8</v>
      </c>
      <c r="W835">
        <v>101.2212</v>
      </c>
      <c r="X835">
        <v>105.3343</v>
      </c>
      <c r="Y835"/>
      <c r="Z835"/>
      <c r="AA835">
        <v>101.6168</v>
      </c>
      <c r="AB835">
        <v>107.2655</v>
      </c>
      <c r="AC835">
        <v>100.8267</v>
      </c>
      <c r="AD835">
        <v>102.12609999999999</v>
      </c>
      <c r="AE835">
        <v>100.366</v>
      </c>
      <c r="AF835">
        <v>104.69</v>
      </c>
      <c r="AG835">
        <v>109.18170000000001</v>
      </c>
      <c r="AH835">
        <v>103.24</v>
      </c>
      <c r="AI835">
        <v>106.4482</v>
      </c>
      <c r="AJ835">
        <v>111.1502</v>
      </c>
      <c r="AK835">
        <v>102.7242</v>
      </c>
      <c r="AL835">
        <v>107.1557</v>
      </c>
      <c r="AM835">
        <v>106.0219</v>
      </c>
      <c r="AN835">
        <v>106.238</v>
      </c>
      <c r="AO835">
        <v>101.3693</v>
      </c>
      <c r="AP835">
        <v>103.3489</v>
      </c>
      <c r="AQ835"/>
      <c r="AR835"/>
      <c r="AS835">
        <v>103.9117</v>
      </c>
      <c r="AT835">
        <v>103.2817</v>
      </c>
      <c r="AU835">
        <v>103.6555</v>
      </c>
      <c r="AV835">
        <v>137.02170000000001</v>
      </c>
      <c r="AW835">
        <v>106.378</v>
      </c>
      <c r="AX835">
        <v>114.7881</v>
      </c>
    </row>
    <row r="836" spans="1:50" x14ac:dyDescent="0.35">
      <c r="A836" s="75">
        <v>43282</v>
      </c>
      <c r="B836">
        <v>105.1088</v>
      </c>
      <c r="C836">
        <v>105.0665</v>
      </c>
      <c r="D836"/>
      <c r="E836">
        <v>106.1747</v>
      </c>
      <c r="F836">
        <v>100.4066</v>
      </c>
      <c r="G836">
        <v>108.2731</v>
      </c>
      <c r="H836"/>
      <c r="I836">
        <v>115.9592</v>
      </c>
      <c r="J836">
        <v>103.8219</v>
      </c>
      <c r="K836">
        <v>106.8</v>
      </c>
      <c r="L836">
        <v>104.6414</v>
      </c>
      <c r="M836">
        <v>103.3092</v>
      </c>
      <c r="N836">
        <v>103.18</v>
      </c>
      <c r="O836">
        <v>102.6349</v>
      </c>
      <c r="P836">
        <v>106.0762</v>
      </c>
      <c r="Q836"/>
      <c r="R836">
        <v>102.39</v>
      </c>
      <c r="S836">
        <v>102.1396</v>
      </c>
      <c r="T836"/>
      <c r="U836">
        <v>105.0013</v>
      </c>
      <c r="V836">
        <v>105.8</v>
      </c>
      <c r="W836">
        <v>98.376530000000002</v>
      </c>
      <c r="X836">
        <v>105.7851</v>
      </c>
      <c r="Y836"/>
      <c r="Z836"/>
      <c r="AA836">
        <v>102.0505</v>
      </c>
      <c r="AB836">
        <v>107.3171</v>
      </c>
      <c r="AC836">
        <v>100.7255</v>
      </c>
      <c r="AD836">
        <v>102.3901</v>
      </c>
      <c r="AE836">
        <v>100.1777</v>
      </c>
      <c r="AF836">
        <v>104.6996</v>
      </c>
      <c r="AG836">
        <v>108.4147</v>
      </c>
      <c r="AH836">
        <v>102.29</v>
      </c>
      <c r="AI836">
        <v>105.49169999999999</v>
      </c>
      <c r="AJ836">
        <v>111.43300000000001</v>
      </c>
      <c r="AK836">
        <v>104.0218</v>
      </c>
      <c r="AL836">
        <v>107.14870000000001</v>
      </c>
      <c r="AM836">
        <v>106.1242</v>
      </c>
      <c r="AN836">
        <v>106.3548</v>
      </c>
      <c r="AO836">
        <v>101.28230000000001</v>
      </c>
      <c r="AP836">
        <v>102.5265</v>
      </c>
      <c r="AQ836"/>
      <c r="AR836"/>
      <c r="AS836">
        <v>104.0911</v>
      </c>
      <c r="AT836">
        <v>102.2517</v>
      </c>
      <c r="AU836">
        <v>103.82640000000001</v>
      </c>
      <c r="AV836">
        <v>138.24719999999999</v>
      </c>
      <c r="AW836">
        <v>106.4482</v>
      </c>
      <c r="AX836">
        <v>115.4359</v>
      </c>
    </row>
    <row r="837" spans="1:50" x14ac:dyDescent="0.35">
      <c r="A837" s="75">
        <v>43313</v>
      </c>
      <c r="B837">
        <v>105.2088</v>
      </c>
      <c r="C837">
        <v>105.2413</v>
      </c>
      <c r="D837"/>
      <c r="E837">
        <v>106.22410000000001</v>
      </c>
      <c r="F837">
        <v>100.45910000000001</v>
      </c>
      <c r="G837">
        <v>108.2623</v>
      </c>
      <c r="H837"/>
      <c r="I837">
        <v>116.03279999999999</v>
      </c>
      <c r="J837">
        <v>103.72</v>
      </c>
      <c r="K837">
        <v>106.9</v>
      </c>
      <c r="L837">
        <v>104.7022</v>
      </c>
      <c r="M837">
        <v>102.8877</v>
      </c>
      <c r="N837">
        <v>103.34</v>
      </c>
      <c r="O837">
        <v>102.6801</v>
      </c>
      <c r="P837">
        <v>106.9842</v>
      </c>
      <c r="Q837"/>
      <c r="R837">
        <v>102.42</v>
      </c>
      <c r="S837">
        <v>102.72450000000001</v>
      </c>
      <c r="T837"/>
      <c r="U837">
        <v>105.19629999999999</v>
      </c>
      <c r="V837">
        <v>106.5</v>
      </c>
      <c r="W837">
        <v>97.840559999999996</v>
      </c>
      <c r="X837">
        <v>105.8603</v>
      </c>
      <c r="Y837"/>
      <c r="Z837"/>
      <c r="AA837">
        <v>102.2898</v>
      </c>
      <c r="AB837">
        <v>107.4751</v>
      </c>
      <c r="AC837">
        <v>100.928</v>
      </c>
      <c r="AD837">
        <v>102.9298</v>
      </c>
      <c r="AE837">
        <v>100.5951</v>
      </c>
      <c r="AF837">
        <v>104.8794</v>
      </c>
      <c r="AG837">
        <v>108.32040000000001</v>
      </c>
      <c r="AH837">
        <v>104</v>
      </c>
      <c r="AI837">
        <v>105.7188</v>
      </c>
      <c r="AJ837">
        <v>111.6765</v>
      </c>
      <c r="AK837">
        <v>104.0365</v>
      </c>
      <c r="AL837">
        <v>106.8394</v>
      </c>
      <c r="AM837">
        <v>106.37130000000001</v>
      </c>
      <c r="AN837">
        <v>106.8442</v>
      </c>
      <c r="AO837">
        <v>101.3693</v>
      </c>
      <c r="AP837">
        <v>102.0311</v>
      </c>
      <c r="AQ837"/>
      <c r="AR837"/>
      <c r="AS837">
        <v>104.48480000000001</v>
      </c>
      <c r="AT837">
        <v>102.3417</v>
      </c>
      <c r="AU837">
        <v>103.4611</v>
      </c>
      <c r="AV837">
        <v>141.64189999999999</v>
      </c>
      <c r="AW837">
        <v>106.508</v>
      </c>
      <c r="AX837">
        <v>115.3043</v>
      </c>
    </row>
    <row r="838" spans="1:50" x14ac:dyDescent="0.35">
      <c r="A838" s="75">
        <v>43344</v>
      </c>
      <c r="B838">
        <v>105.9088</v>
      </c>
      <c r="C838">
        <v>105.0471</v>
      </c>
      <c r="D838"/>
      <c r="E838">
        <v>105.9353</v>
      </c>
      <c r="F838">
        <v>100.4145</v>
      </c>
      <c r="G838">
        <v>108.47929999999999</v>
      </c>
      <c r="H838"/>
      <c r="I838">
        <v>116.1309</v>
      </c>
      <c r="J838">
        <v>104.0129</v>
      </c>
      <c r="K838">
        <v>106.3</v>
      </c>
      <c r="L838">
        <v>104.58369999999999</v>
      </c>
      <c r="M838">
        <v>102.38890000000001</v>
      </c>
      <c r="N838">
        <v>103.66</v>
      </c>
      <c r="O838">
        <v>102.7274</v>
      </c>
      <c r="P838">
        <v>106.9842</v>
      </c>
      <c r="Q838"/>
      <c r="R838">
        <v>102.52</v>
      </c>
      <c r="S838">
        <v>102.2176</v>
      </c>
      <c r="T838"/>
      <c r="U838">
        <v>105.1861</v>
      </c>
      <c r="V838">
        <v>106.5</v>
      </c>
      <c r="W838">
        <v>100.5956</v>
      </c>
      <c r="X838">
        <v>106.01049999999999</v>
      </c>
      <c r="Y838"/>
      <c r="Z838"/>
      <c r="AA838">
        <v>101.8027</v>
      </c>
      <c r="AB838">
        <v>107.54130000000001</v>
      </c>
      <c r="AC838">
        <v>100.8267</v>
      </c>
      <c r="AD838">
        <v>102.2501</v>
      </c>
      <c r="AE838">
        <v>100.4616</v>
      </c>
      <c r="AF838">
        <v>104.8001</v>
      </c>
      <c r="AG838">
        <v>109.361</v>
      </c>
      <c r="AH838">
        <v>104.08</v>
      </c>
      <c r="AI838">
        <v>106.2889</v>
      </c>
      <c r="AJ838">
        <v>111.9948</v>
      </c>
      <c r="AK838">
        <v>103.50149999999999</v>
      </c>
      <c r="AL838">
        <v>107.6317</v>
      </c>
      <c r="AM838">
        <v>106.6371</v>
      </c>
      <c r="AN838">
        <v>107.38679999999999</v>
      </c>
      <c r="AO838">
        <v>101.3693</v>
      </c>
      <c r="AP838">
        <v>103.438</v>
      </c>
      <c r="AQ838"/>
      <c r="AR838"/>
      <c r="AS838">
        <v>104.3013</v>
      </c>
      <c r="AT838">
        <v>102.5617</v>
      </c>
      <c r="AU838">
        <v>103.94029999999999</v>
      </c>
      <c r="AV838">
        <v>150.3186</v>
      </c>
      <c r="AW838">
        <v>106.6802</v>
      </c>
      <c r="AX838">
        <v>115.9438</v>
      </c>
    </row>
    <row r="839" spans="1:50" x14ac:dyDescent="0.35">
      <c r="A839" s="75">
        <v>43374</v>
      </c>
      <c r="B839">
        <v>106.00879999999999</v>
      </c>
      <c r="C839">
        <v>105.19280000000001</v>
      </c>
      <c r="D839"/>
      <c r="E839">
        <v>106.5532</v>
      </c>
      <c r="F839">
        <v>100.4693</v>
      </c>
      <c r="G839">
        <v>108.84820000000001</v>
      </c>
      <c r="H839"/>
      <c r="I839">
        <v>116.229</v>
      </c>
      <c r="J839">
        <v>104.5857</v>
      </c>
      <c r="K839">
        <v>106.8</v>
      </c>
      <c r="L839">
        <v>104.7265</v>
      </c>
      <c r="M839">
        <v>102.6618</v>
      </c>
      <c r="N839">
        <v>103.72</v>
      </c>
      <c r="O839">
        <v>103.64700000000001</v>
      </c>
      <c r="P839">
        <v>107.4383</v>
      </c>
      <c r="Q839"/>
      <c r="R839">
        <v>102.65</v>
      </c>
      <c r="S839">
        <v>102.19410000000001</v>
      </c>
      <c r="T839"/>
      <c r="U839">
        <v>105.3845</v>
      </c>
      <c r="V839">
        <v>106.6</v>
      </c>
      <c r="W839">
        <v>101.0343</v>
      </c>
      <c r="X839">
        <v>106.5364</v>
      </c>
      <c r="Y839"/>
      <c r="Z839"/>
      <c r="AA839">
        <v>101.5521</v>
      </c>
      <c r="AB839">
        <v>108.1212</v>
      </c>
      <c r="AC839">
        <v>101.13039999999999</v>
      </c>
      <c r="AD839">
        <v>101.8008</v>
      </c>
      <c r="AE839">
        <v>100.7234</v>
      </c>
      <c r="AF839">
        <v>104.8794</v>
      </c>
      <c r="AG839">
        <v>109.92740000000001</v>
      </c>
      <c r="AH839">
        <v>103.98</v>
      </c>
      <c r="AI839">
        <v>106.6657</v>
      </c>
      <c r="AJ839">
        <v>112.3326</v>
      </c>
      <c r="AK839">
        <v>103.9538</v>
      </c>
      <c r="AL839">
        <v>107.72199999999999</v>
      </c>
      <c r="AM839">
        <v>106.9353</v>
      </c>
      <c r="AN839">
        <v>107.75239999999999</v>
      </c>
      <c r="AO839">
        <v>101.6301</v>
      </c>
      <c r="AP839">
        <v>103.3489</v>
      </c>
      <c r="AQ839"/>
      <c r="AR839"/>
      <c r="AS839">
        <v>104.4164</v>
      </c>
      <c r="AT839">
        <v>102.74169999999999</v>
      </c>
      <c r="AU839">
        <v>103.9336</v>
      </c>
      <c r="AV839">
        <v>153.65610000000001</v>
      </c>
      <c r="AW839">
        <v>106.9419</v>
      </c>
      <c r="AX839">
        <v>116.10120000000001</v>
      </c>
    </row>
    <row r="840" spans="1:50" x14ac:dyDescent="0.35">
      <c r="A840" s="75">
        <v>43405</v>
      </c>
      <c r="B840">
        <v>106.2088</v>
      </c>
      <c r="C840">
        <v>105.3385</v>
      </c>
      <c r="D840"/>
      <c r="E840">
        <v>106.2276</v>
      </c>
      <c r="F840">
        <v>100.2109</v>
      </c>
      <c r="G840">
        <v>108.81570000000001</v>
      </c>
      <c r="H840"/>
      <c r="I840">
        <v>116.3516</v>
      </c>
      <c r="J840">
        <v>104.97839999999999</v>
      </c>
      <c r="K840">
        <v>106.9</v>
      </c>
      <c r="L840">
        <v>103.63420000000001</v>
      </c>
      <c r="M840">
        <v>102.3612</v>
      </c>
      <c r="N840">
        <v>102.92</v>
      </c>
      <c r="O840">
        <v>104.0064</v>
      </c>
      <c r="P840">
        <v>106.4734</v>
      </c>
      <c r="Q840"/>
      <c r="R840">
        <v>102.67</v>
      </c>
      <c r="S840">
        <v>102.039</v>
      </c>
      <c r="T840"/>
      <c r="U840">
        <v>105.2526</v>
      </c>
      <c r="V840">
        <v>106.8</v>
      </c>
      <c r="W840">
        <v>99.490750000000006</v>
      </c>
      <c r="X840">
        <v>106.5364</v>
      </c>
      <c r="Y840"/>
      <c r="Z840"/>
      <c r="AA840">
        <v>101.0205</v>
      </c>
      <c r="AB840">
        <v>108.4682</v>
      </c>
      <c r="AC840">
        <v>101.0292</v>
      </c>
      <c r="AD840">
        <v>101.43899999999999</v>
      </c>
      <c r="AE840">
        <v>100.7304</v>
      </c>
      <c r="AF840">
        <v>104.7503</v>
      </c>
      <c r="AG840">
        <v>110.0201</v>
      </c>
      <c r="AH840">
        <v>103.97</v>
      </c>
      <c r="AI840">
        <v>106.52970000000001</v>
      </c>
      <c r="AJ840">
        <v>112.5625</v>
      </c>
      <c r="AK840">
        <v>103.66240000000001</v>
      </c>
      <c r="AL840">
        <v>107.7666</v>
      </c>
      <c r="AM840">
        <v>106.7653</v>
      </c>
      <c r="AN840">
        <v>107.29949999999999</v>
      </c>
      <c r="AO840">
        <v>101.5431</v>
      </c>
      <c r="AP840">
        <v>102.8237</v>
      </c>
      <c r="AQ840"/>
      <c r="AR840"/>
      <c r="AS840">
        <v>104.7139</v>
      </c>
      <c r="AT840">
        <v>102.96169999999999</v>
      </c>
      <c r="AU840">
        <v>103.80289999999999</v>
      </c>
      <c r="AV840">
        <v>150.9273</v>
      </c>
      <c r="AW840">
        <v>106.9592</v>
      </c>
      <c r="AX840">
        <v>116.19119999999999</v>
      </c>
    </row>
    <row r="841" spans="1:50" x14ac:dyDescent="0.35">
      <c r="A841" s="75">
        <v>43435</v>
      </c>
      <c r="B841">
        <v>106.60890000000001</v>
      </c>
      <c r="C841">
        <v>105.5716</v>
      </c>
      <c r="D841"/>
      <c r="E841">
        <v>106.2492</v>
      </c>
      <c r="F841">
        <v>100.28870000000001</v>
      </c>
      <c r="G841">
        <v>109.1195</v>
      </c>
      <c r="H841"/>
      <c r="I841">
        <v>116.6541</v>
      </c>
      <c r="J841">
        <v>105.395</v>
      </c>
      <c r="K841">
        <v>106.8</v>
      </c>
      <c r="L841">
        <v>104.1579</v>
      </c>
      <c r="M841">
        <v>102.2413</v>
      </c>
      <c r="N841">
        <v>103.35</v>
      </c>
      <c r="O841">
        <v>104.0758</v>
      </c>
      <c r="P841">
        <v>106.6437</v>
      </c>
      <c r="Q841"/>
      <c r="R841">
        <v>102.85</v>
      </c>
      <c r="S841">
        <v>102.2076</v>
      </c>
      <c r="T841"/>
      <c r="U841">
        <v>105.3377</v>
      </c>
      <c r="V841">
        <v>107.1</v>
      </c>
      <c r="W841">
        <v>100.6194</v>
      </c>
      <c r="X841">
        <v>106.76179999999999</v>
      </c>
      <c r="Y841"/>
      <c r="Z841"/>
      <c r="AA841">
        <v>101.2801</v>
      </c>
      <c r="AB841">
        <v>109.449</v>
      </c>
      <c r="AC841">
        <v>100.928</v>
      </c>
      <c r="AD841">
        <v>101.5925</v>
      </c>
      <c r="AE841">
        <v>100.655</v>
      </c>
      <c r="AF841">
        <v>104.7302</v>
      </c>
      <c r="AG841">
        <v>109.63379999999999</v>
      </c>
      <c r="AH841">
        <v>104.08</v>
      </c>
      <c r="AI841">
        <v>106.1649</v>
      </c>
      <c r="AJ841">
        <v>113.0635</v>
      </c>
      <c r="AK841">
        <v>103.7209</v>
      </c>
      <c r="AL841">
        <v>108.14960000000001</v>
      </c>
      <c r="AM841">
        <v>106.8587</v>
      </c>
      <c r="AN841">
        <v>107.4905</v>
      </c>
      <c r="AO841">
        <v>101.5431</v>
      </c>
      <c r="AP841">
        <v>102.8733</v>
      </c>
      <c r="AQ841"/>
      <c r="AR841"/>
      <c r="AS841">
        <v>104.5172</v>
      </c>
      <c r="AT841">
        <v>102.79170000000001</v>
      </c>
      <c r="AU841">
        <v>104.3994</v>
      </c>
      <c r="AV841">
        <v>150.36359999999999</v>
      </c>
      <c r="AW841">
        <v>106.95010000000001</v>
      </c>
      <c r="AX841">
        <v>116.6232</v>
      </c>
    </row>
    <row r="842" spans="1:50" x14ac:dyDescent="0.35">
      <c r="A842" s="75">
        <v>43466</v>
      </c>
      <c r="B842">
        <v>105.80880000000001</v>
      </c>
      <c r="C842">
        <v>105.68810000000001</v>
      </c>
      <c r="D842"/>
      <c r="E842">
        <v>106.4064</v>
      </c>
      <c r="F842">
        <v>100.0926</v>
      </c>
      <c r="G842">
        <v>109.56440000000001</v>
      </c>
      <c r="H842"/>
      <c r="I842">
        <v>117.2367</v>
      </c>
      <c r="J842">
        <v>105.90819999999999</v>
      </c>
      <c r="K842">
        <v>107.8</v>
      </c>
      <c r="L842">
        <v>103.3587</v>
      </c>
      <c r="M842">
        <v>102.2906</v>
      </c>
      <c r="N842">
        <v>101.8</v>
      </c>
      <c r="O842">
        <v>102.13249999999999</v>
      </c>
      <c r="P842">
        <v>106.13290000000001</v>
      </c>
      <c r="Q842"/>
      <c r="R842">
        <v>102.34</v>
      </c>
      <c r="S842">
        <v>101.64660000000001</v>
      </c>
      <c r="T842"/>
      <c r="U842">
        <v>105.38460000000001</v>
      </c>
      <c r="V842">
        <v>106.4</v>
      </c>
      <c r="W842">
        <v>97.537520000000001</v>
      </c>
      <c r="X842">
        <v>107.1375</v>
      </c>
      <c r="Y842"/>
      <c r="Z842"/>
      <c r="AA842">
        <v>100.74720000000001</v>
      </c>
      <c r="AB842">
        <v>108.72880000000001</v>
      </c>
      <c r="AC842">
        <v>100.62430000000001</v>
      </c>
      <c r="AD842">
        <v>101.51900000000001</v>
      </c>
      <c r="AE842">
        <v>100.3913</v>
      </c>
      <c r="AF842">
        <v>104.9704</v>
      </c>
      <c r="AG842">
        <v>109.2375</v>
      </c>
      <c r="AH842">
        <v>102.75</v>
      </c>
      <c r="AI842">
        <v>106.3265</v>
      </c>
      <c r="AJ842">
        <v>113.31910000000001</v>
      </c>
      <c r="AK842">
        <v>103.0377</v>
      </c>
      <c r="AL842">
        <v>107.3203</v>
      </c>
      <c r="AM842">
        <v>106.8112</v>
      </c>
      <c r="AN842">
        <v>106.8583</v>
      </c>
      <c r="AO842">
        <v>101.5431</v>
      </c>
      <c r="AP842">
        <v>101.45650000000001</v>
      </c>
      <c r="AQ842"/>
      <c r="AR842"/>
      <c r="AS842">
        <v>104.80670000000001</v>
      </c>
      <c r="AT842">
        <v>101.2017</v>
      </c>
      <c r="AU842">
        <v>102.96510000000001</v>
      </c>
      <c r="AV842">
        <v>150.36770000000001</v>
      </c>
      <c r="AW842">
        <v>107.37909999999999</v>
      </c>
      <c r="AX842">
        <v>116.94410000000001</v>
      </c>
    </row>
    <row r="843" spans="1:50" x14ac:dyDescent="0.35">
      <c r="A843" s="75">
        <v>43497</v>
      </c>
      <c r="B843">
        <v>105.9088</v>
      </c>
      <c r="C843">
        <v>106.05719999999999</v>
      </c>
      <c r="D843"/>
      <c r="E843">
        <v>107.0864</v>
      </c>
      <c r="F843">
        <v>100.45529999999999</v>
      </c>
      <c r="G843">
        <v>109.84650000000001</v>
      </c>
      <c r="H843"/>
      <c r="I843">
        <v>118.03870000000001</v>
      </c>
      <c r="J843">
        <v>106.5797</v>
      </c>
      <c r="K843">
        <v>107.9</v>
      </c>
      <c r="L843">
        <v>103.7647</v>
      </c>
      <c r="M843">
        <v>102.7381</v>
      </c>
      <c r="N843">
        <v>102.07</v>
      </c>
      <c r="O843">
        <v>102.29859999999999</v>
      </c>
      <c r="P843">
        <v>106.3032</v>
      </c>
      <c r="Q843"/>
      <c r="R843">
        <v>102.71</v>
      </c>
      <c r="S843">
        <v>101.5565</v>
      </c>
      <c r="T843"/>
      <c r="U843">
        <v>105.7319</v>
      </c>
      <c r="V843">
        <v>106.9</v>
      </c>
      <c r="W843">
        <v>97.448890000000006</v>
      </c>
      <c r="X843">
        <v>107.438</v>
      </c>
      <c r="Y843"/>
      <c r="Z843"/>
      <c r="AA843">
        <v>101.7179</v>
      </c>
      <c r="AB843">
        <v>109.03570000000001</v>
      </c>
      <c r="AC843">
        <v>100.62430000000001</v>
      </c>
      <c r="AD843">
        <v>101.5219</v>
      </c>
      <c r="AE843">
        <v>100.5261</v>
      </c>
      <c r="AF843">
        <v>105.4697</v>
      </c>
      <c r="AG843">
        <v>109.306</v>
      </c>
      <c r="AH843">
        <v>104.68</v>
      </c>
      <c r="AI843">
        <v>106.42919999999999</v>
      </c>
      <c r="AJ843">
        <v>113.7963</v>
      </c>
      <c r="AK843">
        <v>103.8991</v>
      </c>
      <c r="AL843">
        <v>108.20820000000001</v>
      </c>
      <c r="AM843">
        <v>107.14319999999999</v>
      </c>
      <c r="AN843">
        <v>107.0865</v>
      </c>
      <c r="AO843">
        <v>101.717</v>
      </c>
      <c r="AP843">
        <v>101.1097</v>
      </c>
      <c r="AQ843"/>
      <c r="AR843"/>
      <c r="AS843">
        <v>105.0063</v>
      </c>
      <c r="AT843">
        <v>102.07170000000001</v>
      </c>
      <c r="AU843">
        <v>103.7694</v>
      </c>
      <c r="AV843">
        <v>149.9469</v>
      </c>
      <c r="AW843">
        <v>107.7886</v>
      </c>
      <c r="AX843">
        <v>118.19880000000001</v>
      </c>
    </row>
    <row r="844" spans="1:50" x14ac:dyDescent="0.35">
      <c r="A844" s="75">
        <v>43525</v>
      </c>
      <c r="B844">
        <v>106.80889999999999</v>
      </c>
      <c r="C844">
        <v>106.2514</v>
      </c>
      <c r="D844"/>
      <c r="E844">
        <v>107.4421</v>
      </c>
      <c r="F844">
        <v>101.0728</v>
      </c>
      <c r="G844">
        <v>110.324</v>
      </c>
      <c r="H844"/>
      <c r="I844">
        <v>118.3489</v>
      </c>
      <c r="J844">
        <v>106.37139999999999</v>
      </c>
      <c r="K844">
        <v>108</v>
      </c>
      <c r="L844">
        <v>104.2457</v>
      </c>
      <c r="M844">
        <v>102.94540000000001</v>
      </c>
      <c r="N844">
        <v>103.42</v>
      </c>
      <c r="O844">
        <v>102.9207</v>
      </c>
      <c r="P844">
        <v>106.70050000000001</v>
      </c>
      <c r="Q844"/>
      <c r="R844">
        <v>102.76</v>
      </c>
      <c r="S844">
        <v>102.5536</v>
      </c>
      <c r="T844"/>
      <c r="U844">
        <v>106.0526</v>
      </c>
      <c r="V844">
        <v>107</v>
      </c>
      <c r="W844">
        <v>99.993110000000001</v>
      </c>
      <c r="X844">
        <v>107.8888</v>
      </c>
      <c r="Y844"/>
      <c r="Z844"/>
      <c r="AA844">
        <v>102.483</v>
      </c>
      <c r="AB844">
        <v>109.66459999999999</v>
      </c>
      <c r="AC844">
        <v>101.13039999999999</v>
      </c>
      <c r="AD844">
        <v>101.9395</v>
      </c>
      <c r="AE844">
        <v>100.5681</v>
      </c>
      <c r="AF844">
        <v>105.31</v>
      </c>
      <c r="AG844">
        <v>110.3935</v>
      </c>
      <c r="AH844">
        <v>104.84</v>
      </c>
      <c r="AI844">
        <v>107.8005</v>
      </c>
      <c r="AJ844">
        <v>114.1687</v>
      </c>
      <c r="AK844">
        <v>104.3725</v>
      </c>
      <c r="AL844">
        <v>108.7559</v>
      </c>
      <c r="AM844">
        <v>107.4957</v>
      </c>
      <c r="AN844">
        <v>107.6369</v>
      </c>
      <c r="AO844">
        <v>102.15170000000001</v>
      </c>
      <c r="AP844">
        <v>103.2597</v>
      </c>
      <c r="AQ844"/>
      <c r="AR844"/>
      <c r="AS844">
        <v>105.4979</v>
      </c>
      <c r="AT844">
        <v>102.90170000000001</v>
      </c>
      <c r="AU844">
        <v>104.004</v>
      </c>
      <c r="AV844">
        <v>150.38399999999999</v>
      </c>
      <c r="AW844">
        <v>108.0866</v>
      </c>
      <c r="AX844">
        <v>119.0466</v>
      </c>
    </row>
    <row r="845" spans="1:50" x14ac:dyDescent="0.35">
      <c r="A845" s="75">
        <v>43556</v>
      </c>
      <c r="B845">
        <v>106.80889999999999</v>
      </c>
      <c r="C845">
        <v>106.5331</v>
      </c>
      <c r="D845"/>
      <c r="E845">
        <v>107.5812</v>
      </c>
      <c r="F845">
        <v>101.2313</v>
      </c>
      <c r="G845">
        <v>110.4217</v>
      </c>
      <c r="H845"/>
      <c r="I845">
        <v>118.77500000000001</v>
      </c>
      <c r="J845">
        <v>106.64149999999999</v>
      </c>
      <c r="K845">
        <v>108.1</v>
      </c>
      <c r="L845">
        <v>105.2389</v>
      </c>
      <c r="M845">
        <v>103.22620000000001</v>
      </c>
      <c r="N845">
        <v>104.37</v>
      </c>
      <c r="O845">
        <v>104.26390000000001</v>
      </c>
      <c r="P845">
        <v>108.0626</v>
      </c>
      <c r="Q845"/>
      <c r="R845">
        <v>103.23</v>
      </c>
      <c r="S845">
        <v>102.89619999999999</v>
      </c>
      <c r="T845"/>
      <c r="U845">
        <v>106.4079</v>
      </c>
      <c r="V845">
        <v>107.5</v>
      </c>
      <c r="W845">
        <v>101.2283</v>
      </c>
      <c r="X845">
        <v>108.48990000000001</v>
      </c>
      <c r="Y845"/>
      <c r="Z845"/>
      <c r="AA845">
        <v>102.776</v>
      </c>
      <c r="AB845">
        <v>110.07599999999999</v>
      </c>
      <c r="AC845">
        <v>101.4341</v>
      </c>
      <c r="AD845">
        <v>102.6108</v>
      </c>
      <c r="AE845">
        <v>100.96210000000001</v>
      </c>
      <c r="AF845">
        <v>105.4697</v>
      </c>
      <c r="AG845">
        <v>111.19629999999999</v>
      </c>
      <c r="AH845">
        <v>105.01</v>
      </c>
      <c r="AI845">
        <v>108.864</v>
      </c>
      <c r="AJ845">
        <v>114.6823</v>
      </c>
      <c r="AK845">
        <v>105.0206</v>
      </c>
      <c r="AL845">
        <v>109.4243</v>
      </c>
      <c r="AM845">
        <v>107.9676</v>
      </c>
      <c r="AN845">
        <v>108.47629999999999</v>
      </c>
      <c r="AO845">
        <v>103.19499999999999</v>
      </c>
      <c r="AP845">
        <v>103.9235</v>
      </c>
      <c r="AQ845"/>
      <c r="AR845"/>
      <c r="AS845">
        <v>105.6767</v>
      </c>
      <c r="AT845">
        <v>103.9817</v>
      </c>
      <c r="AU845">
        <v>104.8853</v>
      </c>
      <c r="AV845">
        <v>153.2517</v>
      </c>
      <c r="AW845">
        <v>108.2914</v>
      </c>
      <c r="AX845">
        <v>119.26909999999999</v>
      </c>
    </row>
    <row r="846" spans="1:50" x14ac:dyDescent="0.35">
      <c r="A846" s="75">
        <v>43586</v>
      </c>
      <c r="B846">
        <v>106.9089</v>
      </c>
      <c r="C846">
        <v>106.49420000000001</v>
      </c>
      <c r="D846"/>
      <c r="E846">
        <v>108.0047</v>
      </c>
      <c r="F846">
        <v>101.4175</v>
      </c>
      <c r="G846">
        <v>110.81229999999999</v>
      </c>
      <c r="H846"/>
      <c r="I846">
        <v>119.0968</v>
      </c>
      <c r="J846">
        <v>106.3302</v>
      </c>
      <c r="K846">
        <v>108.4</v>
      </c>
      <c r="L846">
        <v>105.2148</v>
      </c>
      <c r="M846">
        <v>103.068</v>
      </c>
      <c r="N846">
        <v>104.32</v>
      </c>
      <c r="O846">
        <v>104.42149999999999</v>
      </c>
      <c r="P846">
        <v>108.00579999999999</v>
      </c>
      <c r="Q846"/>
      <c r="R846">
        <v>103.16</v>
      </c>
      <c r="S846">
        <v>102.8306</v>
      </c>
      <c r="T846"/>
      <c r="U846">
        <v>106.46720000000001</v>
      </c>
      <c r="V846">
        <v>107.7</v>
      </c>
      <c r="W846">
        <v>100.154</v>
      </c>
      <c r="X846">
        <v>108.8655</v>
      </c>
      <c r="Y846"/>
      <c r="Z846"/>
      <c r="AA846">
        <v>102.4556</v>
      </c>
      <c r="AB846">
        <v>110.12430000000001</v>
      </c>
      <c r="AC846">
        <v>101.94029999999999</v>
      </c>
      <c r="AD846">
        <v>102.3762</v>
      </c>
      <c r="AE846">
        <v>100.8741</v>
      </c>
      <c r="AF846">
        <v>105.4803</v>
      </c>
      <c r="AG846">
        <v>111.3583</v>
      </c>
      <c r="AH846">
        <v>105.15</v>
      </c>
      <c r="AI846">
        <v>108.5296</v>
      </c>
      <c r="AJ846">
        <v>114.8107</v>
      </c>
      <c r="AK846">
        <v>104.77160000000001</v>
      </c>
      <c r="AL846">
        <v>109.2313</v>
      </c>
      <c r="AM846">
        <v>108.08150000000001</v>
      </c>
      <c r="AN846">
        <v>108.6193</v>
      </c>
      <c r="AO846">
        <v>102.8472</v>
      </c>
      <c r="AP846">
        <v>103.80459999999999</v>
      </c>
      <c r="AQ846"/>
      <c r="AR846"/>
      <c r="AS846">
        <v>105.8916</v>
      </c>
      <c r="AT846">
        <v>104.4417</v>
      </c>
      <c r="AU846">
        <v>105.2171</v>
      </c>
      <c r="AV846">
        <v>156.0582</v>
      </c>
      <c r="AW846">
        <v>108.39790000000001</v>
      </c>
      <c r="AX846">
        <v>119.33159999999999</v>
      </c>
    </row>
    <row r="847" spans="1:50" x14ac:dyDescent="0.35">
      <c r="A847" s="75">
        <v>43617</v>
      </c>
      <c r="B847">
        <v>107.2089</v>
      </c>
      <c r="C847">
        <v>106.6593</v>
      </c>
      <c r="D847"/>
      <c r="E847">
        <v>108.1153</v>
      </c>
      <c r="F847">
        <v>101.4551</v>
      </c>
      <c r="G847">
        <v>110.8015</v>
      </c>
      <c r="H847"/>
      <c r="I847">
        <v>119.3892</v>
      </c>
      <c r="J847">
        <v>106.46469999999999</v>
      </c>
      <c r="K847">
        <v>108.6</v>
      </c>
      <c r="L847">
        <v>105.7349</v>
      </c>
      <c r="M847">
        <v>102.8933</v>
      </c>
      <c r="N847">
        <v>104.72</v>
      </c>
      <c r="O847">
        <v>104.6622</v>
      </c>
      <c r="P847">
        <v>108.6302</v>
      </c>
      <c r="Q847"/>
      <c r="R847">
        <v>103.27</v>
      </c>
      <c r="S847">
        <v>103.1524</v>
      </c>
      <c r="T847"/>
      <c r="U847">
        <v>106.6692</v>
      </c>
      <c r="V847">
        <v>107.7</v>
      </c>
      <c r="W847">
        <v>101.5749</v>
      </c>
      <c r="X847">
        <v>109.0158</v>
      </c>
      <c r="Y847"/>
      <c r="Z847"/>
      <c r="AA847">
        <v>102.8338</v>
      </c>
      <c r="AB847">
        <v>110.6425</v>
      </c>
      <c r="AC847">
        <v>101.73779999999999</v>
      </c>
      <c r="AD847">
        <v>102.6564</v>
      </c>
      <c r="AE847">
        <v>100.61369999999999</v>
      </c>
      <c r="AF847">
        <v>105.40940000000001</v>
      </c>
      <c r="AG847">
        <v>111.75660000000001</v>
      </c>
      <c r="AH847">
        <v>105.32</v>
      </c>
      <c r="AI847">
        <v>109.2599</v>
      </c>
      <c r="AJ847">
        <v>115.12</v>
      </c>
      <c r="AK847">
        <v>104.7008</v>
      </c>
      <c r="AL847">
        <v>109.57729999999999</v>
      </c>
      <c r="AM847">
        <v>108.30710000000001</v>
      </c>
      <c r="AN847">
        <v>108.9687</v>
      </c>
      <c r="AO847">
        <v>103.28189999999999</v>
      </c>
      <c r="AP847">
        <v>103.983</v>
      </c>
      <c r="AQ847"/>
      <c r="AR847"/>
      <c r="AS847">
        <v>106.0763</v>
      </c>
      <c r="AT847">
        <v>105.0318</v>
      </c>
      <c r="AU847">
        <v>105.5287</v>
      </c>
      <c r="AV847">
        <v>157.30410000000001</v>
      </c>
      <c r="AW847">
        <v>108.64019999999999</v>
      </c>
      <c r="AX847">
        <v>119.7368</v>
      </c>
    </row>
    <row r="848" spans="1:50" x14ac:dyDescent="0.35">
      <c r="A848" s="75">
        <v>43647</v>
      </c>
      <c r="B848">
        <v>106.7089</v>
      </c>
      <c r="C848">
        <v>106.93129999999999</v>
      </c>
      <c r="D848"/>
      <c r="E848">
        <v>108.5125</v>
      </c>
      <c r="F848">
        <v>100.85</v>
      </c>
      <c r="G848">
        <v>111.127</v>
      </c>
      <c r="H848"/>
      <c r="I848">
        <v>119.52330000000001</v>
      </c>
      <c r="J848">
        <v>107.0907</v>
      </c>
      <c r="K848">
        <v>109.3</v>
      </c>
      <c r="L848">
        <v>106.34010000000001</v>
      </c>
      <c r="M848">
        <v>103.6263</v>
      </c>
      <c r="N848">
        <v>104.08</v>
      </c>
      <c r="O848">
        <v>103.607</v>
      </c>
      <c r="P848">
        <v>108.17610000000001</v>
      </c>
      <c r="Q848"/>
      <c r="R848">
        <v>103.08</v>
      </c>
      <c r="S848">
        <v>102.9051</v>
      </c>
      <c r="T848"/>
      <c r="U848">
        <v>106.8396</v>
      </c>
      <c r="V848">
        <v>107.8</v>
      </c>
      <c r="W848">
        <v>99.297150000000002</v>
      </c>
      <c r="X848">
        <v>109.3914</v>
      </c>
      <c r="Y848"/>
      <c r="Z848"/>
      <c r="AA848">
        <v>102.7598</v>
      </c>
      <c r="AB848">
        <v>110.2645</v>
      </c>
      <c r="AC848">
        <v>101.4341</v>
      </c>
      <c r="AD848">
        <v>102.94499999999999</v>
      </c>
      <c r="AE848">
        <v>100.6645</v>
      </c>
      <c r="AF848">
        <v>105.62</v>
      </c>
      <c r="AG848">
        <v>111.3235</v>
      </c>
      <c r="AH848">
        <v>104.37</v>
      </c>
      <c r="AI848">
        <v>108.5671</v>
      </c>
      <c r="AJ848">
        <v>115.4346</v>
      </c>
      <c r="AK848">
        <v>105.9864</v>
      </c>
      <c r="AL848">
        <v>109.6991</v>
      </c>
      <c r="AM848">
        <v>108.4978</v>
      </c>
      <c r="AN848">
        <v>109.1743</v>
      </c>
      <c r="AO848">
        <v>103.36879999999999</v>
      </c>
      <c r="AP848">
        <v>102.3977</v>
      </c>
      <c r="AQ848"/>
      <c r="AR848"/>
      <c r="AS848">
        <v>106.2813</v>
      </c>
      <c r="AT848">
        <v>104.2317</v>
      </c>
      <c r="AU848">
        <v>105.3545</v>
      </c>
      <c r="AV848">
        <v>160.30670000000001</v>
      </c>
      <c r="AW848">
        <v>108.80070000000001</v>
      </c>
      <c r="AX848">
        <v>120.1374</v>
      </c>
    </row>
    <row r="849" spans="1:50" x14ac:dyDescent="0.35">
      <c r="A849" s="75">
        <v>43678</v>
      </c>
      <c r="B849">
        <v>106.80889999999999</v>
      </c>
      <c r="C849">
        <v>106.96040000000001</v>
      </c>
      <c r="D849"/>
      <c r="E849">
        <v>108.6502</v>
      </c>
      <c r="F849">
        <v>100.8586</v>
      </c>
      <c r="G849">
        <v>111.2029</v>
      </c>
      <c r="H849"/>
      <c r="I849">
        <v>119.69540000000001</v>
      </c>
      <c r="J849">
        <v>107.00709999999999</v>
      </c>
      <c r="K849">
        <v>109.6</v>
      </c>
      <c r="L849">
        <v>106.1948</v>
      </c>
      <c r="M849">
        <v>103.3445</v>
      </c>
      <c r="N849">
        <v>104.32</v>
      </c>
      <c r="O849">
        <v>103.72790000000001</v>
      </c>
      <c r="P849">
        <v>109.1977</v>
      </c>
      <c r="Q849"/>
      <c r="R849">
        <v>103.43</v>
      </c>
      <c r="S849">
        <v>103.42270000000001</v>
      </c>
      <c r="T849"/>
      <c r="U849">
        <v>107.0911</v>
      </c>
      <c r="V849">
        <v>108.1</v>
      </c>
      <c r="W849">
        <v>98.551249999999996</v>
      </c>
      <c r="X849">
        <v>109.4666</v>
      </c>
      <c r="Y849"/>
      <c r="Z849"/>
      <c r="AA849">
        <v>103.355</v>
      </c>
      <c r="AB849">
        <v>110.8027</v>
      </c>
      <c r="AC849">
        <v>101.6366</v>
      </c>
      <c r="AD849">
        <v>103.4774</v>
      </c>
      <c r="AE849">
        <v>100.9329</v>
      </c>
      <c r="AF849">
        <v>105.75960000000001</v>
      </c>
      <c r="AG849">
        <v>111.30540000000001</v>
      </c>
      <c r="AH849">
        <v>105.91</v>
      </c>
      <c r="AI849">
        <v>108.7109</v>
      </c>
      <c r="AJ849">
        <v>115.7135</v>
      </c>
      <c r="AK849">
        <v>106.5616</v>
      </c>
      <c r="AL849">
        <v>109.1598</v>
      </c>
      <c r="AM849">
        <v>108.7666</v>
      </c>
      <c r="AN849">
        <v>109.5035</v>
      </c>
      <c r="AO849">
        <v>103.5427</v>
      </c>
      <c r="AP849">
        <v>102.259</v>
      </c>
      <c r="AQ849"/>
      <c r="AR849"/>
      <c r="AS849">
        <v>106.69410000000001</v>
      </c>
      <c r="AT849">
        <v>104.71169999999999</v>
      </c>
      <c r="AU849">
        <v>104.9691</v>
      </c>
      <c r="AV849">
        <v>162.76179999999999</v>
      </c>
      <c r="AW849">
        <v>109.0497</v>
      </c>
      <c r="AX849">
        <v>120.3377</v>
      </c>
    </row>
    <row r="850" spans="1:50" x14ac:dyDescent="0.35">
      <c r="A850" s="75">
        <v>43709</v>
      </c>
      <c r="B850">
        <v>107.509</v>
      </c>
      <c r="C850">
        <v>106.6593</v>
      </c>
      <c r="D850"/>
      <c r="E850">
        <v>108.2234</v>
      </c>
      <c r="F850">
        <v>100.7959</v>
      </c>
      <c r="G850">
        <v>111.2681</v>
      </c>
      <c r="H850"/>
      <c r="I850">
        <v>119.8927</v>
      </c>
      <c r="J850">
        <v>107.3565</v>
      </c>
      <c r="K850">
        <v>109</v>
      </c>
      <c r="L850">
        <v>106.208</v>
      </c>
      <c r="M850">
        <v>103.1579</v>
      </c>
      <c r="N850">
        <v>104.71</v>
      </c>
      <c r="O850">
        <v>103.833</v>
      </c>
      <c r="P850">
        <v>109.36799999999999</v>
      </c>
      <c r="Q850"/>
      <c r="R850">
        <v>103.55</v>
      </c>
      <c r="S850">
        <v>103.0386</v>
      </c>
      <c r="T850"/>
      <c r="U850">
        <v>107.0958</v>
      </c>
      <c r="V850">
        <v>108.3</v>
      </c>
      <c r="W850">
        <v>101.3062</v>
      </c>
      <c r="X850">
        <v>109.69199999999999</v>
      </c>
      <c r="Y850"/>
      <c r="Z850"/>
      <c r="AA850">
        <v>103.22369999999999</v>
      </c>
      <c r="AB850">
        <v>111.0067</v>
      </c>
      <c r="AC850">
        <v>101.4341</v>
      </c>
      <c r="AD850">
        <v>102.8181</v>
      </c>
      <c r="AE850">
        <v>100.8396</v>
      </c>
      <c r="AF850">
        <v>105.29940000000001</v>
      </c>
      <c r="AG850">
        <v>112.6506</v>
      </c>
      <c r="AH850">
        <v>105.71</v>
      </c>
      <c r="AI850">
        <v>109.2402</v>
      </c>
      <c r="AJ850">
        <v>116.0318</v>
      </c>
      <c r="AK850">
        <v>105.78959999999999</v>
      </c>
      <c r="AL850">
        <v>110.003</v>
      </c>
      <c r="AM850">
        <v>108.84650000000001</v>
      </c>
      <c r="AN850">
        <v>109.61069999999999</v>
      </c>
      <c r="AO850">
        <v>103.7166</v>
      </c>
      <c r="AP850">
        <v>103.6362</v>
      </c>
      <c r="AQ850"/>
      <c r="AR850"/>
      <c r="AS850">
        <v>106.7557</v>
      </c>
      <c r="AT850">
        <v>104.74169999999999</v>
      </c>
      <c r="AU850">
        <v>105.6091</v>
      </c>
      <c r="AV850">
        <v>164.60820000000001</v>
      </c>
      <c r="AW850">
        <v>109.19540000000001</v>
      </c>
      <c r="AX850">
        <v>120.6301</v>
      </c>
    </row>
    <row r="851" spans="1:50" x14ac:dyDescent="0.35">
      <c r="A851" s="75">
        <v>43739</v>
      </c>
      <c r="B851">
        <v>107.709</v>
      </c>
      <c r="C851">
        <v>107.0187</v>
      </c>
      <c r="D851"/>
      <c r="E851">
        <v>108.6713</v>
      </c>
      <c r="F851">
        <v>100.6741</v>
      </c>
      <c r="G851">
        <v>111.9191</v>
      </c>
      <c r="H851"/>
      <c r="I851">
        <v>120.0108</v>
      </c>
      <c r="J851">
        <v>107.4237</v>
      </c>
      <c r="K851">
        <v>109.5</v>
      </c>
      <c r="L851">
        <v>106.3892</v>
      </c>
      <c r="M851">
        <v>103.54649999999999</v>
      </c>
      <c r="N851">
        <v>104.83</v>
      </c>
      <c r="O851">
        <v>104.741</v>
      </c>
      <c r="P851">
        <v>109.595</v>
      </c>
      <c r="Q851"/>
      <c r="R851">
        <v>103.61</v>
      </c>
      <c r="S851">
        <v>103.0819</v>
      </c>
      <c r="T851"/>
      <c r="U851">
        <v>107.2907</v>
      </c>
      <c r="V851">
        <v>108.4</v>
      </c>
      <c r="W851">
        <v>101.3914</v>
      </c>
      <c r="X851">
        <v>110.14279999999999</v>
      </c>
      <c r="Y851"/>
      <c r="Z851"/>
      <c r="AA851">
        <v>102.7261</v>
      </c>
      <c r="AB851">
        <v>111.4575</v>
      </c>
      <c r="AC851">
        <v>101.6366</v>
      </c>
      <c r="AD851">
        <v>102.4834</v>
      </c>
      <c r="AE851">
        <v>101.2192</v>
      </c>
      <c r="AF851">
        <v>105.53959999999999</v>
      </c>
      <c r="AG851">
        <v>113.0779</v>
      </c>
      <c r="AH851">
        <v>105.72</v>
      </c>
      <c r="AI851">
        <v>109.4603</v>
      </c>
      <c r="AJ851">
        <v>116.3168</v>
      </c>
      <c r="AK851">
        <v>106.37139999999999</v>
      </c>
      <c r="AL851">
        <v>110.2319</v>
      </c>
      <c r="AM851">
        <v>109.1169</v>
      </c>
      <c r="AN851">
        <v>109.92700000000001</v>
      </c>
      <c r="AO851">
        <v>104.0643</v>
      </c>
      <c r="AP851">
        <v>103.66589999999999</v>
      </c>
      <c r="AQ851"/>
      <c r="AR851"/>
      <c r="AS851">
        <v>106.7736</v>
      </c>
      <c r="AT851">
        <v>104.6317</v>
      </c>
      <c r="AU851">
        <v>105.646</v>
      </c>
      <c r="AV851">
        <v>167.19820000000001</v>
      </c>
      <c r="AW851">
        <v>109.4171</v>
      </c>
      <c r="AX851">
        <v>120.61490000000001</v>
      </c>
    </row>
    <row r="852" spans="1:50" x14ac:dyDescent="0.35">
      <c r="A852" s="75">
        <v>43770</v>
      </c>
      <c r="B852">
        <v>108.009</v>
      </c>
      <c r="C852">
        <v>107.0575</v>
      </c>
      <c r="D852"/>
      <c r="E852">
        <v>108.35209999999999</v>
      </c>
      <c r="F852">
        <v>100.62479999999999</v>
      </c>
      <c r="G852">
        <v>111.74550000000001</v>
      </c>
      <c r="H852"/>
      <c r="I852">
        <v>120.1948</v>
      </c>
      <c r="J852">
        <v>107.40860000000001</v>
      </c>
      <c r="K852">
        <v>109.5</v>
      </c>
      <c r="L852">
        <v>105.33329999999999</v>
      </c>
      <c r="M852">
        <v>103.2269</v>
      </c>
      <c r="N852">
        <v>104.27</v>
      </c>
      <c r="O852">
        <v>105.1183</v>
      </c>
      <c r="P852">
        <v>108.9139</v>
      </c>
      <c r="Q852"/>
      <c r="R852">
        <v>103.43</v>
      </c>
      <c r="S852">
        <v>103.09739999999999</v>
      </c>
      <c r="T852"/>
      <c r="U852">
        <v>107.1965</v>
      </c>
      <c r="V852">
        <v>108.6</v>
      </c>
      <c r="W852">
        <v>100.4469</v>
      </c>
      <c r="X852">
        <v>110.2179</v>
      </c>
      <c r="Y852"/>
      <c r="Z852"/>
      <c r="AA852">
        <v>102.682</v>
      </c>
      <c r="AB852">
        <v>111.5514</v>
      </c>
      <c r="AC852">
        <v>101.3329</v>
      </c>
      <c r="AD852">
        <v>102.1182</v>
      </c>
      <c r="AE852">
        <v>101.3779</v>
      </c>
      <c r="AF852">
        <v>105.29940000000001</v>
      </c>
      <c r="AG852">
        <v>112.7937</v>
      </c>
      <c r="AH852">
        <v>105.76</v>
      </c>
      <c r="AI852">
        <v>109.19199999999999</v>
      </c>
      <c r="AJ852">
        <v>116.5688</v>
      </c>
      <c r="AK852">
        <v>105.81489999999999</v>
      </c>
      <c r="AL852">
        <v>110.2831</v>
      </c>
      <c r="AM852">
        <v>109.0626</v>
      </c>
      <c r="AN852">
        <v>109.75109999999999</v>
      </c>
      <c r="AO852">
        <v>104.0643</v>
      </c>
      <c r="AP852">
        <v>103.4479</v>
      </c>
      <c r="AQ852"/>
      <c r="AR852"/>
      <c r="AS852">
        <v>106.92100000000001</v>
      </c>
      <c r="AT852">
        <v>104.79170000000001</v>
      </c>
      <c r="AU852">
        <v>105.5187</v>
      </c>
      <c r="AV852">
        <v>167.8518</v>
      </c>
      <c r="AW852">
        <v>109.43729999999999</v>
      </c>
      <c r="AX852">
        <v>120.71259999999999</v>
      </c>
    </row>
    <row r="853" spans="1:50" x14ac:dyDescent="0.35">
      <c r="A853" s="75">
        <v>43800</v>
      </c>
      <c r="B853">
        <v>108.8091</v>
      </c>
      <c r="C853">
        <v>107.27119999999999</v>
      </c>
      <c r="D853"/>
      <c r="E853">
        <v>108.21899999999999</v>
      </c>
      <c r="F853">
        <v>100.6617</v>
      </c>
      <c r="G853">
        <v>111.8866</v>
      </c>
      <c r="H853"/>
      <c r="I853">
        <v>120.6238</v>
      </c>
      <c r="J853">
        <v>107.3814</v>
      </c>
      <c r="K853">
        <v>109.5</v>
      </c>
      <c r="L853">
        <v>105.91589999999999</v>
      </c>
      <c r="M853">
        <v>103.0149</v>
      </c>
      <c r="N853">
        <v>104.69</v>
      </c>
      <c r="O853">
        <v>105.1982</v>
      </c>
      <c r="P853">
        <v>108.28959999999999</v>
      </c>
      <c r="Q853"/>
      <c r="R853">
        <v>103.4</v>
      </c>
      <c r="S853">
        <v>103.4781</v>
      </c>
      <c r="T853"/>
      <c r="U853">
        <v>107.2432</v>
      </c>
      <c r="V853">
        <v>108.6</v>
      </c>
      <c r="W853">
        <v>101.2637</v>
      </c>
      <c r="X853">
        <v>110.3681</v>
      </c>
      <c r="Y853"/>
      <c r="Z853"/>
      <c r="AA853">
        <v>102.89190000000001</v>
      </c>
      <c r="AB853">
        <v>111.81959999999999</v>
      </c>
      <c r="AC853">
        <v>101.4341</v>
      </c>
      <c r="AD853">
        <v>102.3511</v>
      </c>
      <c r="AE853">
        <v>101.42189999999999</v>
      </c>
      <c r="AF853">
        <v>105.3904</v>
      </c>
      <c r="AG853">
        <v>113.21599999999999</v>
      </c>
      <c r="AH853">
        <v>105.89</v>
      </c>
      <c r="AI853">
        <v>108.56489999999999</v>
      </c>
      <c r="AJ853">
        <v>117.04130000000001</v>
      </c>
      <c r="AK853">
        <v>105.93729999999999</v>
      </c>
      <c r="AL853">
        <v>110.4247</v>
      </c>
      <c r="AM853">
        <v>109.1604</v>
      </c>
      <c r="AN853">
        <v>110.03060000000001</v>
      </c>
      <c r="AO853">
        <v>104.6729</v>
      </c>
      <c r="AP853">
        <v>103.24979999999999</v>
      </c>
      <c r="AQ853"/>
      <c r="AR853"/>
      <c r="AS853">
        <v>106.7739</v>
      </c>
      <c r="AT853">
        <v>104.43170000000001</v>
      </c>
      <c r="AU853">
        <v>106.1855</v>
      </c>
      <c r="AV853">
        <v>167.9948</v>
      </c>
      <c r="AW853">
        <v>109.3659</v>
      </c>
      <c r="AX853">
        <v>121.00490000000001</v>
      </c>
    </row>
    <row r="854" spans="1:50" x14ac:dyDescent="0.35">
      <c r="A854" s="75">
        <v>43831</v>
      </c>
      <c r="B854">
        <v>107.90900000000001</v>
      </c>
      <c r="C854">
        <v>107.95099999999999</v>
      </c>
      <c r="D854"/>
      <c r="E854">
        <v>108.3699</v>
      </c>
      <c r="F854">
        <v>100.41970000000001</v>
      </c>
      <c r="G854">
        <v>112.33150000000001</v>
      </c>
      <c r="H854"/>
      <c r="I854">
        <v>121.1943</v>
      </c>
      <c r="J854">
        <v>107.9901</v>
      </c>
      <c r="K854">
        <v>111</v>
      </c>
      <c r="L854">
        <v>104.85380000000001</v>
      </c>
      <c r="M854">
        <v>103.038</v>
      </c>
      <c r="N854">
        <v>102.91</v>
      </c>
      <c r="O854">
        <v>103.1845</v>
      </c>
      <c r="P854">
        <v>107.6653</v>
      </c>
      <c r="Q854"/>
      <c r="R854">
        <v>102.89</v>
      </c>
      <c r="S854">
        <v>102.7826</v>
      </c>
      <c r="T854"/>
      <c r="U854">
        <v>107.29649999999999</v>
      </c>
      <c r="V854">
        <v>108.2</v>
      </c>
      <c r="W854">
        <v>98.148820000000001</v>
      </c>
      <c r="X854">
        <v>110.89409999999999</v>
      </c>
      <c r="Y854"/>
      <c r="Z854"/>
      <c r="AA854">
        <v>101.9376</v>
      </c>
      <c r="AB854">
        <v>110.43559999999999</v>
      </c>
      <c r="AC854">
        <v>101.13039999999999</v>
      </c>
      <c r="AD854">
        <v>102.3069</v>
      </c>
      <c r="AE854">
        <v>101.1005</v>
      </c>
      <c r="AF854">
        <v>105.62309999999999</v>
      </c>
      <c r="AG854">
        <v>112.7384</v>
      </c>
      <c r="AH854">
        <v>104.47</v>
      </c>
      <c r="AI854">
        <v>108.3463</v>
      </c>
      <c r="AJ854">
        <v>117.36799999999999</v>
      </c>
      <c r="AK854">
        <v>105.2603</v>
      </c>
      <c r="AL854">
        <v>110.4554</v>
      </c>
      <c r="AM854">
        <v>109.1425</v>
      </c>
      <c r="AN854">
        <v>109.4314</v>
      </c>
      <c r="AO854">
        <v>104.7598</v>
      </c>
      <c r="AP854">
        <v>101.88249999999999</v>
      </c>
      <c r="AQ854"/>
      <c r="AR854"/>
      <c r="AS854">
        <v>107.3657</v>
      </c>
      <c r="AT854">
        <v>102.6617</v>
      </c>
      <c r="AU854">
        <v>104.6373</v>
      </c>
      <c r="AV854">
        <v>168.64019999999999</v>
      </c>
      <c r="AW854">
        <v>109.80719999999999</v>
      </c>
      <c r="AX854">
        <v>121.1343</v>
      </c>
    </row>
    <row r="855" spans="1:50" x14ac:dyDescent="0.35">
      <c r="A855" s="75">
        <v>43862</v>
      </c>
      <c r="B855">
        <v>108.2363</v>
      </c>
      <c r="C855">
        <v>107.9122</v>
      </c>
      <c r="D855"/>
      <c r="E855">
        <v>109.1645</v>
      </c>
      <c r="F855">
        <v>100.7028</v>
      </c>
      <c r="G855">
        <v>112.80889999999999</v>
      </c>
      <c r="H855"/>
      <c r="I855">
        <v>121.9194</v>
      </c>
      <c r="J855">
        <v>108.23739999999999</v>
      </c>
      <c r="K855">
        <v>111.4</v>
      </c>
      <c r="L855">
        <v>105.3582</v>
      </c>
      <c r="M855">
        <v>103.92230000000001</v>
      </c>
      <c r="N855">
        <v>103.31</v>
      </c>
      <c r="O855">
        <v>103.4221</v>
      </c>
      <c r="P855">
        <v>108.2329</v>
      </c>
      <c r="Q855"/>
      <c r="R855">
        <v>103.34</v>
      </c>
      <c r="S855">
        <v>102.99469999999999</v>
      </c>
      <c r="T855"/>
      <c r="U855">
        <v>107.69580000000001</v>
      </c>
      <c r="V855">
        <v>108.6</v>
      </c>
      <c r="W855">
        <v>97.709389999999999</v>
      </c>
      <c r="X855">
        <v>111.2697</v>
      </c>
      <c r="Y855"/>
      <c r="Z855"/>
      <c r="AA855">
        <v>102.83920000000001</v>
      </c>
      <c r="AB855">
        <v>111.798</v>
      </c>
      <c r="AC855">
        <v>101.0292</v>
      </c>
      <c r="AD855">
        <v>102.2578</v>
      </c>
      <c r="AE855">
        <v>101.098</v>
      </c>
      <c r="AF855">
        <v>105.8665</v>
      </c>
      <c r="AG855">
        <v>112.90949999999999</v>
      </c>
      <c r="AH855">
        <v>106.37</v>
      </c>
      <c r="AI855">
        <v>108.5642</v>
      </c>
      <c r="AJ855">
        <v>117.7694</v>
      </c>
      <c r="AK855">
        <v>106.03879999999999</v>
      </c>
      <c r="AL855">
        <v>110.53789999999999</v>
      </c>
      <c r="AM855">
        <v>109.5111</v>
      </c>
      <c r="AN855">
        <v>109.72110000000001</v>
      </c>
      <c r="AO855">
        <v>105.36839999999999</v>
      </c>
      <c r="AP855">
        <v>101.2088</v>
      </c>
      <c r="AQ855"/>
      <c r="AR855"/>
      <c r="AS855">
        <v>107.6242</v>
      </c>
      <c r="AT855">
        <v>103.7817</v>
      </c>
      <c r="AU855">
        <v>105.3746</v>
      </c>
      <c r="AV855">
        <v>168.3869</v>
      </c>
      <c r="AW855">
        <v>110.3289</v>
      </c>
      <c r="AX855">
        <v>122.65089999999999</v>
      </c>
    </row>
    <row r="856" spans="1:50" x14ac:dyDescent="0.35">
      <c r="A856" s="75">
        <v>43891</v>
      </c>
      <c r="B856">
        <v>108.89100000000001</v>
      </c>
      <c r="C856">
        <v>107.8442</v>
      </c>
      <c r="D856"/>
      <c r="E856">
        <v>109.3087</v>
      </c>
      <c r="F856">
        <v>100.90430000000001</v>
      </c>
      <c r="G856">
        <v>113.1019</v>
      </c>
      <c r="H856"/>
      <c r="I856">
        <v>122.2731</v>
      </c>
      <c r="J856">
        <v>108.2873</v>
      </c>
      <c r="K856">
        <v>111.4</v>
      </c>
      <c r="L856">
        <v>105.8021</v>
      </c>
      <c r="M856">
        <v>103.8233</v>
      </c>
      <c r="N856">
        <v>104.49</v>
      </c>
      <c r="O856">
        <v>103.9717</v>
      </c>
      <c r="P856">
        <v>108.17610000000001</v>
      </c>
      <c r="Q856"/>
      <c r="R856">
        <v>103.51</v>
      </c>
      <c r="S856">
        <v>103.5013</v>
      </c>
      <c r="T856"/>
      <c r="U856">
        <v>107.8391</v>
      </c>
      <c r="V856">
        <v>108.8</v>
      </c>
      <c r="W856">
        <v>101.03100000000001</v>
      </c>
      <c r="X856">
        <v>111.79559999999999</v>
      </c>
      <c r="Y856"/>
      <c r="Z856"/>
      <c r="AA856">
        <v>103.5613</v>
      </c>
      <c r="AB856">
        <v>112.1408</v>
      </c>
      <c r="AC856">
        <v>101.53530000000001</v>
      </c>
      <c r="AD856">
        <v>102.5227</v>
      </c>
      <c r="AE856">
        <v>101.2212</v>
      </c>
      <c r="AF856">
        <v>105.5279</v>
      </c>
      <c r="AG856">
        <v>113.7396</v>
      </c>
      <c r="AH856">
        <v>105.93</v>
      </c>
      <c r="AI856">
        <v>109.7495</v>
      </c>
      <c r="AJ856">
        <v>118.0692</v>
      </c>
      <c r="AK856">
        <v>106.4974</v>
      </c>
      <c r="AL856">
        <v>110.96639999999999</v>
      </c>
      <c r="AM856">
        <v>109.7358</v>
      </c>
      <c r="AN856">
        <v>110.22190000000001</v>
      </c>
      <c r="AO856">
        <v>105.89</v>
      </c>
      <c r="AP856">
        <v>103.2993</v>
      </c>
      <c r="AQ856"/>
      <c r="AR856"/>
      <c r="AS856">
        <v>107.8541</v>
      </c>
      <c r="AT856">
        <v>104.2517</v>
      </c>
      <c r="AU856">
        <v>105.4516</v>
      </c>
      <c r="AV856">
        <v>169.61250000000001</v>
      </c>
      <c r="AW856">
        <v>110.3471</v>
      </c>
      <c r="AX856">
        <v>123.2915</v>
      </c>
    </row>
    <row r="857" spans="1:50" x14ac:dyDescent="0.35">
      <c r="A857" s="75">
        <v>43922</v>
      </c>
      <c r="B857">
        <v>109.0001</v>
      </c>
      <c r="C857">
        <v>108.04819999999999</v>
      </c>
      <c r="D857"/>
      <c r="E857">
        <v>108.9961</v>
      </c>
      <c r="F857">
        <v>100.56140000000001</v>
      </c>
      <c r="G857">
        <v>112.99339999999999</v>
      </c>
      <c r="H857"/>
      <c r="I857">
        <v>122.0879</v>
      </c>
      <c r="J857">
        <v>108.13</v>
      </c>
      <c r="K857">
        <v>111.3</v>
      </c>
      <c r="L857">
        <v>106.5758</v>
      </c>
      <c r="M857">
        <v>104.1113</v>
      </c>
      <c r="N857">
        <v>105.26</v>
      </c>
      <c r="O857">
        <v>105.2486</v>
      </c>
      <c r="P857">
        <v>107.6653</v>
      </c>
      <c r="Q857"/>
      <c r="R857">
        <v>103.42</v>
      </c>
      <c r="S857">
        <v>103.4849</v>
      </c>
      <c r="T857"/>
      <c r="U857">
        <v>107.6476</v>
      </c>
      <c r="V857">
        <v>109</v>
      </c>
      <c r="W857">
        <v>101.1674</v>
      </c>
      <c r="X857">
        <v>112.021</v>
      </c>
      <c r="Y857"/>
      <c r="Z857"/>
      <c r="AA857">
        <v>103.49809999999999</v>
      </c>
      <c r="AB857">
        <v>112.7851</v>
      </c>
      <c r="AC857">
        <v>101.4341</v>
      </c>
      <c r="AD857">
        <v>103.15900000000001</v>
      </c>
      <c r="AE857">
        <v>101.1062</v>
      </c>
      <c r="AF857">
        <v>105.5702</v>
      </c>
      <c r="AG857">
        <v>114.5339</v>
      </c>
      <c r="AH857">
        <v>106.4</v>
      </c>
      <c r="AI857">
        <v>110.312</v>
      </c>
      <c r="AJ857">
        <v>118.2328</v>
      </c>
      <c r="AK857">
        <v>107.30159999999999</v>
      </c>
      <c r="AL857">
        <v>111.90600000000001</v>
      </c>
      <c r="AM857">
        <v>109.6891</v>
      </c>
      <c r="AN857">
        <v>110.7894</v>
      </c>
      <c r="AO857">
        <v>106.7594</v>
      </c>
      <c r="AP857">
        <v>103.7452</v>
      </c>
      <c r="AQ857"/>
      <c r="AR857"/>
      <c r="AS857">
        <v>108.0527</v>
      </c>
      <c r="AT857">
        <v>104.2717</v>
      </c>
      <c r="AU857">
        <v>105.4349</v>
      </c>
      <c r="AV857">
        <v>171.64680000000001</v>
      </c>
      <c r="AW857">
        <v>109.84220000000001</v>
      </c>
      <c r="AX857">
        <v>123.1157</v>
      </c>
    </row>
    <row r="858" spans="1:50" x14ac:dyDescent="0.35">
      <c r="A858" s="75">
        <v>43952</v>
      </c>
      <c r="B858">
        <v>108.56359999999999</v>
      </c>
      <c r="C858">
        <v>108.04819999999999</v>
      </c>
      <c r="D858"/>
      <c r="E858">
        <v>108.8493</v>
      </c>
      <c r="F858">
        <v>100.61660000000001</v>
      </c>
      <c r="G858">
        <v>113.1019</v>
      </c>
      <c r="H858"/>
      <c r="I858">
        <v>121.8159</v>
      </c>
      <c r="J858">
        <v>108.12569999999999</v>
      </c>
      <c r="K858">
        <v>112</v>
      </c>
      <c r="L858">
        <v>106.605</v>
      </c>
      <c r="M858">
        <v>103.94929999999999</v>
      </c>
      <c r="N858">
        <v>105.26</v>
      </c>
      <c r="O858">
        <v>105.34529999999999</v>
      </c>
      <c r="P858">
        <v>107.6653</v>
      </c>
      <c r="Q858"/>
      <c r="R858">
        <v>103.58</v>
      </c>
      <c r="S858">
        <v>103.7757</v>
      </c>
      <c r="T858"/>
      <c r="U858">
        <v>107.61060000000001</v>
      </c>
      <c r="V858">
        <v>109.1</v>
      </c>
      <c r="W858">
        <v>100.5031</v>
      </c>
      <c r="X858">
        <v>112.0962</v>
      </c>
      <c r="Y858"/>
      <c r="Z858"/>
      <c r="AA858">
        <v>103.09780000000001</v>
      </c>
      <c r="AB858">
        <v>113.3687</v>
      </c>
      <c r="AC858">
        <v>101.2317</v>
      </c>
      <c r="AD858">
        <v>103.0849</v>
      </c>
      <c r="AE858">
        <v>101.1224</v>
      </c>
      <c r="AF858">
        <v>105.7183</v>
      </c>
      <c r="AG858">
        <v>114.6618</v>
      </c>
      <c r="AH858">
        <v>106.41</v>
      </c>
      <c r="AI858">
        <v>109.57259999999999</v>
      </c>
      <c r="AJ858">
        <v>118.3616</v>
      </c>
      <c r="AK858">
        <v>107.1193</v>
      </c>
      <c r="AL858">
        <v>112.1648</v>
      </c>
      <c r="AM858">
        <v>109.7234</v>
      </c>
      <c r="AN858">
        <v>110.98820000000001</v>
      </c>
      <c r="AO858">
        <v>106.6725</v>
      </c>
      <c r="AP858">
        <v>103.339</v>
      </c>
      <c r="AQ858"/>
      <c r="AR858"/>
      <c r="AS858">
        <v>108.1418</v>
      </c>
      <c r="AT858">
        <v>105.0117</v>
      </c>
      <c r="AU858">
        <v>106.0347</v>
      </c>
      <c r="AV858">
        <v>174.40020000000001</v>
      </c>
      <c r="AW858">
        <v>109.7225</v>
      </c>
      <c r="AX858">
        <v>123.0433</v>
      </c>
    </row>
    <row r="859" spans="1:50" x14ac:dyDescent="0.35">
      <c r="A859" s="75">
        <v>43983</v>
      </c>
      <c r="B859">
        <v>109.0001</v>
      </c>
      <c r="C859">
        <v>108.14530000000001</v>
      </c>
      <c r="D859"/>
      <c r="E859">
        <v>109.34220000000001</v>
      </c>
      <c r="F859">
        <v>100.485</v>
      </c>
      <c r="G859">
        <v>113.0042</v>
      </c>
      <c r="H859"/>
      <c r="I859">
        <v>121.4898</v>
      </c>
      <c r="J859">
        <v>108.0996</v>
      </c>
      <c r="K859">
        <v>112.9</v>
      </c>
      <c r="L859">
        <v>107.18810000000001</v>
      </c>
      <c r="M859">
        <v>103.85339999999999</v>
      </c>
      <c r="N859">
        <v>105.59</v>
      </c>
      <c r="O859">
        <v>105.52719999999999</v>
      </c>
      <c r="P859">
        <v>108.17610000000001</v>
      </c>
      <c r="Q859"/>
      <c r="R859">
        <v>103.55</v>
      </c>
      <c r="S859">
        <v>103.9042</v>
      </c>
      <c r="T859"/>
      <c r="U859">
        <v>107.8158</v>
      </c>
      <c r="V859">
        <v>109.3</v>
      </c>
      <c r="W859">
        <v>100.2321</v>
      </c>
      <c r="X859">
        <v>112.24639999999999</v>
      </c>
      <c r="Y859"/>
      <c r="Z859"/>
      <c r="AA859">
        <v>103.4404</v>
      </c>
      <c r="AB859">
        <v>113.7628</v>
      </c>
      <c r="AC859">
        <v>101.13039999999999</v>
      </c>
      <c r="AD859">
        <v>103.3159</v>
      </c>
      <c r="AE859">
        <v>100.9075</v>
      </c>
      <c r="AF859">
        <v>105.81359999999999</v>
      </c>
      <c r="AG859">
        <v>115.499</v>
      </c>
      <c r="AH859">
        <v>106.64</v>
      </c>
      <c r="AI859">
        <v>109.88639999999999</v>
      </c>
      <c r="AJ859">
        <v>118.68340000000001</v>
      </c>
      <c r="AK859">
        <v>107.369</v>
      </c>
      <c r="AL859">
        <v>112.7701</v>
      </c>
      <c r="AM859">
        <v>110</v>
      </c>
      <c r="AN859">
        <v>111.48569999999999</v>
      </c>
      <c r="AO859">
        <v>107.45489999999999</v>
      </c>
      <c r="AP859">
        <v>104.2009</v>
      </c>
      <c r="AQ859"/>
      <c r="AR859"/>
      <c r="AS859">
        <v>108.328</v>
      </c>
      <c r="AT859">
        <v>105.65179999999999</v>
      </c>
      <c r="AU859">
        <v>106.6748</v>
      </c>
      <c r="AV859">
        <v>177.73769999999999</v>
      </c>
      <c r="AW859">
        <v>109.9302</v>
      </c>
      <c r="AX859">
        <v>123.2144</v>
      </c>
    </row>
    <row r="860" spans="1:50" x14ac:dyDescent="0.35">
      <c r="A860" s="75">
        <v>44013</v>
      </c>
      <c r="B860">
        <v>109.1092</v>
      </c>
      <c r="C860">
        <v>108.3201</v>
      </c>
      <c r="D860"/>
      <c r="E860">
        <v>109.13330000000001</v>
      </c>
      <c r="F860">
        <v>100.3321</v>
      </c>
      <c r="G860">
        <v>113.1236</v>
      </c>
      <c r="H860"/>
      <c r="I860">
        <v>121.70099999999999</v>
      </c>
      <c r="J860">
        <v>108.18640000000001</v>
      </c>
      <c r="K860">
        <v>113.8</v>
      </c>
      <c r="L860">
        <v>107.0141</v>
      </c>
      <c r="M860">
        <v>104.621</v>
      </c>
      <c r="N860">
        <v>105.31</v>
      </c>
      <c r="O860">
        <v>103.99590000000001</v>
      </c>
      <c r="P860">
        <v>108.17610000000001</v>
      </c>
      <c r="Q860"/>
      <c r="R860">
        <v>103.9</v>
      </c>
      <c r="S860">
        <v>104.5294</v>
      </c>
      <c r="T860"/>
      <c r="U860">
        <v>108.1841</v>
      </c>
      <c r="V860">
        <v>109.7</v>
      </c>
      <c r="W860">
        <v>98.086560000000006</v>
      </c>
      <c r="X860">
        <v>113.4485</v>
      </c>
      <c r="Y860"/>
      <c r="Z860"/>
      <c r="AA860">
        <v>103.0317</v>
      </c>
      <c r="AB860">
        <v>113.7561</v>
      </c>
      <c r="AC860">
        <v>101.2317</v>
      </c>
      <c r="AD860">
        <v>103.309</v>
      </c>
      <c r="AE860">
        <v>100.932</v>
      </c>
      <c r="AF860">
        <v>105.9722</v>
      </c>
      <c r="AG860">
        <v>115.59</v>
      </c>
      <c r="AH860">
        <v>105.94</v>
      </c>
      <c r="AI860">
        <v>110.0369</v>
      </c>
      <c r="AJ860">
        <v>119.098</v>
      </c>
      <c r="AK860">
        <v>108.8586</v>
      </c>
      <c r="AL860">
        <v>113.1067</v>
      </c>
      <c r="AM860">
        <v>110.333</v>
      </c>
      <c r="AN860">
        <v>111.6049</v>
      </c>
      <c r="AO860">
        <v>107.6288</v>
      </c>
      <c r="AP860">
        <v>102.477</v>
      </c>
      <c r="AQ860"/>
      <c r="AR860"/>
      <c r="AS860">
        <v>108.54259999999999</v>
      </c>
      <c r="AT860">
        <v>105.3918</v>
      </c>
      <c r="AU860">
        <v>106.99979999999999</v>
      </c>
      <c r="AV860">
        <v>179.47380000000001</v>
      </c>
      <c r="AW860">
        <v>110.5085</v>
      </c>
      <c r="AX860">
        <v>124.2163</v>
      </c>
    </row>
    <row r="861" spans="1:50" x14ac:dyDescent="0.35">
      <c r="A861" s="75">
        <v>44044</v>
      </c>
      <c r="B861">
        <v>108.89100000000001</v>
      </c>
      <c r="C861">
        <v>108.3687</v>
      </c>
      <c r="D861"/>
      <c r="E861">
        <v>109.17189999999999</v>
      </c>
      <c r="F861">
        <v>100.4513</v>
      </c>
      <c r="G861">
        <v>113.3732</v>
      </c>
      <c r="H861"/>
      <c r="I861">
        <v>121.79519999999999</v>
      </c>
      <c r="J861">
        <v>107.977</v>
      </c>
      <c r="K861">
        <v>113.9</v>
      </c>
      <c r="L861">
        <v>106.9753</v>
      </c>
      <c r="M861">
        <v>104.25320000000001</v>
      </c>
      <c r="N861">
        <v>104.71</v>
      </c>
      <c r="O861">
        <v>103.9791</v>
      </c>
      <c r="P861">
        <v>108.57340000000001</v>
      </c>
      <c r="Q861"/>
      <c r="R861">
        <v>103.9</v>
      </c>
      <c r="S861">
        <v>104.32640000000001</v>
      </c>
      <c r="T861"/>
      <c r="U861">
        <v>108.3801</v>
      </c>
      <c r="V861">
        <v>109.2</v>
      </c>
      <c r="W861">
        <v>97.212329999999994</v>
      </c>
      <c r="X861">
        <v>113.5988</v>
      </c>
      <c r="Y861"/>
      <c r="Z861"/>
      <c r="AA861">
        <v>102.9451</v>
      </c>
      <c r="AB861">
        <v>114.2861</v>
      </c>
      <c r="AC861">
        <v>101.2317</v>
      </c>
      <c r="AD861">
        <v>103.76049999999999</v>
      </c>
      <c r="AE861">
        <v>100.7413</v>
      </c>
      <c r="AF861">
        <v>106.17319999999999</v>
      </c>
      <c r="AG861">
        <v>115.3228</v>
      </c>
      <c r="AH861">
        <v>107.08</v>
      </c>
      <c r="AI861">
        <v>109.9307</v>
      </c>
      <c r="AJ861">
        <v>119.4563</v>
      </c>
      <c r="AK861">
        <v>108.22499999999999</v>
      </c>
      <c r="AL861">
        <v>112.7269</v>
      </c>
      <c r="AM861">
        <v>110.5198</v>
      </c>
      <c r="AN861">
        <v>111.61360000000001</v>
      </c>
      <c r="AO861">
        <v>107.6288</v>
      </c>
      <c r="AP861">
        <v>102.1797</v>
      </c>
      <c r="AQ861"/>
      <c r="AR861"/>
      <c r="AS861">
        <v>108.6949</v>
      </c>
      <c r="AT861">
        <v>105.23180000000001</v>
      </c>
      <c r="AU861">
        <v>106.4134</v>
      </c>
      <c r="AV861">
        <v>181.56950000000001</v>
      </c>
      <c r="AW861">
        <v>110.9432</v>
      </c>
      <c r="AX861">
        <v>124.2565</v>
      </c>
    </row>
    <row r="862" spans="1:50" x14ac:dyDescent="0.35">
      <c r="A862" s="75">
        <v>44075</v>
      </c>
      <c r="B862">
        <v>109.54559999999999</v>
      </c>
      <c r="C862">
        <v>108.26179999999999</v>
      </c>
      <c r="D862"/>
      <c r="E862">
        <v>109.2162</v>
      </c>
      <c r="F862">
        <v>100.41630000000001</v>
      </c>
      <c r="G862">
        <v>113.7638</v>
      </c>
      <c r="H862"/>
      <c r="I862">
        <v>122.19119999999999</v>
      </c>
      <c r="J862">
        <v>108.3719</v>
      </c>
      <c r="K862">
        <v>113.4</v>
      </c>
      <c r="L862">
        <v>106.8588</v>
      </c>
      <c r="M862">
        <v>104.2843</v>
      </c>
      <c r="N862">
        <v>104.93</v>
      </c>
      <c r="O862">
        <v>104.12309999999999</v>
      </c>
      <c r="P862">
        <v>109.0842</v>
      </c>
      <c r="Q862"/>
      <c r="R862">
        <v>103.88</v>
      </c>
      <c r="S862">
        <v>103.8028</v>
      </c>
      <c r="T862"/>
      <c r="U862">
        <v>108.39870000000001</v>
      </c>
      <c r="V862">
        <v>109.8</v>
      </c>
      <c r="W862">
        <v>99.824619999999996</v>
      </c>
      <c r="X862">
        <v>113.148</v>
      </c>
      <c r="Y862"/>
      <c r="Z862"/>
      <c r="AA862">
        <v>102.6046</v>
      </c>
      <c r="AB862">
        <v>114.8207</v>
      </c>
      <c r="AC862">
        <v>101.0292</v>
      </c>
      <c r="AD862">
        <v>102.92489999999999</v>
      </c>
      <c r="AE862">
        <v>100.7458</v>
      </c>
      <c r="AF862">
        <v>105.96169999999999</v>
      </c>
      <c r="AG862">
        <v>115.8537</v>
      </c>
      <c r="AH862">
        <v>107.08</v>
      </c>
      <c r="AI862">
        <v>110.3434</v>
      </c>
      <c r="AJ862">
        <v>119.79430000000001</v>
      </c>
      <c r="AK862">
        <v>107.9526</v>
      </c>
      <c r="AL862">
        <v>113.1031</v>
      </c>
      <c r="AM862">
        <v>110.6293</v>
      </c>
      <c r="AN862">
        <v>111.7316</v>
      </c>
      <c r="AO862">
        <v>108.0635</v>
      </c>
      <c r="AP862">
        <v>103.4479</v>
      </c>
      <c r="AQ862"/>
      <c r="AR862"/>
      <c r="AS862">
        <v>108.96339999999999</v>
      </c>
      <c r="AT862">
        <v>104.8717</v>
      </c>
      <c r="AU862">
        <v>106.6614</v>
      </c>
      <c r="AV862">
        <v>183.6815</v>
      </c>
      <c r="AW862">
        <v>111.06619999999999</v>
      </c>
      <c r="AX862">
        <v>124.5087</v>
      </c>
    </row>
    <row r="863" spans="1:50" x14ac:dyDescent="0.35">
      <c r="A863" s="75">
        <v>44105</v>
      </c>
      <c r="B863">
        <v>109.7638</v>
      </c>
      <c r="C863">
        <v>108.4464</v>
      </c>
      <c r="D863"/>
      <c r="E863">
        <v>109.7403</v>
      </c>
      <c r="F863">
        <v>100.52670000000001</v>
      </c>
      <c r="G863">
        <v>114.5885</v>
      </c>
      <c r="H863"/>
      <c r="I863">
        <v>122.23399999999999</v>
      </c>
      <c r="J863">
        <v>108.488</v>
      </c>
      <c r="K863">
        <v>113.8</v>
      </c>
      <c r="L863">
        <v>106.9139</v>
      </c>
      <c r="M863">
        <v>104.42449999999999</v>
      </c>
      <c r="N863">
        <v>105.07</v>
      </c>
      <c r="O863">
        <v>104.84820000000001</v>
      </c>
      <c r="P863">
        <v>108.5166</v>
      </c>
      <c r="Q863"/>
      <c r="R863">
        <v>104</v>
      </c>
      <c r="S863">
        <v>103.6846</v>
      </c>
      <c r="T863"/>
      <c r="U863">
        <v>108.4992</v>
      </c>
      <c r="V863">
        <v>110</v>
      </c>
      <c r="W863">
        <v>100.10509999999999</v>
      </c>
      <c r="X863">
        <v>113.52370000000001</v>
      </c>
      <c r="Y863"/>
      <c r="Z863"/>
      <c r="AA863">
        <v>101.75069999999999</v>
      </c>
      <c r="AB863">
        <v>115.2328</v>
      </c>
      <c r="AC863">
        <v>101.3329</v>
      </c>
      <c r="AD863">
        <v>102.819</v>
      </c>
      <c r="AE863">
        <v>100.81180000000001</v>
      </c>
      <c r="AF863">
        <v>105.2634</v>
      </c>
      <c r="AG863">
        <v>116.15389999999999</v>
      </c>
      <c r="AH863">
        <v>107.08</v>
      </c>
      <c r="AI863">
        <v>110.5843</v>
      </c>
      <c r="AJ863">
        <v>120.04470000000001</v>
      </c>
      <c r="AK863">
        <v>108.69970000000001</v>
      </c>
      <c r="AL863">
        <v>113.35639999999999</v>
      </c>
      <c r="AM863">
        <v>110.8165</v>
      </c>
      <c r="AN863">
        <v>112.06180000000001</v>
      </c>
      <c r="AO863">
        <v>108.41119999999999</v>
      </c>
      <c r="AP863">
        <v>103.5668</v>
      </c>
      <c r="AQ863"/>
      <c r="AR863"/>
      <c r="AS863">
        <v>108.97799999999999</v>
      </c>
      <c r="AT863">
        <v>105.5218</v>
      </c>
      <c r="AU863">
        <v>106.7787</v>
      </c>
      <c r="AV863">
        <v>186.95359999999999</v>
      </c>
      <c r="AW863">
        <v>111.1793</v>
      </c>
      <c r="AX863">
        <v>124.8852</v>
      </c>
    </row>
    <row r="864" spans="1:50" x14ac:dyDescent="0.35">
      <c r="A864" s="75">
        <v>44136</v>
      </c>
      <c r="B864">
        <v>109.9821</v>
      </c>
      <c r="C864">
        <v>108.48520000000001</v>
      </c>
      <c r="D864"/>
      <c r="E864">
        <v>109.88120000000001</v>
      </c>
      <c r="F864">
        <v>100.37390000000001</v>
      </c>
      <c r="G864">
        <v>114.3715</v>
      </c>
      <c r="H864"/>
      <c r="I864">
        <v>121.98739999999999</v>
      </c>
      <c r="J864">
        <v>108.37949999999999</v>
      </c>
      <c r="K864">
        <v>113.8</v>
      </c>
      <c r="L864">
        <v>105.86579999999999</v>
      </c>
      <c r="M864">
        <v>104.4524</v>
      </c>
      <c r="N864">
        <v>104.53</v>
      </c>
      <c r="O864">
        <v>105.1972</v>
      </c>
      <c r="P864">
        <v>108.68689999999999</v>
      </c>
      <c r="Q864"/>
      <c r="R864">
        <v>104.07</v>
      </c>
      <c r="S864">
        <v>103.7921</v>
      </c>
      <c r="T864"/>
      <c r="U864">
        <v>108.4246</v>
      </c>
      <c r="V864">
        <v>109.9</v>
      </c>
      <c r="W864">
        <v>98.721100000000007</v>
      </c>
      <c r="X864">
        <v>113.4485</v>
      </c>
      <c r="Y864"/>
      <c r="Z864"/>
      <c r="AA864">
        <v>102.1087</v>
      </c>
      <c r="AB864">
        <v>115.364</v>
      </c>
      <c r="AC864">
        <v>101.2317</v>
      </c>
      <c r="AD864">
        <v>102.5703</v>
      </c>
      <c r="AE864">
        <v>100.8984</v>
      </c>
      <c r="AF864">
        <v>105.96169999999999</v>
      </c>
      <c r="AG864">
        <v>115.88030000000001</v>
      </c>
      <c r="AH864">
        <v>106.85</v>
      </c>
      <c r="AI864">
        <v>110.0021</v>
      </c>
      <c r="AJ864">
        <v>119.86920000000001</v>
      </c>
      <c r="AK864">
        <v>107.7505</v>
      </c>
      <c r="AL864">
        <v>112.952</v>
      </c>
      <c r="AM864">
        <v>110.8319</v>
      </c>
      <c r="AN864">
        <v>112.00749999999999</v>
      </c>
      <c r="AO864">
        <v>108.5851</v>
      </c>
      <c r="AP864">
        <v>103.2597</v>
      </c>
      <c r="AQ864"/>
      <c r="AR864"/>
      <c r="AS864">
        <v>109.0887</v>
      </c>
      <c r="AT864">
        <v>104.82170000000001</v>
      </c>
      <c r="AU864">
        <v>106.75190000000001</v>
      </c>
      <c r="AV864">
        <v>190.4178</v>
      </c>
      <c r="AW864">
        <v>111.2392</v>
      </c>
      <c r="AX864">
        <v>124.863</v>
      </c>
    </row>
    <row r="865" spans="1:50" x14ac:dyDescent="0.35">
      <c r="A865" s="75">
        <v>44166</v>
      </c>
      <c r="B865">
        <v>110.52760000000001</v>
      </c>
      <c r="C865">
        <v>108.6795</v>
      </c>
      <c r="D865"/>
      <c r="E865">
        <v>109.4658</v>
      </c>
      <c r="F865">
        <v>100.2671</v>
      </c>
      <c r="G865">
        <v>114.7838</v>
      </c>
      <c r="H865"/>
      <c r="I865">
        <v>122.29430000000001</v>
      </c>
      <c r="J865">
        <v>108.488</v>
      </c>
      <c r="K865">
        <v>113.9</v>
      </c>
      <c r="L865">
        <v>106.3288</v>
      </c>
      <c r="M865">
        <v>104.17140000000001</v>
      </c>
      <c r="N865">
        <v>104.93</v>
      </c>
      <c r="O865">
        <v>105.1677</v>
      </c>
      <c r="P865">
        <v>108.68689999999999</v>
      </c>
      <c r="Q865"/>
      <c r="R865">
        <v>104.17</v>
      </c>
      <c r="S865">
        <v>104.0003</v>
      </c>
      <c r="T865"/>
      <c r="U865">
        <v>108.44629999999999</v>
      </c>
      <c r="V865">
        <v>110.2</v>
      </c>
      <c r="W865">
        <v>99.357169999999996</v>
      </c>
      <c r="X865">
        <v>113.8993</v>
      </c>
      <c r="Y865"/>
      <c r="Z865"/>
      <c r="AA865">
        <v>102.6695</v>
      </c>
      <c r="AB865">
        <v>115.6829</v>
      </c>
      <c r="AC865">
        <v>101.13039999999999</v>
      </c>
      <c r="AD865">
        <v>102.8343</v>
      </c>
      <c r="AE865">
        <v>100.8715</v>
      </c>
      <c r="AF865">
        <v>106.0675</v>
      </c>
      <c r="AG865">
        <v>115.599</v>
      </c>
      <c r="AH865">
        <v>107.13</v>
      </c>
      <c r="AI865">
        <v>109.4859</v>
      </c>
      <c r="AJ865">
        <v>120.5241</v>
      </c>
      <c r="AK865">
        <v>108.0215</v>
      </c>
      <c r="AL865">
        <v>113.24760000000001</v>
      </c>
      <c r="AM865">
        <v>110.92959999999999</v>
      </c>
      <c r="AN865">
        <v>112.3218</v>
      </c>
      <c r="AO865">
        <v>108.5851</v>
      </c>
      <c r="AP865">
        <v>103.10120000000001</v>
      </c>
      <c r="AQ865"/>
      <c r="AR865"/>
      <c r="AS865">
        <v>109.015</v>
      </c>
      <c r="AT865">
        <v>104.2817</v>
      </c>
      <c r="AU865">
        <v>107.43210000000001</v>
      </c>
      <c r="AV865">
        <v>191.83529999999999</v>
      </c>
      <c r="AW865">
        <v>111.13720000000001</v>
      </c>
      <c r="AX865">
        <v>125.02379999999999</v>
      </c>
    </row>
    <row r="866" spans="1:50" x14ac:dyDescent="0.35">
      <c r="A866" s="75">
        <v>44197</v>
      </c>
      <c r="B866">
        <v>109.65470000000001</v>
      </c>
      <c r="C866">
        <v>108.9126</v>
      </c>
      <c r="D866"/>
      <c r="E866">
        <v>109.9556</v>
      </c>
      <c r="F866">
        <v>100.1759</v>
      </c>
      <c r="G866">
        <v>115.3047</v>
      </c>
      <c r="H866"/>
      <c r="I866">
        <v>122.5448</v>
      </c>
      <c r="J866">
        <v>108.6193</v>
      </c>
      <c r="K866">
        <v>115.2</v>
      </c>
      <c r="L866">
        <v>106.2384</v>
      </c>
      <c r="M866">
        <v>104.26349999999999</v>
      </c>
      <c r="N866">
        <v>104.36</v>
      </c>
      <c r="O866">
        <v>103.6217</v>
      </c>
      <c r="P866">
        <v>108.5166</v>
      </c>
      <c r="Q866"/>
      <c r="R866">
        <v>104.24</v>
      </c>
      <c r="S866">
        <v>103.9606</v>
      </c>
      <c r="T866"/>
      <c r="U866">
        <v>108.60939999999999</v>
      </c>
      <c r="V866">
        <v>109.8</v>
      </c>
      <c r="W866">
        <v>96.943119999999993</v>
      </c>
      <c r="X866">
        <v>114.57550000000001</v>
      </c>
      <c r="Y866"/>
      <c r="Z866"/>
      <c r="AA866">
        <v>102.7402</v>
      </c>
      <c r="AB866">
        <v>115.2208</v>
      </c>
      <c r="AC866">
        <v>101.0705</v>
      </c>
      <c r="AD866">
        <v>103.24420000000001</v>
      </c>
      <c r="AE866">
        <v>101.1014</v>
      </c>
      <c r="AF866">
        <v>106.3848</v>
      </c>
      <c r="AG866">
        <v>115.41240000000001</v>
      </c>
      <c r="AH866">
        <v>107.36</v>
      </c>
      <c r="AI866">
        <v>109.51560000000001</v>
      </c>
      <c r="AJ866">
        <v>120.9191</v>
      </c>
      <c r="AK866">
        <v>107.66070000000001</v>
      </c>
      <c r="AL866">
        <v>112.8295</v>
      </c>
      <c r="AM866">
        <v>111.0727</v>
      </c>
      <c r="AN866">
        <v>112.2491</v>
      </c>
      <c r="AO866">
        <v>108.9328</v>
      </c>
      <c r="AP866">
        <v>102.4472</v>
      </c>
      <c r="AQ866"/>
      <c r="AR866"/>
      <c r="AS866">
        <v>109.8665</v>
      </c>
      <c r="AT866">
        <v>103.2717</v>
      </c>
      <c r="AU866">
        <v>106.41670000000001</v>
      </c>
      <c r="AV866">
        <v>194.2782</v>
      </c>
      <c r="AW866">
        <v>111.3556</v>
      </c>
      <c r="AX866">
        <v>125.16419999999999</v>
      </c>
    </row>
    <row r="867" spans="1:50" x14ac:dyDescent="0.35">
      <c r="A867" s="75">
        <v>44228</v>
      </c>
      <c r="B867">
        <v>109.54559999999999</v>
      </c>
      <c r="C867">
        <v>109.0874</v>
      </c>
      <c r="D867"/>
      <c r="E867">
        <v>110.181</v>
      </c>
      <c r="F867">
        <v>100.2671</v>
      </c>
      <c r="G867">
        <v>115.5217</v>
      </c>
      <c r="H867"/>
      <c r="I867">
        <v>123.3871</v>
      </c>
      <c r="J867">
        <v>108.6225</v>
      </c>
      <c r="K867">
        <v>115.4</v>
      </c>
      <c r="L867">
        <v>106.81310000000001</v>
      </c>
      <c r="M867">
        <v>104.6949</v>
      </c>
      <c r="N867">
        <v>104.46</v>
      </c>
      <c r="O867">
        <v>103.5671</v>
      </c>
      <c r="P867">
        <v>108.97069999999999</v>
      </c>
      <c r="Q867"/>
      <c r="R867">
        <v>104.43</v>
      </c>
      <c r="S867">
        <v>103.75279999999999</v>
      </c>
      <c r="T867"/>
      <c r="U867">
        <v>108.8905</v>
      </c>
      <c r="V867">
        <v>109.9</v>
      </c>
      <c r="W867">
        <v>96.821359999999999</v>
      </c>
      <c r="X867">
        <v>115.02630000000001</v>
      </c>
      <c r="Y867"/>
      <c r="Z867"/>
      <c r="AA867">
        <v>103.0433</v>
      </c>
      <c r="AB867">
        <v>116.1408</v>
      </c>
      <c r="AC867">
        <v>101.26519999999999</v>
      </c>
      <c r="AD867">
        <v>103.32210000000001</v>
      </c>
      <c r="AE867">
        <v>101.20780000000001</v>
      </c>
      <c r="AF867">
        <v>106.5329</v>
      </c>
      <c r="AG867">
        <v>115.3325</v>
      </c>
      <c r="AH867">
        <v>106.15</v>
      </c>
      <c r="AI867">
        <v>109.3841</v>
      </c>
      <c r="AJ867">
        <v>121.3719</v>
      </c>
      <c r="AK867">
        <v>108.4349</v>
      </c>
      <c r="AL867">
        <v>113.0889</v>
      </c>
      <c r="AM867">
        <v>111.3485</v>
      </c>
      <c r="AN867">
        <v>112.4547</v>
      </c>
      <c r="AO867">
        <v>109.36750000000001</v>
      </c>
      <c r="AP867">
        <v>101.88249999999999</v>
      </c>
      <c r="AQ867"/>
      <c r="AR867"/>
      <c r="AS867">
        <v>109.94280000000001</v>
      </c>
      <c r="AT867">
        <v>103.3317</v>
      </c>
      <c r="AU867">
        <v>106.6781</v>
      </c>
      <c r="AV867">
        <v>194.94</v>
      </c>
      <c r="AW867">
        <v>111.744</v>
      </c>
      <c r="AX867">
        <v>125.84780000000001</v>
      </c>
    </row>
    <row r="868" spans="1:50" x14ac:dyDescent="0.35">
      <c r="A868" s="75">
        <v>44256</v>
      </c>
      <c r="B868">
        <v>110.7458</v>
      </c>
      <c r="C868">
        <v>109.0194</v>
      </c>
      <c r="D868"/>
      <c r="E868">
        <v>110.4529</v>
      </c>
      <c r="F868">
        <v>100.5419</v>
      </c>
      <c r="G868">
        <v>116.0534</v>
      </c>
      <c r="H868"/>
      <c r="I868">
        <v>123.7116</v>
      </c>
      <c r="J868">
        <v>108.7625</v>
      </c>
      <c r="K868">
        <v>115.4</v>
      </c>
      <c r="L868">
        <v>107.1078</v>
      </c>
      <c r="M868">
        <v>104.82299999999999</v>
      </c>
      <c r="N868">
        <v>105.47</v>
      </c>
      <c r="O868">
        <v>104.0821</v>
      </c>
      <c r="P868">
        <v>108.85720000000001</v>
      </c>
      <c r="Q868"/>
      <c r="R868">
        <v>104.52</v>
      </c>
      <c r="S868">
        <v>104.3172</v>
      </c>
      <c r="T868"/>
      <c r="U868">
        <v>109.2444</v>
      </c>
      <c r="V868">
        <v>110.2</v>
      </c>
      <c r="W868">
        <v>98.290469999999999</v>
      </c>
      <c r="X868">
        <v>115.402</v>
      </c>
      <c r="Y868"/>
      <c r="Z868"/>
      <c r="AA868">
        <v>103.55289999999999</v>
      </c>
      <c r="AB868">
        <v>116.664</v>
      </c>
      <c r="AC868">
        <v>101.81489999999999</v>
      </c>
      <c r="AD868">
        <v>103.48439999999999</v>
      </c>
      <c r="AE868">
        <v>101.27160000000001</v>
      </c>
      <c r="AF868">
        <v>106.65989999999999</v>
      </c>
      <c r="AG868">
        <v>116.1498</v>
      </c>
      <c r="AH868">
        <v>107.6</v>
      </c>
      <c r="AI868">
        <v>110.51739999999999</v>
      </c>
      <c r="AJ868">
        <v>121.9517</v>
      </c>
      <c r="AK868">
        <v>108.7561</v>
      </c>
      <c r="AL868">
        <v>113.4389</v>
      </c>
      <c r="AM868">
        <v>111.7637</v>
      </c>
      <c r="AN868">
        <v>112.98180000000001</v>
      </c>
      <c r="AO868">
        <v>110.15</v>
      </c>
      <c r="AP868">
        <v>103.4479</v>
      </c>
      <c r="AQ868"/>
      <c r="AR868"/>
      <c r="AS868">
        <v>110.6484</v>
      </c>
      <c r="AT868">
        <v>103.40170000000001</v>
      </c>
      <c r="AU868">
        <v>106.92610000000001</v>
      </c>
      <c r="AV868">
        <v>197.29300000000001</v>
      </c>
      <c r="AW868">
        <v>112.16379999999999</v>
      </c>
      <c r="AX868">
        <v>126.4178</v>
      </c>
    </row>
    <row r="869" spans="1:50" x14ac:dyDescent="0.35">
      <c r="A869" s="75">
        <v>44287</v>
      </c>
      <c r="B869">
        <v>110.7458</v>
      </c>
      <c r="C869">
        <v>109.23309999999999</v>
      </c>
      <c r="D869"/>
      <c r="E869">
        <v>111.0164</v>
      </c>
      <c r="F869">
        <v>100.7534</v>
      </c>
      <c r="G869">
        <v>116.2162</v>
      </c>
      <c r="H869"/>
      <c r="I869">
        <v>123.9684</v>
      </c>
      <c r="J869">
        <v>108.8601</v>
      </c>
      <c r="K869">
        <v>115.9</v>
      </c>
      <c r="L869">
        <v>107.837</v>
      </c>
      <c r="M869">
        <v>105.1515</v>
      </c>
      <c r="N869">
        <v>106.04</v>
      </c>
      <c r="O869">
        <v>105.1688</v>
      </c>
      <c r="P869">
        <v>108.9139</v>
      </c>
      <c r="Q869"/>
      <c r="R869">
        <v>104.97</v>
      </c>
      <c r="S869">
        <v>104.377</v>
      </c>
      <c r="T869"/>
      <c r="U869">
        <v>109.758</v>
      </c>
      <c r="V869">
        <v>110.6</v>
      </c>
      <c r="W869">
        <v>99.663219999999995</v>
      </c>
      <c r="X869">
        <v>116.4538</v>
      </c>
      <c r="Y869"/>
      <c r="Z869"/>
      <c r="AA869">
        <v>104.2139</v>
      </c>
      <c r="AB869">
        <v>117.49120000000001</v>
      </c>
      <c r="AC869">
        <v>101.9799</v>
      </c>
      <c r="AD869">
        <v>103.61499999999999</v>
      </c>
      <c r="AE869">
        <v>99.996350000000007</v>
      </c>
      <c r="AF869">
        <v>106.8609</v>
      </c>
      <c r="AG869">
        <v>117.461</v>
      </c>
      <c r="AH869">
        <v>107.72</v>
      </c>
      <c r="AI869">
        <v>111.39960000000001</v>
      </c>
      <c r="AJ869">
        <v>122.3005</v>
      </c>
      <c r="AK869">
        <v>109.3186</v>
      </c>
      <c r="AL869">
        <v>114.0303</v>
      </c>
      <c r="AM869">
        <v>112.32559999999999</v>
      </c>
      <c r="AN869">
        <v>113.6165</v>
      </c>
      <c r="AO869">
        <v>110.6716</v>
      </c>
      <c r="AP869">
        <v>103.8343</v>
      </c>
      <c r="AQ869"/>
      <c r="AR869"/>
      <c r="AS869">
        <v>110.801</v>
      </c>
      <c r="AT869">
        <v>104.6317</v>
      </c>
      <c r="AU869">
        <v>107.3484</v>
      </c>
      <c r="AV869">
        <v>200.7244</v>
      </c>
      <c r="AW869">
        <v>113.0947</v>
      </c>
      <c r="AX869">
        <v>126.84269999999999</v>
      </c>
    </row>
    <row r="870" spans="1:50" x14ac:dyDescent="0.35">
      <c r="A870" s="75">
        <v>44317</v>
      </c>
      <c r="B870">
        <v>110.8549</v>
      </c>
      <c r="C870">
        <v>109.4079</v>
      </c>
      <c r="D870"/>
      <c r="E870">
        <v>111.3571</v>
      </c>
      <c r="F870">
        <v>100.964</v>
      </c>
      <c r="G870">
        <v>116.60680000000001</v>
      </c>
      <c r="H870"/>
      <c r="I870">
        <v>124.1108</v>
      </c>
      <c r="J870">
        <v>108.6442</v>
      </c>
      <c r="K870">
        <v>116.4</v>
      </c>
      <c r="L870">
        <v>108.4221</v>
      </c>
      <c r="M870">
        <v>105.3152</v>
      </c>
      <c r="N870">
        <v>106.26</v>
      </c>
      <c r="O870">
        <v>105.49979999999999</v>
      </c>
      <c r="P870">
        <v>110.2761</v>
      </c>
      <c r="Q870"/>
      <c r="R870">
        <v>105.17</v>
      </c>
      <c r="S870">
        <v>104.6302</v>
      </c>
      <c r="T870"/>
      <c r="U870">
        <v>110.34220000000001</v>
      </c>
      <c r="V870">
        <v>111.3</v>
      </c>
      <c r="W870">
        <v>98.820139999999995</v>
      </c>
      <c r="X870">
        <v>116.9046</v>
      </c>
      <c r="Y870"/>
      <c r="Z870"/>
      <c r="AA870">
        <v>104.2364</v>
      </c>
      <c r="AB870">
        <v>118.1601</v>
      </c>
      <c r="AC870">
        <v>102.3655</v>
      </c>
      <c r="AD870">
        <v>103.4447</v>
      </c>
      <c r="AE870">
        <v>100.1078</v>
      </c>
      <c r="AF870">
        <v>106.9773</v>
      </c>
      <c r="AG870">
        <v>118.4166</v>
      </c>
      <c r="AH870">
        <v>107.89</v>
      </c>
      <c r="AI870">
        <v>111.60720000000001</v>
      </c>
      <c r="AJ870">
        <v>122.7786</v>
      </c>
      <c r="AK870">
        <v>109.2437</v>
      </c>
      <c r="AL870">
        <v>113.7276</v>
      </c>
      <c r="AM870">
        <v>112.8467</v>
      </c>
      <c r="AN870">
        <v>114.0192</v>
      </c>
      <c r="AO870">
        <v>111.0193</v>
      </c>
      <c r="AP870">
        <v>103.99290000000001</v>
      </c>
      <c r="AQ870"/>
      <c r="AR870"/>
      <c r="AS870">
        <v>111.6293</v>
      </c>
      <c r="AT870">
        <v>105.7418</v>
      </c>
      <c r="AU870">
        <v>107.4355</v>
      </c>
      <c r="AV870">
        <v>202.73840000000001</v>
      </c>
      <c r="AW870">
        <v>113.88939999999999</v>
      </c>
      <c r="AX870">
        <v>126.8409</v>
      </c>
    </row>
    <row r="871" spans="1:50" x14ac:dyDescent="0.35">
      <c r="A871" s="75">
        <v>44348</v>
      </c>
      <c r="B871">
        <v>111.6187</v>
      </c>
      <c r="C871">
        <v>109.5924</v>
      </c>
      <c r="D871"/>
      <c r="E871">
        <v>111.7396</v>
      </c>
      <c r="F871">
        <v>100.9669</v>
      </c>
      <c r="G871">
        <v>116.5309</v>
      </c>
      <c r="H871"/>
      <c r="I871">
        <v>124.3075</v>
      </c>
      <c r="J871">
        <v>108.8135</v>
      </c>
      <c r="K871">
        <v>117.2</v>
      </c>
      <c r="L871">
        <v>108.8219</v>
      </c>
      <c r="M871">
        <v>105.2837</v>
      </c>
      <c r="N871">
        <v>106.53</v>
      </c>
      <c r="O871">
        <v>105.60599999999999</v>
      </c>
      <c r="P871">
        <v>111.01390000000001</v>
      </c>
      <c r="Q871"/>
      <c r="R871">
        <v>105.23</v>
      </c>
      <c r="S871">
        <v>104.8494</v>
      </c>
      <c r="T871"/>
      <c r="U871">
        <v>110.988</v>
      </c>
      <c r="V871">
        <v>111.8</v>
      </c>
      <c r="W871">
        <v>99.760109999999997</v>
      </c>
      <c r="X871">
        <v>117.9564</v>
      </c>
      <c r="Y871"/>
      <c r="Z871"/>
      <c r="AA871">
        <v>104.3783</v>
      </c>
      <c r="AB871">
        <v>118.6</v>
      </c>
      <c r="AC871">
        <v>102.4183</v>
      </c>
      <c r="AD871">
        <v>103.63679999999999</v>
      </c>
      <c r="AE871">
        <v>99.899410000000003</v>
      </c>
      <c r="AF871">
        <v>106.9984</v>
      </c>
      <c r="AG871">
        <v>119.25620000000001</v>
      </c>
      <c r="AH871">
        <v>108.02</v>
      </c>
      <c r="AI871">
        <v>112.1053</v>
      </c>
      <c r="AJ871">
        <v>123.3471</v>
      </c>
      <c r="AK871">
        <v>109.3334</v>
      </c>
      <c r="AL871">
        <v>114.28740000000001</v>
      </c>
      <c r="AM871">
        <v>113.4641</v>
      </c>
      <c r="AN871">
        <v>114.5492</v>
      </c>
      <c r="AO871">
        <v>111.0193</v>
      </c>
      <c r="AP871">
        <v>103.93340000000001</v>
      </c>
      <c r="AQ871"/>
      <c r="AR871"/>
      <c r="AS871">
        <v>112.29</v>
      </c>
      <c r="AT871">
        <v>106.4918</v>
      </c>
      <c r="AU871">
        <v>107.536</v>
      </c>
      <c r="AV871">
        <v>207.33</v>
      </c>
      <c r="AW871">
        <v>114.84910000000001</v>
      </c>
      <c r="AX871">
        <v>127.38849999999999</v>
      </c>
    </row>
    <row r="872" spans="1:50" x14ac:dyDescent="0.35">
      <c r="A872" s="75">
        <v>44378</v>
      </c>
      <c r="B872">
        <v>111.6187</v>
      </c>
      <c r="C872">
        <v>110.146</v>
      </c>
      <c r="D872"/>
      <c r="E872">
        <v>112.3064</v>
      </c>
      <c r="F872">
        <v>100.7136</v>
      </c>
      <c r="G872">
        <v>117.2037</v>
      </c>
      <c r="H872"/>
      <c r="I872">
        <v>124.66419999999999</v>
      </c>
      <c r="J872">
        <v>108.7039</v>
      </c>
      <c r="K872">
        <v>118.5</v>
      </c>
      <c r="L872">
        <v>109.8445</v>
      </c>
      <c r="M872">
        <v>105.54940000000001</v>
      </c>
      <c r="N872">
        <v>106.06</v>
      </c>
      <c r="O872">
        <v>104.41840000000001</v>
      </c>
      <c r="P872">
        <v>111.41119999999999</v>
      </c>
      <c r="Q872"/>
      <c r="R872">
        <v>105.49</v>
      </c>
      <c r="S872">
        <v>104.65940000000001</v>
      </c>
      <c r="T872"/>
      <c r="U872">
        <v>111.3519</v>
      </c>
      <c r="V872">
        <v>111.8</v>
      </c>
      <c r="W872">
        <v>97.585849999999994</v>
      </c>
      <c r="X872">
        <v>118.4072</v>
      </c>
      <c r="Y872"/>
      <c r="Z872"/>
      <c r="AA872">
        <v>104.52679999999999</v>
      </c>
      <c r="AB872">
        <v>118.7529</v>
      </c>
      <c r="AC872">
        <v>102.7718</v>
      </c>
      <c r="AD872">
        <v>103.9568</v>
      </c>
      <c r="AE872">
        <v>100.4102</v>
      </c>
      <c r="AF872">
        <v>107.32640000000001</v>
      </c>
      <c r="AG872">
        <v>119.0209</v>
      </c>
      <c r="AH872">
        <v>107.26</v>
      </c>
      <c r="AI872">
        <v>111.89239999999999</v>
      </c>
      <c r="AJ872">
        <v>123.77209999999999</v>
      </c>
      <c r="AK872">
        <v>109.5887</v>
      </c>
      <c r="AL872">
        <v>114.51220000000001</v>
      </c>
      <c r="AM872">
        <v>113.78579999999999</v>
      </c>
      <c r="AN872">
        <v>114.7513</v>
      </c>
      <c r="AO872">
        <v>111.45399999999999</v>
      </c>
      <c r="AP872">
        <v>103.3489</v>
      </c>
      <c r="AQ872"/>
      <c r="AR872"/>
      <c r="AS872">
        <v>112.7825</v>
      </c>
      <c r="AT872">
        <v>106.8018</v>
      </c>
      <c r="AU872">
        <v>107.3115</v>
      </c>
      <c r="AV872">
        <v>208.46969999999999</v>
      </c>
      <c r="AW872">
        <v>115.23220000000001</v>
      </c>
      <c r="AX872">
        <v>127.9645</v>
      </c>
    </row>
    <row r="873" spans="1:50" x14ac:dyDescent="0.35">
      <c r="A873" s="75">
        <v>44409</v>
      </c>
      <c r="B873">
        <v>111.6187</v>
      </c>
      <c r="C873">
        <v>110.3985</v>
      </c>
      <c r="D873"/>
      <c r="E873">
        <v>112.512</v>
      </c>
      <c r="F873">
        <v>100.9795</v>
      </c>
      <c r="G873">
        <v>117.6377</v>
      </c>
      <c r="H873"/>
      <c r="I873">
        <v>125.0424</v>
      </c>
      <c r="J873">
        <v>108.6356</v>
      </c>
      <c r="K873">
        <v>119.6</v>
      </c>
      <c r="L873">
        <v>109.7794</v>
      </c>
      <c r="M873">
        <v>105.3532</v>
      </c>
      <c r="N873">
        <v>106.35</v>
      </c>
      <c r="O873">
        <v>104.52030000000001</v>
      </c>
      <c r="P873">
        <v>112.3193</v>
      </c>
      <c r="Q873"/>
      <c r="R873">
        <v>105.68</v>
      </c>
      <c r="S873">
        <v>105.2722</v>
      </c>
      <c r="T873"/>
      <c r="U873">
        <v>111.5243</v>
      </c>
      <c r="V873">
        <v>112.4</v>
      </c>
      <c r="W873">
        <v>96.893389999999997</v>
      </c>
      <c r="X873">
        <v>118.6326</v>
      </c>
      <c r="Y873"/>
      <c r="Z873"/>
      <c r="AA873">
        <v>105.04900000000001</v>
      </c>
      <c r="AB873">
        <v>119.3511</v>
      </c>
      <c r="AC873">
        <v>103.11109999999999</v>
      </c>
      <c r="AD873">
        <v>104.2621</v>
      </c>
      <c r="AE873">
        <v>100.29089999999999</v>
      </c>
      <c r="AF873">
        <v>107.5909</v>
      </c>
      <c r="AG873">
        <v>119.2484</v>
      </c>
      <c r="AH873">
        <v>108.52</v>
      </c>
      <c r="AI873">
        <v>112.1696</v>
      </c>
      <c r="AJ873">
        <v>124.172</v>
      </c>
      <c r="AK873">
        <v>110.0141</v>
      </c>
      <c r="AL873">
        <v>113.8939</v>
      </c>
      <c r="AM873">
        <v>113.98099999999999</v>
      </c>
      <c r="AN873">
        <v>115.0424</v>
      </c>
      <c r="AO873">
        <v>111.7148</v>
      </c>
      <c r="AP873">
        <v>103.121</v>
      </c>
      <c r="AQ873"/>
      <c r="AR873"/>
      <c r="AS873">
        <v>113.42570000000001</v>
      </c>
      <c r="AT873">
        <v>106.87179999999999</v>
      </c>
      <c r="AU873">
        <v>107.66670000000001</v>
      </c>
      <c r="AV873">
        <v>209.1765</v>
      </c>
      <c r="AW873">
        <v>115.38120000000001</v>
      </c>
      <c r="AX873">
        <v>128.29769999999999</v>
      </c>
    </row>
    <row r="874" spans="1:50" x14ac:dyDescent="0.35">
      <c r="A874" s="75">
        <v>44440</v>
      </c>
      <c r="B874">
        <v>112.1643</v>
      </c>
      <c r="C874">
        <v>110.29170000000001</v>
      </c>
      <c r="D874"/>
      <c r="E874">
        <v>112.7462</v>
      </c>
      <c r="F874">
        <v>101.05670000000001</v>
      </c>
      <c r="G874">
        <v>118.7445</v>
      </c>
      <c r="H874"/>
      <c r="I874">
        <v>125.3644</v>
      </c>
      <c r="J874">
        <v>109.4221</v>
      </c>
      <c r="K874">
        <v>120.1</v>
      </c>
      <c r="L874">
        <v>109.6747</v>
      </c>
      <c r="M874">
        <v>105.6138</v>
      </c>
      <c r="N874">
        <v>106.9</v>
      </c>
      <c r="O874">
        <v>104.93129999999999</v>
      </c>
      <c r="P874">
        <v>112.8301</v>
      </c>
      <c r="Q874"/>
      <c r="R874">
        <v>106.04</v>
      </c>
      <c r="S874">
        <v>104.9806</v>
      </c>
      <c r="T874"/>
      <c r="U874">
        <v>111.59059999999999</v>
      </c>
      <c r="V874">
        <v>112.8</v>
      </c>
      <c r="W874">
        <v>99.927080000000004</v>
      </c>
      <c r="X874">
        <v>118.7829</v>
      </c>
      <c r="Y874"/>
      <c r="Z874"/>
      <c r="AA874">
        <v>105.5968</v>
      </c>
      <c r="AB874">
        <v>119.87730000000001</v>
      </c>
      <c r="AC874">
        <v>103.1484</v>
      </c>
      <c r="AD874">
        <v>103.9464</v>
      </c>
      <c r="AE874">
        <v>100.1942</v>
      </c>
      <c r="AF874">
        <v>107.4639</v>
      </c>
      <c r="AG874">
        <v>120.41840000000001</v>
      </c>
      <c r="AH874">
        <v>108.65</v>
      </c>
      <c r="AI874">
        <v>112.8862</v>
      </c>
      <c r="AJ874">
        <v>124.6026</v>
      </c>
      <c r="AK874">
        <v>109.8259</v>
      </c>
      <c r="AL874">
        <v>114.57340000000001</v>
      </c>
      <c r="AM874">
        <v>114.1883</v>
      </c>
      <c r="AN874">
        <v>115.37439999999999</v>
      </c>
      <c r="AO874">
        <v>112.4973</v>
      </c>
      <c r="AP874">
        <v>104.3297</v>
      </c>
      <c r="AQ874"/>
      <c r="AR874"/>
      <c r="AS874">
        <v>114.68899999999999</v>
      </c>
      <c r="AT874">
        <v>106.45180000000001</v>
      </c>
      <c r="AU874">
        <v>107.97839999999999</v>
      </c>
      <c r="AV874">
        <v>212.40369999999999</v>
      </c>
      <c r="AW874">
        <v>115.5369</v>
      </c>
      <c r="AX874">
        <v>128.57980000000001</v>
      </c>
    </row>
    <row r="875" spans="1:50" x14ac:dyDescent="0.35">
      <c r="A875" s="75">
        <v>44470</v>
      </c>
      <c r="B875">
        <v>112.38249999999999</v>
      </c>
      <c r="C875">
        <v>110.8356</v>
      </c>
      <c r="D875"/>
      <c r="E875">
        <v>113.2625</v>
      </c>
      <c r="F875">
        <v>101.289</v>
      </c>
      <c r="G875">
        <v>120.383</v>
      </c>
      <c r="H875"/>
      <c r="I875">
        <v>125.07429999999999</v>
      </c>
      <c r="J875">
        <v>110.01009999999999</v>
      </c>
      <c r="K875">
        <v>121.4</v>
      </c>
      <c r="L875">
        <v>109.7851</v>
      </c>
      <c r="M875">
        <v>106.05459999999999</v>
      </c>
      <c r="N875">
        <v>107.22</v>
      </c>
      <c r="O875">
        <v>106.1104</v>
      </c>
      <c r="P875">
        <v>113.56789999999999</v>
      </c>
      <c r="Q875"/>
      <c r="R875">
        <v>106.41</v>
      </c>
      <c r="S875">
        <v>105.02760000000001</v>
      </c>
      <c r="T875"/>
      <c r="U875">
        <v>112.04430000000001</v>
      </c>
      <c r="V875">
        <v>113.4</v>
      </c>
      <c r="W875">
        <v>100.3005</v>
      </c>
      <c r="X875">
        <v>119.6844</v>
      </c>
      <c r="Y875"/>
      <c r="Z875"/>
      <c r="AA875">
        <v>105.7067</v>
      </c>
      <c r="AB875">
        <v>120.50700000000001</v>
      </c>
      <c r="AC875">
        <v>103.1626</v>
      </c>
      <c r="AD875">
        <v>103.86669999999999</v>
      </c>
      <c r="AE875">
        <v>99.927959999999999</v>
      </c>
      <c r="AF875">
        <v>107.72839999999999</v>
      </c>
      <c r="AG875">
        <v>121.7037</v>
      </c>
      <c r="AH875">
        <v>109.09</v>
      </c>
      <c r="AI875">
        <v>113.402</v>
      </c>
      <c r="AJ875">
        <v>125.1307</v>
      </c>
      <c r="AK875">
        <v>110.65940000000001</v>
      </c>
      <c r="AL875">
        <v>114.8428</v>
      </c>
      <c r="AM875">
        <v>114.7701</v>
      </c>
      <c r="AN875">
        <v>115.9757</v>
      </c>
      <c r="AO875">
        <v>113.27970000000001</v>
      </c>
      <c r="AP875">
        <v>104.6765</v>
      </c>
      <c r="AQ875"/>
      <c r="AR875"/>
      <c r="AS875">
        <v>115.4209</v>
      </c>
      <c r="AT875">
        <v>107.0718</v>
      </c>
      <c r="AU875">
        <v>108.44750000000001</v>
      </c>
      <c r="AV875">
        <v>216.8278</v>
      </c>
      <c r="AW875">
        <v>116.25230000000001</v>
      </c>
      <c r="AX875">
        <v>128.86490000000001</v>
      </c>
    </row>
    <row r="876" spans="1:50" x14ac:dyDescent="0.35">
      <c r="A876" s="75">
        <v>44501</v>
      </c>
      <c r="B876">
        <v>112.928</v>
      </c>
      <c r="C876">
        <v>110.9521</v>
      </c>
      <c r="D876"/>
      <c r="E876">
        <v>113.3053</v>
      </c>
      <c r="F876">
        <v>101.3135</v>
      </c>
      <c r="G876">
        <v>121.0124</v>
      </c>
      <c r="H876"/>
      <c r="I876">
        <v>125.3627</v>
      </c>
      <c r="J876">
        <v>110.6263</v>
      </c>
      <c r="K876">
        <v>121.9</v>
      </c>
      <c r="L876">
        <v>109.15730000000001</v>
      </c>
      <c r="M876">
        <v>105.99250000000001</v>
      </c>
      <c r="N876">
        <v>107.26</v>
      </c>
      <c r="O876">
        <v>106.75360000000001</v>
      </c>
      <c r="P876">
        <v>114.249</v>
      </c>
      <c r="Q876"/>
      <c r="R876">
        <v>106.66</v>
      </c>
      <c r="S876">
        <v>105.22320000000001</v>
      </c>
      <c r="T876"/>
      <c r="U876">
        <v>112.2959</v>
      </c>
      <c r="V876">
        <v>113.9</v>
      </c>
      <c r="W876">
        <v>99.3232</v>
      </c>
      <c r="X876">
        <v>120.21040000000001</v>
      </c>
      <c r="Y876"/>
      <c r="Z876"/>
      <c r="AA876">
        <v>106.0453</v>
      </c>
      <c r="AB876">
        <v>120.88460000000001</v>
      </c>
      <c r="AC876">
        <v>103.08669999999999</v>
      </c>
      <c r="AD876">
        <v>103.7881</v>
      </c>
      <c r="AE876">
        <v>99.968239999999994</v>
      </c>
      <c r="AF876">
        <v>107.9717</v>
      </c>
      <c r="AG876">
        <v>121.9753</v>
      </c>
      <c r="AH876">
        <v>109.44</v>
      </c>
      <c r="AI876">
        <v>113.384</v>
      </c>
      <c r="AJ876">
        <v>125.5004</v>
      </c>
      <c r="AK876">
        <v>110.413</v>
      </c>
      <c r="AL876">
        <v>114.9833</v>
      </c>
      <c r="AM876">
        <v>115.1315</v>
      </c>
      <c r="AN876">
        <v>116.3531</v>
      </c>
      <c r="AO876">
        <v>113.7144</v>
      </c>
      <c r="AP876">
        <v>105.0134</v>
      </c>
      <c r="AQ876"/>
      <c r="AR876"/>
      <c r="AS876">
        <v>116.0498</v>
      </c>
      <c r="AT876">
        <v>107.81180000000001</v>
      </c>
      <c r="AU876">
        <v>108.5179</v>
      </c>
      <c r="AV876">
        <v>222.76339999999999</v>
      </c>
      <c r="AW876">
        <v>116.7216</v>
      </c>
      <c r="AX876">
        <v>128.89400000000001</v>
      </c>
    </row>
    <row r="877" spans="1:50" x14ac:dyDescent="0.35">
      <c r="A877" s="75">
        <v>44531</v>
      </c>
      <c r="B877">
        <v>113.6918</v>
      </c>
      <c r="C877">
        <v>111.5737</v>
      </c>
      <c r="D877"/>
      <c r="E877">
        <v>113.22369999999999</v>
      </c>
      <c r="F877">
        <v>101.34739999999999</v>
      </c>
      <c r="G877">
        <v>122.15179999999999</v>
      </c>
      <c r="H877"/>
      <c r="I877">
        <v>125.77589999999999</v>
      </c>
      <c r="J877">
        <v>110.5222</v>
      </c>
      <c r="K877">
        <v>123.1</v>
      </c>
      <c r="L877">
        <v>110.0461</v>
      </c>
      <c r="M877">
        <v>105.7932</v>
      </c>
      <c r="N877">
        <v>107.68</v>
      </c>
      <c r="O877">
        <v>106.8882</v>
      </c>
      <c r="P877">
        <v>114.53270000000001</v>
      </c>
      <c r="Q877"/>
      <c r="R877">
        <v>106.84</v>
      </c>
      <c r="S877">
        <v>105.4303</v>
      </c>
      <c r="T877"/>
      <c r="U877">
        <v>112.70180000000001</v>
      </c>
      <c r="V877">
        <v>114.4</v>
      </c>
      <c r="W877">
        <v>100.32640000000001</v>
      </c>
      <c r="X877">
        <v>120.81140000000001</v>
      </c>
      <c r="Y877"/>
      <c r="Z877"/>
      <c r="AA877">
        <v>106.6418</v>
      </c>
      <c r="AB877">
        <v>121.4653</v>
      </c>
      <c r="AC877">
        <v>103.6075</v>
      </c>
      <c r="AD877">
        <v>104.13549999999999</v>
      </c>
      <c r="AE877">
        <v>99.8904</v>
      </c>
      <c r="AF877">
        <v>108.4478</v>
      </c>
      <c r="AG877">
        <v>122.3599</v>
      </c>
      <c r="AH877">
        <v>109.7</v>
      </c>
      <c r="AI877">
        <v>113.2636</v>
      </c>
      <c r="AJ877">
        <v>126.4442</v>
      </c>
      <c r="AK877">
        <v>110.56440000000001</v>
      </c>
      <c r="AL877">
        <v>115.4466</v>
      </c>
      <c r="AM877">
        <v>116.0771</v>
      </c>
      <c r="AN877">
        <v>118.2953</v>
      </c>
      <c r="AO877">
        <v>114.1491</v>
      </c>
      <c r="AP877">
        <v>104.97369999999999</v>
      </c>
      <c r="AQ877"/>
      <c r="AR877"/>
      <c r="AS877">
        <v>116.1253</v>
      </c>
      <c r="AT877">
        <v>107.4718</v>
      </c>
      <c r="AU877">
        <v>108.9234</v>
      </c>
      <c r="AV877">
        <v>251.44069999999999</v>
      </c>
      <c r="AW877">
        <v>117.19799999999999</v>
      </c>
      <c r="AX877">
        <v>129.4033</v>
      </c>
    </row>
    <row r="878" spans="1:50" x14ac:dyDescent="0.35">
      <c r="A878" s="75">
        <v>44562</v>
      </c>
      <c r="B878">
        <v>113.3644</v>
      </c>
      <c r="C878">
        <v>112.205</v>
      </c>
      <c r="D878"/>
      <c r="E878">
        <v>113.9234</v>
      </c>
      <c r="F878">
        <v>101.288</v>
      </c>
      <c r="G878">
        <v>123.51900000000001</v>
      </c>
      <c r="H878"/>
      <c r="I878">
        <v>127.24460000000001</v>
      </c>
      <c r="J878">
        <v>110.65779999999999</v>
      </c>
      <c r="K878">
        <v>125.7</v>
      </c>
      <c r="L878">
        <v>109.2597</v>
      </c>
      <c r="M878">
        <v>105.9992</v>
      </c>
      <c r="N878">
        <v>106.73</v>
      </c>
      <c r="O878">
        <v>105.70059999999999</v>
      </c>
      <c r="P878">
        <v>114.53270000000001</v>
      </c>
      <c r="Q878"/>
      <c r="R878">
        <v>107.01</v>
      </c>
      <c r="S878">
        <v>105.307</v>
      </c>
      <c r="T878"/>
      <c r="U878">
        <v>113.12390000000001</v>
      </c>
      <c r="V878">
        <v>114.2</v>
      </c>
      <c r="W878">
        <v>98.109920000000002</v>
      </c>
      <c r="X878">
        <v>121.8633</v>
      </c>
      <c r="Y878"/>
      <c r="Z878"/>
      <c r="AA878">
        <v>106.0759</v>
      </c>
      <c r="AB878">
        <v>121.7366</v>
      </c>
      <c r="AC878">
        <v>103.6494</v>
      </c>
      <c r="AD878">
        <v>104.6298</v>
      </c>
      <c r="AE878">
        <v>99.624219999999994</v>
      </c>
      <c r="AF878">
        <v>109.1354</v>
      </c>
      <c r="AG878">
        <v>123.7222</v>
      </c>
      <c r="AH878">
        <v>108.79</v>
      </c>
      <c r="AI878">
        <v>113.8026</v>
      </c>
      <c r="AJ878">
        <v>127.04519999999999</v>
      </c>
      <c r="AK878">
        <v>110.2739</v>
      </c>
      <c r="AL878">
        <v>115.0449</v>
      </c>
      <c r="AM878">
        <v>116.7927</v>
      </c>
      <c r="AN878">
        <v>118.98820000000001</v>
      </c>
      <c r="AO878">
        <v>115.27930000000001</v>
      </c>
      <c r="AP878">
        <v>104.9539</v>
      </c>
      <c r="AQ878"/>
      <c r="AR878"/>
      <c r="AS878">
        <v>117.2914</v>
      </c>
      <c r="AT878">
        <v>107.23180000000001</v>
      </c>
      <c r="AU878">
        <v>108.91</v>
      </c>
      <c r="AV878">
        <v>271.48610000000002</v>
      </c>
      <c r="AW878">
        <v>118.0599</v>
      </c>
      <c r="AX878">
        <v>129.71780000000001</v>
      </c>
    </row>
    <row r="879" spans="1:50" x14ac:dyDescent="0.35">
      <c r="A879" s="75">
        <v>44593</v>
      </c>
      <c r="B879">
        <v>114.01909999999999</v>
      </c>
      <c r="C879">
        <v>112.49639999999999</v>
      </c>
      <c r="D879"/>
      <c r="E879">
        <v>114.6972</v>
      </c>
      <c r="F879">
        <v>101.8629</v>
      </c>
      <c r="G879">
        <v>123.1827</v>
      </c>
      <c r="H879"/>
      <c r="I879">
        <v>128.83150000000001</v>
      </c>
      <c r="J879"/>
      <c r="K879">
        <v>126.7</v>
      </c>
      <c r="L879">
        <v>109.89749999999999</v>
      </c>
      <c r="M879">
        <v>107.251</v>
      </c>
      <c r="N879">
        <v>107.3</v>
      </c>
      <c r="O879">
        <v>106.0779</v>
      </c>
      <c r="P879">
        <v>115.61109999999999</v>
      </c>
      <c r="Q879"/>
      <c r="R879">
        <v>107.17</v>
      </c>
      <c r="S879">
        <v>105.8062</v>
      </c>
      <c r="T879"/>
      <c r="U879">
        <v>113.79179999999999</v>
      </c>
      <c r="V879">
        <v>114.9</v>
      </c>
      <c r="W879">
        <v>97.955520000000007</v>
      </c>
      <c r="X879">
        <v>122.84</v>
      </c>
      <c r="Y879"/>
      <c r="Z879"/>
      <c r="AA879">
        <v>106.8723</v>
      </c>
      <c r="AB879">
        <v>123.1721</v>
      </c>
      <c r="AC879">
        <v>103.9706</v>
      </c>
      <c r="AD879">
        <v>104.7805</v>
      </c>
      <c r="AE879">
        <v>99.731939999999994</v>
      </c>
      <c r="AF879">
        <v>109.5903</v>
      </c>
      <c r="AG879">
        <v>124.873</v>
      </c>
      <c r="AH879">
        <v>110.89</v>
      </c>
      <c r="AI879">
        <v>114.2452</v>
      </c>
      <c r="AJ879">
        <v>127.9132</v>
      </c>
      <c r="AK879">
        <v>111.1429</v>
      </c>
      <c r="AL879">
        <v>115.824</v>
      </c>
      <c r="AM879">
        <v>117.58629999999999</v>
      </c>
      <c r="AN879">
        <v>119.9571</v>
      </c>
      <c r="AO879">
        <v>116.40949999999999</v>
      </c>
      <c r="AP879">
        <v>105.1224</v>
      </c>
      <c r="AQ879"/>
      <c r="AR879"/>
      <c r="AS879">
        <v>117.9926</v>
      </c>
      <c r="AT879">
        <v>108.2118</v>
      </c>
      <c r="AU879">
        <v>109.9186</v>
      </c>
      <c r="AV879">
        <v>280.91039999999998</v>
      </c>
      <c r="AW879">
        <v>118.9115</v>
      </c>
      <c r="AX879">
        <v>130.2225</v>
      </c>
    </row>
    <row r="880" spans="1:50" x14ac:dyDescent="0.35">
      <c r="A880" s="75">
        <v>44621</v>
      </c>
      <c r="B880">
        <v>115.2193</v>
      </c>
      <c r="C880">
        <v>112.9237</v>
      </c>
      <c r="D880"/>
      <c r="E880">
        <v>115.8344</v>
      </c>
      <c r="F880">
        <v>102.0928</v>
      </c>
      <c r="G880">
        <v>124.6367</v>
      </c>
      <c r="H880"/>
      <c r="I880">
        <v>129.60310000000001</v>
      </c>
      <c r="J880"/>
      <c r="K880">
        <v>127.8</v>
      </c>
      <c r="L880">
        <v>110.6981</v>
      </c>
      <c r="M880">
        <v>107.6658</v>
      </c>
      <c r="N880">
        <v>108.59</v>
      </c>
      <c r="O880">
        <v>106.89239999999999</v>
      </c>
      <c r="P880">
        <v>116.97320000000001</v>
      </c>
      <c r="Q880"/>
      <c r="R880">
        <v>107.78</v>
      </c>
      <c r="S880">
        <v>106.4264</v>
      </c>
      <c r="T880"/>
      <c r="U880">
        <v>114.3463</v>
      </c>
      <c r="V880">
        <v>115.8</v>
      </c>
      <c r="W880">
        <v>100.004</v>
      </c>
      <c r="X880">
        <v>123.7415</v>
      </c>
      <c r="Y880"/>
      <c r="Z880"/>
      <c r="AA880">
        <v>107.5166</v>
      </c>
      <c r="AB880">
        <v>124.0872</v>
      </c>
      <c r="AC880">
        <v>104.5664</v>
      </c>
      <c r="AD880">
        <v>105.1593</v>
      </c>
      <c r="AE880">
        <v>99.931790000000007</v>
      </c>
      <c r="AF880">
        <v>109.72790000000001</v>
      </c>
      <c r="AG880">
        <v>126.3852</v>
      </c>
      <c r="AH880">
        <v>111.34</v>
      </c>
      <c r="AI880">
        <v>116.20910000000001</v>
      </c>
      <c r="AJ880">
        <v>128.62299999999999</v>
      </c>
      <c r="AK880">
        <v>111.60290000000001</v>
      </c>
      <c r="AL880">
        <v>116.3514</v>
      </c>
      <c r="AM880">
        <v>118.36279999999999</v>
      </c>
      <c r="AN880">
        <v>121.2512</v>
      </c>
      <c r="AO880">
        <v>117.5397</v>
      </c>
      <c r="AP880">
        <v>107.4012</v>
      </c>
      <c r="AQ880"/>
      <c r="AR880"/>
      <c r="AS880">
        <v>119.85760000000001</v>
      </c>
      <c r="AT880">
        <v>108.0318</v>
      </c>
      <c r="AU880">
        <v>110.7396</v>
      </c>
      <c r="AV880">
        <v>293.2801</v>
      </c>
      <c r="AW880">
        <v>119.4259</v>
      </c>
      <c r="AX880">
        <v>131.35419999999999</v>
      </c>
    </row>
    <row r="881" spans="1:50" x14ac:dyDescent="0.35">
      <c r="A881" s="75">
        <v>44652</v>
      </c>
      <c r="B881">
        <v>115.4375</v>
      </c>
      <c r="C881">
        <v>113.36069999999999</v>
      </c>
      <c r="D881"/>
      <c r="E881">
        <v>116.5287</v>
      </c>
      <c r="F881">
        <v>102.36579999999999</v>
      </c>
      <c r="G881">
        <v>125.9063</v>
      </c>
      <c r="H881"/>
      <c r="I881">
        <v>130.7106</v>
      </c>
      <c r="J881"/>
      <c r="K881">
        <v>129.4</v>
      </c>
      <c r="L881">
        <v>111.91719999999999</v>
      </c>
      <c r="M881">
        <v>108.57689999999999</v>
      </c>
      <c r="N881">
        <v>109.73</v>
      </c>
      <c r="O881">
        <v>108.62439999999999</v>
      </c>
      <c r="P881">
        <v>119.1867</v>
      </c>
      <c r="Q881"/>
      <c r="R881">
        <v>108.46</v>
      </c>
      <c r="S881">
        <v>107.08839999999999</v>
      </c>
      <c r="T881"/>
      <c r="U881">
        <v>115.017</v>
      </c>
      <c r="V881">
        <v>116.6</v>
      </c>
      <c r="W881">
        <v>101.40730000000001</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113.1071</v>
      </c>
      <c r="AL881">
        <v>117.3604</v>
      </c>
      <c r="AM881">
        <v>119.3557</v>
      </c>
      <c r="AN881">
        <v>122.8364</v>
      </c>
      <c r="AO881">
        <v>119.1045</v>
      </c>
      <c r="AP881">
        <v>108.9864</v>
      </c>
      <c r="AQ881"/>
      <c r="AR881"/>
      <c r="AS881">
        <v>121.2989</v>
      </c>
      <c r="AT881">
        <v>110.3018</v>
      </c>
      <c r="AU881">
        <v>111.70140000000001</v>
      </c>
      <c r="AV881">
        <v>307.19380000000001</v>
      </c>
      <c r="AW881">
        <v>120.062</v>
      </c>
      <c r="AX881">
        <v>131.98840000000001</v>
      </c>
    </row>
    <row r="882" spans="1:50" x14ac:dyDescent="0.35">
      <c r="A882" s="75">
        <v>44682</v>
      </c>
      <c r="B882">
        <v>116.4195</v>
      </c>
      <c r="C882">
        <v>113.8172</v>
      </c>
      <c r="D882"/>
      <c r="E882">
        <v>117.13249999999999</v>
      </c>
      <c r="F882">
        <v>102.7779</v>
      </c>
      <c r="G882">
        <v>127.1216</v>
      </c>
      <c r="H882"/>
      <c r="I882">
        <v>131.535</v>
      </c>
      <c r="J882"/>
      <c r="K882">
        <v>131.19999999999999</v>
      </c>
      <c r="L882">
        <v>112.4853</v>
      </c>
      <c r="M882">
        <v>109.3394</v>
      </c>
      <c r="N882">
        <v>110.25</v>
      </c>
      <c r="O882">
        <v>109.1782</v>
      </c>
      <c r="P882">
        <v>119.7542</v>
      </c>
      <c r="Q882"/>
      <c r="R882">
        <v>109.45</v>
      </c>
      <c r="S882">
        <v>107.5651</v>
      </c>
      <c r="T882"/>
      <c r="U882">
        <v>115.5912</v>
      </c>
      <c r="V882">
        <v>117.1</v>
      </c>
      <c r="W882">
        <v>101.23739999999999</v>
      </c>
      <c r="X882">
        <v>126.8219</v>
      </c>
      <c r="Y882"/>
      <c r="Z882"/>
      <c r="AA882">
        <v>109.13979999999999</v>
      </c>
      <c r="AB882">
        <v>126.49809999999999</v>
      </c>
      <c r="AC882">
        <v>105.7976</v>
      </c>
      <c r="AD882">
        <v>106.0748</v>
      </c>
      <c r="AE882"/>
      <c r="AF882">
        <v>110.6589</v>
      </c>
      <c r="AG882">
        <v>129.84610000000001</v>
      </c>
      <c r="AH882">
        <v>112.67</v>
      </c>
      <c r="AI882">
        <v>119.0826</v>
      </c>
      <c r="AJ882">
        <v>129.84049999999999</v>
      </c>
      <c r="AK882">
        <v>113.2032</v>
      </c>
      <c r="AL882">
        <v>117.8015</v>
      </c>
      <c r="AM882">
        <v>120.1117</v>
      </c>
      <c r="AN882">
        <v>123.9075</v>
      </c>
      <c r="AO882">
        <v>120.32170000000001</v>
      </c>
      <c r="AP882">
        <v>109.7791</v>
      </c>
      <c r="AQ882"/>
      <c r="AR882"/>
      <c r="AS882">
        <v>122.6182</v>
      </c>
      <c r="AT882">
        <v>111.5519</v>
      </c>
      <c r="AU882">
        <v>112.61620000000001</v>
      </c>
      <c r="AV882">
        <v>318.68920000000003</v>
      </c>
      <c r="AW882">
        <v>120.7473</v>
      </c>
      <c r="AX882">
        <v>132.34</v>
      </c>
    </row>
    <row r="883" spans="1:50" x14ac:dyDescent="0.35">
      <c r="A883" s="75">
        <v>44713</v>
      </c>
      <c r="B883">
        <v>117.4015</v>
      </c>
      <c r="C883">
        <v>114.4097</v>
      </c>
      <c r="D883"/>
      <c r="E883">
        <v>117.60469999999999</v>
      </c>
      <c r="F883">
        <v>102.93219999999999</v>
      </c>
      <c r="G883">
        <v>128.09819999999999</v>
      </c>
      <c r="H883"/>
      <c r="I883">
        <v>132.0377</v>
      </c>
      <c r="J883"/>
      <c r="K883">
        <v>132.9</v>
      </c>
      <c r="L883">
        <v>112.31270000000001</v>
      </c>
      <c r="M883">
        <v>109.56</v>
      </c>
      <c r="N883">
        <v>110.5</v>
      </c>
      <c r="O883">
        <v>109.791</v>
      </c>
      <c r="P883">
        <v>121.68389999999999</v>
      </c>
      <c r="Q883"/>
      <c r="R883">
        <v>109.47</v>
      </c>
      <c r="S883">
        <v>107.72199999999999</v>
      </c>
      <c r="T883"/>
      <c r="U883">
        <v>116.1682</v>
      </c>
      <c r="V883">
        <v>117.6</v>
      </c>
      <c r="W883">
        <v>103.2401</v>
      </c>
      <c r="X883">
        <v>128.3997</v>
      </c>
      <c r="Y883"/>
      <c r="Z883"/>
      <c r="AA883">
        <v>109.7702</v>
      </c>
      <c r="AB883">
        <v>127.93680000000001</v>
      </c>
      <c r="AC883">
        <v>106.1259</v>
      </c>
      <c r="AD883">
        <v>106.74209999999999</v>
      </c>
      <c r="AE883"/>
      <c r="AF883">
        <v>111.12430000000001</v>
      </c>
      <c r="AG883">
        <v>131.08410000000001</v>
      </c>
      <c r="AH883">
        <v>112.93</v>
      </c>
      <c r="AI883">
        <v>120.0125</v>
      </c>
      <c r="AJ883">
        <v>130.6396</v>
      </c>
      <c r="AK883">
        <v>113.33799999999999</v>
      </c>
      <c r="AL883">
        <v>118.2911</v>
      </c>
      <c r="AM883">
        <v>120.85290000000001</v>
      </c>
      <c r="AN883">
        <v>124.7658</v>
      </c>
      <c r="AO883">
        <v>121.0172</v>
      </c>
      <c r="AP883">
        <v>110.15560000000001</v>
      </c>
      <c r="AQ883"/>
      <c r="AR883"/>
      <c r="AS883">
        <v>123.5462</v>
      </c>
      <c r="AT883">
        <v>112.89190000000001</v>
      </c>
      <c r="AU883">
        <v>113.4406</v>
      </c>
      <c r="AV883">
        <v>329.32679999999999</v>
      </c>
      <c r="AW883">
        <v>121.6447</v>
      </c>
      <c r="AX883">
        <v>132.94120000000001</v>
      </c>
    </row>
    <row r="884" spans="1:50" x14ac:dyDescent="0.35">
      <c r="A884" s="75">
        <v>44743</v>
      </c>
      <c r="B884">
        <v>117.947</v>
      </c>
      <c r="C884">
        <v>115.4392</v>
      </c>
      <c r="D884"/>
      <c r="E884">
        <v>118.4004</v>
      </c>
      <c r="F884">
        <v>102.77379999999999</v>
      </c>
      <c r="G884">
        <v>129.30269999999999</v>
      </c>
      <c r="H884"/>
      <c r="I884">
        <v>132.8013</v>
      </c>
      <c r="J884"/>
      <c r="K884">
        <v>134.5</v>
      </c>
      <c r="L884">
        <v>113.2773</v>
      </c>
      <c r="M884">
        <v>110.43989999999999</v>
      </c>
      <c r="N884">
        <v>110.33</v>
      </c>
      <c r="O884">
        <v>109.11620000000001</v>
      </c>
      <c r="P884">
        <v>123.532</v>
      </c>
      <c r="Q884"/>
      <c r="R884">
        <v>110.02</v>
      </c>
      <c r="S884">
        <v>108.1504</v>
      </c>
      <c r="T884"/>
      <c r="U884">
        <v>116.65479999999999</v>
      </c>
      <c r="V884">
        <v>117.9</v>
      </c>
      <c r="W884">
        <v>101.0333</v>
      </c>
      <c r="X884">
        <v>130.87899999999999</v>
      </c>
      <c r="Y884"/>
      <c r="Z884"/>
      <c r="AA884">
        <v>110.3916</v>
      </c>
      <c r="AB884">
        <v>129.63929999999999</v>
      </c>
      <c r="AC884">
        <v>107.2325</v>
      </c>
      <c r="AD884">
        <v>107.3325</v>
      </c>
      <c r="AE884"/>
      <c r="AF884">
        <v>111.5369</v>
      </c>
      <c r="AG884">
        <v>131.74760000000001</v>
      </c>
      <c r="AH884">
        <v>111.87</v>
      </c>
      <c r="AI884">
        <v>120.45489999999999</v>
      </c>
      <c r="AJ884">
        <v>131.30860000000001</v>
      </c>
      <c r="AK884">
        <v>114.76909999999999</v>
      </c>
      <c r="AL884">
        <v>118.8267</v>
      </c>
      <c r="AM884">
        <v>121.54949999999999</v>
      </c>
      <c r="AN884">
        <v>125.7604</v>
      </c>
      <c r="AO884">
        <v>121.7127</v>
      </c>
      <c r="AP884">
        <v>109.789</v>
      </c>
      <c r="AQ884"/>
      <c r="AR884"/>
      <c r="AS884">
        <v>124.5543</v>
      </c>
      <c r="AT884">
        <v>113.3319</v>
      </c>
      <c r="AU884">
        <v>113.7187</v>
      </c>
      <c r="AV884">
        <v>341.40629999999999</v>
      </c>
      <c r="AW884">
        <v>122.04349999999999</v>
      </c>
      <c r="AX884">
        <v>134.10730000000001</v>
      </c>
    </row>
    <row r="885" spans="1:50" x14ac:dyDescent="0.35">
      <c r="A885" s="75">
        <v>44774</v>
      </c>
      <c r="B885">
        <v>118.3835</v>
      </c>
      <c r="C885">
        <v>115.9053</v>
      </c>
      <c r="D885"/>
      <c r="E885">
        <v>118.5921</v>
      </c>
      <c r="F885">
        <v>102.97969999999999</v>
      </c>
      <c r="G885">
        <v>130.44210000000001</v>
      </c>
      <c r="H885"/>
      <c r="I885">
        <v>133.74090000000001</v>
      </c>
      <c r="J885"/>
      <c r="K885">
        <v>135.6</v>
      </c>
      <c r="L885">
        <v>113.4684</v>
      </c>
      <c r="M885">
        <v>110.505</v>
      </c>
      <c r="N885">
        <v>110.92</v>
      </c>
      <c r="O885">
        <v>109.4242</v>
      </c>
      <c r="P885">
        <v>124.919</v>
      </c>
      <c r="Q885"/>
      <c r="R885">
        <v>110.46</v>
      </c>
      <c r="S885">
        <v>108.97839999999999</v>
      </c>
      <c r="T885"/>
      <c r="U885">
        <v>117.199</v>
      </c>
      <c r="V885">
        <v>118.7</v>
      </c>
      <c r="W885">
        <v>100.8646</v>
      </c>
      <c r="X885">
        <v>132.68219999999999</v>
      </c>
      <c r="Y885"/>
      <c r="Z885"/>
      <c r="AA885">
        <v>110.9439</v>
      </c>
      <c r="AB885">
        <v>130.24809999999999</v>
      </c>
      <c r="AC885">
        <v>107.6866</v>
      </c>
      <c r="AD885">
        <v>107.8918</v>
      </c>
      <c r="AE885"/>
      <c r="AF885">
        <v>111.886</v>
      </c>
      <c r="AG885">
        <v>132.26349999999999</v>
      </c>
      <c r="AH885">
        <v>113.66</v>
      </c>
      <c r="AI885">
        <v>120.85429999999999</v>
      </c>
      <c r="AJ885">
        <v>132.0564</v>
      </c>
      <c r="AK885">
        <v>115.39149999999999</v>
      </c>
      <c r="AL885">
        <v>118.44629999999999</v>
      </c>
      <c r="AM885">
        <v>122.2317</v>
      </c>
      <c r="AN885">
        <v>126.7133</v>
      </c>
      <c r="AO885">
        <v>122.669</v>
      </c>
      <c r="AP885">
        <v>109.81870000000001</v>
      </c>
      <c r="AQ885"/>
      <c r="AR885"/>
      <c r="AS885">
        <v>125.66670000000001</v>
      </c>
      <c r="AT885">
        <v>113.61190000000001</v>
      </c>
      <c r="AU885">
        <v>114.7676</v>
      </c>
      <c r="AV885">
        <v>351.25139999999999</v>
      </c>
      <c r="AW885">
        <v>122.6759</v>
      </c>
      <c r="AX885">
        <v>134.46680000000001</v>
      </c>
    </row>
    <row r="886" spans="1:50" x14ac:dyDescent="0.35">
      <c r="A886" s="75">
        <v>44805</v>
      </c>
      <c r="B886">
        <v>119.2563</v>
      </c>
      <c r="C886">
        <v>116.2161</v>
      </c>
      <c r="D886"/>
      <c r="E886">
        <v>119.0532</v>
      </c>
      <c r="F886">
        <v>102.9954</v>
      </c>
      <c r="G886">
        <v>130.97380000000001</v>
      </c>
      <c r="H886"/>
      <c r="I886">
        <v>134.66329999999999</v>
      </c>
      <c r="J886"/>
      <c r="K886">
        <v>136.19999999999999</v>
      </c>
      <c r="L886">
        <v>114.8111</v>
      </c>
      <c r="M886">
        <v>110.8079</v>
      </c>
      <c r="N886">
        <v>111.98</v>
      </c>
      <c r="O886">
        <v>109.5681</v>
      </c>
      <c r="P886">
        <v>126.16759999999999</v>
      </c>
      <c r="Q886"/>
      <c r="R886">
        <v>110.97</v>
      </c>
      <c r="S886">
        <v>108.2303</v>
      </c>
      <c r="T886"/>
      <c r="U886">
        <v>117.6425</v>
      </c>
      <c r="V886">
        <v>119.3</v>
      </c>
      <c r="W886">
        <v>104.6407</v>
      </c>
      <c r="X886">
        <v>133.8843</v>
      </c>
      <c r="Y886"/>
      <c r="Z886"/>
      <c r="AA886">
        <v>110.8419</v>
      </c>
      <c r="AB886">
        <v>130.43870000000001</v>
      </c>
      <c r="AC886">
        <v>108.0774</v>
      </c>
      <c r="AD886">
        <v>107.983</v>
      </c>
      <c r="AE886"/>
      <c r="AF886">
        <v>111.8331</v>
      </c>
      <c r="AG886">
        <v>134.52070000000001</v>
      </c>
      <c r="AH886">
        <v>113.7</v>
      </c>
      <c r="AI886">
        <v>122.27370000000001</v>
      </c>
      <c r="AJ886">
        <v>132.7028</v>
      </c>
      <c r="AK886">
        <v>115.9598</v>
      </c>
      <c r="AL886">
        <v>119.74679999999999</v>
      </c>
      <c r="AM886">
        <v>122.8599</v>
      </c>
      <c r="AN886">
        <v>127.6996</v>
      </c>
      <c r="AO886">
        <v>124.40770000000001</v>
      </c>
      <c r="AP886">
        <v>111.5228</v>
      </c>
      <c r="AQ886"/>
      <c r="AR886"/>
      <c r="AS886">
        <v>126.5842</v>
      </c>
      <c r="AT886">
        <v>113.4919</v>
      </c>
      <c r="AU886">
        <v>115.9439</v>
      </c>
      <c r="AV886">
        <v>360.38159999999999</v>
      </c>
      <c r="AW886">
        <v>123.1977</v>
      </c>
      <c r="AX886">
        <v>135.2011</v>
      </c>
    </row>
    <row r="887" spans="1:50" x14ac:dyDescent="0.35">
      <c r="A887" s="75">
        <v>44835</v>
      </c>
      <c r="B887">
        <v>120.2383</v>
      </c>
      <c r="C887">
        <v>116.97369999999999</v>
      </c>
      <c r="D887"/>
      <c r="E887">
        <v>119.4034</v>
      </c>
      <c r="F887">
        <v>102.91589999999999</v>
      </c>
      <c r="G887">
        <v>131.5489</v>
      </c>
      <c r="H887"/>
      <c r="I887">
        <v>135.3749</v>
      </c>
      <c r="J887"/>
      <c r="K887">
        <v>137.4</v>
      </c>
      <c r="L887">
        <v>115.2902</v>
      </c>
      <c r="M887">
        <v>111.434</v>
      </c>
      <c r="N887">
        <v>112.6</v>
      </c>
      <c r="O887">
        <v>110.58969999999999</v>
      </c>
      <c r="P887">
        <v>127.41630000000001</v>
      </c>
      <c r="Q887"/>
      <c r="R887">
        <v>111.79</v>
      </c>
      <c r="S887">
        <v>108.4706</v>
      </c>
      <c r="T887"/>
      <c r="U887">
        <v>118.01819999999999</v>
      </c>
      <c r="V887">
        <v>120</v>
      </c>
      <c r="W887">
        <v>105.32689999999999</v>
      </c>
      <c r="X887">
        <v>135.53720000000001</v>
      </c>
      <c r="Y887"/>
      <c r="Z887"/>
      <c r="AA887">
        <v>110.9862</v>
      </c>
      <c r="AB887">
        <v>131.0411</v>
      </c>
      <c r="AC887">
        <v>108.5399</v>
      </c>
      <c r="AD887">
        <v>108.0873</v>
      </c>
      <c r="AE887"/>
      <c r="AF887">
        <v>112.23520000000001</v>
      </c>
      <c r="AG887">
        <v>136.23240000000001</v>
      </c>
      <c r="AH887">
        <v>113.77</v>
      </c>
      <c r="AI887">
        <v>123.2984</v>
      </c>
      <c r="AJ887">
        <v>133.32730000000001</v>
      </c>
      <c r="AK887">
        <v>117.1528</v>
      </c>
      <c r="AL887">
        <v>120.1874</v>
      </c>
      <c r="AM887">
        <v>123.5403</v>
      </c>
      <c r="AN887">
        <v>128.80609999999999</v>
      </c>
      <c r="AO887">
        <v>125.6249</v>
      </c>
      <c r="AP887">
        <v>112.1371</v>
      </c>
      <c r="AQ887"/>
      <c r="AR887"/>
      <c r="AS887">
        <v>127.6301</v>
      </c>
      <c r="AT887">
        <v>114.2719</v>
      </c>
      <c r="AU887">
        <v>117.3614</v>
      </c>
      <c r="AV887">
        <v>372.33449999999999</v>
      </c>
      <c r="AW887">
        <v>123.55800000000001</v>
      </c>
      <c r="AX887">
        <v>135.70179999999999</v>
      </c>
    </row>
    <row r="888" spans="1:50" x14ac:dyDescent="0.35">
      <c r="A888" s="75">
        <v>44866</v>
      </c>
      <c r="B888">
        <v>120.893</v>
      </c>
      <c r="C888">
        <v>117.6147</v>
      </c>
      <c r="D888"/>
      <c r="E888">
        <v>119.51909999999999</v>
      </c>
      <c r="F888">
        <v>103.01479999999999</v>
      </c>
      <c r="G888">
        <v>132.47130000000001</v>
      </c>
      <c r="H888"/>
      <c r="I888">
        <v>136.15969999999999</v>
      </c>
      <c r="J888"/>
      <c r="K888">
        <v>137.9</v>
      </c>
      <c r="L888">
        <v>114.58669999999999</v>
      </c>
      <c r="M888">
        <v>111.4088</v>
      </c>
      <c r="N888">
        <v>112.6</v>
      </c>
      <c r="O888">
        <v>111.1152</v>
      </c>
      <c r="P888">
        <v>127.52979999999999</v>
      </c>
      <c r="Q888"/>
      <c r="R888">
        <v>112.34</v>
      </c>
      <c r="S888">
        <v>108.673</v>
      </c>
      <c r="T888"/>
      <c r="U888">
        <v>118.06270000000001</v>
      </c>
      <c r="V888">
        <v>120.4</v>
      </c>
      <c r="W888">
        <v>104.9879</v>
      </c>
      <c r="X888">
        <v>137.1901</v>
      </c>
      <c r="Y888"/>
      <c r="Z888"/>
      <c r="AA888">
        <v>111.3475</v>
      </c>
      <c r="AB888">
        <v>131.25829999999999</v>
      </c>
      <c r="AC888">
        <v>108.6799</v>
      </c>
      <c r="AD888">
        <v>108.08580000000001</v>
      </c>
      <c r="AE888"/>
      <c r="AF888">
        <v>112.56310000000001</v>
      </c>
      <c r="AG888">
        <v>137.1163</v>
      </c>
      <c r="AH888">
        <v>113.92</v>
      </c>
      <c r="AI888">
        <v>124.53700000000001</v>
      </c>
      <c r="AJ888">
        <v>133.8252</v>
      </c>
      <c r="AK888">
        <v>116.46169999999999</v>
      </c>
      <c r="AL888">
        <v>120.0962</v>
      </c>
      <c r="AM888">
        <v>123.7908</v>
      </c>
      <c r="AN888">
        <v>129.23949999999999</v>
      </c>
      <c r="AO888">
        <v>126.49420000000001</v>
      </c>
      <c r="AP888">
        <v>112.6028</v>
      </c>
      <c r="AQ888"/>
      <c r="AR888"/>
      <c r="AS888">
        <v>128.583</v>
      </c>
      <c r="AT888">
        <v>114.8219</v>
      </c>
      <c r="AU888">
        <v>117.94110000000001</v>
      </c>
      <c r="AV888">
        <v>379.98989999999998</v>
      </c>
      <c r="AW888">
        <v>123.67570000000001</v>
      </c>
      <c r="AX888">
        <v>135.90870000000001</v>
      </c>
    </row>
    <row r="889" spans="1:50" x14ac:dyDescent="0.35">
      <c r="A889" s="75">
        <v>44896</v>
      </c>
      <c r="B889">
        <v>122.4205</v>
      </c>
      <c r="C889">
        <v>118.38200000000001</v>
      </c>
      <c r="D889"/>
      <c r="E889"/>
      <c r="F889">
        <v>103.1352</v>
      </c>
      <c r="G889">
        <v>132.67740000000001</v>
      </c>
      <c r="H889"/>
      <c r="I889">
        <v>137.38579999999999</v>
      </c>
      <c r="J889"/>
      <c r="K889">
        <v>138</v>
      </c>
      <c r="L889"/>
      <c r="M889">
        <v>111.78230000000001</v>
      </c>
      <c r="N889"/>
      <c r="O889">
        <v>111.6365</v>
      </c>
      <c r="P889">
        <v>128.04060000000001</v>
      </c>
      <c r="Q889"/>
      <c r="R889">
        <v>113.24</v>
      </c>
      <c r="S889">
        <v>108.97280000000001</v>
      </c>
      <c r="T889"/>
      <c r="U889"/>
      <c r="V889"/>
      <c r="W889">
        <v>105.3969</v>
      </c>
      <c r="X889">
        <v>138.31710000000001</v>
      </c>
      <c r="Y889"/>
      <c r="Z889"/>
      <c r="AA889">
        <v>111.9736</v>
      </c>
      <c r="AB889">
        <v>132.32040000000001</v>
      </c>
      <c r="AC889">
        <v>108.9209</v>
      </c>
      <c r="AD889">
        <v>108.7898</v>
      </c>
      <c r="AE889"/>
      <c r="AF889">
        <v>112.8699</v>
      </c>
      <c r="AG889">
        <v>138.00790000000001</v>
      </c>
      <c r="AH889">
        <v>113.76</v>
      </c>
      <c r="AI889">
        <v>124.6524</v>
      </c>
      <c r="AJ889">
        <v>134.55189999999999</v>
      </c>
      <c r="AK889">
        <v>117.2368</v>
      </c>
      <c r="AL889">
        <v>121.1621</v>
      </c>
      <c r="AM889"/>
      <c r="AN889"/>
      <c r="AO889">
        <v>127.27670000000001</v>
      </c>
      <c r="AP889">
        <v>112.6523</v>
      </c>
      <c r="AQ889"/>
      <c r="AR889"/>
      <c r="AS889">
        <v>128.98169999999999</v>
      </c>
      <c r="AT889"/>
      <c r="AU889">
        <v>119.2145</v>
      </c>
      <c r="AV889">
        <v>387.91910000000001</v>
      </c>
      <c r="AW889">
        <v>123.8874</v>
      </c>
      <c r="AX889"/>
    </row>
    <row r="890" spans="1:50" x14ac:dyDescent="0.35">
      <c r="A890" s="75">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row r="891" spans="1:50" x14ac:dyDescent="0.35">
      <c r="A891" s="75">
        <v>44958</v>
      </c>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row>
    <row r="892" spans="1:50" x14ac:dyDescent="0.35">
      <c r="A892" s="75">
        <v>44986</v>
      </c>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row>
    <row r="893" spans="1:50" x14ac:dyDescent="0.35">
      <c r="A893" s="75">
        <v>45017</v>
      </c>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row>
    <row r="894" spans="1:50" x14ac:dyDescent="0.35">
      <c r="A894" s="75">
        <v>45047</v>
      </c>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row>
    <row r="895" spans="1:50" x14ac:dyDescent="0.35">
      <c r="A895" s="75">
        <v>45078</v>
      </c>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row>
    <row r="896" spans="1:50" x14ac:dyDescent="0.35">
      <c r="A896" s="75">
        <v>45108</v>
      </c>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row>
    <row r="897" spans="1:50" x14ac:dyDescent="0.35">
      <c r="A897" s="75">
        <v>45139</v>
      </c>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row>
    <row r="898" spans="1:50" x14ac:dyDescent="0.35">
      <c r="A898" s="75">
        <v>45170</v>
      </c>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row>
    <row r="899" spans="1:50" x14ac:dyDescent="0.35">
      <c r="A899" s="75">
        <v>45200</v>
      </c>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row>
    <row r="900" spans="1:50" x14ac:dyDescent="0.35">
      <c r="A900" s="75">
        <v>45231</v>
      </c>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row>
    <row r="901" spans="1:50" x14ac:dyDescent="0.35">
      <c r="A901" s="75">
        <v>45261</v>
      </c>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row>
    <row r="902" spans="1:50" x14ac:dyDescent="0.35">
      <c r="A902" s="75">
        <v>45292</v>
      </c>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30" zoomScaleNormal="130" workbookViewId="0">
      <pane xSplit="1" ySplit="9" topLeftCell="B148" activePane="bottomRight" state="frozen"/>
      <selection activeCell="T26" sqref="T26"/>
      <selection pane="topRight" activeCell="T26" sqref="T26"/>
      <selection pane="bottomLeft" activeCell="T26" sqref="T26"/>
      <selection pane="bottomRight" activeCell="A154" sqref="A154"/>
    </sheetView>
  </sheetViews>
  <sheetFormatPr defaultColWidth="8.81640625" defaultRowHeight="14.5" x14ac:dyDescent="0.35"/>
  <cols>
    <col min="1" max="1" width="9.1796875" style="72" customWidth="1"/>
    <col min="2" max="2" width="13.6328125" customWidth="1"/>
    <col min="3" max="3" width="9.1796875" customWidth="1"/>
    <col min="4" max="4" width="7" customWidth="1"/>
    <col min="5" max="5" width="7.36328125" customWidth="1"/>
    <col min="6" max="6" width="7" customWidth="1"/>
    <col min="7" max="9" width="7.36328125" customWidth="1"/>
    <col min="10" max="12" width="7.1796875" customWidth="1"/>
    <col min="13" max="13" width="7.36328125" customWidth="1"/>
    <col min="14" max="14" width="7" hidden="1" customWidth="1"/>
    <col min="15" max="15" width="6.81640625" customWidth="1"/>
    <col min="16" max="16" width="6.1796875" customWidth="1"/>
    <col min="17" max="17" width="7.6328125" hidden="1" customWidth="1"/>
    <col min="18" max="18" width="6.6328125" customWidth="1"/>
    <col min="19" max="19" width="7.36328125" customWidth="1"/>
    <col min="20" max="20" width="7"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1"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2" customFormat="1" ht="16" customHeight="1" thickBot="1" x14ac:dyDescent="0.4">
      <c r="AD2" s="72" t="s">
        <v>504</v>
      </c>
      <c r="AE2" s="28">
        <v>44866</v>
      </c>
    </row>
    <row r="3" spans="2:31" ht="75.75" customHeight="1" x14ac:dyDescent="0.35">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70"/>
    </row>
    <row r="4" spans="2:31" x14ac:dyDescent="0.35">
      <c r="B4" s="61" t="s">
        <v>513</v>
      </c>
      <c r="C4" s="22">
        <f t="shared" ref="C4:Y4" ca="1" si="0">MAX(OFFSET(C$59,COUNT(C$59:C$250),0,-13,1))</f>
        <v>9.0598213055061744E-2</v>
      </c>
      <c r="D4" s="22">
        <f t="shared" ca="1" si="0"/>
        <v>2.7833078169306535E-2</v>
      </c>
      <c r="E4" s="22" t="e">
        <f t="shared" ca="1" si="0"/>
        <v>#N/A</v>
      </c>
      <c r="F4" s="22" t="e">
        <f t="shared" ca="1" si="0"/>
        <v>#N/A</v>
      </c>
      <c r="G4" s="22" t="e">
        <f t="shared" ca="1" si="0"/>
        <v>#N/A</v>
      </c>
      <c r="H4" s="22">
        <f t="shared" ca="1" si="0"/>
        <v>6.2004662004662058E-2</v>
      </c>
      <c r="I4" s="22" t="e">
        <f t="shared" ca="1" si="0"/>
        <v>#N/A</v>
      </c>
      <c r="J4" s="22">
        <f t="shared" ca="1" si="0"/>
        <v>0.11837121212121213</v>
      </c>
      <c r="K4" s="22">
        <f t="shared" ca="1" si="0"/>
        <v>0.10770194703053385</v>
      </c>
      <c r="L4" s="22">
        <f t="shared" ca="1" si="0"/>
        <v>0.12338702006207</v>
      </c>
      <c r="M4" s="22">
        <f t="shared" ca="1" si="0"/>
        <v>8.6997558542958028E-2</v>
      </c>
      <c r="N4" s="22">
        <f t="shared" ca="1" si="0"/>
        <v>0.16698412994105594</v>
      </c>
      <c r="O4" s="22" t="e">
        <f t="shared" ca="1" si="0"/>
        <v>#N/A</v>
      </c>
      <c r="P4" s="22" t="e">
        <f t="shared" ca="1" si="0"/>
        <v>#N/A</v>
      </c>
      <c r="Q4" s="22" t="e">
        <f t="shared" ca="1" si="0"/>
        <v>#N/A</v>
      </c>
      <c r="R4" s="22">
        <f t="shared" ca="1" si="0"/>
        <v>3.4521040753623403E-2</v>
      </c>
      <c r="S4" s="22">
        <f t="shared" ca="1" si="0"/>
        <v>6.3368333365800958E-2</v>
      </c>
      <c r="T4" s="22" t="e">
        <f t="shared" ca="1" si="0"/>
        <v>#N/A</v>
      </c>
      <c r="U4" s="22">
        <f t="shared" ca="1" si="0"/>
        <v>0.1209375765283956</v>
      </c>
      <c r="V4" s="22">
        <f t="shared" ca="1" si="0"/>
        <v>9.159609651287598E-2</v>
      </c>
      <c r="W4" s="22">
        <f t="shared" ca="1" si="0"/>
        <v>0.85514812880657198</v>
      </c>
      <c r="X4" s="22">
        <f t="shared" ca="1" si="0"/>
        <v>0.17972742759795565</v>
      </c>
      <c r="Y4" s="62">
        <f t="shared" ca="1" si="0"/>
        <v>0.18036196269157873</v>
      </c>
      <c r="Z4" s="49" t="e">
        <f>MAX(Z94:Z106)</f>
        <v>#N/A</v>
      </c>
      <c r="AA4" s="22" t="e">
        <f>MAX(AA94:AA106)</f>
        <v>#N/A</v>
      </c>
      <c r="AB4" s="71"/>
    </row>
    <row r="5" spans="2:31" x14ac:dyDescent="0.35">
      <c r="B5" s="61" t="s">
        <v>514</v>
      </c>
      <c r="C5" s="22">
        <f t="shared" ref="C5:Y5" ca="1" si="1">MIN(OFFSET(C$59,COUNT(C$59:C$250),0,-13,1))</f>
        <v>6.4544183219345561E-2</v>
      </c>
      <c r="D5" s="22">
        <f t="shared" ca="1" si="1"/>
        <v>9.8516772317086745E-3</v>
      </c>
      <c r="E5" s="22" t="e">
        <f t="shared" ca="1" si="1"/>
        <v>#N/A</v>
      </c>
      <c r="F5" s="22" t="e">
        <f t="shared" ca="1" si="1"/>
        <v>#N/A</v>
      </c>
      <c r="G5" s="22" t="e">
        <f t="shared" ca="1" si="1"/>
        <v>#N/A</v>
      </c>
      <c r="H5" s="22">
        <f t="shared" ca="1" si="1"/>
        <v>2.8538812785388126E-2</v>
      </c>
      <c r="I5" s="22" t="e">
        <f t="shared" ca="1" si="1"/>
        <v>#N/A</v>
      </c>
      <c r="J5" s="22">
        <f t="shared" ca="1" si="1"/>
        <v>4.8402710551790899E-2</v>
      </c>
      <c r="K5" s="22">
        <f t="shared" ca="1" si="1"/>
        <v>5.7076599896853368E-2</v>
      </c>
      <c r="L5" s="22">
        <f t="shared" ca="1" si="1"/>
        <v>3.6883392278547693E-2</v>
      </c>
      <c r="M5" s="22">
        <f t="shared" ca="1" si="1"/>
        <v>7.0701061462377937E-2</v>
      </c>
      <c r="N5" s="22">
        <f t="shared" ca="1" si="1"/>
        <v>-1</v>
      </c>
      <c r="O5" s="22" t="e">
        <f t="shared" ca="1" si="1"/>
        <v>#N/A</v>
      </c>
      <c r="P5" s="22" t="e">
        <f t="shared" ca="1" si="1"/>
        <v>#N/A</v>
      </c>
      <c r="Q5" s="22" t="e">
        <f t="shared" ca="1" si="1"/>
        <v>#N/A</v>
      </c>
      <c r="R5" s="22">
        <f t="shared" ca="1" si="1"/>
        <v>1.6488178503451287E-2</v>
      </c>
      <c r="S5" s="22">
        <f t="shared" ca="1" si="1"/>
        <v>3.6124896492285431E-2</v>
      </c>
      <c r="T5" s="22" t="e">
        <f t="shared" ca="1" si="1"/>
        <v>#N/A</v>
      </c>
      <c r="U5" s="22">
        <f t="shared" ca="1" si="1"/>
        <v>6.2497536251143487E-2</v>
      </c>
      <c r="V5" s="22">
        <f t="shared" ca="1" si="1"/>
        <v>5.02465128415992E-2</v>
      </c>
      <c r="W5" s="22">
        <f t="shared" ca="1" si="1"/>
        <v>0.48690805508582369</v>
      </c>
      <c r="X5" s="22">
        <f t="shared" ca="1" si="1"/>
        <v>9.8765432098765329E-2</v>
      </c>
      <c r="Y5" s="62">
        <f t="shared" ca="1" si="1"/>
        <v>8.5401383273208509E-2</v>
      </c>
      <c r="Z5" s="49" t="e">
        <f>MIN(Z94:Z106)</f>
        <v>#N/A</v>
      </c>
      <c r="AA5" s="22" t="e">
        <f>MIN(AA94:AA106)</f>
        <v>#N/A</v>
      </c>
      <c r="AB5" s="71"/>
    </row>
    <row r="6" spans="2:31" x14ac:dyDescent="0.35">
      <c r="B6" s="61" t="s">
        <v>515</v>
      </c>
      <c r="C6" s="22">
        <f t="shared" ref="C6:Y6" ca="1" si="2">AVERAGE(OFFSET(C$59,COUNT(C$59:C$250),0,-13,1))</f>
        <v>8.0077393832276161E-2</v>
      </c>
      <c r="D6" s="22">
        <f t="shared" ca="1" si="2"/>
        <v>1.9753054178601969E-2</v>
      </c>
      <c r="E6" s="22" t="e">
        <f t="shared" ca="1" si="2"/>
        <v>#N/A</v>
      </c>
      <c r="F6" s="22" t="e">
        <f t="shared" ca="1" si="2"/>
        <v>#N/A</v>
      </c>
      <c r="G6" s="22" t="e">
        <f t="shared" ca="1" si="2"/>
        <v>#N/A</v>
      </c>
      <c r="H6" s="22">
        <f t="shared" ca="1" si="2"/>
        <v>5.2151586446539028E-2</v>
      </c>
      <c r="I6" s="22" t="e">
        <f t="shared" ca="1" si="2"/>
        <v>#N/A</v>
      </c>
      <c r="J6" s="22">
        <f t="shared" ca="1" si="2"/>
        <v>8.179537689364344E-2</v>
      </c>
      <c r="K6" s="22">
        <f t="shared" ca="1" si="2"/>
        <v>8.4029639441659323E-2</v>
      </c>
      <c r="L6" s="22">
        <f t="shared" ca="1" si="2"/>
        <v>8.3390906827093839E-2</v>
      </c>
      <c r="M6" s="22">
        <f t="shared" ca="1" si="2"/>
        <v>7.890964667704857E-2</v>
      </c>
      <c r="N6" s="22">
        <f t="shared" ca="1" si="2"/>
        <v>-0.72117135953253986</v>
      </c>
      <c r="O6" s="22" t="e">
        <f t="shared" ca="1" si="2"/>
        <v>#N/A</v>
      </c>
      <c r="P6" s="22" t="e">
        <f t="shared" ca="1" si="2"/>
        <v>#N/A</v>
      </c>
      <c r="Q6" s="22" t="e">
        <f t="shared" ca="1" si="2"/>
        <v>#N/A</v>
      </c>
      <c r="R6" s="22">
        <f t="shared" ca="1" si="2"/>
        <v>2.8329780286742826E-2</v>
      </c>
      <c r="S6" s="22">
        <f t="shared" ca="1" si="2"/>
        <v>5.084457696703254E-2</v>
      </c>
      <c r="T6" s="22" t="e">
        <f t="shared" ca="1" si="2"/>
        <v>#N/A</v>
      </c>
      <c r="U6" s="22">
        <f t="shared" ca="1" si="2"/>
        <v>9.6463787762035944E-2</v>
      </c>
      <c r="V6" s="22">
        <f t="shared" ca="1" si="2"/>
        <v>7.7906148567960701E-2</v>
      </c>
      <c r="W6" s="22">
        <f t="shared" ca="1" si="2"/>
        <v>0.71982924941897553</v>
      </c>
      <c r="X6" s="22">
        <f t="shared" ca="1" si="2"/>
        <v>0.15071484389806933</v>
      </c>
      <c r="Y6" s="62">
        <f t="shared" ca="1" si="2"/>
        <v>0.14372533767783199</v>
      </c>
      <c r="Z6" s="49" t="e">
        <f>AVERAGE(Z94:Z106)</f>
        <v>#N/A</v>
      </c>
      <c r="AA6" s="22" t="e">
        <f>AVERAGE(AA94:AA106)</f>
        <v>#N/A</v>
      </c>
      <c r="AB6" s="71"/>
    </row>
    <row r="7" spans="2:31" ht="16" customHeight="1" thickBot="1" x14ac:dyDescent="0.4">
      <c r="B7" s="63" t="s">
        <v>516</v>
      </c>
      <c r="C7" s="64" t="str">
        <f t="shared" ref="C7:Y7" ca="1" si="3">IF((VLOOKUP($AE$2,$B:$Y,MATCH(C3,$B$3:$Y$3,),))&gt;C6,"above","below")</f>
        <v>below</v>
      </c>
      <c r="D7" s="64" t="str">
        <f t="shared" ca="1" si="3"/>
        <v>below</v>
      </c>
      <c r="E7" s="64" t="e">
        <f t="shared" ca="1" si="3"/>
        <v>#N/A</v>
      </c>
      <c r="F7" s="64" t="e">
        <f t="shared" ca="1" si="3"/>
        <v>#N/A</v>
      </c>
      <c r="G7" s="64" t="e">
        <f t="shared" ca="1" si="3"/>
        <v>#N/A</v>
      </c>
      <c r="H7" s="64" t="str">
        <f t="shared" ca="1" si="3"/>
        <v>above</v>
      </c>
      <c r="I7" s="64" t="e">
        <f t="shared" ca="1" si="3"/>
        <v>#N/A</v>
      </c>
      <c r="J7" s="64" t="str">
        <f t="shared" ca="1" si="3"/>
        <v>above</v>
      </c>
      <c r="K7" s="64" t="str">
        <f t="shared" ca="1" si="3"/>
        <v>below</v>
      </c>
      <c r="L7" s="64" t="str">
        <f t="shared" ca="1" si="3"/>
        <v>above</v>
      </c>
      <c r="M7" s="64" t="str">
        <f t="shared" ca="1" si="3"/>
        <v>below</v>
      </c>
      <c r="N7" s="64" t="str">
        <f t="shared" ca="1" si="3"/>
        <v>below</v>
      </c>
      <c r="O7" s="64" t="e">
        <f t="shared" ca="1" si="3"/>
        <v>#N/A</v>
      </c>
      <c r="P7" s="64" t="e">
        <f t="shared" ca="1" si="3"/>
        <v>#N/A</v>
      </c>
      <c r="Q7" s="64" t="e">
        <f t="shared" ca="1" si="3"/>
        <v>#N/A</v>
      </c>
      <c r="R7" s="64" t="str">
        <f t="shared" ca="1" si="3"/>
        <v>above</v>
      </c>
      <c r="S7" s="64" t="str">
        <f t="shared" ca="1" si="3"/>
        <v>below</v>
      </c>
      <c r="T7" s="64" t="e">
        <f t="shared" ca="1" si="3"/>
        <v>#N/A</v>
      </c>
      <c r="U7" s="64" t="str">
        <f t="shared" ca="1" si="3"/>
        <v>below</v>
      </c>
      <c r="V7" s="64" t="str">
        <f t="shared" ca="1" si="3"/>
        <v>above</v>
      </c>
      <c r="W7" s="64" t="str">
        <f t="shared" ca="1" si="3"/>
        <v>above</v>
      </c>
      <c r="X7" s="64" t="str">
        <f t="shared" ca="1" si="3"/>
        <v>above</v>
      </c>
      <c r="Y7" s="65" t="str">
        <f t="shared" ca="1" si="3"/>
        <v>above</v>
      </c>
      <c r="Z7" s="50" t="e">
        <f>IF((VLOOKUP($AE$2,$B:$Z,MATCH(Z3,$B$3:$Z$3,),))&gt;Z6,"above","below")</f>
        <v>#N/A</v>
      </c>
      <c r="AA7" s="11" t="e">
        <f>IF((VLOOKUP($AE$2,$B:$AA,MATCH(AA3,$B$3:$AA$3,),))&gt;AA6,"above","below")</f>
        <v>#N/A</v>
      </c>
      <c r="AB7" s="71"/>
    </row>
    <row r="8" spans="2:31" hidden="1" x14ac:dyDescent="0.35">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35">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-1.3194350586227274E-2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9.7407269991382564E-3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-2.8369651637149183E-2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-1.0735731971307484E-2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6.4587788034806944E-3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-2.1596513944223097E-2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-6.6383059462644034E-3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4.7051128456330931E-3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-2.1417984021426719E-2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-6.3466799697512975E-3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4.3623494785036453E-3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-2.1068264781789872E-2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-1.8327052788246233E-3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5.5213319712029956E-3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-2.1491210937500116E-2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5.6192780810556645E-4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7.0135157278206186E-3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-2.1562238622624932E-2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35">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6.8411065614701122E-4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7.3523093366941444E-3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-2.2301763845875809E-2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35">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-4.2162403627936402E-3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7.0019761563003225E-3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-1.4592088131999062E-2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35">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-8.7929789977251437E-3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5.0377982951136423E-3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-1.7186708244007014E-2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35">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-7.0647601360826475E-3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8.078357805042978E-3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-9.1733014444409493E-3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35">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-2.7390277740589959E-3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8.2009318094104534E-3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-7.3905132132635835E-3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35">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1.8054682746296587E-4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1.1318303950694808E-2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35">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-2.8760196188556031E-3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6.2234966164272385E-3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35">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-8.4369992068245303E-3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1.113274692000611E-2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35">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-8.4051320071878138E-3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8.425229137412055E-3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35">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-1.054687811292185E-2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1.0018917046695074E-2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35">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-9.870562995451488E-3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7.7976061349165921E-3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35">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-7.94958146046865E-3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7.3962501011986407E-3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35">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-5.9404082895452293E-3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3.6924740773553229E-3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35">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-1.3400014980139304E-3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4.8729117515780764E-3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35">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1.7848834733249972E-3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1.3489054128026224E-2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2" t="s">
        <v>554</v>
      </c>
    </row>
    <row r="80" spans="2:32" x14ac:dyDescent="0.35">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6.7836768586495809E-3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1.4878514605816823E-2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6.7599751398384105E-3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1.5307788560626251E-2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1.5684792224124999E-2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1.3379511556529458E-2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2.9746906419946786E-2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2.2408338579477095E-2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2.9677195807824745E-2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2.0827940127730999E-2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2.2900381051213163E-2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2.2769287068830888E-2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2.5532063978756687E-2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1.9555199120204678E-2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1.9347969270259831E-2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2.0036563579064592E-2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1.5097664386934044E-2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1.8063174479391441E-2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1.5487642575626018E-2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2.1669764714068517E-2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1.6198052896700676E-2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2.4885906545984944E-2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1.7925118728419263E-2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2.0000749054811022E-2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1.5706396262345615E-2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1.7618058214394956E-2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1.6653118311219645E-2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1.15346779614907E-2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1.112117028567834E-2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1.4075243227489114E-2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5.7492997268021595E-3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7.6002915020148372E-3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1.0735459219821235E-2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1.252705953681066E-2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1.2138181205492742E-2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1.2155495446793764E-2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1.0792684064151271E-2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1.5281213462888249E-2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2.0515832828279353E-2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1.4690179771390973E-2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2.2745615533705986E-2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1.4803437827997555E-2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2.2459635042053071E-2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1.1189811346455032E-2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2.1886149790028661E-2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1.4317458689778437E-2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2.2597656904095431E-2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2.0871480957189274E-2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2.2620424456253896E-2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2.0025089394266258E-2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1.6860280408789546E-2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2.0370139386946918E-2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1.1840807035535085E-2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1.3204092015985994E-2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9.7953942602013074E-3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7.9297318046932137E-3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2" customFormat="1" x14ac:dyDescent="0.35">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1.0903782598849244E-2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4.6127789426209341E-3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2" customFormat="1" x14ac:dyDescent="0.35">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1.3376262715283405E-2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3.7473295113965468E-3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2" customFormat="1" x14ac:dyDescent="0.35">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1.5211038346151732E-2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5.5594655702432038E-3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2" customFormat="1" x14ac:dyDescent="0.35">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8.0987247444243762E-3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6.798848393539678E-3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2" customFormat="1" x14ac:dyDescent="0.35">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4.2855167964609637E-3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7.2082765535102797E-3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2" customFormat="1" x14ac:dyDescent="0.35">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2.7566539923954289E-2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5.2689290797699097E-3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6.0549729580462505E-3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2" customFormat="1" x14ac:dyDescent="0.35">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3.2771594346756292E-3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-3.7195887851538314E-4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2" customFormat="1" x14ac:dyDescent="0.35">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8.3511529792528805E-4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-4.2612197765272792E-3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2" customFormat="1" x14ac:dyDescent="0.35">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1.2874815562779452E-3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2" customFormat="1" x14ac:dyDescent="0.35">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4.0806889112461704E-3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1.5203722237926644E-3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2" customFormat="1" x14ac:dyDescent="0.35">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7.8805148487863189E-3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7.3847132793551139E-3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2" customFormat="1" x14ac:dyDescent="0.35">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1.0969065349691918E-2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1.2196736408898609E-2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2" customFormat="1" x14ac:dyDescent="0.35">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7.3094211718154741E-3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8.548951583323243E-3</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2" customFormat="1" x14ac:dyDescent="0.35">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-1.7586716038319058E-4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8.2619634819875182E-3</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2" customFormat="1" x14ac:dyDescent="0.35">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-7.1682153315431622E-3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1.9071158305867069E-4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2" customFormat="1" x14ac:dyDescent="0.35">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-9.1584132418893304E-3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-2.1265942317321182E-3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2" customFormat="1" x14ac:dyDescent="0.35">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-3.4174161084090586E-3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2.2015447998635159E-3</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2" customFormat="1" x14ac:dyDescent="0.35">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-6.1993507274258298E-3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4.4672744174659058E-3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2" customFormat="1" x14ac:dyDescent="0.35">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-5.1932203259333516E-3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7.6947810016668025E-3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2" customFormat="1" x14ac:dyDescent="0.35">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-3.6985814886141845E-3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9.4800109885617781E-3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2" customFormat="1" x14ac:dyDescent="0.35">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-8.0914585499808934E-3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1.3891430646677215E-3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2" customFormat="1" x14ac:dyDescent="0.35">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-8.1491434074153768E-3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6.1218418161845083E-3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2" customFormat="1" x14ac:dyDescent="0.35">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-5.321154732475717E-3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6.1272073309595158E-3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2" customFormat="1" x14ac:dyDescent="0.35">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4.5706186057737118E-3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9.4908276183652707E-3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2" customFormat="1" x14ac:dyDescent="0.35">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-1.646333009843264E-4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1.4177042075574237E-2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2" customFormat="1" x14ac:dyDescent="0.35">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1.3418511824797807E-2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1.9012056472357059E-2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2" customFormat="1" x14ac:dyDescent="0.35">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2.22910419573412E-2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2.4925064638899302E-2</v>
      </c>
      <c r="T134" s="20">
        <f>IF(VLOOKUP(B134,Data!$A:$AX,MATCH($T$1,Data!$A$1:$AX$1,))=0,#N/A,(VLOOKUP(B134,Data!$A:$AX,MATCH($T$1,Data!$A$1:$AX$1,),)-VLOOKUP(EDATE(B134,-12),Data!$A:$AX,MATCH($T$1,Data!$A$1:$AX$1,),))/VLOOKUP(EDATE(B134,-12),Data!$A:$AX,MATCH($T$1,Data!$A$1:$AX$1,),))</f>
        <v>6.7592888992359351E-2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2" customFormat="1" x14ac:dyDescent="0.35">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2.7172221467384766E-2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2.6247004594227352E-2</v>
      </c>
      <c r="T135" s="20">
        <f>IF(VLOOKUP(B135,Data!$A:$AX,MATCH($T$1,Data!$A$1:$AX$1,))=0,#N/A,(VLOOKUP(B135,Data!$A:$AX,MATCH($T$1,Data!$A$1:$AX$1,),)-VLOOKUP(EDATE(B135,-12),Data!$A:$AX,MATCH($T$1,Data!$A$1:$AX$1,),))/VLOOKUP(EDATE(B135,-12),Data!$A:$AX,MATCH($T$1,Data!$A$1:$AX$1,),))</f>
        <v>8.0561228919632022E-2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2" customFormat="1" x14ac:dyDescent="0.35">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2.7323730476712143E-2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2.3468345133467336E-2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2" customFormat="1" x14ac:dyDescent="0.35">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2.8815888809307154E-2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2.6396896051034163E-2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2" customFormat="1" x14ac:dyDescent="0.35">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3.3017914170256769E-2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2.5551564224969677E-2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2" customFormat="1" x14ac:dyDescent="0.35">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4.007229492930868E-2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2.4121072415949258E-2</v>
      </c>
      <c r="T139" s="20">
        <f>IF(VLOOKUP(B139,Data!$A:$AX,MATCH($T$1,Data!$A$1:$AX$1,))=0,#N/A,(VLOOKUP(B139,Data!$A:$AX,MATCH($T$1,Data!$A$1:$AX$1,),)-VLOOKUP(EDATE(B139,-12),Data!$A:$AX,MATCH($T$1,Data!$A$1:$AX$1,),))/VLOOKUP(EDATE(B139,-12),Data!$A:$AX,MATCH($T$1,Data!$A$1:$AX$1,),))</f>
        <v>0.10246444505020584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2" customFormat="1" x14ac:dyDescent="0.35">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5.3667831972955202E-2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3.1643675809982577E-2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2" customFormat="1" x14ac:dyDescent="0.35">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5.5162211323708944E-2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3.7765229489614527E-2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2" customFormat="1" x14ac:dyDescent="0.35">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6.5499349008194763E-2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3.697806655106492E-2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2" customFormat="1" x14ac:dyDescent="0.35">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5.1082415495632451E-2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4.8918477356075275E-2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6.1322578915930313E-2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3.6124896492285431E-2</v>
      </c>
      <c r="T143" s="20">
        <f>IF(VLOOKUP(B143,Data!$A:$AX,MATCH($T$1,Data!$A$1:$AX$1,))=0,#N/A,(VLOOKUP(B143,Data!$A:$AX,MATCH($T$1,Data!$A$1:$AX$1,),)-VLOOKUP(EDATE(B143,-12),Data!$A:$AX,MATCH($T$1,Data!$A$1:$AX$1,),))/VLOOKUP(EDATE(B143,-12),Data!$A:$AX,MATCH($T$1,Data!$A$1:$AX$1,),))</f>
        <v>0.10379487671154489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2" customFormat="1" x14ac:dyDescent="0.35">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5.874549933674425E-2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5.1402663855919344E-2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3.662109147008253E-2</v>
      </c>
      <c r="T144" s="20">
        <f>IF(VLOOKUP(B144,Data!$A:$AX,MATCH($T$1,Data!$A$1:$AX$1,))=0,#N/A,(VLOOKUP(B144,Data!$A:$AX,MATCH($T$1,Data!$A$1:$AX$1,),)-VLOOKUP(EDATE(B144,-12),Data!$A:$AX,MATCH($T$1,Data!$A$1:$AX$1,),))/VLOOKUP(EDATE(B144,-12),Data!$A:$AX,MATCH($T$1,Data!$A$1:$AX$1,),))</f>
        <v>0.10543652910909537</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2" customFormat="1" x14ac:dyDescent="0.35">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7.4439125129071554E-2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7.2558150782334824E-2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9.8183819167745892E-2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4.1437369827081919E-2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2" customFormat="1" x14ac:dyDescent="0.35">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7.4388650364009698E-2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7.3937792234193847E-2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8.3446910787501813E-2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4.7754146791585059E-2</v>
      </c>
      <c r="T146" s="20">
        <f>IF(VLOOKUP(B146,Data!$A:$AX,MATCH($T$1,Data!$A$1:$AX$1,))=0,#N/A,(VLOOKUP(B146,Data!$A:$AX,MATCH($T$1,Data!$A$1:$AX$1,),)-VLOOKUP(EDATE(B146,-12),Data!$A:$AX,MATCH($T$1,Data!$A$1:$AX$1,),))/VLOOKUP(EDATE(B146,-12),Data!$A:$AX,MATCH($T$1,Data!$A$1:$AX$1,),))</f>
        <v>0.12131658949711699</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2" customFormat="1" x14ac:dyDescent="0.35">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8.0525041891640212E-2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7.9116540851983233E-2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8.7273406138567683E-2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5.3993080408185359E-2</v>
      </c>
      <c r="T147" s="20">
        <f>IF(VLOOKUP(B147,Data!$A:$AX,MATCH($T$1,Data!$A$1:$AX$1,))=0,#N/A,(VLOOKUP(B147,Data!$A:$AX,MATCH($T$1,Data!$A$1:$AX$1,),)-VLOOKUP(EDATE(B147,-12),Data!$A:$AX,MATCH($T$1,Data!$A$1:$AX$1,),))/VLOOKUP(EDATE(B147,-12),Data!$A:$AX,MATCH($T$1,Data!$A$1:$AX$1,),))</f>
        <v>0.11731178209256483</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2" customFormat="1" x14ac:dyDescent="0.35">
      <c r="B148" s="15">
        <v>44713</v>
      </c>
      <c r="C148" s="20">
        <f>IF(VLOOKUP(B148,Data!$A:$AX,MATCH($C$1,Data!$A$1:$AX$1,))=0,#N/A,(VLOOKUP(B148,Data!$A:$AX,MATCH($C$1,Data!$A$1:$AX$1,),)-VLOOKUP(EDATE(B148,-12),Data!$A:$AX,MATCH($C$1,Data!$A$1:$AX$1,),))/VLOOKUP(EDATE(B148,-12),Data!$A:$AX,MATCH($C$1,Data!$A$1:$AX$1,),))</f>
        <v>9.0598213055061744E-2</v>
      </c>
      <c r="D148" s="20">
        <f>IF(VLOOKUP(B148,Data!$A:$AX,MATCH($D$1,Data!$A$1:$AX$1,))=0,#N/A,(VLOOKUP(B148,Data!$A:$AX,MATCH($D$1,Data!$A$1:$AX$1,),)-VLOOKUP(EDATE(B148,-12),Data!$A:$AX,MATCH($D$1,Data!$A$1:$AX$1,),))/VLOOKUP(EDATE(B148,-12),Data!$A:$AX,MATCH($D$1,Data!$A$1:$AX$1,),))</f>
        <v>2.4949628341260403E-2</v>
      </c>
      <c r="E148" s="20">
        <f>IF(VLOOKUP(B148,Data!$A:$AX,MATCH($E$1,Data!$A$1:$AX$1,))=0,#N/A,(VLOOKUP(B148,Data!$A:$AX,MATCH($E$1,Data!$A$1:$AX$1,),)-VLOOKUP(EDATE(B148,-12),Data!$A:$AX,MATCH($E$1,Data!$A$1:$AX$1,),))/VLOOKUP(EDATE(B148,-12),Data!$A:$AX,MATCH($E$1,Data!$A$1:$AX$1,),))</f>
        <v>8.6443825441039943E-2</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7.6077134703468358E-2</v>
      </c>
      <c r="H148" s="20">
        <f>IF(VLOOKUP(B148,Data!$A:$AX,MATCH($H$1,Data!$A$1:$AX$1,))=0,#N/A,(VLOOKUP(B148,Data!$A:$AX,MATCH($H$1,Data!$A$1:$AX$1,),)-VLOOKUP(EDATE(B148,-12),Data!$A:$AX,MATCH($H$1,Data!$A$1:$AX$1,),))/VLOOKUP(EDATE(B148,-12),Data!$A:$AX,MATCH($H$1,Data!$A$1:$AX$1,),))</f>
        <v>5.8397592627421419E-2</v>
      </c>
      <c r="I148" s="20">
        <f>IF(VLOOKUP(B148,Data!$A:$AX,MATCH($I$1,Data!$A$1:$AX$1,))=0,#N/A,(VLOOKUP(B148,Data!$A:$AX,MATCH($I$1,Data!$A$1:$AX$1,),)-VLOOKUP(EDATE(B148,-12),Data!$A:$AX,MATCH($I$1,Data!$A$1:$AX$1,),))/VLOOKUP(EDATE(B148,-12),Data!$A:$AX,MATCH($I$1,Data!$A$1:$AX$1,),))</f>
        <v>8.1687612208258473E-2</v>
      </c>
      <c r="J148" s="20">
        <f>IF(VLOOKUP(B148,Data!$A:$AX,MATCH($J$1,Data!$A$1:$AX$1,))=0,#N/A,(VLOOKUP(B148,Data!$A:$AX,MATCH($J$1,Data!$A$1:$AX$1,),)-VLOOKUP(EDATE(B148,-12),Data!$A:$AX,MATCH($J$1,Data!$A$1:$AX$1,),))/VLOOKUP(EDATE(B148,-12),Data!$A:$AX,MATCH($J$1,Data!$A$1:$AX$1,),))</f>
        <v>7.9654510556621858E-2</v>
      </c>
      <c r="K148" s="20">
        <f>IF(VLOOKUP(B148,Data!$A:$AX,MATCH($K$1,Data!$A$1:$AX$1,))=0,#N/A,(VLOOKUP(B148,Data!$A:$AX,MATCH($K$1,Data!$A$1:$AX$1,),)-VLOOKUP(EDATE(B148,-12),Data!$A:$AX,MATCH($K$1,Data!$A$1:$AX$1,),))/VLOOKUP(EDATE(B148,-12),Data!$A:$AX,MATCH($K$1,Data!$A$1:$AX$1,),))</f>
        <v>0.10216400581500124</v>
      </c>
      <c r="L148" s="20">
        <f>IF(VLOOKUP(B148,Data!$A:$AX,MATCH($L$1,Data!$A$1:$AX$1,))=0,#N/A,(VLOOKUP(B148,Data!$A:$AX,MATCH($L$1,Data!$A$1:$AX$1,),)-VLOOKUP(EDATE(B148,-12),Data!$A:$AX,MATCH($L$1,Data!$A$1:$AX$1,),))/VLOOKUP(EDATE(B148,-12),Data!$A:$AX,MATCH($L$1,Data!$A$1:$AX$1,),))</f>
        <v>8.6809954501889358E-2</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f>IF(VLOOKUP(B148,Data!$A:$AX,MATCH($O$1,Data!$A$1:$AX$1,))=0,#N/A,(VLOOKUP(B148,Data!$A:$AX,MATCH($O$1,Data!$A$1:$AX$1,),)-VLOOKUP(EDATE(B148,-12),Data!$A:$AX,MATCH($O$1,Data!$A$1:$AX$1,),))/VLOOKUP(EDATE(B148,-12),Data!$A:$AX,MATCH($O$1,Data!$A$1:$AX$1,),))</f>
        <v>6.1626947843220772E-2</v>
      </c>
      <c r="P148" s="20">
        <f>IF(VLOOKUP(B148,Data!$A:$AX,MATCH($P$1,Data!$A$1:$AX$1,))=0,#N/A,(VLOOKUP(B148,Data!$A:$AX,MATCH($P$1,Data!$A$1:$AX$1,),)-VLOOKUP(EDATE(B148,-12),Data!$A:$AX,MATCH($P$1,Data!$A$1:$AX$1,),))/VLOOKUP(EDATE(B148,-12),Data!$A:$AX,MATCH($P$1,Data!$A$1:$AX$1,),))</f>
        <v>8.1329361491875099E-2</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6.0459979958839505E-2</v>
      </c>
      <c r="T148" s="20">
        <f>IF(VLOOKUP(B148,Data!$A:$AX,MATCH($T$1,Data!$A$1:$AX$1,))=0,#N/A,(VLOOKUP(B148,Data!$A:$AX,MATCH($T$1,Data!$A$1:$AX$1,),)-VLOOKUP(EDATE(B148,-12),Data!$A:$AX,MATCH($T$1,Data!$A$1:$AX$1,),))/VLOOKUP(EDATE(B148,-12),Data!$A:$AX,MATCH($T$1,Data!$A$1:$AX$1,),))</f>
        <v>0.11886935508569861</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9.0645591651259988E-2</v>
      </c>
      <c r="W148" s="20">
        <f>IF(VLOOKUP(B148,Data!$A:$AX,MATCH($W$1,Data!$A$1:$AX$1,))=0,#N/A,(VLOOKUP(B148,Data!$A:$AX,MATCH($W$1,Data!$A$1:$AX$1,),)-VLOOKUP(EDATE(B148,-12),Data!$A:$AX,MATCH($W$1,Data!$A$1:$AX$1,),))/VLOOKUP(EDATE(B148,-12),Data!$A:$AX,MATCH($W$1,Data!$A$1:$AX$1,),))</f>
        <v>0.78618396784334832</v>
      </c>
      <c r="X148" s="20">
        <f>IF(VLOOKUP(B148,Data!$A:$AX,MATCH($X$1,Data!$A$1:$AX$1,))=0,#N/A,(VLOOKUP(B148,Data!$A:$AX,MATCH($X$1,Data!$A$1:$AX$1,),)-VLOOKUP(EDATE(B148,-12),Data!$A:$AX,MATCH($X$1,Data!$A$1:$AX$1,),))/VLOOKUP(EDATE(B148,-12),Data!$A:$AX,MATCH($X$1,Data!$A$1:$AX$1,),))</f>
        <v>0.17187499999999997</v>
      </c>
      <c r="Y148" s="20">
        <f>IF(VLOOKUP(B148,Data!$A:$AX,MATCH($Y$1,Data!$A$1:$AX$1,))=0,#N/A,(VLOOKUP(B148,Data!$A:$AX,MATCH($Y$1,Data!$A$1:$AX$1,),)-VLOOKUP(EDATE(B148,-12),Data!$A:$AX,MATCH($Y$1,Data!$A$1:$AX$1,),))/VLOOKUP(EDATE(B148,-12),Data!$A:$AX,MATCH($Y$1,Data!$A$1:$AX$1,),))</f>
        <v>0.15571414907498324</v>
      </c>
    </row>
    <row r="149" spans="2:25" s="72" customFormat="1" x14ac:dyDescent="0.35">
      <c r="B149" s="15">
        <v>44743</v>
      </c>
      <c r="C149" s="20">
        <f>IF(VLOOKUP(B149,Data!$A:$AX,MATCH($C$1,Data!$A$1:$AX$1,))=0,#N/A,(VLOOKUP(B149,Data!$A:$AX,MATCH($C$1,Data!$A$1:$AX$1,),)-VLOOKUP(EDATE(B149,-12),Data!$A:$AX,MATCH($C$1,Data!$A$1:$AX$1,),))/VLOOKUP(EDATE(B149,-12),Data!$A:$AX,MATCH($C$1,Data!$A$1:$AX$1,),))</f>
        <v>8.52478970402724E-2</v>
      </c>
      <c r="D149" s="20">
        <f>IF(VLOOKUP(B149,Data!$A:$AX,MATCH($D$1,Data!$A$1:$AX$1,))=0,#N/A,(VLOOKUP(B149,Data!$A:$AX,MATCH($D$1,Data!$A$1:$AX$1,),)-VLOOKUP(EDATE(B149,-12),Data!$A:$AX,MATCH($D$1,Data!$A$1:$AX$1,),))/VLOOKUP(EDATE(B149,-12),Data!$A:$AX,MATCH($D$1,Data!$A$1:$AX$1,),))</f>
        <v>2.6866172243938152E-2</v>
      </c>
      <c r="E149" s="20">
        <f>IF(VLOOKUP(B149,Data!$A:$AX,MATCH($E$1,Data!$A$1:$AX$1,))=0,#N/A,(VLOOKUP(B149,Data!$A:$AX,MATCH($E$1,Data!$A$1:$AX$1,),)-VLOOKUP(EDATE(B149,-12),Data!$A:$AX,MATCH($E$1,Data!$A$1:$AX$1,),))/VLOOKUP(EDATE(B149,-12),Data!$A:$AX,MATCH($E$1,Data!$A$1:$AX$1,),))</f>
        <v>8.8661710037174782E-2</v>
      </c>
      <c r="F149" s="20" t="e">
        <f>IF(VLOOKUP(B149,Data!$A:$AX,MATCH($F$1,Data!$A$1:$AX$1,))=0,#N/A,(VLOOKUP(B149,Data!$A:$AX,MATCH($F$1,Data!$A$1:$AX$1,),)-VLOOKUP(EDATE(B149,-12),Data!$A:$AX,MATCH($F$1,Data!$A$1:$AX$1,),))/VLOOKUP(EDATE(B149,-12),Data!$A:$AX,MATCH($F$1,Data!$A$1:$AX$1,),))</f>
        <v>#N/A</v>
      </c>
      <c r="G149" s="20">
        <f>IF(VLOOKUP(B149,Data!$A:$AX,MATCH($G$1,Data!$A$1:$AX$1,))=0,#N/A,(VLOOKUP(B149,Data!$A:$AX,MATCH($G$1,Data!$A$1:$AX$1,),)-VLOOKUP(EDATE(B149,-12),Data!$A:$AX,MATCH($G$1,Data!$A$1:$AX$1,),))/VLOOKUP(EDATE(B149,-12),Data!$A:$AX,MATCH($G$1,Data!$A$1:$AX$1,),))</f>
        <v>7.5385221724979773E-2</v>
      </c>
      <c r="H149" s="20">
        <f>IF(VLOOKUP(B149,Data!$A:$AX,MATCH($H$1,Data!$A$1:$AX$1,))=0,#N/A,(VLOOKUP(B149,Data!$A:$AX,MATCH($H$1,Data!$A$1:$AX$1,),)-VLOOKUP(EDATE(B149,-12),Data!$A:$AX,MATCH($H$1,Data!$A$1:$AX$1,),))/VLOOKUP(EDATE(B149,-12),Data!$A:$AX,MATCH($H$1,Data!$A$1:$AX$1,),))</f>
        <v>6.0808270676691714E-2</v>
      </c>
      <c r="I149" s="20">
        <f>IF(VLOOKUP(B149,Data!$A:$AX,MATCH($I$1,Data!$A$1:$AX$1,))=0,#N/A,(VLOOKUP(B149,Data!$A:$AX,MATCH($I$1,Data!$A$1:$AX$1,),)-VLOOKUP(EDATE(B149,-12),Data!$A:$AX,MATCH($I$1,Data!$A$1:$AX$1,),))/VLOOKUP(EDATE(B149,-12),Data!$A:$AX,MATCH($I$1,Data!$A$1:$AX$1,),))</f>
        <v>8.797127468581685E-2</v>
      </c>
      <c r="J149" s="20">
        <f>IF(VLOOKUP(B149,Data!$A:$AX,MATCH($J$1,Data!$A$1:$AX$1,))=0,#N/A,(VLOOKUP(B149,Data!$A:$AX,MATCH($J$1,Data!$A$1:$AX$1,),)-VLOOKUP(EDATE(B149,-12),Data!$A:$AX,MATCH($J$1,Data!$A$1:$AX$1,),))/VLOOKUP(EDATE(B149,-12),Data!$A:$AX,MATCH($J$1,Data!$A$1:$AX$1,),))</f>
        <v>7.9274116523400162E-2</v>
      </c>
      <c r="K149" s="20">
        <f>IF(VLOOKUP(B149,Data!$A:$AX,MATCH($K$1,Data!$A$1:$AX$1,))=0,#N/A,(VLOOKUP(B149,Data!$A:$AX,MATCH($K$1,Data!$A$1:$AX$1,),)-VLOOKUP(EDATE(B149,-12),Data!$A:$AX,MATCH($K$1,Data!$A$1:$AX$1,),))/VLOOKUP(EDATE(B149,-12),Data!$A:$AX,MATCH($K$1,Data!$A$1:$AX$1,),))</f>
        <v>0.10770194703053385</v>
      </c>
      <c r="L149" s="20">
        <f>IF(VLOOKUP(B149,Data!$A:$AX,MATCH($L$1,Data!$A$1:$AX$1,))=0,#N/A,(VLOOKUP(B149,Data!$A:$AX,MATCH($L$1,Data!$A$1:$AX$1,),)-VLOOKUP(EDATE(B149,-12),Data!$A:$AX,MATCH($L$1,Data!$A$1:$AX$1,),))/VLOOKUP(EDATE(B149,-12),Data!$A:$AX,MATCH($L$1,Data!$A$1:$AX$1,),))</f>
        <v>8.488435972092509E-2</v>
      </c>
      <c r="M149" s="20">
        <f>IF(VLOOKUP(B149,Data!$A:$AX,MATCH($M$1,Data!$A$1:$AX$1,))=0,#N/A,(VLOOKUP(B149,Data!$A:$AX,MATCH($M$1,Data!$A$1:$AX$1,),)-VLOOKUP(EDATE(B149,-12),Data!$A:$AX,MATCH($M$1,Data!$A$1:$AX$1,),))/VLOOKUP(EDATE(B149,-12),Data!$A:$AX,MATCH($M$1,Data!$A$1:$AX$1,),))</f>
        <v>8.15077428886017E-2</v>
      </c>
      <c r="N149" s="20">
        <f>(VLOOKUP(B149,Data!$A:$AX,MATCH($N$1,Data!$A$1:$AX$1,),)-VLOOKUP(EDATE(B149,-12),Data!$A:$AX,MATCH($N$1,Data!$A$1:$AX$1,),))/VLOOKUP(EDATE(B149,-12),Data!$A:$AX,MATCH($N$1,Data!$A$1:$AX$1,),)</f>
        <v>-1</v>
      </c>
      <c r="O149" s="20">
        <f>IF(VLOOKUP(B149,Data!$A:$AX,MATCH($O$1,Data!$A$1:$AX$1,))=0,#N/A,(VLOOKUP(B149,Data!$A:$AX,MATCH($O$1,Data!$A$1:$AX$1,),)-VLOOKUP(EDATE(B149,-12),Data!$A:$AX,MATCH($O$1,Data!$A$1:$AX$1,),))/VLOOKUP(EDATE(B149,-12),Data!$A:$AX,MATCH($O$1,Data!$A$1:$AX$1,),))</f>
        <v>5.7817631106883281E-2</v>
      </c>
      <c r="P149" s="20">
        <f>IF(VLOOKUP(B149,Data!$A:$AX,MATCH($P$1,Data!$A$1:$AX$1,))=0,#N/A,(VLOOKUP(B149,Data!$A:$AX,MATCH($P$1,Data!$A$1:$AX$1,),)-VLOOKUP(EDATE(B149,-12),Data!$A:$AX,MATCH($P$1,Data!$A$1:$AX$1,),))/VLOOKUP(EDATE(B149,-12),Data!$A:$AX,MATCH($P$1,Data!$A$1:$AX$1,),))</f>
        <v>7.5895505594992141E-2</v>
      </c>
      <c r="Q149" s="20" t="e">
        <f>(VLOOKUP(B149,Data!$A:$AX,MATCH($Q$1,Data!$A$1:$AX$1,),)-VLOOKUP(EDATE(B149,-12),Data!$A:$AX,MATCH($Q$1,Data!$A$1:$AX$1,),))/VLOOKUP(EDATE(B149,-12),Data!$A:$AX,MATCH($Q$1,Data!$A$1:$AX$1,),)</f>
        <v>#N/A</v>
      </c>
      <c r="R149" s="20">
        <f>IF(VLOOKUP(B149,Data!$A:$AX,MATCH($R$1,Data!$A$1:$AX$1,))=0,#N/A,(VLOOKUP(B149,Data!$A:$AX,MATCH($R$1,Data!$A$1:$AX$1,),)-VLOOKUP(EDATE(B149,-12),Data!$A:$AX,MATCH($R$1,Data!$A$1:$AX$1,),))/VLOOKUP(EDATE(B149,-12),Data!$A:$AX,MATCH($R$1,Data!$A$1:$AX$1,),))</f>
        <v>3.4334259604882976E-2</v>
      </c>
      <c r="S149" s="20">
        <f>IF(VLOOKUP(B149,Data!$A:$AX,MATCH($S$1,Data!$A$1:$AX$1,))=0,#N/A,(VLOOKUP(B149,Data!$A:$AX,MATCH($S$1,Data!$A$1:$AX$1,),)-VLOOKUP(EDATE(B149,-12),Data!$A:$AX,MATCH($S$1,Data!$A$1:$AX$1,),))/VLOOKUP(EDATE(B149,-12),Data!$A:$AX,MATCH($S$1,Data!$A$1:$AX$1,),))</f>
        <v>6.3368333365800958E-2</v>
      </c>
      <c r="T149" s="20">
        <f>IF(VLOOKUP(B149,Data!$A:$AX,MATCH($T$1,Data!$A$1:$AX$1,))=0,#N/A,(VLOOKUP(B149,Data!$A:$AX,MATCH($T$1,Data!$A$1:$AX$1,),)-VLOOKUP(EDATE(B149,-12),Data!$A:$AX,MATCH($T$1,Data!$A$1:$AX$1,),))/VLOOKUP(EDATE(B149,-12),Data!$A:$AX,MATCH($T$1,Data!$A$1:$AX$1,),))</f>
        <v>0.10069349646370808</v>
      </c>
      <c r="U149" s="20">
        <f>IF(VLOOKUP(B149,Data!$A:$AX,MATCH($U$1,Data!$A$1:$AX$1,))=0,#N/A,(VLOOKUP(B149,Data!$A:$AX,MATCH($U$1,Data!$A$1:$AX$1,),)-VLOOKUP(EDATE(B149,-12),Data!$A:$AX,MATCH($U$1,Data!$A$1:$AX$1,),))/VLOOKUP(EDATE(B149,-12),Data!$A:$AX,MATCH($U$1,Data!$A$1:$AX$1,),))</f>
        <v>0.1159070713471321</v>
      </c>
      <c r="V149" s="20">
        <f>(VLOOKUP(B149,Data!$A:$AX,MATCH($V$1,Data!$A$1:$AX$1,),)-VLOOKUP(EDATE(B149,-12),Data!$A:$AX,MATCH($V$1,Data!$A$1:$AX$1,),))/VLOOKUP(EDATE(B149,-12),Data!$A:$AX,MATCH($V$1,Data!$A$1:$AX$1,),)</f>
        <v>9.1258138754929524E-2</v>
      </c>
      <c r="W149" s="20">
        <f>IF(VLOOKUP(B149,Data!$A:$AX,MATCH($W$1,Data!$A$1:$AX$1,))=0,#N/A,(VLOOKUP(B149,Data!$A:$AX,MATCH($W$1,Data!$A$1:$AX$1,),)-VLOOKUP(EDATE(B149,-12),Data!$A:$AX,MATCH($W$1,Data!$A$1:$AX$1,),))/VLOOKUP(EDATE(B149,-12),Data!$A:$AX,MATCH($W$1,Data!$A$1:$AX$1,),))</f>
        <v>0.79602034709754632</v>
      </c>
      <c r="X149" s="20">
        <f>IF(VLOOKUP(B149,Data!$A:$AX,MATCH($X$1,Data!$A$1:$AX$1,))=0,#N/A,(VLOOKUP(B149,Data!$A:$AX,MATCH($X$1,Data!$A$1:$AX$1,),)-VLOOKUP(EDATE(B149,-12),Data!$A:$AX,MATCH($X$1,Data!$A$1:$AX$1,),))/VLOOKUP(EDATE(B149,-12),Data!$A:$AX,MATCH($X$1,Data!$A$1:$AX$1,),))</f>
        <v>0.17525773195876293</v>
      </c>
      <c r="Y149" s="20">
        <f>IF(VLOOKUP(B149,Data!$A:$AX,MATCH($Y$1,Data!$A$1:$AX$1,))=0,#N/A,(VLOOKUP(B149,Data!$A:$AX,MATCH($Y$1,Data!$A$1:$AX$1,),)-VLOOKUP(EDATE(B149,-12),Data!$A:$AX,MATCH($Y$1,Data!$A$1:$AX$1,),))/VLOOKUP(EDATE(B149,-12),Data!$A:$AX,MATCH($Y$1,Data!$A$1:$AX$1,),))</f>
        <v>0.15647212501692914</v>
      </c>
    </row>
    <row r="150" spans="2:25" s="72" customFormat="1" x14ac:dyDescent="0.35">
      <c r="B150" s="15">
        <v>44774</v>
      </c>
      <c r="C150" s="20">
        <f>IF(VLOOKUP(B150,Data!$A:$AX,MATCH($C$1,Data!$A$1:$AX$1,))=0,#N/A,(VLOOKUP(B150,Data!$A:$AX,MATCH($C$1,Data!$A$1:$AX$1,),)-VLOOKUP(EDATE(B150,-12),Data!$A:$AX,MATCH($C$1,Data!$A$1:$AX$1,),))/VLOOKUP(EDATE(B150,-12),Data!$A:$AX,MATCH($C$1,Data!$A$1:$AX$1,),))</f>
        <v>8.2627221436690809E-2</v>
      </c>
      <c r="D150" s="20">
        <f>IF(VLOOKUP(B150,Data!$A:$AX,MATCH($D$1,Data!$A$1:$AX$1,))=0,#N/A,(VLOOKUP(B150,Data!$A:$AX,MATCH($D$1,Data!$A$1:$AX$1,),)-VLOOKUP(EDATE(B150,-12),Data!$A:$AX,MATCH($D$1,Data!$A$1:$AX$1,),))/VLOOKUP(EDATE(B150,-12),Data!$A:$AX,MATCH($D$1,Data!$A$1:$AX$1,),))</f>
        <v>2.485042159988738E-2</v>
      </c>
      <c r="E150" s="20">
        <f>IF(VLOOKUP(B150,Data!$A:$AX,MATCH($E$1,Data!$A$1:$AX$1,))=0,#N/A,(VLOOKUP(B150,Data!$A:$AX,MATCH($E$1,Data!$A$1:$AX$1,),)-VLOOKUP(EDATE(B150,-12),Data!$A:$AX,MATCH($E$1,Data!$A$1:$AX$1,),))/VLOOKUP(EDATE(B150,-12),Data!$A:$AX,MATCH($E$1,Data!$A$1:$AX$1,),))</f>
        <v>9.1405815891831721E-2</v>
      </c>
      <c r="F150" s="20" t="e">
        <f>IF(VLOOKUP(B150,Data!$A:$AX,MATCH($F$1,Data!$A$1:$AX$1,))=0,#N/A,(VLOOKUP(B150,Data!$A:$AX,MATCH($F$1,Data!$A$1:$AX$1,),)-VLOOKUP(EDATE(B150,-12),Data!$A:$AX,MATCH($F$1,Data!$A$1:$AX$1,),))/VLOOKUP(EDATE(B150,-12),Data!$A:$AX,MATCH($F$1,Data!$A$1:$AX$1,),))</f>
        <v>#N/A</v>
      </c>
      <c r="G150" s="20">
        <f>IF(VLOOKUP(B150,Data!$A:$AX,MATCH($G$1,Data!$A$1:$AX$1,))=0,#N/A,(VLOOKUP(B150,Data!$A:$AX,MATCH($G$1,Data!$A$1:$AX$1,),)-VLOOKUP(EDATE(B150,-12),Data!$A:$AX,MATCH($G$1,Data!$A$1:$AX$1,),))/VLOOKUP(EDATE(B150,-12),Data!$A:$AX,MATCH($G$1,Data!$A$1:$AX$1,),))</f>
        <v>7.9018583633616246E-2</v>
      </c>
      <c r="H150" s="20">
        <f>IF(VLOOKUP(B150,Data!$A:$AX,MATCH($H$1,Data!$A$1:$AX$1,))=0,#N/A,(VLOOKUP(B150,Data!$A:$AX,MATCH($H$1,Data!$A$1:$AX$1,),)-VLOOKUP(EDATE(B150,-12),Data!$A:$AX,MATCH($H$1,Data!$A$1:$AX$1,),))/VLOOKUP(EDATE(B150,-12),Data!$A:$AX,MATCH($H$1,Data!$A$1:$AX$1,),))</f>
        <v>5.9131247080803348E-2</v>
      </c>
      <c r="I150" s="20">
        <f>IF(VLOOKUP(B150,Data!$A:$AX,MATCH($I$1,Data!$A$1:$AX$1,))=0,#N/A,(VLOOKUP(B150,Data!$A:$AX,MATCH($I$1,Data!$A$1:$AX$1,),)-VLOOKUP(EDATE(B150,-12),Data!$A:$AX,MATCH($I$1,Data!$A$1:$AX$1,),))/VLOOKUP(EDATE(B150,-12),Data!$A:$AX,MATCH($I$1,Data!$A$1:$AX$1,),))</f>
        <v>8.6529884032114215E-2</v>
      </c>
      <c r="J150" s="20">
        <f>IF(VLOOKUP(B150,Data!$A:$AX,MATCH($J$1,Data!$A$1:$AX$1,))=0,#N/A,(VLOOKUP(B150,Data!$A:$AX,MATCH($J$1,Data!$A$1:$AX$1,),)-VLOOKUP(EDATE(B150,-12),Data!$A:$AX,MATCH($J$1,Data!$A$1:$AX$1,),))/VLOOKUP(EDATE(B150,-12),Data!$A:$AX,MATCH($J$1,Data!$A$1:$AX$1,),))</f>
        <v>8.3729781160799349E-2</v>
      </c>
      <c r="K150" s="20">
        <f>IF(VLOOKUP(B150,Data!$A:$AX,MATCH($K$1,Data!$A$1:$AX$1,))=0,#N/A,(VLOOKUP(B150,Data!$A:$AX,MATCH($K$1,Data!$A$1:$AX$1,),)-VLOOKUP(EDATE(B150,-12),Data!$A:$AX,MATCH($K$1,Data!$A$1:$AX$1,),))/VLOOKUP(EDATE(B150,-12),Data!$A:$AX,MATCH($K$1,Data!$A$1:$AX$1,),))</f>
        <v>0.10549083144467961</v>
      </c>
      <c r="L150" s="20">
        <f>IF(VLOOKUP(B150,Data!$A:$AX,MATCH($L$1,Data!$A$1:$AX$1,))=0,#N/A,(VLOOKUP(B150,Data!$A:$AX,MATCH($L$1,Data!$A$1:$AX$1,),)-VLOOKUP(EDATE(B150,-12),Data!$A:$AX,MATCH($L$1,Data!$A$1:$AX$1,),))/VLOOKUP(EDATE(B150,-12),Data!$A:$AX,MATCH($L$1,Data!$A$1:$AX$1,),))</f>
        <v>9.8316901940887047E-2</v>
      </c>
      <c r="M150" s="20">
        <f>IF(VLOOKUP(B150,Data!$A:$AX,MATCH($M$1,Data!$A$1:$AX$1,))=0,#N/A,(VLOOKUP(B150,Data!$A:$AX,MATCH($M$1,Data!$A$1:$AX$1,),)-VLOOKUP(EDATE(B150,-12),Data!$A:$AX,MATCH($M$1,Data!$A$1:$AX$1,),))/VLOOKUP(EDATE(B150,-12),Data!$A:$AX,MATCH($M$1,Data!$A$1:$AX$1,),))</f>
        <v>8.695344341423171E-2</v>
      </c>
      <c r="N150" s="20">
        <f>(VLOOKUP(B150,Data!$A:$AX,MATCH($N$1,Data!$A$1:$AX$1,),)-VLOOKUP(EDATE(B150,-12),Data!$A:$AX,MATCH($N$1,Data!$A$1:$AX$1,),))/VLOOKUP(EDATE(B150,-12),Data!$A:$AX,MATCH($N$1,Data!$A$1:$AX$1,),)</f>
        <v>-1</v>
      </c>
      <c r="O150" s="20">
        <f>IF(VLOOKUP(B150,Data!$A:$AX,MATCH($O$1,Data!$A$1:$AX$1,))=0,#N/A,(VLOOKUP(B150,Data!$A:$AX,MATCH($O$1,Data!$A$1:$AX$1,),)-VLOOKUP(EDATE(B150,-12),Data!$A:$AX,MATCH($O$1,Data!$A$1:$AX$1,),))/VLOOKUP(EDATE(B150,-12),Data!$A:$AX,MATCH($O$1,Data!$A$1:$AX$1,),))</f>
        <v>5.8536783343725543E-2</v>
      </c>
      <c r="P150" s="20">
        <f>IF(VLOOKUP(B150,Data!$A:$AX,MATCH($P$1,Data!$A$1:$AX$1,))=0,#N/A,(VLOOKUP(B150,Data!$A:$AX,MATCH($P$1,Data!$A$1:$AX$1,),)-VLOOKUP(EDATE(B150,-12),Data!$A:$AX,MATCH($P$1,Data!$A$1:$AX$1,),))/VLOOKUP(EDATE(B150,-12),Data!$A:$AX,MATCH($P$1,Data!$A$1:$AX$1,),))</f>
        <v>7.0126451278491889E-2</v>
      </c>
      <c r="Q150" s="20" t="e">
        <f>(VLOOKUP(B150,Data!$A:$AX,MATCH($Q$1,Data!$A$1:$AX$1,),)-VLOOKUP(EDATE(B150,-12),Data!$A:$AX,MATCH($Q$1,Data!$A$1:$AX$1,),))/VLOOKUP(EDATE(B150,-12),Data!$A:$AX,MATCH($Q$1,Data!$A$1:$AX$1,),)</f>
        <v>#N/A</v>
      </c>
      <c r="R150" s="20">
        <f>IF(VLOOKUP(B150,Data!$A:$AX,MATCH($R$1,Data!$A$1:$AX$1,))=0,#N/A,(VLOOKUP(B150,Data!$A:$AX,MATCH($R$1,Data!$A$1:$AX$1,),)-VLOOKUP(EDATE(B150,-12),Data!$A:$AX,MATCH($R$1,Data!$A$1:$AX$1,),))/VLOOKUP(EDATE(B150,-12),Data!$A:$AX,MATCH($R$1,Data!$A$1:$AX$1,),))</f>
        <v>3.4521040753623403E-2</v>
      </c>
      <c r="S150" s="20">
        <f>IF(VLOOKUP(B150,Data!$A:$AX,MATCH($S$1,Data!$A$1:$AX$1,))=0,#N/A,(VLOOKUP(B150,Data!$A:$AX,MATCH($S$1,Data!$A$1:$AX$1,),)-VLOOKUP(EDATE(B150,-12),Data!$A:$AX,MATCH($S$1,Data!$A$1:$AX$1,),))/VLOOKUP(EDATE(B150,-12),Data!$A:$AX,MATCH($S$1,Data!$A$1:$AX$1,),))</f>
        <v>5.7128876948571897E-2</v>
      </c>
      <c r="T150" s="20">
        <f>IF(VLOOKUP(B150,Data!$A:$AX,MATCH($T$1,Data!$A$1:$AX$1,))=0,#N/A,(VLOOKUP(B150,Data!$A:$AX,MATCH($T$1,Data!$A$1:$AX$1,),)-VLOOKUP(EDATE(B150,-12),Data!$A:$AX,MATCH($T$1,Data!$A$1:$AX$1,),))/VLOOKUP(EDATE(B150,-12),Data!$A:$AX,MATCH($T$1,Data!$A$1:$AX$1,),))</f>
        <v>8.7272567235011686E-2</v>
      </c>
      <c r="U150" s="20">
        <f>IF(VLOOKUP(B150,Data!$A:$AX,MATCH($U$1,Data!$A$1:$AX$1,))=0,#N/A,(VLOOKUP(B150,Data!$A:$AX,MATCH($U$1,Data!$A$1:$AX$1,),)-VLOOKUP(EDATE(B150,-12),Data!$A:$AX,MATCH($U$1,Data!$A$1:$AX$1,),))/VLOOKUP(EDATE(B150,-12),Data!$A:$AX,MATCH($U$1,Data!$A$1:$AX$1,),))</f>
        <v>0.11403789782716925</v>
      </c>
      <c r="V150" s="20">
        <f>(VLOOKUP(B150,Data!$A:$AX,MATCH($V$1,Data!$A$1:$AX$1,),)-VLOOKUP(EDATE(B150,-12),Data!$A:$AX,MATCH($V$1,Data!$A$1:$AX$1,),))/VLOOKUP(EDATE(B150,-12),Data!$A:$AX,MATCH($V$1,Data!$A$1:$AX$1,),)</f>
        <v>8.6915776805083889E-2</v>
      </c>
      <c r="W150" s="20">
        <f>IF(VLOOKUP(B150,Data!$A:$AX,MATCH($W$1,Data!$A$1:$AX$1,))=0,#N/A,(VLOOKUP(B150,Data!$A:$AX,MATCH($W$1,Data!$A$1:$AX$1,),)-VLOOKUP(EDATE(B150,-12),Data!$A:$AX,MATCH($W$1,Data!$A$1:$AX$1,),))/VLOOKUP(EDATE(B150,-12),Data!$A:$AX,MATCH($W$1,Data!$A$1:$AX$1,),))</f>
        <v>0.80207608009150988</v>
      </c>
      <c r="X150" s="20">
        <f>IF(VLOOKUP(B150,Data!$A:$AX,MATCH($X$1,Data!$A$1:$AX$1,))=0,#N/A,(VLOOKUP(B150,Data!$A:$AX,MATCH($X$1,Data!$A$1:$AX$1,),)-VLOOKUP(EDATE(B150,-12),Data!$A:$AX,MATCH($X$1,Data!$A$1:$AX$1,),))/VLOOKUP(EDATE(B150,-12),Data!$A:$AX,MATCH($X$1,Data!$A$1:$AX$1,),))</f>
        <v>0.17235494880546076</v>
      </c>
      <c r="Y150" s="20">
        <f>IF(VLOOKUP(B150,Data!$A:$AX,MATCH($Y$1,Data!$A$1:$AX$1,))=0,#N/A,(VLOOKUP(B150,Data!$A:$AX,MATCH($Y$1,Data!$A$1:$AX$1,),)-VLOOKUP(EDATE(B150,-12),Data!$A:$AX,MATCH($Y$1,Data!$A$1:$AX$1,),))/VLOOKUP(EDATE(B150,-12),Data!$A:$AX,MATCH($Y$1,Data!$A$1:$AX$1,),))</f>
        <v>0.16241120601250636</v>
      </c>
    </row>
    <row r="151" spans="2:25" s="72" customFormat="1" x14ac:dyDescent="0.35">
      <c r="B151" s="15">
        <v>44805</v>
      </c>
      <c r="C151" s="20">
        <f>IF(VLOOKUP(B151,Data!$A:$AX,MATCH($C$1,Data!$A$1:$AX$1,))=0,#N/A,(VLOOKUP(B151,Data!$A:$AX,MATCH($C$1,Data!$A$1:$AX$1,),)-VLOOKUP(EDATE(B151,-12),Data!$A:$AX,MATCH($C$1,Data!$A$1:$AX$1,),))/VLOOKUP(EDATE(B151,-12),Data!$A:$AX,MATCH($C$1,Data!$A$1:$AX$1,),))</f>
        <v>8.2017172091592525E-2</v>
      </c>
      <c r="D151" s="20">
        <f>IF(VLOOKUP(B151,Data!$A:$AX,MATCH($D$1,Data!$A$1:$AX$1,))=0,#N/A,(VLOOKUP(B151,Data!$A:$AX,MATCH($D$1,Data!$A$1:$AX$1,),)-VLOOKUP(EDATE(B151,-12),Data!$A:$AX,MATCH($D$1,Data!$A$1:$AX$1,),))/VLOOKUP(EDATE(B151,-12),Data!$A:$AX,MATCH($D$1,Data!$A$1:$AX$1,),))</f>
        <v>2.7833078169306535E-2</v>
      </c>
      <c r="E151" s="20">
        <f>IF(VLOOKUP(B151,Data!$A:$AX,MATCH($E$1,Data!$A$1:$AX$1,))=0,#N/A,(VLOOKUP(B151,Data!$A:$AX,MATCH($E$1,Data!$A$1:$AX$1,),)-VLOOKUP(EDATE(B151,-12),Data!$A:$AX,MATCH($E$1,Data!$A$1:$AX$1,),))/VLOOKUP(EDATE(B151,-12),Data!$A:$AX,MATCH($E$1,Data!$A$1:$AX$1,),))</f>
        <v>9.9271822287768555E-2</v>
      </c>
      <c r="F151" s="20" t="e">
        <f>IF(VLOOKUP(B151,Data!$A:$AX,MATCH($F$1,Data!$A$1:$AX$1,))=0,#N/A,(VLOOKUP(B151,Data!$A:$AX,MATCH($F$1,Data!$A$1:$AX$1,),)-VLOOKUP(EDATE(B151,-12),Data!$A:$AX,MATCH($F$1,Data!$A$1:$AX$1,),))/VLOOKUP(EDATE(B151,-12),Data!$A:$AX,MATCH($F$1,Data!$A$1:$AX$1,),))</f>
        <v>#N/A</v>
      </c>
      <c r="G151" s="20">
        <f>IF(VLOOKUP(B151,Data!$A:$AX,MATCH($G$1,Data!$A$1:$AX$1,))=0,#N/A,(VLOOKUP(B151,Data!$A:$AX,MATCH($G$1,Data!$A$1:$AX$1,),)-VLOOKUP(EDATE(B151,-12),Data!$A:$AX,MATCH($G$1,Data!$A$1:$AX$1,),))/VLOOKUP(EDATE(B151,-12),Data!$A:$AX,MATCH($G$1,Data!$A$1:$AX$1,),))</f>
        <v>9.9908825409740817E-2</v>
      </c>
      <c r="H151" s="20">
        <f>IF(VLOOKUP(B151,Data!$A:$AX,MATCH($H$1,Data!$A$1:$AX$1,))=0,#N/A,(VLOOKUP(B151,Data!$A:$AX,MATCH($H$1,Data!$A$1:$AX$1,),)-VLOOKUP(EDATE(B151,-12),Data!$A:$AX,MATCH($H$1,Data!$A$1:$AX$1,),))/VLOOKUP(EDATE(B151,-12),Data!$A:$AX,MATCH($H$1,Data!$A$1:$AX$1,),))</f>
        <v>5.5519146147364411E-2</v>
      </c>
      <c r="I151" s="20">
        <f>IF(VLOOKUP(B151,Data!$A:$AX,MATCH($I$1,Data!$A$1:$AX$1,))=0,#N/A,(VLOOKUP(B151,Data!$A:$AX,MATCH($I$1,Data!$A$1:$AX$1,),)-VLOOKUP(EDATE(B151,-12),Data!$A:$AX,MATCH($I$1,Data!$A$1:$AX$1,),))/VLOOKUP(EDATE(B151,-12),Data!$A:$AX,MATCH($I$1,Data!$A$1:$AX$1,),))</f>
        <v>8.8078291814946544E-2</v>
      </c>
      <c r="J151" s="20">
        <f>IF(VLOOKUP(B151,Data!$A:$AX,MATCH($J$1,Data!$A$1:$AX$1,))=0,#N/A,(VLOOKUP(B151,Data!$A:$AX,MATCH($J$1,Data!$A$1:$AX$1,),)-VLOOKUP(EDATE(B151,-12),Data!$A:$AX,MATCH($J$1,Data!$A$1:$AX$1,),))/VLOOKUP(EDATE(B151,-12),Data!$A:$AX,MATCH($J$1,Data!$A$1:$AX$1,),))</f>
        <v>8.8655862726406062E-2</v>
      </c>
      <c r="K151" s="20">
        <f>IF(VLOOKUP(B151,Data!$A:$AX,MATCH($K$1,Data!$A$1:$AX$1,))=0,#N/A,(VLOOKUP(B151,Data!$A:$AX,MATCH($K$1,Data!$A$1:$AX$1,),)-VLOOKUP(EDATE(B151,-12),Data!$A:$AX,MATCH($K$1,Data!$A$1:$AX$1,),))/VLOOKUP(EDATE(B151,-12),Data!$A:$AX,MATCH($K$1,Data!$A$1:$AX$1,),))</f>
        <v>8.871937712631435E-2</v>
      </c>
      <c r="L151" s="20">
        <f>IF(VLOOKUP(B151,Data!$A:$AX,MATCH($L$1,Data!$A$1:$AX$1,))=0,#N/A,(VLOOKUP(B151,Data!$A:$AX,MATCH($L$1,Data!$A$1:$AX$1,),)-VLOOKUP(EDATE(B151,-12),Data!$A:$AX,MATCH($L$1,Data!$A$1:$AX$1,),))/VLOOKUP(EDATE(B151,-12),Data!$A:$AX,MATCH($L$1,Data!$A$1:$AX$1,),))</f>
        <v>0.10837588432655235</v>
      </c>
      <c r="M151" s="20">
        <f>IF(VLOOKUP(B151,Data!$A:$AX,MATCH($M$1,Data!$A$1:$AX$1,))=0,#N/A,(VLOOKUP(B151,Data!$A:$AX,MATCH($M$1,Data!$A$1:$AX$1,),)-VLOOKUP(EDATE(B151,-12),Data!$A:$AX,MATCH($M$1,Data!$A$1:$AX$1,),))/VLOOKUP(EDATE(B151,-12),Data!$A:$AX,MATCH($M$1,Data!$A$1:$AX$1,),))</f>
        <v>8.6997558542958028E-2</v>
      </c>
      <c r="N151" s="20">
        <f>(VLOOKUP(B151,Data!$A:$AX,MATCH($N$1,Data!$A$1:$AX$1,),)-VLOOKUP(EDATE(B151,-12),Data!$A:$AX,MATCH($N$1,Data!$A$1:$AX$1,),))/VLOOKUP(EDATE(B151,-12),Data!$A:$AX,MATCH($N$1,Data!$A$1:$AX$1,),)</f>
        <v>-1</v>
      </c>
      <c r="O151" s="20">
        <f>IF(VLOOKUP(B151,Data!$A:$AX,MATCH($O$1,Data!$A$1:$AX$1,))=0,#N/A,(VLOOKUP(B151,Data!$A:$AX,MATCH($O$1,Data!$A$1:$AX$1,),)-VLOOKUP(EDATE(B151,-12),Data!$A:$AX,MATCH($O$1,Data!$A$1:$AX$1,),))/VLOOKUP(EDATE(B151,-12),Data!$A:$AX,MATCH($O$1,Data!$A$1:$AX$1,),))</f>
        <v>6.4882551694185345E-2</v>
      </c>
      <c r="P151" s="20">
        <f>IF(VLOOKUP(B151,Data!$A:$AX,MATCH($P$1,Data!$A$1:$AX$1,))=0,#N/A,(VLOOKUP(B151,Data!$A:$AX,MATCH($P$1,Data!$A$1:$AX$1,),)-VLOOKUP(EDATE(B151,-12),Data!$A:$AX,MATCH($P$1,Data!$A$1:$AX$1,),))/VLOOKUP(EDATE(B151,-12),Data!$A:$AX,MATCH($P$1,Data!$A$1:$AX$1,),))</f>
        <v>6.8579840201798234E-2</v>
      </c>
      <c r="Q151" s="20" t="e">
        <f>(VLOOKUP(B151,Data!$A:$AX,MATCH($Q$1,Data!$A$1:$AX$1,),)-VLOOKUP(EDATE(B151,-12),Data!$A:$AX,MATCH($Q$1,Data!$A$1:$AX$1,),))/VLOOKUP(EDATE(B151,-12),Data!$A:$AX,MATCH($Q$1,Data!$A$1:$AX$1,),)</f>
        <v>#N/A</v>
      </c>
      <c r="R151" s="20">
        <f>IF(VLOOKUP(B151,Data!$A:$AX,MATCH($R$1,Data!$A$1:$AX$1,))=0,#N/A,(VLOOKUP(B151,Data!$A:$AX,MATCH($R$1,Data!$A$1:$AX$1,),)-VLOOKUP(EDATE(B151,-12),Data!$A:$AX,MATCH($R$1,Data!$A$1:$AX$1,),))/VLOOKUP(EDATE(B151,-12),Data!$A:$AX,MATCH($R$1,Data!$A$1:$AX$1,),))</f>
        <v>3.2524561101125282E-2</v>
      </c>
      <c r="S151" s="20">
        <f>IF(VLOOKUP(B151,Data!$A:$AX,MATCH($S$1,Data!$A$1:$AX$1,))=0,#N/A,(VLOOKUP(B151,Data!$A:$AX,MATCH($S$1,Data!$A$1:$AX$1,),)-VLOOKUP(EDATE(B151,-12),Data!$A:$AX,MATCH($S$1,Data!$A$1:$AX$1,),))/VLOOKUP(EDATE(B151,-12),Data!$A:$AX,MATCH($S$1,Data!$A$1:$AX$1,),))</f>
        <v>5.5830679151740649E-2</v>
      </c>
      <c r="T151" s="20">
        <f>IF(VLOOKUP(B151,Data!$A:$AX,MATCH($T$1,Data!$A$1:$AX$1,))=0,#N/A,(VLOOKUP(B151,Data!$A:$AX,MATCH($T$1,Data!$A$1:$AX$1,),)-VLOOKUP(EDATE(B151,-12),Data!$A:$AX,MATCH($T$1,Data!$A$1:$AX$1,),))/VLOOKUP(EDATE(B151,-12),Data!$A:$AX,MATCH($T$1,Data!$A$1:$AX$1,),))</f>
        <v>7.1688000179823574E-2</v>
      </c>
      <c r="U151" s="20">
        <f>IF(VLOOKUP(B151,Data!$A:$AX,MATCH($U$1,Data!$A$1:$AX$1,))=0,#N/A,(VLOOKUP(B151,Data!$A:$AX,MATCH($U$1,Data!$A$1:$AX$1,),)-VLOOKUP(EDATE(B151,-12),Data!$A:$AX,MATCH($U$1,Data!$A$1:$AX$1,),))/VLOOKUP(EDATE(B151,-12),Data!$A:$AX,MATCH($U$1,Data!$A$1:$AX$1,),))</f>
        <v>0.12023985480204234</v>
      </c>
      <c r="V151" s="20">
        <f>(VLOOKUP(B151,Data!$A:$AX,MATCH($V$1,Data!$A$1:$AX$1,),)-VLOOKUP(EDATE(B151,-12),Data!$A:$AX,MATCH($V$1,Data!$A$1:$AX$1,),))/VLOOKUP(EDATE(B151,-12),Data!$A:$AX,MATCH($V$1,Data!$A$1:$AX$1,),)</f>
        <v>8.1749622350733131E-2</v>
      </c>
      <c r="W151" s="20">
        <f>IF(VLOOKUP(B151,Data!$A:$AX,MATCH($W$1,Data!$A$1:$AX$1,))=0,#N/A,(VLOOKUP(B151,Data!$A:$AX,MATCH($W$1,Data!$A$1:$AX$1,),)-VLOOKUP(EDATE(B151,-12),Data!$A:$AX,MATCH($W$1,Data!$A$1:$AX$1,),))/VLOOKUP(EDATE(B151,-12),Data!$A:$AX,MATCH($W$1,Data!$A$1:$AX$1,),))</f>
        <v>0.83452492991749938</v>
      </c>
      <c r="X151" s="20">
        <f>IF(VLOOKUP(B151,Data!$A:$AX,MATCH($X$1,Data!$A$1:$AX$1,))=0,#N/A,(VLOOKUP(B151,Data!$A:$AX,MATCH($X$1,Data!$A$1:$AX$1,),)-VLOOKUP(EDATE(B151,-12),Data!$A:$AX,MATCH($X$1,Data!$A$1:$AX$1,),))/VLOOKUP(EDATE(B151,-12),Data!$A:$AX,MATCH($X$1,Data!$A$1:$AX$1,),))</f>
        <v>0.17972742759795565</v>
      </c>
      <c r="Y151" s="20">
        <f>IF(VLOOKUP(B151,Data!$A:$AX,MATCH($Y$1,Data!$A$1:$AX$1,))=0,#N/A,(VLOOKUP(B151,Data!$A:$AX,MATCH($Y$1,Data!$A$1:$AX$1,),)-VLOOKUP(EDATE(B151,-12),Data!$A:$AX,MATCH($Y$1,Data!$A$1:$AX$1,),))/VLOOKUP(EDATE(B151,-12),Data!$A:$AX,MATCH($Y$1,Data!$A$1:$AX$1,),))</f>
        <v>0.17253506200032714</v>
      </c>
    </row>
    <row r="152" spans="2:25" s="72" customFormat="1" x14ac:dyDescent="0.35">
      <c r="B152" s="15">
        <v>44835</v>
      </c>
      <c r="C152" s="20">
        <f>IF(VLOOKUP(B152,Data!$A:$AX,MATCH($C$1,Data!$A$1:$AX$1,))=0,#N/A,(VLOOKUP(B152,Data!$A:$AX,MATCH($C$1,Data!$A$1:$AX$1,),)-VLOOKUP(EDATE(B152,-12),Data!$A:$AX,MATCH($C$1,Data!$A$1:$AX$1,),))/VLOOKUP(EDATE(B152,-12),Data!$A:$AX,MATCH($C$1,Data!$A$1:$AX$1,),))</f>
        <v>7.7454372822329406E-2</v>
      </c>
      <c r="D152" s="20">
        <f>IF(VLOOKUP(B152,Data!$A:$AX,MATCH($D$1,Data!$A$1:$AX$1,))=0,#N/A,(VLOOKUP(B152,Data!$A:$AX,MATCH($D$1,Data!$A$1:$AX$1,),)-VLOOKUP(EDATE(B152,-12),Data!$A:$AX,MATCH($D$1,Data!$A$1:$AX$1,),))/VLOOKUP(EDATE(B152,-12),Data!$A:$AX,MATCH($D$1,Data!$A$1:$AX$1,),))</f>
        <v>2.1717544483796744E-2</v>
      </c>
      <c r="E152" s="20">
        <f>IF(VLOOKUP(B152,Data!$A:$AX,MATCH($E$1,Data!$A$1:$AX$1,))=0,#N/A,(VLOOKUP(B152,Data!$A:$AX,MATCH($E$1,Data!$A$1:$AX$1,),)-VLOOKUP(EDATE(B152,-12),Data!$A:$AX,MATCH($E$1,Data!$A$1:$AX$1,),))/VLOOKUP(EDATE(B152,-12),Data!$A:$AX,MATCH($E$1,Data!$A$1:$AX$1,),))</f>
        <v>0.10620601407549589</v>
      </c>
      <c r="F152" s="20" t="e">
        <f>IF(VLOOKUP(B152,Data!$A:$AX,MATCH($F$1,Data!$A$1:$AX$1,))=0,#N/A,(VLOOKUP(B152,Data!$A:$AX,MATCH($F$1,Data!$A$1:$AX$1,),)-VLOOKUP(EDATE(B152,-12),Data!$A:$AX,MATCH($F$1,Data!$A$1:$AX$1,),))/VLOOKUP(EDATE(B152,-12),Data!$A:$AX,MATCH($F$1,Data!$A$1:$AX$1,),))</f>
        <v>#N/A</v>
      </c>
      <c r="G152" s="20">
        <f>IF(VLOOKUP(B152,Data!$A:$AX,MATCH($G$1,Data!$A$1:$AX$1,))=0,#N/A,(VLOOKUP(B152,Data!$A:$AX,MATCH($G$1,Data!$A$1:$AX$1,),)-VLOOKUP(EDATE(B152,-12),Data!$A:$AX,MATCH($G$1,Data!$A$1:$AX$1,),))/VLOOKUP(EDATE(B152,-12),Data!$A:$AX,MATCH($G$1,Data!$A$1:$AX$1,),))</f>
        <v>0.10388417473141337</v>
      </c>
      <c r="H152" s="20">
        <f>IF(VLOOKUP(B152,Data!$A:$AX,MATCH($H$1,Data!$A$1:$AX$1,))=0,#N/A,(VLOOKUP(B152,Data!$A:$AX,MATCH($H$1,Data!$A$1:$AX$1,),)-VLOOKUP(EDATE(B152,-12),Data!$A:$AX,MATCH($H$1,Data!$A$1:$AX$1,),))/VLOOKUP(EDATE(B152,-12),Data!$A:$AX,MATCH($H$1,Data!$A$1:$AX$1,),))</f>
        <v>6.2004662004662058E-2</v>
      </c>
      <c r="I152" s="20">
        <f>IF(VLOOKUP(B152,Data!$A:$AX,MATCH($I$1,Data!$A$1:$AX$1,))=0,#N/A,(VLOOKUP(B152,Data!$A:$AX,MATCH($I$1,Data!$A$1:$AX$1,),)-VLOOKUP(EDATE(B152,-12),Data!$A:$AX,MATCH($I$1,Data!$A$1:$AX$1,),))/VLOOKUP(EDATE(B152,-12),Data!$A:$AX,MATCH($I$1,Data!$A$1:$AX$1,),))</f>
        <v>9.6119929453262712E-2</v>
      </c>
      <c r="J152" s="20">
        <f>IF(VLOOKUP(B152,Data!$A:$AX,MATCH($J$1,Data!$A$1:$AX$1,))=0,#N/A,(VLOOKUP(B152,Data!$A:$AX,MATCH($J$1,Data!$A$1:$AX$1,),)-VLOOKUP(EDATE(B152,-12),Data!$A:$AX,MATCH($J$1,Data!$A$1:$AX$1,),))/VLOOKUP(EDATE(B152,-12),Data!$A:$AX,MATCH($J$1,Data!$A$1:$AX$1,),))</f>
        <v>0.11837121212121213</v>
      </c>
      <c r="K152" s="20">
        <f>IF(VLOOKUP(B152,Data!$A:$AX,MATCH($K$1,Data!$A$1:$AX$1,))=0,#N/A,(VLOOKUP(B152,Data!$A:$AX,MATCH($K$1,Data!$A$1:$AX$1,),)-VLOOKUP(EDATE(B152,-12),Data!$A:$AX,MATCH($K$1,Data!$A$1:$AX$1,),))/VLOOKUP(EDATE(B152,-12),Data!$A:$AX,MATCH($K$1,Data!$A$1:$AX$1,),))</f>
        <v>7.2649023110996719E-2</v>
      </c>
      <c r="L152" s="20">
        <f>IF(VLOOKUP(B152,Data!$A:$AX,MATCH($L$1,Data!$A$1:$AX$1,))=0,#N/A,(VLOOKUP(B152,Data!$A:$AX,MATCH($L$1,Data!$A$1:$AX$1,),)-VLOOKUP(EDATE(B152,-12),Data!$A:$AX,MATCH($L$1,Data!$A$1:$AX$1,),))/VLOOKUP(EDATE(B152,-12),Data!$A:$AX,MATCH($L$1,Data!$A$1:$AX$1,),))</f>
        <v>0.10853325976944959</v>
      </c>
      <c r="M152" s="20">
        <f>IF(VLOOKUP(B152,Data!$A:$AX,MATCH($M$1,Data!$A$1:$AX$1,))=0,#N/A,(VLOOKUP(B152,Data!$A:$AX,MATCH($M$1,Data!$A$1:$AX$1,),)-VLOOKUP(EDATE(B152,-12),Data!$A:$AX,MATCH($M$1,Data!$A$1:$AX$1,),))/VLOOKUP(EDATE(B152,-12),Data!$A:$AX,MATCH($M$1,Data!$A$1:$AX$1,),))</f>
        <v>8.4068332969246665E-2</v>
      </c>
      <c r="N152" s="20">
        <f>(VLOOKUP(B152,Data!$A:$AX,MATCH($N$1,Data!$A$1:$AX$1,),)-VLOOKUP(EDATE(B152,-12),Data!$A:$AX,MATCH($N$1,Data!$A$1:$AX$1,),))/VLOOKUP(EDATE(B152,-12),Data!$A:$AX,MATCH($N$1,Data!$A$1:$AX$1,),)</f>
        <v>-1</v>
      </c>
      <c r="O152" s="20">
        <f>IF(VLOOKUP(B152,Data!$A:$AX,MATCH($O$1,Data!$A$1:$AX$1,))=0,#N/A,(VLOOKUP(B152,Data!$A:$AX,MATCH($O$1,Data!$A$1:$AX$1,),)-VLOOKUP(EDATE(B152,-12),Data!$A:$AX,MATCH($O$1,Data!$A$1:$AX$1,),))/VLOOKUP(EDATE(B152,-12),Data!$A:$AX,MATCH($O$1,Data!$A$1:$AX$1,),))</f>
        <v>6.0848863961723683E-2</v>
      </c>
      <c r="P152" s="20">
        <f>IF(VLOOKUP(B152,Data!$A:$AX,MATCH($P$1,Data!$A$1:$AX$1,))=0,#N/A,(VLOOKUP(B152,Data!$A:$AX,MATCH($P$1,Data!$A$1:$AX$1,),)-VLOOKUP(EDATE(B152,-12),Data!$A:$AX,MATCH($P$1,Data!$A$1:$AX$1,),))/VLOOKUP(EDATE(B152,-12),Data!$A:$AX,MATCH($P$1,Data!$A$1:$AX$1,),))</f>
        <v>6.8798100180306992E-2</v>
      </c>
      <c r="Q152" s="20" t="e">
        <f>(VLOOKUP(B152,Data!$A:$AX,MATCH($Q$1,Data!$A$1:$AX$1,),)-VLOOKUP(EDATE(B152,-12),Data!$A:$AX,MATCH($Q$1,Data!$A$1:$AX$1,),))/VLOOKUP(EDATE(B152,-12),Data!$A:$AX,MATCH($Q$1,Data!$A$1:$AX$1,),)</f>
        <v>#N/A</v>
      </c>
      <c r="R152" s="20">
        <f>IF(VLOOKUP(B152,Data!$A:$AX,MATCH($R$1,Data!$A$1:$AX$1,))=0,#N/A,(VLOOKUP(B152,Data!$A:$AX,MATCH($R$1,Data!$A$1:$AX$1,),)-VLOOKUP(EDATE(B152,-12),Data!$A:$AX,MATCH($R$1,Data!$A$1:$AX$1,),))/VLOOKUP(EDATE(B152,-12),Data!$A:$AX,MATCH($R$1,Data!$A$1:$AX$1,),))</f>
        <v>2.9959740769834948E-2</v>
      </c>
      <c r="S152" s="20">
        <f>IF(VLOOKUP(B152,Data!$A:$AX,MATCH($S$1,Data!$A$1:$AX$1,))=0,#N/A,(VLOOKUP(B152,Data!$A:$AX,MATCH($S$1,Data!$A$1:$AX$1,),)-VLOOKUP(EDATE(B152,-12),Data!$A:$AX,MATCH($S$1,Data!$A$1:$AX$1,),))/VLOOKUP(EDATE(B152,-12),Data!$A:$AX,MATCH($S$1,Data!$A$1:$AX$1,),))</f>
        <v>5.669992381756607E-2</v>
      </c>
      <c r="T152" s="20">
        <f>IF(VLOOKUP(B152,Data!$A:$AX,MATCH($T$1,Data!$A$1:$AX$1,))=0,#N/A,(VLOOKUP(B152,Data!$A:$AX,MATCH($T$1,Data!$A$1:$AX$1,),)-VLOOKUP(EDATE(B152,-12),Data!$A:$AX,MATCH($T$1,Data!$A$1:$AX$1,),))/VLOOKUP(EDATE(B152,-12),Data!$A:$AX,MATCH($T$1,Data!$A$1:$AX$1,),))</f>
        <v>6.4704336324189843E-2</v>
      </c>
      <c r="U152" s="20">
        <f>IF(VLOOKUP(B152,Data!$A:$AX,MATCH($U$1,Data!$A$1:$AX$1,))=0,#N/A,(VLOOKUP(B152,Data!$A:$AX,MATCH($U$1,Data!$A$1:$AX$1,),)-VLOOKUP(EDATE(B152,-12),Data!$A:$AX,MATCH($U$1,Data!$A$1:$AX$1,),))/VLOOKUP(EDATE(B152,-12),Data!$A:$AX,MATCH($U$1,Data!$A$1:$AX$1,),))</f>
        <v>9.0650104142849838E-2</v>
      </c>
      <c r="V152" s="20">
        <f>(VLOOKUP(B152,Data!$A:$AX,MATCH($V$1,Data!$A$1:$AX$1,),)-VLOOKUP(EDATE(B152,-12),Data!$A:$AX,MATCH($V$1,Data!$A$1:$AX$1,),))/VLOOKUP(EDATE(B152,-12),Data!$A:$AX,MATCH($V$1,Data!$A$1:$AX$1,),)</f>
        <v>9.159609651287598E-2</v>
      </c>
      <c r="W152" s="20">
        <f>IF(VLOOKUP(B152,Data!$A:$AX,MATCH($W$1,Data!$A$1:$AX$1,))=0,#N/A,(VLOOKUP(B152,Data!$A:$AX,MATCH($W$1,Data!$A$1:$AX$1,),)-VLOOKUP(EDATE(B152,-12),Data!$A:$AX,MATCH($W$1,Data!$A$1:$AX$1,),))/VLOOKUP(EDATE(B152,-12),Data!$A:$AX,MATCH($W$1,Data!$A$1:$AX$1,),))</f>
        <v>0.85514812880657198</v>
      </c>
      <c r="X152" s="20">
        <f>IF(VLOOKUP(B152,Data!$A:$AX,MATCH($X$1,Data!$A$1:$AX$1,))=0,#N/A,(VLOOKUP(B152,Data!$A:$AX,MATCH($X$1,Data!$A$1:$AX$1,),)-VLOOKUP(EDATE(B152,-12),Data!$A:$AX,MATCH($X$1,Data!$A$1:$AX$1,),))/VLOOKUP(EDATE(B152,-12),Data!$A:$AX,MATCH($X$1,Data!$A$1:$AX$1,),))</f>
        <v>0.15092748735244524</v>
      </c>
      <c r="Y152" s="20">
        <f>IF(VLOOKUP(B152,Data!$A:$AX,MATCH($Y$1,Data!$A$1:$AX$1,))=0,#N/A,(VLOOKUP(B152,Data!$A:$AX,MATCH($Y$1,Data!$A$1:$AX$1,),)-VLOOKUP(EDATE(B152,-12),Data!$A:$AX,MATCH($Y$1,Data!$A$1:$AX$1,),))/VLOOKUP(EDATE(B152,-12),Data!$A:$AX,MATCH($Y$1,Data!$A$1:$AX$1,),))</f>
        <v>0.18036196269157873</v>
      </c>
    </row>
    <row r="153" spans="2:25" s="72" customFormat="1" x14ac:dyDescent="0.35">
      <c r="B153" s="15">
        <v>44866</v>
      </c>
      <c r="C153" s="20">
        <f>IF(VLOOKUP(B153,Data!$A:$AX,MATCH($C$1,Data!$A$1:$AX$1,))=0,#N/A,(VLOOKUP(B153,Data!$A:$AX,MATCH($C$1,Data!$A$1:$AX$1,),)-VLOOKUP(EDATE(B153,-12),Data!$A:$AX,MATCH($C$1,Data!$A$1:$AX$1,),))/VLOOKUP(EDATE(B153,-12),Data!$A:$AX,MATCH($C$1,Data!$A$1:$AX$1,),))</f>
        <v>7.1103068836489036E-2</v>
      </c>
      <c r="D153" s="20">
        <f>IF(VLOOKUP(B153,Data!$A:$AX,MATCH($D$1,Data!$A$1:$AX$1,))=0,#N/A,(VLOOKUP(B153,Data!$A:$AX,MATCH($D$1,Data!$A$1:$AX$1,),)-VLOOKUP(EDATE(B153,-12),Data!$A:$AX,MATCH($D$1,Data!$A$1:$AX$1,),))/VLOOKUP(EDATE(B153,-12),Data!$A:$AX,MATCH($D$1,Data!$A$1:$AX$1,),))</f>
        <v>1.573221299972485E-2</v>
      </c>
      <c r="E153" s="20">
        <f>IF(VLOOKUP(B153,Data!$A:$AX,MATCH($E$1,Data!$A$1:$AX$1,))=0,#N/A,(VLOOKUP(B153,Data!$A:$AX,MATCH($E$1,Data!$A$1:$AX$1,),)-VLOOKUP(EDATE(B153,-12),Data!$A:$AX,MATCH($E$1,Data!$A$1:$AX$1,),))/VLOOKUP(EDATE(B153,-12),Data!$A:$AX,MATCH($E$1,Data!$A$1:$AX$1,),))</f>
        <v>0.10054595086442217</v>
      </c>
      <c r="F153" s="20" t="e">
        <f>IF(VLOOKUP(B153,Data!$A:$AX,MATCH($F$1,Data!$A$1:$AX$1,))=0,#N/A,(VLOOKUP(B153,Data!$A:$AX,MATCH($F$1,Data!$A$1:$AX$1,),)-VLOOKUP(EDATE(B153,-12),Data!$A:$AX,MATCH($F$1,Data!$A$1:$AX$1,),))/VLOOKUP(EDATE(B153,-12),Data!$A:$AX,MATCH($F$1,Data!$A$1:$AX$1,),))</f>
        <v>#N/A</v>
      </c>
      <c r="G153" s="20">
        <f>IF(VLOOKUP(B153,Data!$A:$AX,MATCH($G$1,Data!$A$1:$AX$1,))=0,#N/A,(VLOOKUP(B153,Data!$A:$AX,MATCH($G$1,Data!$A$1:$AX$1,),)-VLOOKUP(EDATE(B153,-12),Data!$A:$AX,MATCH($G$1,Data!$A$1:$AX$1,),))/VLOOKUP(EDATE(B153,-12),Data!$A:$AX,MATCH($G$1,Data!$A$1:$AX$1,),))</f>
        <v>0.10045295624981904</v>
      </c>
      <c r="H153" s="20">
        <f>IF(VLOOKUP(B153,Data!$A:$AX,MATCH($H$1,Data!$A$1:$AX$1,))=0,#N/A,(VLOOKUP(B153,Data!$A:$AX,MATCH($H$1,Data!$A$1:$AX$1,),)-VLOOKUP(EDATE(B153,-12),Data!$A:$AX,MATCH($H$1,Data!$A$1:$AX$1,),))/VLOOKUP(EDATE(B153,-12),Data!$A:$AX,MATCH($H$1,Data!$A$1:$AX$1,),))</f>
        <v>6.1501300631735457E-2</v>
      </c>
      <c r="I153" s="20">
        <f>IF(VLOOKUP(B153,Data!$A:$AX,MATCH($I$1,Data!$A$1:$AX$1,))=0,#N/A,(VLOOKUP(B153,Data!$A:$AX,MATCH($I$1,Data!$A$1:$AX$1,),)-VLOOKUP(EDATE(B153,-12),Data!$A:$AX,MATCH($I$1,Data!$A$1:$AX$1,),))/VLOOKUP(EDATE(B153,-12),Data!$A:$AX,MATCH($I$1,Data!$A$1:$AX$1,),))</f>
        <v>9.3777388255915889E-2</v>
      </c>
      <c r="J153" s="20">
        <f>IF(VLOOKUP(B153,Data!$A:$AX,MATCH($J$1,Data!$A$1:$AX$1,))=0,#N/A,(VLOOKUP(B153,Data!$A:$AX,MATCH($J$1,Data!$A$1:$AX$1,),)-VLOOKUP(EDATE(B153,-12),Data!$A:$AX,MATCH($J$1,Data!$A$1:$AX$1,),))/VLOOKUP(EDATE(B153,-12),Data!$A:$AX,MATCH($J$1,Data!$A$1:$AX$1,),))</f>
        <v>0.11770244821092278</v>
      </c>
      <c r="K153" s="20">
        <f>IF(VLOOKUP(B153,Data!$A:$AX,MATCH($K$1,Data!$A$1:$AX$1,))=0,#N/A,(VLOOKUP(B153,Data!$A:$AX,MATCH($K$1,Data!$A$1:$AX$1,),)-VLOOKUP(EDATE(B153,-12),Data!$A:$AX,MATCH($K$1,Data!$A$1:$AX$1,),))/VLOOKUP(EDATE(B153,-12),Data!$A:$AX,MATCH($K$1,Data!$A$1:$AX$1,),))</f>
        <v>6.809614471896866E-2</v>
      </c>
      <c r="L153" s="20">
        <f>IF(VLOOKUP(B153,Data!$A:$AX,MATCH($L$1,Data!$A$1:$AX$1,))=0,#N/A,(VLOOKUP(B153,Data!$A:$AX,MATCH($L$1,Data!$A$1:$AX$1,),)-VLOOKUP(EDATE(B153,-12),Data!$A:$AX,MATCH($L$1,Data!$A$1:$AX$1,),))/VLOOKUP(EDATE(B153,-12),Data!$A:$AX,MATCH($L$1,Data!$A$1:$AX$1,),))</f>
        <v>0.11464495043621525</v>
      </c>
      <c r="M153" s="20">
        <f>IF(VLOOKUP(B153,Data!$A:$AX,MATCH($M$1,Data!$A$1:$AX$1,))=0,#N/A,(VLOOKUP(B153,Data!$A:$AX,MATCH($M$1,Data!$A$1:$AX$1,),)-VLOOKUP(EDATE(B153,-12),Data!$A:$AX,MATCH($M$1,Data!$A$1:$AX$1,),))/VLOOKUP(EDATE(B153,-12),Data!$A:$AX,MATCH($M$1,Data!$A$1:$AX$1,),))</f>
        <v>7.7965476331534E-2</v>
      </c>
      <c r="N153" s="20">
        <f>(VLOOKUP(B153,Data!$A:$AX,MATCH($N$1,Data!$A$1:$AX$1,),)-VLOOKUP(EDATE(B153,-12),Data!$A:$AX,MATCH($N$1,Data!$A$1:$AX$1,),))/VLOOKUP(EDATE(B153,-12),Data!$A:$AX,MATCH($N$1,Data!$A$1:$AX$1,),)</f>
        <v>-1</v>
      </c>
      <c r="O153" s="20">
        <f>IF(VLOOKUP(B153,Data!$A:$AX,MATCH($O$1,Data!$A$1:$AX$1,))=0,#N/A,(VLOOKUP(B153,Data!$A:$AX,MATCH($O$1,Data!$A$1:$AX$1,),)-VLOOKUP(EDATE(B153,-12),Data!$A:$AX,MATCH($O$1,Data!$A$1:$AX$1,),))/VLOOKUP(EDATE(B153,-12),Data!$A:$AX,MATCH($O$1,Data!$A$1:$AX$1,),))</f>
        <v>5.4097300045057153E-2</v>
      </c>
      <c r="P153" s="20">
        <f>IF(VLOOKUP(B153,Data!$A:$AX,MATCH($P$1,Data!$A$1:$AX$1,))=0,#N/A,(VLOOKUP(B153,Data!$A:$AX,MATCH($P$1,Data!$A$1:$AX$1,),)-VLOOKUP(EDATE(B153,-12),Data!$A:$AX,MATCH($P$1,Data!$A$1:$AX$1,),))/VLOOKUP(EDATE(B153,-12),Data!$A:$AX,MATCH($P$1,Data!$A$1:$AX$1,),))</f>
        <v>6.7960653757808298E-2</v>
      </c>
      <c r="Q153" s="20" t="e">
        <f>(VLOOKUP(B153,Data!$A:$AX,MATCH($Q$1,Data!$A$1:$AX$1,),)-VLOOKUP(EDATE(B153,-12),Data!$A:$AX,MATCH($Q$1,Data!$A$1:$AX$1,),))/VLOOKUP(EDATE(B153,-12),Data!$A:$AX,MATCH($Q$1,Data!$A$1:$AX$1,),)</f>
        <v>#N/A</v>
      </c>
      <c r="R153" s="20">
        <f>IF(VLOOKUP(B153,Data!$A:$AX,MATCH($R$1,Data!$A$1:$AX$1,))=0,#N/A,(VLOOKUP(B153,Data!$A:$AX,MATCH($R$1,Data!$A$1:$AX$1,),)-VLOOKUP(EDATE(B153,-12),Data!$A:$AX,MATCH($R$1,Data!$A$1:$AX$1,),))/VLOOKUP(EDATE(B153,-12),Data!$A:$AX,MATCH($R$1,Data!$A$1:$AX$1,),))</f>
        <v>2.9602705949791537E-2</v>
      </c>
      <c r="S153" s="20">
        <f>IF(VLOOKUP(B153,Data!$A:$AX,MATCH($S$1,Data!$A$1:$AX$1,))=0,#N/A,(VLOOKUP(B153,Data!$A:$AX,MATCH($S$1,Data!$A$1:$AX$1,),)-VLOOKUP(EDATE(B153,-12),Data!$A:$AX,MATCH($S$1,Data!$A$1:$AX$1,),))/VLOOKUP(EDATE(B153,-12),Data!$A:$AX,MATCH($S$1,Data!$A$1:$AX$1,),))</f>
        <v>5.0352018455283198E-2</v>
      </c>
      <c r="T153" s="20">
        <f>IF(VLOOKUP(B153,Data!$A:$AX,MATCH($T$1,Data!$A$1:$AX$1,))=0,#N/A,(VLOOKUP(B153,Data!$A:$AX,MATCH($T$1,Data!$A$1:$AX$1,),)-VLOOKUP(EDATE(B153,-12),Data!$A:$AX,MATCH($T$1,Data!$A$1:$AX$1,),))/VLOOKUP(EDATE(B153,-12),Data!$A:$AX,MATCH($T$1,Data!$A$1:$AX$1,),))</f>
        <v>5.9007515425989865E-2</v>
      </c>
      <c r="U153" s="20">
        <f>IF(VLOOKUP(B153,Data!$A:$AX,MATCH($U$1,Data!$A$1:$AX$1,))=0,#N/A,(VLOOKUP(B153,Data!$A:$AX,MATCH($U$1,Data!$A$1:$AX$1,),)-VLOOKUP(EDATE(B153,-12),Data!$A:$AX,MATCH($U$1,Data!$A$1:$AX$1,),))/VLOOKUP(EDATE(B153,-12),Data!$A:$AX,MATCH($U$1,Data!$A$1:$AX$1,),))</f>
        <v>8.539380432830937E-2</v>
      </c>
      <c r="V153" s="20">
        <f>(VLOOKUP(B153,Data!$A:$AX,MATCH($V$1,Data!$A$1:$AX$1,),)-VLOOKUP(EDATE(B153,-12),Data!$A:$AX,MATCH($V$1,Data!$A$1:$AX$1,),))/VLOOKUP(EDATE(B153,-12),Data!$A:$AX,MATCH($V$1,Data!$A$1:$AX$1,),)</f>
        <v>8.9201639112618344E-2</v>
      </c>
      <c r="W153" s="20">
        <f>IF(VLOOKUP(B153,Data!$A:$AX,MATCH($W$1,Data!$A$1:$AX$1,))=0,#N/A,(VLOOKUP(B153,Data!$A:$AX,MATCH($W$1,Data!$A$1:$AX$1,),)-VLOOKUP(EDATE(B153,-12),Data!$A:$AX,MATCH($W$1,Data!$A$1:$AX$1,),))/VLOOKUP(EDATE(B153,-12),Data!$A:$AX,MATCH($W$1,Data!$A$1:$AX$1,),))</f>
        <v>0.84389283460105957</v>
      </c>
      <c r="X153" s="20">
        <f>IF(VLOOKUP(B153,Data!$A:$AX,MATCH($X$1,Data!$A$1:$AX$1,))=0,#N/A,(VLOOKUP(B153,Data!$A:$AX,MATCH($X$1,Data!$A$1:$AX$1,),)-VLOOKUP(EDATE(B153,-12),Data!$A:$AX,MATCH($X$1,Data!$A$1:$AX$1,),))/VLOOKUP(EDATE(B153,-12),Data!$A:$AX,MATCH($X$1,Data!$A$1:$AX$1,),))</f>
        <v>0.16245791245791244</v>
      </c>
      <c r="Y153" s="20">
        <f>IF(VLOOKUP(B153,Data!$A:$AX,MATCH($Y$1,Data!$A$1:$AX$1,))=0,#N/A,(VLOOKUP(B153,Data!$A:$AX,MATCH($Y$1,Data!$A$1:$AX$1,),)-VLOOKUP(EDATE(B153,-12),Data!$A:$AX,MATCH($Y$1,Data!$A$1:$AX$1,),))/VLOOKUP(EDATE(B153,-12),Data!$A:$AX,MATCH($Y$1,Data!$A$1:$AX$1,),))</f>
        <v>0.17724122914409129</v>
      </c>
    </row>
    <row r="154" spans="2:25" s="72" customFormat="1" x14ac:dyDescent="0.35">
      <c r="B154" s="15">
        <v>44896</v>
      </c>
      <c r="C154" s="20">
        <f>IF(VLOOKUP(B154,Data!$A:$AX,MATCH($C$1,Data!$A$1:$AX$1,))=0,#N/A,(VLOOKUP(B154,Data!$A:$AX,MATCH($C$1,Data!$A$1:$AX$1,),)-VLOOKUP(EDATE(B154,-12),Data!$A:$AX,MATCH($C$1,Data!$A$1:$AX$1,),))/VLOOKUP(EDATE(B154,-12),Data!$A:$AX,MATCH($C$1,Data!$A$1:$AX$1,),))</f>
        <v>6.4544183219345561E-2</v>
      </c>
      <c r="D154" s="20">
        <f>IF(VLOOKUP(B154,Data!$A:$AX,MATCH($D$1,Data!$A$1:$AX$1,))=0,#N/A,(VLOOKUP(B154,Data!$A:$AX,MATCH($D$1,Data!$A$1:$AX$1,),)-VLOOKUP(EDATE(B154,-12),Data!$A:$AX,MATCH($D$1,Data!$A$1:$AX$1,),))/VLOOKUP(EDATE(B154,-12),Data!$A:$AX,MATCH($D$1,Data!$A$1:$AX$1,),))</f>
        <v>1.7752107062560786E-2</v>
      </c>
      <c r="E154" s="20" t="e">
        <f>IF(VLOOKUP(B154,Data!$A:$AX,MATCH($E$1,Data!$A$1:$AX$1,))=0,#N/A,(VLOOKUP(B154,Data!$A:$AX,MATCH($E$1,Data!$A$1:$AX$1,),)-VLOOKUP(EDATE(B154,-12),Data!$A:$AX,MATCH($E$1,Data!$A$1:$AX$1,),))/VLOOKUP(EDATE(B154,-12),Data!$A:$AX,MATCH($E$1,Data!$A$1:$AX$1,),))</f>
        <v>#N/A</v>
      </c>
      <c r="F154" s="20" t="e">
        <f>IF(VLOOKUP(B154,Data!$A:$AX,MATCH($F$1,Data!$A$1:$AX$1,))=0,#N/A,(VLOOKUP(B154,Data!$A:$AX,MATCH($F$1,Data!$A$1:$AX$1,),)-VLOOKUP(EDATE(B154,-12),Data!$A:$AX,MATCH($F$1,Data!$A$1:$AX$1,),))/VLOOKUP(EDATE(B154,-12),Data!$A:$AX,MATCH($F$1,Data!$A$1:$AX$1,),))</f>
        <v>#N/A</v>
      </c>
      <c r="G154" s="20" t="e">
        <f>IF(VLOOKUP(B154,Data!$A:$AX,MATCH($G$1,Data!$A$1:$AX$1,))=0,#N/A,(VLOOKUP(B154,Data!$A:$AX,MATCH($G$1,Data!$A$1:$AX$1,),)-VLOOKUP(EDATE(B154,-12),Data!$A:$AX,MATCH($G$1,Data!$A$1:$AX$1,),))/VLOOKUP(EDATE(B154,-12),Data!$A:$AX,MATCH($G$1,Data!$A$1:$AX$1,),))</f>
        <v>#N/A</v>
      </c>
      <c r="H154" s="20">
        <f>IF(VLOOKUP(B154,Data!$A:$AX,MATCH($H$1,Data!$A$1:$AX$1,))=0,#N/A,(VLOOKUP(B154,Data!$A:$AX,MATCH($H$1,Data!$A$1:$AX$1,),)-VLOOKUP(EDATE(B154,-12),Data!$A:$AX,MATCH($H$1,Data!$A$1:$AX$1,),))/VLOOKUP(EDATE(B154,-12),Data!$A:$AX,MATCH($H$1,Data!$A$1:$AX$1,),))</f>
        <v>5.8507185906351442E-2</v>
      </c>
      <c r="I154" s="20" t="e">
        <f>IF(VLOOKUP(B154,Data!$A:$AX,MATCH($I$1,Data!$A$1:$AX$1,))=0,#N/A,(VLOOKUP(B154,Data!$A:$AX,MATCH($I$1,Data!$A$1:$AX$1,),)-VLOOKUP(EDATE(B154,-12),Data!$A:$AX,MATCH($I$1,Data!$A$1:$AX$1,),))/VLOOKUP(EDATE(B154,-12),Data!$A:$AX,MATCH($I$1,Data!$A$1:$AX$1,),))</f>
        <v>#N/A</v>
      </c>
      <c r="J154" s="20">
        <f>IF(VLOOKUP(B154,Data!$A:$AX,MATCH($J$1,Data!$A$1:$AX$1,))=0,#N/A,(VLOOKUP(B154,Data!$A:$AX,MATCH($J$1,Data!$A$1:$AX$1,),)-VLOOKUP(EDATE(B154,-12),Data!$A:$AX,MATCH($J$1,Data!$A$1:$AX$1,),))/VLOOKUP(EDATE(B154,-12),Data!$A:$AX,MATCH($J$1,Data!$A$1:$AX$1,),))</f>
        <v>0.11632270168855541</v>
      </c>
      <c r="K154" s="20">
        <f>IF(VLOOKUP(B154,Data!$A:$AX,MATCH($K$1,Data!$A$1:$AX$1,))=0,#N/A,(VLOOKUP(B154,Data!$A:$AX,MATCH($K$1,Data!$A$1:$AX$1,),)-VLOOKUP(EDATE(B154,-12),Data!$A:$AX,MATCH($K$1,Data!$A$1:$AX$1,),))/VLOOKUP(EDATE(B154,-12),Data!$A:$AX,MATCH($K$1,Data!$A$1:$AX$1,),))</f>
        <v>5.7076599896853368E-2</v>
      </c>
      <c r="L154" s="20">
        <f>IF(VLOOKUP(B154,Data!$A:$AX,MATCH($L$1,Data!$A$1:$AX$1,))=0,#N/A,(VLOOKUP(B154,Data!$A:$AX,MATCH($L$1,Data!$A$1:$AX$1,),)-VLOOKUP(EDATE(B154,-12),Data!$A:$AX,MATCH($L$1,Data!$A$1:$AX$1,),))/VLOOKUP(EDATE(B154,-12),Data!$A:$AX,MATCH($L$1,Data!$A$1:$AX$1,),))</f>
        <v>0.12338702006207</v>
      </c>
      <c r="M154" s="20">
        <f>IF(VLOOKUP(B154,Data!$A:$AX,MATCH($M$1,Data!$A$1:$AX$1,))=0,#N/A,(VLOOKUP(B154,Data!$A:$AX,MATCH($M$1,Data!$A$1:$AX$1,),)-VLOOKUP(EDATE(B154,-12),Data!$A:$AX,MATCH($M$1,Data!$A$1:$AX$1,),))/VLOOKUP(EDATE(B154,-12),Data!$A:$AX,MATCH($M$1,Data!$A$1:$AX$1,),))</f>
        <v>7.8170124912295386E-2</v>
      </c>
      <c r="N154" s="20">
        <f>(VLOOKUP(B154,Data!$A:$AX,MATCH($N$1,Data!$A$1:$AX$1,),)-VLOOKUP(EDATE(B154,-12),Data!$A:$AX,MATCH($N$1,Data!$A$1:$AX$1,),))/VLOOKUP(EDATE(B154,-12),Data!$A:$AX,MATCH($N$1,Data!$A$1:$AX$1,),)</f>
        <v>-1</v>
      </c>
      <c r="O154" s="20" t="e">
        <f>IF(VLOOKUP(B154,Data!$A:$AX,MATCH($O$1,Data!$A$1:$AX$1,))=0,#N/A,(VLOOKUP(B154,Data!$A:$AX,MATCH($O$1,Data!$A$1:$AX$1,),)-VLOOKUP(EDATE(B154,-12),Data!$A:$AX,MATCH($O$1,Data!$A$1:$AX$1,),))/VLOOKUP(EDATE(B154,-12),Data!$A:$AX,MATCH($O$1,Data!$A$1:$AX$1,),))</f>
        <v>#N/A</v>
      </c>
      <c r="P154" s="20" t="e">
        <f>IF(VLOOKUP(B154,Data!$A:$AX,MATCH($P$1,Data!$A$1:$AX$1,))=0,#N/A,(VLOOKUP(B154,Data!$A:$AX,MATCH($P$1,Data!$A$1:$AX$1,),)-VLOOKUP(EDATE(B154,-12),Data!$A:$AX,MATCH($P$1,Data!$A$1:$AX$1,),))/VLOOKUP(EDATE(B154,-12),Data!$A:$AX,MATCH($P$1,Data!$A$1:$AX$1,),))</f>
        <v>#N/A</v>
      </c>
      <c r="Q154" s="20" t="e">
        <f>(VLOOKUP(B154,Data!$A:$AX,MATCH($Q$1,Data!$A$1:$AX$1,),)-VLOOKUP(EDATE(B154,-12),Data!$A:$AX,MATCH($Q$1,Data!$A$1:$AX$1,),))/VLOOKUP(EDATE(B154,-12),Data!$A:$AX,MATCH($Q$1,Data!$A$1:$AX$1,),)</f>
        <v>#N/A</v>
      </c>
      <c r="R154" s="20">
        <f>IF(VLOOKUP(B154,Data!$A:$AX,MATCH($R$1,Data!$A$1:$AX$1,))=0,#N/A,(VLOOKUP(B154,Data!$A:$AX,MATCH($R$1,Data!$A$1:$AX$1,),)-VLOOKUP(EDATE(B154,-12),Data!$A:$AX,MATCH($R$1,Data!$A$1:$AX$1,),))/VLOOKUP(EDATE(B154,-12),Data!$A:$AX,MATCH($R$1,Data!$A$1:$AX$1,),))</f>
        <v>2.8402709885974618E-2</v>
      </c>
      <c r="S154" s="20">
        <f>IF(VLOOKUP(B154,Data!$A:$AX,MATCH($S$1,Data!$A$1:$AX$1,))=0,#N/A,(VLOOKUP(B154,Data!$A:$AX,MATCH($S$1,Data!$A$1:$AX$1,),)-VLOOKUP(EDATE(B154,-12),Data!$A:$AX,MATCH($S$1,Data!$A$1:$AX$1,),))/VLOOKUP(EDATE(B154,-12),Data!$A:$AX,MATCH($S$1,Data!$A$1:$AX$1,),))</f>
        <v>5.0364526917367765E-2</v>
      </c>
      <c r="T154" s="20" t="e">
        <f>IF(VLOOKUP(B154,Data!$A:$AX,MATCH($T$1,Data!$A$1:$AX$1,))=0,#N/A,(VLOOKUP(B154,Data!$A:$AX,MATCH($T$1,Data!$A$1:$AX$1,),)-VLOOKUP(EDATE(B154,-12),Data!$A:$AX,MATCH($T$1,Data!$A$1:$AX$1,),))/VLOOKUP(EDATE(B154,-12),Data!$A:$AX,MATCH($T$1,Data!$A$1:$AX$1,),))</f>
        <v>#N/A</v>
      </c>
      <c r="U154" s="20">
        <f>IF(VLOOKUP(B154,Data!$A:$AX,MATCH($U$1,Data!$A$1:$AX$1,))=0,#N/A,(VLOOKUP(B154,Data!$A:$AX,MATCH($U$1,Data!$A$1:$AX$1,),)-VLOOKUP(EDATE(B154,-12),Data!$A:$AX,MATCH($U$1,Data!$A$1:$AX$1,),))/VLOOKUP(EDATE(B154,-12),Data!$A:$AX,MATCH($U$1,Data!$A$1:$AX$1,),))</f>
        <v>7.2240114979910022E-2</v>
      </c>
      <c r="V154" s="20">
        <f>(VLOOKUP(B154,Data!$A:$AX,MATCH($V$1,Data!$A$1:$AX$1,),)-VLOOKUP(EDATE(B154,-12),Data!$A:$AX,MATCH($V$1,Data!$A$1:$AX$1,),))/VLOOKUP(EDATE(B154,-12),Data!$A:$AX,MATCH($V$1,Data!$A$1:$AX$1,),)</f>
        <v>8.2243041478283749E-2</v>
      </c>
      <c r="W154" s="20">
        <f>IF(VLOOKUP(B154,Data!$A:$AX,MATCH($W$1,Data!$A$1:$AX$1,))=0,#N/A,(VLOOKUP(B154,Data!$A:$AX,MATCH($W$1,Data!$A$1:$AX$1,),)-VLOOKUP(EDATE(B154,-12),Data!$A:$AX,MATCH($W$1,Data!$A$1:$AX$1,),))/VLOOKUP(EDATE(B154,-12),Data!$A:$AX,MATCH($W$1,Data!$A$1:$AX$1,),))</f>
        <v>0.64269603335730729</v>
      </c>
      <c r="X154" s="20">
        <f>IF(VLOOKUP(B154,Data!$A:$AX,MATCH($X$1,Data!$A$1:$AX$1,))=0,#N/A,(VLOOKUP(B154,Data!$A:$AX,MATCH($X$1,Data!$A$1:$AX$1,),)-VLOOKUP(EDATE(B154,-12),Data!$A:$AX,MATCH($X$1,Data!$A$1:$AX$1,),))/VLOOKUP(EDATE(B154,-12),Data!$A:$AX,MATCH($X$1,Data!$A$1:$AX$1,),))</f>
        <v>0.15758591785414919</v>
      </c>
      <c r="Y154" s="20">
        <f>IF(VLOOKUP(B154,Data!$A:$AX,MATCH($Y$1,Data!$A$1:$AX$1,))=0,#N/A,(VLOOKUP(B154,Data!$A:$AX,MATCH($Y$1,Data!$A$1:$AX$1,),)-VLOOKUP(EDATE(B154,-12),Data!$A:$AX,MATCH($Y$1,Data!$A$1:$AX$1,),))/VLOOKUP(EDATE(B154,-12),Data!$A:$AX,MATCH($Y$1,Data!$A$1:$AX$1,),))</f>
        <v>0.16814750063608253</v>
      </c>
    </row>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row r="392" s="72" customFormat="1" x14ac:dyDescent="0.35"/>
  </sheetData>
  <conditionalFormatting sqref="C24:C15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4">
    <cfRule type="colorScale" priority="1">
      <colorScale>
        <cfvo type="min"/>
        <cfvo type="percentile" val="50"/>
        <cfvo type="max"/>
        <color rgb="FFF8696B"/>
        <color rgb="FFFFEB84"/>
        <color rgb="FF63BE7B"/>
      </colorScale>
    </cfRule>
  </conditionalFormatting>
  <conditionalFormatting sqref="E59:AA59 Z60:AA106 E60:Y154">
    <cfRule type="colorScale" priority="24">
      <colorScale>
        <cfvo type="min"/>
        <cfvo type="percentile" val="50"/>
        <cfvo type="max"/>
        <color rgb="FFF8696B"/>
        <color rgb="FFFFEB84"/>
        <color rgb="FF63BE7B"/>
      </colorScale>
    </cfRule>
  </conditionalFormatting>
  <conditionalFormatting sqref="O15:O154">
    <cfRule type="colorScale" priority="23">
      <colorScale>
        <cfvo type="min"/>
        <cfvo type="percentile" val="50"/>
        <cfvo type="max"/>
        <color rgb="FFF8696B"/>
        <color rgb="FFFFEB84"/>
        <color rgb="FF63BE7B"/>
      </colorScale>
    </cfRule>
  </conditionalFormatting>
  <conditionalFormatting sqref="O59:O15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4">
    <cfRule type="colorScale" priority="21">
      <colorScale>
        <cfvo type="min"/>
        <cfvo type="percentile" val="50"/>
        <cfvo type="max"/>
        <color rgb="FFF8696B"/>
        <color rgb="FFFFEB84"/>
        <color rgb="FF63BE7B"/>
      </colorScale>
    </cfRule>
  </conditionalFormatting>
  <conditionalFormatting sqref="F59:F154">
    <cfRule type="colorScale" priority="19">
      <colorScale>
        <cfvo type="min"/>
        <cfvo type="percentile" val="50"/>
        <cfvo type="max"/>
        <color rgb="FFF8696B"/>
        <color rgb="FFFFEB84"/>
        <color rgb="FF63BE7B"/>
      </colorScale>
    </cfRule>
  </conditionalFormatting>
  <conditionalFormatting sqref="G59:G154">
    <cfRule type="colorScale" priority="18">
      <colorScale>
        <cfvo type="min"/>
        <cfvo type="percentile" val="50"/>
        <cfvo type="max"/>
        <color rgb="FFF8696B"/>
        <color rgb="FFFFEB84"/>
        <color rgb="FF63BE7B"/>
      </colorScale>
    </cfRule>
  </conditionalFormatting>
  <conditionalFormatting sqref="H59:H154">
    <cfRule type="colorScale" priority="17">
      <colorScale>
        <cfvo type="min"/>
        <cfvo type="percentile" val="50"/>
        <cfvo type="max"/>
        <color rgb="FFF8696B"/>
        <color rgb="FFFFEB84"/>
        <color rgb="FF63BE7B"/>
      </colorScale>
    </cfRule>
  </conditionalFormatting>
  <conditionalFormatting sqref="I59:I154">
    <cfRule type="colorScale" priority="16">
      <colorScale>
        <cfvo type="min"/>
        <cfvo type="percentile" val="50"/>
        <cfvo type="max"/>
        <color rgb="FFF8696B"/>
        <color rgb="FFFFEB84"/>
        <color rgb="FF63BE7B"/>
      </colorScale>
    </cfRule>
  </conditionalFormatting>
  <conditionalFormatting sqref="J59:J154">
    <cfRule type="colorScale" priority="15">
      <colorScale>
        <cfvo type="min"/>
        <cfvo type="percentile" val="50"/>
        <cfvo type="max"/>
        <color rgb="FFF8696B"/>
        <color rgb="FFFFEB84"/>
        <color rgb="FF63BE7B"/>
      </colorScale>
    </cfRule>
  </conditionalFormatting>
  <conditionalFormatting sqref="K59:K154">
    <cfRule type="colorScale" priority="14">
      <colorScale>
        <cfvo type="min"/>
        <cfvo type="percentile" val="50"/>
        <cfvo type="max"/>
        <color rgb="FFF8696B"/>
        <color rgb="FFFFEB84"/>
        <color rgb="FF63BE7B"/>
      </colorScale>
    </cfRule>
  </conditionalFormatting>
  <conditionalFormatting sqref="L59:L154">
    <cfRule type="colorScale" priority="13">
      <colorScale>
        <cfvo type="min"/>
        <cfvo type="percentile" val="50"/>
        <cfvo type="max"/>
        <color rgb="FFF8696B"/>
        <color rgb="FFFFEB84"/>
        <color rgb="FF63BE7B"/>
      </colorScale>
    </cfRule>
  </conditionalFormatting>
  <conditionalFormatting sqref="M59:M154">
    <cfRule type="colorScale" priority="12">
      <colorScale>
        <cfvo type="min"/>
        <cfvo type="percentile" val="50"/>
        <cfvo type="max"/>
        <color rgb="FFF8696B"/>
        <color rgb="FFFFEB84"/>
        <color rgb="FF63BE7B"/>
      </colorScale>
    </cfRule>
  </conditionalFormatting>
  <conditionalFormatting sqref="P59:P154">
    <cfRule type="colorScale" priority="11">
      <colorScale>
        <cfvo type="min"/>
        <cfvo type="percentile" val="50"/>
        <cfvo type="max"/>
        <color rgb="FFF8696B"/>
        <color rgb="FFFFEB84"/>
        <color rgb="FF63BE7B"/>
      </colorScale>
    </cfRule>
  </conditionalFormatting>
  <conditionalFormatting sqref="R59:R154">
    <cfRule type="colorScale" priority="10">
      <colorScale>
        <cfvo type="min"/>
        <cfvo type="percentile" val="50"/>
        <cfvo type="max"/>
        <color rgb="FFF8696B"/>
        <color rgb="FFFFEB84"/>
        <color rgb="FF63BE7B"/>
      </colorScale>
    </cfRule>
  </conditionalFormatting>
  <conditionalFormatting sqref="S59:S154">
    <cfRule type="colorScale" priority="9">
      <colorScale>
        <cfvo type="min"/>
        <cfvo type="percentile" val="50"/>
        <cfvo type="max"/>
        <color rgb="FFF8696B"/>
        <color rgb="FFFFEB84"/>
        <color rgb="FF63BE7B"/>
      </colorScale>
    </cfRule>
  </conditionalFormatting>
  <conditionalFormatting sqref="T59:T154">
    <cfRule type="colorScale" priority="8">
      <colorScale>
        <cfvo type="min"/>
        <cfvo type="percentile" val="50"/>
        <cfvo type="max"/>
        <color rgb="FFF8696B"/>
        <color rgb="FFFFEB84"/>
        <color rgb="FF63BE7B"/>
      </colorScale>
    </cfRule>
  </conditionalFormatting>
  <conditionalFormatting sqref="U59:U154">
    <cfRule type="colorScale" priority="7">
      <colorScale>
        <cfvo type="min"/>
        <cfvo type="percentile" val="50"/>
        <cfvo type="max"/>
        <color rgb="FFF8696B"/>
        <color rgb="FFFFEB84"/>
        <color rgb="FF63BE7B"/>
      </colorScale>
    </cfRule>
  </conditionalFormatting>
  <conditionalFormatting sqref="W59:W154">
    <cfRule type="colorScale" priority="6">
      <colorScale>
        <cfvo type="min"/>
        <cfvo type="percentile" val="50"/>
        <cfvo type="max"/>
        <color rgb="FFF8696B"/>
        <color rgb="FFFFEB84"/>
        <color rgb="FF63BE7B"/>
      </colorScale>
    </cfRule>
  </conditionalFormatting>
  <conditionalFormatting sqref="X59:X154">
    <cfRule type="colorScale" priority="5">
      <colorScale>
        <cfvo type="min"/>
        <cfvo type="percentile" val="50"/>
        <cfvo type="max"/>
        <color rgb="FFF8696B"/>
        <color rgb="FFFFEB84"/>
        <color rgb="FF63BE7B"/>
      </colorScale>
    </cfRule>
  </conditionalFormatting>
  <conditionalFormatting sqref="Y59:Y154">
    <cfRule type="colorScale" priority="4">
      <colorScale>
        <cfvo type="min"/>
        <cfvo type="percentile" val="50"/>
        <cfvo type="max"/>
        <color rgb="FFF8696B"/>
        <color rgb="FFFFEB84"/>
        <color rgb="FF63BE7B"/>
      </colorScale>
    </cfRule>
  </conditionalFormatting>
  <conditionalFormatting sqref="C59:C154">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30" zoomScaleNormal="130" workbookViewId="0">
      <pane xSplit="2" ySplit="9" topLeftCell="E149" activePane="bottomRight" state="frozen"/>
      <selection activeCell="M12" sqref="M12"/>
      <selection pane="topRight" activeCell="M12" sqref="M12"/>
      <selection pane="bottomLeft" activeCell="M12" sqref="M12"/>
      <selection pane="bottomRight" activeCell="Y154" sqref="Y154"/>
    </sheetView>
  </sheetViews>
  <sheetFormatPr defaultColWidth="8.81640625" defaultRowHeight="14.5" x14ac:dyDescent="0.35"/>
  <cols>
    <col min="1" max="1" width="9.1796875" style="72" customWidth="1"/>
    <col min="2" max="2" width="13.6328125" customWidth="1"/>
    <col min="4" max="4" width="7" hidden="1" customWidth="1"/>
    <col min="5" max="5" width="7.36328125" customWidth="1"/>
    <col min="6" max="6" width="7" customWidth="1"/>
    <col min="7" max="9" width="7.36328125" customWidth="1"/>
    <col min="10" max="11" width="7.1796875" customWidth="1"/>
    <col min="12" max="12" width="6.36328125" customWidth="1"/>
    <col min="13" max="13" width="7.36328125" customWidth="1"/>
    <col min="14" max="14" width="7" hidden="1" customWidth="1"/>
    <col min="15" max="15" width="7.1796875" hidden="1" customWidth="1"/>
    <col min="16" max="16" width="6.1796875" customWidth="1"/>
    <col min="17" max="17" width="7.6328125" hidden="1" customWidth="1"/>
    <col min="18" max="18" width="6.6328125" customWidth="1"/>
    <col min="19" max="19" width="6.1796875" hidden="1" customWidth="1"/>
    <col min="20" max="20" width="7" hidden="1"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4"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2" customFormat="1" x14ac:dyDescent="0.35">
      <c r="AD2" s="72" t="s">
        <v>504</v>
      </c>
      <c r="AE2" s="28">
        <v>44866</v>
      </c>
      <c r="AH2" s="27"/>
    </row>
    <row r="3" spans="2:34" ht="75.75" customHeight="1" x14ac:dyDescent="0.35">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35">
      <c r="B4" s="3" t="s">
        <v>513</v>
      </c>
      <c r="C4" s="22">
        <f t="shared" ref="C4:Y4" ca="1" si="0">MAX(OFFSET(C$59,COUNT(C$59:C$250),0,-13,1))</f>
        <v>6.6306089223442846E-2</v>
      </c>
      <c r="D4" s="22" t="e">
        <f t="shared" ca="1" si="0"/>
        <v>#DIV/0!</v>
      </c>
      <c r="E4" s="22" t="e">
        <f t="shared" ca="1" si="0"/>
        <v>#N/A</v>
      </c>
      <c r="F4" s="22" t="e">
        <f t="shared" ca="1" si="0"/>
        <v>#N/A</v>
      </c>
      <c r="G4" s="22" t="e">
        <f t="shared" ca="1" si="0"/>
        <v>#N/A</v>
      </c>
      <c r="H4" s="22">
        <f t="shared" ca="1" si="0"/>
        <v>3.5205875815267428E-2</v>
      </c>
      <c r="I4" s="22" t="e">
        <f t="shared" ca="1" si="0"/>
        <v>#N/A</v>
      </c>
      <c r="J4" s="22">
        <f t="shared" ca="1" si="0"/>
        <v>4.4694652640069971E-2</v>
      </c>
      <c r="K4" s="22">
        <f t="shared" ca="1" si="0"/>
        <v>4.6918158482132107E-2</v>
      </c>
      <c r="L4" s="22">
        <f t="shared" ca="1" si="0"/>
        <v>9.4480157615351709E-2</v>
      </c>
      <c r="M4" s="22">
        <f t="shared" ca="1" si="0"/>
        <v>6.6332856309621296E-2</v>
      </c>
      <c r="N4" s="22" t="e">
        <f t="shared" ca="1" si="0"/>
        <v>#DIV/0!</v>
      </c>
      <c r="O4" s="22" t="e">
        <f t="shared" ca="1" si="0"/>
        <v>#DIV/0!</v>
      </c>
      <c r="P4" s="22" t="e">
        <f t="shared" ca="1" si="0"/>
        <v>#N/A</v>
      </c>
      <c r="Q4" s="22" t="e">
        <f t="shared" ca="1" si="0"/>
        <v>#N/A</v>
      </c>
      <c r="R4" s="22">
        <f t="shared" ca="1" si="0"/>
        <v>2.0456025799891919E-2</v>
      </c>
      <c r="S4" s="22">
        <f t="shared" ca="1" si="0"/>
        <v>4.2524105853663577E-2</v>
      </c>
      <c r="T4" s="22" t="e">
        <f t="shared" ca="1" si="0"/>
        <v>#DIV/0!</v>
      </c>
      <c r="U4" s="22">
        <f t="shared" ca="1" si="0"/>
        <v>5.7032999339529898E-2</v>
      </c>
      <c r="V4" s="22">
        <f t="shared" ca="1" si="0"/>
        <v>5.6115717427105374E-2</v>
      </c>
      <c r="W4" s="22">
        <f t="shared" ca="1" si="0"/>
        <v>0.71718986218556846</v>
      </c>
      <c r="X4" s="22">
        <f t="shared" ca="1" si="0"/>
        <v>0.13502109704641349</v>
      </c>
      <c r="Y4" s="22">
        <f t="shared" ca="1" si="0"/>
        <v>0.11500397287407435</v>
      </c>
      <c r="Z4" s="22" t="e">
        <f>MAX(Z94:Z106)</f>
        <v>#N/A</v>
      </c>
      <c r="AA4" s="22" t="e">
        <f>MAX(AA94:AA106)</f>
        <v>#N/A</v>
      </c>
      <c r="AB4" s="12"/>
    </row>
    <row r="5" spans="2:34" x14ac:dyDescent="0.35">
      <c r="B5" s="3" t="s">
        <v>514</v>
      </c>
      <c r="C5" s="22">
        <f t="shared" ref="C5:Y5" ca="1" si="1">MIN(OFFSET(C$59,COUNT(C$59:C$250),0,-13,1))</f>
        <v>5.7077765832181493E-2</v>
      </c>
      <c r="D5" s="22" t="e">
        <f t="shared" ca="1" si="1"/>
        <v>#DIV/0!</v>
      </c>
      <c r="E5" s="22" t="e">
        <f t="shared" ca="1" si="1"/>
        <v>#N/A</v>
      </c>
      <c r="F5" s="22" t="e">
        <f t="shared" ca="1" si="1"/>
        <v>#N/A</v>
      </c>
      <c r="G5" s="22" t="e">
        <f t="shared" ca="1" si="1"/>
        <v>#N/A</v>
      </c>
      <c r="H5" s="22">
        <f t="shared" ca="1" si="1"/>
        <v>1.2951060305538855E-2</v>
      </c>
      <c r="I5" s="22" t="e">
        <f t="shared" ca="1" si="1"/>
        <v>#N/A</v>
      </c>
      <c r="J5" s="22">
        <f t="shared" ca="1" si="1"/>
        <v>1.3420608615302327E-2</v>
      </c>
      <c r="K5" s="22">
        <f t="shared" ca="1" si="1"/>
        <v>2.0062400057130794E-2</v>
      </c>
      <c r="L5" s="22">
        <f t="shared" ca="1" si="1"/>
        <v>2.3429593287519635E-2</v>
      </c>
      <c r="M5" s="22">
        <f t="shared" ca="1" si="1"/>
        <v>5.0662798515701768E-2</v>
      </c>
      <c r="N5" s="22" t="e">
        <f t="shared" ca="1" si="1"/>
        <v>#DIV/0!</v>
      </c>
      <c r="O5" s="22" t="e">
        <f t="shared" ca="1" si="1"/>
        <v>#DIV/0!</v>
      </c>
      <c r="P5" s="22" t="e">
        <f t="shared" ca="1" si="1"/>
        <v>#N/A</v>
      </c>
      <c r="Q5" s="22" t="e">
        <f t="shared" ca="1" si="1"/>
        <v>#N/A</v>
      </c>
      <c r="R5" s="22">
        <f t="shared" ca="1" si="1"/>
        <v>1.1101472509855145E-2</v>
      </c>
      <c r="S5" s="22">
        <f t="shared" ca="1" si="1"/>
        <v>2.5855197359021267E-2</v>
      </c>
      <c r="T5" s="22" t="e">
        <f t="shared" ca="1" si="1"/>
        <v>#DIV/0!</v>
      </c>
      <c r="U5" s="22">
        <f t="shared" ca="1" si="1"/>
        <v>1.1713944113158589E-2</v>
      </c>
      <c r="V5" s="22">
        <f t="shared" ca="1" si="1"/>
        <v>3.2467330217383288E-2</v>
      </c>
      <c r="W5" s="22">
        <f t="shared" ca="1" si="1"/>
        <v>0.39740897331764463</v>
      </c>
      <c r="X5" s="22">
        <f t="shared" ca="1" si="1"/>
        <v>9.1145833333333329E-2</v>
      </c>
      <c r="Y5" s="22">
        <f t="shared" ca="1" si="1"/>
        <v>5.8260689158820905E-2</v>
      </c>
      <c r="Z5" s="22" t="e">
        <f>MIN(Z94:Z106)</f>
        <v>#N/A</v>
      </c>
      <c r="AA5" s="22" t="e">
        <f>MIN(AA94:AA106)</f>
        <v>#N/A</v>
      </c>
      <c r="AB5" s="12"/>
    </row>
    <row r="6" spans="2:34" x14ac:dyDescent="0.35">
      <c r="B6" s="3" t="s">
        <v>515</v>
      </c>
      <c r="C6" s="22">
        <f t="shared" ref="C6:Y6" ca="1" si="2">AVERAGE(OFFSET(C$59,COUNT(C$59:C$250),0,-13,1))</f>
        <v>6.1518567857555335E-2</v>
      </c>
      <c r="D6" s="22" t="e">
        <f t="shared" ca="1" si="2"/>
        <v>#DIV/0!</v>
      </c>
      <c r="E6" s="22" t="e">
        <f t="shared" ca="1" si="2"/>
        <v>#N/A</v>
      </c>
      <c r="F6" s="22" t="e">
        <f t="shared" ca="1" si="2"/>
        <v>#N/A</v>
      </c>
      <c r="G6" s="22" t="e">
        <f t="shared" ca="1" si="2"/>
        <v>#N/A</v>
      </c>
      <c r="H6" s="22">
        <f t="shared" ca="1" si="2"/>
        <v>2.7755897627941204E-2</v>
      </c>
      <c r="I6" s="22" t="e">
        <f t="shared" ca="1" si="2"/>
        <v>#N/A</v>
      </c>
      <c r="J6" s="22">
        <f t="shared" ca="1" si="2"/>
        <v>2.9302020283021656E-2</v>
      </c>
      <c r="K6" s="22">
        <f t="shared" ca="1" si="2"/>
        <v>3.6854123436040991E-2</v>
      </c>
      <c r="L6" s="22">
        <f t="shared" ca="1" si="2"/>
        <v>5.8007529227315995E-2</v>
      </c>
      <c r="M6" s="22">
        <f t="shared" ca="1" si="2"/>
        <v>5.991839587297506E-2</v>
      </c>
      <c r="N6" s="22" t="e">
        <f t="shared" ca="1" si="2"/>
        <v>#DIV/0!</v>
      </c>
      <c r="O6" s="22" t="e">
        <f t="shared" ca="1" si="2"/>
        <v>#DIV/0!</v>
      </c>
      <c r="P6" s="22" t="e">
        <f t="shared" ca="1" si="2"/>
        <v>#N/A</v>
      </c>
      <c r="Q6" s="22" t="e">
        <f t="shared" ca="1" si="2"/>
        <v>#N/A</v>
      </c>
      <c r="R6" s="22">
        <f t="shared" ca="1" si="2"/>
        <v>1.7151616672671972E-2</v>
      </c>
      <c r="S6" s="22">
        <f t="shared" ca="1" si="2"/>
        <v>3.5994020296522218E-2</v>
      </c>
      <c r="T6" s="22" t="e">
        <f t="shared" ca="1" si="2"/>
        <v>#DIV/0!</v>
      </c>
      <c r="U6" s="22">
        <f t="shared" ca="1" si="2"/>
        <v>3.3266456235599894E-2</v>
      </c>
      <c r="V6" s="22">
        <f t="shared" ca="1" si="2"/>
        <v>4.6926219744681502E-2</v>
      </c>
      <c r="W6" s="22">
        <f t="shared" ca="1" si="2"/>
        <v>0.58292113986854199</v>
      </c>
      <c r="X6" s="22">
        <f t="shared" ca="1" si="2"/>
        <v>0.1217542457669777</v>
      </c>
      <c r="Y6" s="22">
        <f t="shared" ca="1" si="2"/>
        <v>8.9343456198619761E-2</v>
      </c>
      <c r="Z6" s="22" t="e">
        <f>AVERAGE(Z94:Z106)</f>
        <v>#N/A</v>
      </c>
      <c r="AA6" s="22" t="e">
        <f>AVERAGE(AA94:AA106)</f>
        <v>#N/A</v>
      </c>
      <c r="AB6" s="12"/>
    </row>
    <row r="7" spans="2:34" x14ac:dyDescent="0.35">
      <c r="B7" s="3" t="s">
        <v>516</v>
      </c>
      <c r="C7" s="23" t="str">
        <f t="shared" ref="C7:Y7" ca="1" si="3">IF((VLOOKUP($AE$2,$B:$Y,MATCH(C3,$B$3:$Y$3,),))&gt;C6,"above","below")</f>
        <v>below</v>
      </c>
      <c r="D7" s="23" t="e">
        <f t="shared" ca="1" si="3"/>
        <v>#DIV/0!</v>
      </c>
      <c r="E7" s="23" t="e">
        <f t="shared" ca="1" si="3"/>
        <v>#N/A</v>
      </c>
      <c r="F7" s="23" t="e">
        <f t="shared" ca="1" si="3"/>
        <v>#N/A</v>
      </c>
      <c r="G7" s="23" t="e">
        <f t="shared" ca="1" si="3"/>
        <v>#N/A</v>
      </c>
      <c r="H7" s="23" t="str">
        <f t="shared" ca="1" si="3"/>
        <v>above</v>
      </c>
      <c r="I7" s="23" t="e">
        <f t="shared" ca="1" si="3"/>
        <v>#N/A</v>
      </c>
      <c r="J7" s="23" t="str">
        <f t="shared" ca="1" si="3"/>
        <v>above</v>
      </c>
      <c r="K7" s="23" t="str">
        <f t="shared" ca="1" si="3"/>
        <v>above</v>
      </c>
      <c r="L7" s="23" t="str">
        <f t="shared" ca="1" si="3"/>
        <v>above</v>
      </c>
      <c r="M7" s="23" t="str">
        <f t="shared" ca="1" si="3"/>
        <v>above</v>
      </c>
      <c r="N7" s="23" t="e">
        <f t="shared" ca="1" si="3"/>
        <v>#DIV/0!</v>
      </c>
      <c r="O7" s="23" t="e">
        <f t="shared" ca="1" si="3"/>
        <v>#DIV/0!</v>
      </c>
      <c r="P7" s="23" t="e">
        <f t="shared" ca="1" si="3"/>
        <v>#N/A</v>
      </c>
      <c r="Q7" s="23" t="e">
        <f t="shared" ca="1" si="3"/>
        <v>#N/A</v>
      </c>
      <c r="R7" s="23" t="str">
        <f t="shared" ca="1" si="3"/>
        <v>below</v>
      </c>
      <c r="S7" s="23" t="str">
        <f t="shared" ca="1" si="3"/>
        <v>above</v>
      </c>
      <c r="T7" s="23" t="e">
        <f t="shared" ca="1" si="3"/>
        <v>#DIV/0!</v>
      </c>
      <c r="U7" s="23" t="str">
        <f t="shared" ca="1" si="3"/>
        <v>above</v>
      </c>
      <c r="V7" s="23" t="str">
        <f t="shared" ca="1" si="3"/>
        <v>above</v>
      </c>
      <c r="W7" s="23" t="str">
        <f t="shared" ca="1" si="3"/>
        <v>above</v>
      </c>
      <c r="X7" s="23" t="str">
        <f t="shared" ca="1" si="3"/>
        <v>above</v>
      </c>
      <c r="Y7" s="23" t="str">
        <f t="shared" ca="1" si="3"/>
        <v>above</v>
      </c>
      <c r="Z7" s="11" t="e">
        <f>IF((VLOOKUP($AE$2,$B:$Z,MATCH(Z3,$B$3:$Z$3,),))&gt;Z6,"above","below")</f>
        <v>#N/A</v>
      </c>
      <c r="AA7" s="11" t="e">
        <f>IF((VLOOKUP($AE$2,$B:$AA,MATCH(AA3,$B$3:$AA$3,),))&gt;AA6,"above","below")</f>
        <v>#N/A</v>
      </c>
      <c r="AB7" s="12"/>
    </row>
    <row r="8" spans="2:34" hidden="1" x14ac:dyDescent="0.35">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35">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2.2166314366200833E-2</v>
      </c>
      <c r="G59" s="20">
        <f>IF(VLOOKUP(B59,'Data Core CPI'!$A:$AX,MATCH($G$1,'Data Core CPI'!$A$1:$AX$1,),)=0,#N/A,(VLOOKUP(B59,'Data Core CPI'!$A:$AX,MATCH($G$1,'Data Core CPI'!$A$1:$AX$1,),)-VLOOKUP(EDATE(B59,-12),'Data Core CPI'!$A:$AX,MATCH($G$1,'Data Core CPI'!$A$1:$AX$1,),))/VLOOKUP(EDATE(B59,-12),'Data Core CPI'!$A:$AX,MATCH($G$1,'Data Core CPI'!$A$1:$AX$1,),))</f>
        <v>1.0345714202134289E-2</v>
      </c>
      <c r="H59" s="20">
        <f>IF(VLOOKUP(B59,'Data Core CPI'!$A:$AX,MATCH($H$1,'Data Core CPI'!$A$1:$AX$1,),)=0,#N/A,(VLOOKUP(B59,'Data Core CPI'!$A:$AX,MATCH($H$1,'Data Core CPI'!$A$1:$AX$1,),)-VLOOKUP(EDATE(B59,-12),'Data Core CPI'!$A:$AX,MATCH($H$1,'Data Core CPI'!$A$1:$AX$1,),))/VLOOKUP(EDATE(B59,-12),'Data Core CPI'!$A:$AX,MATCH($H$1,'Data Core CPI'!$A$1:$AX$1,),))</f>
        <v>3.6642149423298919E-3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3.3354266098987728E-3</v>
      </c>
      <c r="K59" s="20">
        <f>IF(VLOOKUP(B59,'Data Core CPI'!$A:$AX,MATCH($K$1,'Data Core CPI'!$A$1:$AX$1,),)=0,#N/A,(VLOOKUP(B59,'Data Core CPI'!$A:$AX,MATCH($K$1,'Data Core CPI'!$A$1:$AX$1,),)-VLOOKUP(EDATE(B59,-12),'Data Core CPI'!$A:$AX,MATCH($K$1,'Data Core CPI'!$A$1:$AX$1,),))/VLOOKUP(EDATE(B59,-12),'Data Core CPI'!$A:$AX,MATCH($K$1,'Data Core CPI'!$A$1:$AX$1,),))</f>
        <v>2.450662932478258E-3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2.4205774373498499E-2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2.1149788502115067E-3</v>
      </c>
      <c r="S59" s="20">
        <f>(VLOOKUP(B59,'Data Core CPI'!$A:$AX,MATCH($S$1,'Data Core CPI'!$A$1:$AX$1,),)-VLOOKUP(EDATE(B59,-12),'Data Core CPI'!$A:$AX,MATCH($S$1,'Data Core CPI'!$A$1:$AX$1,),))/VLOOKUP(EDATE(B59,-12),'Data Core CPI'!$A:$AX,MATCH($S$1,'Data Core CPI'!$A$1:$AX$1,),)</f>
        <v>2.4487642816560667E-2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-1.199591465775794E-2</v>
      </c>
      <c r="V59" s="20">
        <f>(VLOOKUP(B59,'Data Core CPI'!$A:$AX,MATCH($V$1,'Data Core CPI'!$A$1:$AX$1,),)-VLOOKUP(EDATE(B59,-12),'Data Core CPI'!$A:$AX,MATCH($V$1,'Data Core CPI'!$A$1:$AX$1,),))/VLOOKUP(EDATE(B59,-12),'Data Core CPI'!$A:$AX,MATCH($V$1,'Data Core CPI'!$A$1:$AX$1,),)</f>
        <v>9.5001772566325835E-3</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2.1228903794206583E-2</v>
      </c>
      <c r="G60" s="20">
        <f>IF(VLOOKUP(B60,'Data Core CPI'!$A:$AX,MATCH($G$1,'Data Core CPI'!$A$1:$AX$1,),)=0,#N/A,(VLOOKUP(B60,'Data Core CPI'!$A:$AX,MATCH($G$1,'Data Core CPI'!$A$1:$AX$1,),)-VLOOKUP(EDATE(B60,-12),'Data Core CPI'!$A:$AX,MATCH($G$1,'Data Core CPI'!$A$1:$AX$1,),))/VLOOKUP(EDATE(B60,-12),'Data Core CPI'!$A:$AX,MATCH($G$1,'Data Core CPI'!$A$1:$AX$1,),))</f>
        <v>1.0000070419437696E-2</v>
      </c>
      <c r="H60" s="20">
        <f>IF(VLOOKUP(B60,'Data Core CPI'!$A:$AX,MATCH($H$1,'Data Core CPI'!$A$1:$AX$1,),)=0,#N/A,(VLOOKUP(B60,'Data Core CPI'!$A:$AX,MATCH($H$1,'Data Core CPI'!$A$1:$AX$1,),)-VLOOKUP(EDATE(B60,-12),'Data Core CPI'!$A:$AX,MATCH($H$1,'Data Core CPI'!$A$1:$AX$1,),))/VLOOKUP(EDATE(B60,-12),'Data Core CPI'!$A:$AX,MATCH($H$1,'Data Core CPI'!$A$1:$AX$1,),))</f>
        <v>2.320234793065382E-3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6.7860189932100919E-3</v>
      </c>
      <c r="K60" s="20">
        <f>IF(VLOOKUP(B60,'Data Core CPI'!$A:$AX,MATCH($K$1,'Data Core CPI'!$A$1:$AX$1,),)=0,#N/A,(VLOOKUP(B60,'Data Core CPI'!$A:$AX,MATCH($K$1,'Data Core CPI'!$A$1:$AX$1,),)-VLOOKUP(EDATE(B60,-12),'Data Core CPI'!$A:$AX,MATCH($K$1,'Data Core CPI'!$A$1:$AX$1,),))/VLOOKUP(EDATE(B60,-12),'Data Core CPI'!$A:$AX,MATCH($K$1,'Data Core CPI'!$A$1:$AX$1,),))</f>
        <v>1.5725820037538342E-3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2.6647772232422214E-2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-3.3942806371256248E-4</v>
      </c>
      <c r="S60" s="20">
        <f>(VLOOKUP(B60,'Data Core CPI'!$A:$AX,MATCH($S$1,'Data Core CPI'!$A$1:$AX$1,),)-VLOOKUP(EDATE(B60,-12),'Data Core CPI'!$A:$AX,MATCH($S$1,'Data Core CPI'!$A$1:$AX$1,),))/VLOOKUP(EDATE(B60,-12),'Data Core CPI'!$A:$AX,MATCH($S$1,'Data Core CPI'!$A$1:$AX$1,),)</f>
        <v>2.3988770674745998E-2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-1.0013078625685949E-2</v>
      </c>
      <c r="V60" s="20">
        <f>(VLOOKUP(B60,'Data Core CPI'!$A:$AX,MATCH($V$1,'Data Core CPI'!$A$1:$AX$1,),)-VLOOKUP(EDATE(B60,-12),'Data Core CPI'!$A:$AX,MATCH($V$1,'Data Core CPI'!$A$1:$AX$1,),))/VLOOKUP(EDATE(B60,-12),'Data Core CPI'!$A:$AX,MATCH($V$1,'Data Core CPI'!$A$1:$AX$1,),)</f>
        <v>1.0941561713717324E-2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2.1168406350696237E-2</v>
      </c>
      <c r="G61" s="20">
        <f>IF(VLOOKUP(B61,'Data Core CPI'!$A:$AX,MATCH($G$1,'Data Core CPI'!$A$1:$AX$1,),)=0,#N/A,(VLOOKUP(B61,'Data Core CPI'!$A:$AX,MATCH($G$1,'Data Core CPI'!$A$1:$AX$1,),)-VLOOKUP(EDATE(B61,-12),'Data Core CPI'!$A:$AX,MATCH($G$1,'Data Core CPI'!$A$1:$AX$1,),))/VLOOKUP(EDATE(B61,-12),'Data Core CPI'!$A:$AX,MATCH($G$1,'Data Core CPI'!$A$1:$AX$1,),))</f>
        <v>9.8309563979141982E-3</v>
      </c>
      <c r="H61" s="20">
        <f>IF(VLOOKUP(B61,'Data Core CPI'!$A:$AX,MATCH($H$1,'Data Core CPI'!$A$1:$AX$1,),)=0,#N/A,(VLOOKUP(B61,'Data Core CPI'!$A:$AX,MATCH($H$1,'Data Core CPI'!$A$1:$AX$1,),)-VLOOKUP(EDATE(B61,-12),'Data Core CPI'!$A:$AX,MATCH($H$1,'Data Core CPI'!$A$1:$AX$1,),))/VLOOKUP(EDATE(B61,-12),'Data Core CPI'!$A:$AX,MATCH($H$1,'Data Core CPI'!$A$1:$AX$1,),))</f>
        <v>3.0428855586357218E-3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3.9241405463350696E-3</v>
      </c>
      <c r="K61" s="20">
        <f>IF(VLOOKUP(B61,'Data Core CPI'!$A:$AX,MATCH($K$1,'Data Core CPI'!$A$1:$AX$1,),)=0,#N/A,(VLOOKUP(B61,'Data Core CPI'!$A:$AX,MATCH($K$1,'Data Core CPI'!$A$1:$AX$1,),)-VLOOKUP(EDATE(B61,-12),'Data Core CPI'!$A:$AX,MATCH($K$1,'Data Core CPI'!$A$1:$AX$1,),))/VLOOKUP(EDATE(B61,-12),'Data Core CPI'!$A:$AX,MATCH($K$1,'Data Core CPI'!$A$1:$AX$1,),))</f>
        <v>1.7440913290246872E-3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2.9773007392373624E-2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-1.6389725392537864E-3</v>
      </c>
      <c r="S61" s="20">
        <f>(VLOOKUP(B61,'Data Core CPI'!$A:$AX,MATCH($S$1,'Data Core CPI'!$A$1:$AX$1,),)-VLOOKUP(EDATE(B61,-12),'Data Core CPI'!$A:$AX,MATCH($S$1,'Data Core CPI'!$A$1:$AX$1,),))/VLOOKUP(EDATE(B61,-12),'Data Core CPI'!$A:$AX,MATCH($S$1,'Data Core CPI'!$A$1:$AX$1,),)</f>
        <v>2.3539715922165503E-2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-1.4139911217021742E-2</v>
      </c>
      <c r="V61" s="20">
        <f>(VLOOKUP(B61,'Data Core CPI'!$A:$AX,MATCH($V$1,'Data Core CPI'!$A$1:$AX$1,),)-VLOOKUP(EDATE(B61,-12),'Data Core CPI'!$A:$AX,MATCH($V$1,'Data Core CPI'!$A$1:$AX$1,),))/VLOOKUP(EDATE(B61,-12),'Data Core CPI'!$A:$AX,MATCH($V$1,'Data Core CPI'!$A$1:$AX$1,),)</f>
        <v>6.0092134688780963E-3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5.5203630011779036E-3</v>
      </c>
      <c r="G62" s="20">
        <f>IF(VLOOKUP(B62,'Data Core CPI'!$A:$AX,MATCH($G$1,'Data Core CPI'!$A$1:$AX$1,),)=0,#N/A,(VLOOKUP(B62,'Data Core CPI'!$A:$AX,MATCH($G$1,'Data Core CPI'!$A$1:$AX$1,),)-VLOOKUP(EDATE(B62,-12),'Data Core CPI'!$A:$AX,MATCH($G$1,'Data Core CPI'!$A$1:$AX$1,),))/VLOOKUP(EDATE(B62,-12),'Data Core CPI'!$A:$AX,MATCH($G$1,'Data Core CPI'!$A$1:$AX$1,),))</f>
        <v>1.745798878206517E-2</v>
      </c>
      <c r="H62" s="20">
        <f>IF(VLOOKUP(B62,'Data Core CPI'!$A:$AX,MATCH($H$1,'Data Core CPI'!$A$1:$AX$1,),)=0,#N/A,(VLOOKUP(B62,'Data Core CPI'!$A:$AX,MATCH($H$1,'Data Core CPI'!$A$1:$AX$1,),)-VLOOKUP(EDATE(B62,-12),'Data Core CPI'!$A:$AX,MATCH($H$1,'Data Core CPI'!$A$1:$AX$1,),))/VLOOKUP(EDATE(B62,-12),'Data Core CPI'!$A:$AX,MATCH($H$1,'Data Core CPI'!$A$1:$AX$1,),))</f>
        <v>4.2489918662212672E-3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4.2935367307835419E-3</v>
      </c>
      <c r="K62" s="20">
        <f>IF(VLOOKUP(B62,'Data Core CPI'!$A:$AX,MATCH($K$1,'Data Core CPI'!$A$1:$AX$1,),)=0,#N/A,(VLOOKUP(B62,'Data Core CPI'!$A:$AX,MATCH($K$1,'Data Core CPI'!$A$1:$AX$1,),)-VLOOKUP(EDATE(B62,-12),'Data Core CPI'!$A:$AX,MATCH($K$1,'Data Core CPI'!$A$1:$AX$1,),))/VLOOKUP(EDATE(B62,-12),'Data Core CPI'!$A:$AX,MATCH($K$1,'Data Core CPI'!$A$1:$AX$1,),))</f>
        <v>1.5946685945148278E-3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2.9672209135846155E-2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-4.5500505561173075E-3</v>
      </c>
      <c r="S62" s="20">
        <f>(VLOOKUP(B62,'Data Core CPI'!$A:$AX,MATCH($S$1,'Data Core CPI'!$A$1:$AX$1,),)-VLOOKUP(EDATE(B62,-12),'Data Core CPI'!$A:$AX,MATCH($S$1,'Data Core CPI'!$A$1:$AX$1,),))/VLOOKUP(EDATE(B62,-12),'Data Core CPI'!$A:$AX,MATCH($S$1,'Data Core CPI'!$A$1:$AX$1,),)</f>
        <v>2.2713979743405333E-2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-1.3925119144620829E-2</v>
      </c>
      <c r="V62" s="20">
        <f>(VLOOKUP(B62,'Data Core CPI'!$A:$AX,MATCH($V$1,'Data Core CPI'!$A$1:$AX$1,),)-VLOOKUP(EDATE(B62,-12),'Data Core CPI'!$A:$AX,MATCH($V$1,'Data Core CPI'!$A$1:$AX$1,),))/VLOOKUP(EDATE(B62,-12),'Data Core CPI'!$A:$AX,MATCH($V$1,'Data Core CPI'!$A$1:$AX$1,),)</f>
        <v>3.7431214595970365E-3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5.2964078764187114E-3</v>
      </c>
      <c r="G63" s="20">
        <f>IF(VLOOKUP(B63,'Data Core CPI'!$A:$AX,MATCH($G$1,'Data Core CPI'!$A$1:$AX$1,),)=0,#N/A,(VLOOKUP(B63,'Data Core CPI'!$A:$AX,MATCH($G$1,'Data Core CPI'!$A$1:$AX$1,),)-VLOOKUP(EDATE(B63,-12),'Data Core CPI'!$A:$AX,MATCH($G$1,'Data Core CPI'!$A$1:$AX$1,),))/VLOOKUP(EDATE(B63,-12),'Data Core CPI'!$A:$AX,MATCH($G$1,'Data Core CPI'!$A$1:$AX$1,),))</f>
        <v>1.9792193593655666E-2</v>
      </c>
      <c r="H63" s="20">
        <f>IF(VLOOKUP(B63,'Data Core CPI'!$A:$AX,MATCH($H$1,'Data Core CPI'!$A$1:$AX$1,),)=0,#N/A,(VLOOKUP(B63,'Data Core CPI'!$A:$AX,MATCH($H$1,'Data Core CPI'!$A$1:$AX$1,),)-VLOOKUP(EDATE(B63,-12),'Data Core CPI'!$A:$AX,MATCH($H$1,'Data Core CPI'!$A$1:$AX$1,),))/VLOOKUP(EDATE(B63,-12),'Data Core CPI'!$A:$AX,MATCH($H$1,'Data Core CPI'!$A$1:$AX$1,),))</f>
        <v>5.7681533475816395E-3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5.8647732337337426E-3</v>
      </c>
      <c r="K63" s="20">
        <f>IF(VLOOKUP(B63,'Data Core CPI'!$A:$AX,MATCH($K$1,'Data Core CPI'!$A$1:$AX$1,),)=0,#N/A,(VLOOKUP(B63,'Data Core CPI'!$A:$AX,MATCH($K$1,'Data Core CPI'!$A$1:$AX$1,),)-VLOOKUP(EDATE(B63,-12),'Data Core CPI'!$A:$AX,MATCH($K$1,'Data Core CPI'!$A$1:$AX$1,),))/VLOOKUP(EDATE(B63,-12),'Data Core CPI'!$A:$AX,MATCH($K$1,'Data Core CPI'!$A$1:$AX$1,),))</f>
        <v>4.4131876901590313E-3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2.886320584233577E-2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-5.3839991115904925E-3</v>
      </c>
      <c r="S63" s="20">
        <f>(VLOOKUP(B63,'Data Core CPI'!$A:$AX,MATCH($S$1,'Data Core CPI'!$A$1:$AX$1,),)-VLOOKUP(EDATE(B63,-12),'Data Core CPI'!$A:$AX,MATCH($S$1,'Data Core CPI'!$A$1:$AX$1,),))/VLOOKUP(EDATE(B63,-12),'Data Core CPI'!$A:$AX,MATCH($S$1,'Data Core CPI'!$A$1:$AX$1,),)</f>
        <v>2.2290845878019529E-2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-1.395806565171983E-2</v>
      </c>
      <c r="V63" s="20">
        <f>(VLOOKUP(B63,'Data Core CPI'!$A:$AX,MATCH($V$1,'Data Core CPI'!$A$1:$AX$1,),)-VLOOKUP(EDATE(B63,-12),'Data Core CPI'!$A:$AX,MATCH($V$1,'Data Core CPI'!$A$1:$AX$1,),))/VLOOKUP(EDATE(B63,-12),'Data Core CPI'!$A:$AX,MATCH($V$1,'Data Core CPI'!$A$1:$AX$1,),)</f>
        <v>8.2496590793695364E-3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4.7333147839290074E-3</v>
      </c>
      <c r="G64" s="20">
        <f>IF(VLOOKUP(B64,'Data Core CPI'!$A:$AX,MATCH($G$1,'Data Core CPI'!$A$1:$AX$1,),)=0,#N/A,(VLOOKUP(B64,'Data Core CPI'!$A:$AX,MATCH($G$1,'Data Core CPI'!$A$1:$AX$1,),)-VLOOKUP(EDATE(B64,-12),'Data Core CPI'!$A:$AX,MATCH($G$1,'Data Core CPI'!$A$1:$AX$1,),))/VLOOKUP(EDATE(B64,-12),'Data Core CPI'!$A:$AX,MATCH($G$1,'Data Core CPI'!$A$1:$AX$1,),))</f>
        <v>1.807353010855264E-2</v>
      </c>
      <c r="H64" s="20">
        <f>IF(VLOOKUP(B64,'Data Core CPI'!$A:$AX,MATCH($H$1,'Data Core CPI'!$A$1:$AX$1,),)=0,#N/A,(VLOOKUP(B64,'Data Core CPI'!$A:$AX,MATCH($H$1,'Data Core CPI'!$A$1:$AX$1,),)-VLOOKUP(EDATE(B64,-12),'Data Core CPI'!$A:$AX,MATCH($H$1,'Data Core CPI'!$A$1:$AX$1,),))/VLOOKUP(EDATE(B64,-12),'Data Core CPI'!$A:$AX,MATCH($H$1,'Data Core CPI'!$A$1:$AX$1,),))</f>
        <v>5.8143149677997051E-3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7.1706114431146547E-3</v>
      </c>
      <c r="K64" s="20">
        <f>IF(VLOOKUP(B64,'Data Core CPI'!$A:$AX,MATCH($K$1,'Data Core CPI'!$A$1:$AX$1,),)=0,#N/A,(VLOOKUP(B64,'Data Core CPI'!$A:$AX,MATCH($K$1,'Data Core CPI'!$A$1:$AX$1,),)-VLOOKUP(EDATE(B64,-12),'Data Core CPI'!$A:$AX,MATCH($K$1,'Data Core CPI'!$A$1:$AX$1,),))/VLOOKUP(EDATE(B64,-12),'Data Core CPI'!$A:$AX,MATCH($K$1,'Data Core CPI'!$A$1:$AX$1,),))</f>
        <v>5.1235933547820944E-3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2.8570312331324812E-2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-3.858235420885394E-3</v>
      </c>
      <c r="S64" s="20">
        <f>(VLOOKUP(B64,'Data Core CPI'!$A:$AX,MATCH($S$1,'Data Core CPI'!$A$1:$AX$1,),)-VLOOKUP(EDATE(B64,-12),'Data Core CPI'!$A:$AX,MATCH($S$1,'Data Core CPI'!$A$1:$AX$1,),))/VLOOKUP(EDATE(B64,-12),'Data Core CPI'!$A:$AX,MATCH($S$1,'Data Core CPI'!$A$1:$AX$1,),)</f>
        <v>2.2255734156137297E-2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-1.551179349375661E-2</v>
      </c>
      <c r="V64" s="20">
        <f>(VLOOKUP(B64,'Data Core CPI'!$A:$AX,MATCH($V$1,'Data Core CPI'!$A$1:$AX$1,),)-VLOOKUP(EDATE(B64,-12),'Data Core CPI'!$A:$AX,MATCH($V$1,'Data Core CPI'!$A$1:$AX$1,),))/VLOOKUP(EDATE(B64,-12),'Data Core CPI'!$A:$AX,MATCH($V$1,'Data Core CPI'!$A$1:$AX$1,),)</f>
        <v>7.9615712778083828E-3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35">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4.2657178412561086E-3</v>
      </c>
      <c r="G65" s="20">
        <f>IF(VLOOKUP(B65,'Data Core CPI'!$A:$AX,MATCH($G$1,'Data Core CPI'!$A$1:$AX$1,),)=0,#N/A,(VLOOKUP(B65,'Data Core CPI'!$A:$AX,MATCH($G$1,'Data Core CPI'!$A$1:$AX$1,),)-VLOOKUP(EDATE(B65,-12),'Data Core CPI'!$A:$AX,MATCH($G$1,'Data Core CPI'!$A$1:$AX$1,),))/VLOOKUP(EDATE(B65,-12),'Data Core CPI'!$A:$AX,MATCH($G$1,'Data Core CPI'!$A$1:$AX$1,),))</f>
        <v>1.8277214652889062E-2</v>
      </c>
      <c r="H65" s="20">
        <f>IF(VLOOKUP(B65,'Data Core CPI'!$A:$AX,MATCH($H$1,'Data Core CPI'!$A$1:$AX$1,),)=0,#N/A,(VLOOKUP(B65,'Data Core CPI'!$A:$AX,MATCH($H$1,'Data Core CPI'!$A$1:$AX$1,),)-VLOOKUP(EDATE(B65,-12),'Data Core CPI'!$A:$AX,MATCH($H$1,'Data Core CPI'!$A$1:$AX$1,),))/VLOOKUP(EDATE(B65,-12),'Data Core CPI'!$A:$AX,MATCH($H$1,'Data Core CPI'!$A$1:$AX$1,),))</f>
        <v>6.0853449228951513E-3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7.240111028083732E-3</v>
      </c>
      <c r="K65" s="20">
        <f>IF(VLOOKUP(B65,'Data Core CPI'!$A:$AX,MATCH($K$1,'Data Core CPI'!$A$1:$AX$1,),)=0,#N/A,(VLOOKUP(B65,'Data Core CPI'!$A:$AX,MATCH($K$1,'Data Core CPI'!$A$1:$AX$1,),)-VLOOKUP(EDATE(B65,-12),'Data Core CPI'!$A:$AX,MATCH($K$1,'Data Core CPI'!$A$1:$AX$1,),))/VLOOKUP(EDATE(B65,-12),'Data Core CPI'!$A:$AX,MATCH($K$1,'Data Core CPI'!$A$1:$AX$1,),))</f>
        <v>6.6699834172576312E-3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2.9650480640579617E-2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-5.4958750254443913E-3</v>
      </c>
      <c r="S65" s="20">
        <f>(VLOOKUP(B65,'Data Core CPI'!$A:$AX,MATCH($S$1,'Data Core CPI'!$A$1:$AX$1,),)-VLOOKUP(EDATE(B65,-12),'Data Core CPI'!$A:$AX,MATCH($S$1,'Data Core CPI'!$A$1:$AX$1,),))/VLOOKUP(EDATE(B65,-12),'Data Core CPI'!$A:$AX,MATCH($S$1,'Data Core CPI'!$A$1:$AX$1,),)</f>
        <v>2.5069476136030808E-2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-1.4633518648244399E-2</v>
      </c>
      <c r="V65" s="20">
        <f>(VLOOKUP(B65,'Data Core CPI'!$A:$AX,MATCH($V$1,'Data Core CPI'!$A$1:$AX$1,),)-VLOOKUP(EDATE(B65,-12),'Data Core CPI'!$A:$AX,MATCH($V$1,'Data Core CPI'!$A$1:$AX$1,),))/VLOOKUP(EDATE(B65,-12),'Data Core CPI'!$A:$AX,MATCH($V$1,'Data Core CPI'!$A$1:$AX$1,),)</f>
        <v>9.8723364765029263E-3</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35">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4.9558830726916499E-3</v>
      </c>
      <c r="G66" s="20">
        <f>IF(VLOOKUP(B66,'Data Core CPI'!$A:$AX,MATCH($G$1,'Data Core CPI'!$A$1:$AX$1,),)=0,#N/A,(VLOOKUP(B66,'Data Core CPI'!$A:$AX,MATCH($G$1,'Data Core CPI'!$A$1:$AX$1,),)-VLOOKUP(EDATE(B66,-12),'Data Core CPI'!$A:$AX,MATCH($G$1,'Data Core CPI'!$A$1:$AX$1,),))/VLOOKUP(EDATE(B66,-12),'Data Core CPI'!$A:$AX,MATCH($G$1,'Data Core CPI'!$A$1:$AX$1,),))</f>
        <v>2.0155516162407853E-2</v>
      </c>
      <c r="H66" s="20">
        <f>IF(VLOOKUP(B66,'Data Core CPI'!$A:$AX,MATCH($H$1,'Data Core CPI'!$A$1:$AX$1,),)=0,#N/A,(VLOOKUP(B66,'Data Core CPI'!$A:$AX,MATCH($H$1,'Data Core CPI'!$A$1:$AX$1,),)-VLOOKUP(EDATE(B66,-12),'Data Core CPI'!$A:$AX,MATCH($H$1,'Data Core CPI'!$A$1:$AX$1,),))/VLOOKUP(EDATE(B66,-12),'Data Core CPI'!$A:$AX,MATCH($H$1,'Data Core CPI'!$A$1:$AX$1,),))</f>
        <v>4.6784010987804244E-3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8.2727573372878872E-3</v>
      </c>
      <c r="K66" s="20">
        <f>IF(VLOOKUP(B66,'Data Core CPI'!$A:$AX,MATCH($K$1,'Data Core CPI'!$A$1:$AX$1,),)=0,#N/A,(VLOOKUP(B66,'Data Core CPI'!$A:$AX,MATCH($K$1,'Data Core CPI'!$A$1:$AX$1,),)-VLOOKUP(EDATE(B66,-12),'Data Core CPI'!$A:$AX,MATCH($K$1,'Data Core CPI'!$A$1:$AX$1,),))/VLOOKUP(EDATE(B66,-12),'Data Core CPI'!$A:$AX,MATCH($K$1,'Data Core CPI'!$A$1:$AX$1,),))</f>
        <v>5.9591027880408383E-3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2.7427778161970673E-2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-6.5292497455241884E-3</v>
      </c>
      <c r="S66" s="20">
        <f>(VLOOKUP(B66,'Data Core CPI'!$A:$AX,MATCH($S$1,'Data Core CPI'!$A$1:$AX$1,),)-VLOOKUP(EDATE(B66,-12),'Data Core CPI'!$A:$AX,MATCH($S$1,'Data Core CPI'!$A$1:$AX$1,),))/VLOOKUP(EDATE(B66,-12),'Data Core CPI'!$A:$AX,MATCH($S$1,'Data Core CPI'!$A$1:$AX$1,),)</f>
        <v>2.568301280271278E-2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-1.1220415932938125E-2</v>
      </c>
      <c r="V66" s="20">
        <f>(VLOOKUP(B66,'Data Core CPI'!$A:$AX,MATCH($V$1,'Data Core CPI'!$A$1:$AX$1,),)-VLOOKUP(EDATE(B66,-12),'Data Core CPI'!$A:$AX,MATCH($V$1,'Data Core CPI'!$A$1:$AX$1,),))/VLOOKUP(EDATE(B66,-12),'Data Core CPI'!$A:$AX,MATCH($V$1,'Data Core CPI'!$A$1:$AX$1,),)</f>
        <v>1.4114217275763445E-2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35">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6.7876822232770233E-3</v>
      </c>
      <c r="G67" s="20">
        <f>IF(VLOOKUP(B67,'Data Core CPI'!$A:$AX,MATCH($G$1,'Data Core CPI'!$A$1:$AX$1,),)=0,#N/A,(VLOOKUP(B67,'Data Core CPI'!$A:$AX,MATCH($G$1,'Data Core CPI'!$A$1:$AX$1,),)-VLOOKUP(EDATE(B67,-12),'Data Core CPI'!$A:$AX,MATCH($G$1,'Data Core CPI'!$A$1:$AX$1,),))/VLOOKUP(EDATE(B67,-12),'Data Core CPI'!$A:$AX,MATCH($G$1,'Data Core CPI'!$A$1:$AX$1,),))</f>
        <v>1.9780770480966662E-2</v>
      </c>
      <c r="H67" s="20">
        <f>IF(VLOOKUP(B67,'Data Core CPI'!$A:$AX,MATCH($H$1,'Data Core CPI'!$A$1:$AX$1,),)=0,#N/A,(VLOOKUP(B67,'Data Core CPI'!$A:$AX,MATCH($H$1,'Data Core CPI'!$A$1:$AX$1,),)-VLOOKUP(EDATE(B67,-12),'Data Core CPI'!$A:$AX,MATCH($H$1,'Data Core CPI'!$A$1:$AX$1,),))/VLOOKUP(EDATE(B67,-12),'Data Core CPI'!$A:$AX,MATCH($H$1,'Data Core CPI'!$A$1:$AX$1,),))</f>
        <v>5.0937085577174648E-3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8.6881603829459027E-3</v>
      </c>
      <c r="K67" s="20">
        <f>IF(VLOOKUP(B67,'Data Core CPI'!$A:$AX,MATCH($K$1,'Data Core CPI'!$A$1:$AX$1,),)=0,#N/A,(VLOOKUP(B67,'Data Core CPI'!$A:$AX,MATCH($K$1,'Data Core CPI'!$A$1:$AX$1,),)-VLOOKUP(EDATE(B67,-12),'Data Core CPI'!$A:$AX,MATCH($K$1,'Data Core CPI'!$A$1:$AX$1,),))/VLOOKUP(EDATE(B67,-12),'Data Core CPI'!$A:$AX,MATCH($K$1,'Data Core CPI'!$A$1:$AX$1,),))</f>
        <v>7.0121140632106137E-3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2.7973872824148732E-2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-6.2884349133939125E-3</v>
      </c>
      <c r="S67" s="20">
        <f>(VLOOKUP(B67,'Data Core CPI'!$A:$AX,MATCH($S$1,'Data Core CPI'!$A$1:$AX$1,),)-VLOOKUP(EDATE(B67,-12),'Data Core CPI'!$A:$AX,MATCH($S$1,'Data Core CPI'!$A$1:$AX$1,),))/VLOOKUP(EDATE(B67,-12),'Data Core CPI'!$A:$AX,MATCH($S$1,'Data Core CPI'!$A$1:$AX$1,),)</f>
        <v>2.4279328768646094E-2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-1.1541920655541127E-2</v>
      </c>
      <c r="V67" s="20">
        <f>(VLOOKUP(B67,'Data Core CPI'!$A:$AX,MATCH($V$1,'Data Core CPI'!$A$1:$AX$1,),)-VLOOKUP(EDATE(B67,-12),'Data Core CPI'!$A:$AX,MATCH($V$1,'Data Core CPI'!$A$1:$AX$1,),))/VLOOKUP(EDATE(B67,-12),'Data Core CPI'!$A:$AX,MATCH($V$1,'Data Core CPI'!$A$1:$AX$1,),)</f>
        <v>1.3795857442033408E-2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35">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6.1269220272224699E-3</v>
      </c>
      <c r="G68" s="20">
        <f>IF(VLOOKUP(B68,'Data Core CPI'!$A:$AX,MATCH($G$1,'Data Core CPI'!$A$1:$AX$1,),)=0,#N/A,(VLOOKUP(B68,'Data Core CPI'!$A:$AX,MATCH($G$1,'Data Core CPI'!$A$1:$AX$1,),)-VLOOKUP(EDATE(B68,-12),'Data Core CPI'!$A:$AX,MATCH($G$1,'Data Core CPI'!$A$1:$AX$1,),))/VLOOKUP(EDATE(B68,-12),'Data Core CPI'!$A:$AX,MATCH($G$1,'Data Core CPI'!$A$1:$AX$1,),))</f>
        <v>2.2217870507149684E-2</v>
      </c>
      <c r="H68" s="20">
        <f>IF(VLOOKUP(B68,'Data Core CPI'!$A:$AX,MATCH($H$1,'Data Core CPI'!$A$1:$AX$1,),)=0,#N/A,(VLOOKUP(B68,'Data Core CPI'!$A:$AX,MATCH($H$1,'Data Core CPI'!$A$1:$AX$1,),)-VLOOKUP(EDATE(B68,-12),'Data Core CPI'!$A:$AX,MATCH($H$1,'Data Core CPI'!$A$1:$AX$1,),))/VLOOKUP(EDATE(B68,-12),'Data Core CPI'!$A:$AX,MATCH($H$1,'Data Core CPI'!$A$1:$AX$1,),))</f>
        <v>5.4668377719456398E-3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9.1816077495237985E-3</v>
      </c>
      <c r="K68" s="20">
        <f>IF(VLOOKUP(B68,'Data Core CPI'!$A:$AX,MATCH($K$1,'Data Core CPI'!$A$1:$AX$1,),)=0,#N/A,(VLOOKUP(B68,'Data Core CPI'!$A:$AX,MATCH($K$1,'Data Core CPI'!$A$1:$AX$1,),)-VLOOKUP(EDATE(B68,-12),'Data Core CPI'!$A:$AX,MATCH($K$1,'Data Core CPI'!$A$1:$AX$1,),))/VLOOKUP(EDATE(B68,-12),'Data Core CPI'!$A:$AX,MATCH($K$1,'Data Core CPI'!$A$1:$AX$1,),))</f>
        <v>8.2003225949728083E-3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2.5047340045148307E-2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-7.0997098915074148E-3</v>
      </c>
      <c r="S68" s="20">
        <f>(VLOOKUP(B68,'Data Core CPI'!$A:$AX,MATCH($S$1,'Data Core CPI'!$A$1:$AX$1,),)-VLOOKUP(EDATE(B68,-12),'Data Core CPI'!$A:$AX,MATCH($S$1,'Data Core CPI'!$A$1:$AX$1,),))/VLOOKUP(EDATE(B68,-12),'Data Core CPI'!$A:$AX,MATCH($S$1,'Data Core CPI'!$A$1:$AX$1,),)</f>
        <v>2.4731135466343441E-2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-4.9673315652056637E-3</v>
      </c>
      <c r="V68" s="20">
        <f>(VLOOKUP(B68,'Data Core CPI'!$A:$AX,MATCH($V$1,'Data Core CPI'!$A$1:$AX$1,),)-VLOOKUP(EDATE(B68,-12),'Data Core CPI'!$A:$AX,MATCH($V$1,'Data Core CPI'!$A$1:$AX$1,),))/VLOOKUP(EDATE(B68,-12),'Data Core CPI'!$A:$AX,MATCH($V$1,'Data Core CPI'!$A$1:$AX$1,),)</f>
        <v>1.370150060016736E-2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35">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6.173671139039761E-3</v>
      </c>
      <c r="G69" s="20">
        <f>IF(VLOOKUP(B69,'Data Core CPI'!$A:$AX,MATCH($G$1,'Data Core CPI'!$A$1:$AX$1,),)=0,#N/A,(VLOOKUP(B69,'Data Core CPI'!$A:$AX,MATCH($G$1,'Data Core CPI'!$A$1:$AX$1,),)-VLOOKUP(EDATE(B69,-12),'Data Core CPI'!$A:$AX,MATCH($G$1,'Data Core CPI'!$A$1:$AX$1,),))/VLOOKUP(EDATE(B69,-12),'Data Core CPI'!$A:$AX,MATCH($G$1,'Data Core CPI'!$A$1:$AX$1,),))</f>
        <v>1.0726936060789189E-2</v>
      </c>
      <c r="H69" s="20">
        <f>IF(VLOOKUP(B69,'Data Core CPI'!$A:$AX,MATCH($H$1,'Data Core CPI'!$A$1:$AX$1,),)=0,#N/A,(VLOOKUP(B69,'Data Core CPI'!$A:$AX,MATCH($H$1,'Data Core CPI'!$A$1:$AX$1,),)-VLOOKUP(EDATE(B69,-12),'Data Core CPI'!$A:$AX,MATCH($H$1,'Data Core CPI'!$A$1:$AX$1,),))/VLOOKUP(EDATE(B69,-12),'Data Core CPI'!$A:$AX,MATCH($H$1,'Data Core CPI'!$A$1:$AX$1,),))</f>
        <v>5.5118267867940943E-3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6.2605929619901704E-3</v>
      </c>
      <c r="K69" s="20">
        <f>IF(VLOOKUP(B69,'Data Core CPI'!$A:$AX,MATCH($K$1,'Data Core CPI'!$A$1:$AX$1,),)=0,#N/A,(VLOOKUP(B69,'Data Core CPI'!$A:$AX,MATCH($K$1,'Data Core CPI'!$A$1:$AX$1,),)-VLOOKUP(EDATE(B69,-12),'Data Core CPI'!$A:$AX,MATCH($K$1,'Data Core CPI'!$A$1:$AX$1,),))/VLOOKUP(EDATE(B69,-12),'Data Core CPI'!$A:$AX,MATCH($K$1,'Data Core CPI'!$A$1:$AX$1,),))</f>
        <v>8.835259758629076E-3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2.405778688633024E-2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-9.6749833537256615E-3</v>
      </c>
      <c r="S69" s="20">
        <f>(VLOOKUP(B69,'Data Core CPI'!$A:$AX,MATCH($S$1,'Data Core CPI'!$A$1:$AX$1,),)-VLOOKUP(EDATE(B69,-12),'Data Core CPI'!$A:$AX,MATCH($S$1,'Data Core CPI'!$A$1:$AX$1,),))/VLOOKUP(EDATE(B69,-12),'Data Core CPI'!$A:$AX,MATCH($S$1,'Data Core CPI'!$A$1:$AX$1,),)</f>
        <v>2.5535371298223083E-2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-4.6503635765884283E-3</v>
      </c>
      <c r="V69" s="20">
        <f>(VLOOKUP(B69,'Data Core CPI'!$A:$AX,MATCH($V$1,'Data Core CPI'!$A$1:$AX$1,),)-VLOOKUP(EDATE(B69,-12),'Data Core CPI'!$A:$AX,MATCH($V$1,'Data Core CPI'!$A$1:$AX$1,),))/VLOOKUP(EDATE(B69,-12),'Data Core CPI'!$A:$AX,MATCH($V$1,'Data Core CPI'!$A$1:$AX$1,),)</f>
        <v>1.1470198332995873E-2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35">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8.0719444438031585E-3</v>
      </c>
      <c r="G70" s="20">
        <f>IF(VLOOKUP(B70,'Data Core CPI'!$A:$AX,MATCH($G$1,'Data Core CPI'!$A$1:$AX$1,),)=0,#N/A,(VLOOKUP(B70,'Data Core CPI'!$A:$AX,MATCH($G$1,'Data Core CPI'!$A$1:$AX$1,),)-VLOOKUP(EDATE(B70,-12),'Data Core CPI'!$A:$AX,MATCH($G$1,'Data Core CPI'!$A$1:$AX$1,),))/VLOOKUP(EDATE(B70,-12),'Data Core CPI'!$A:$AX,MATCH($G$1,'Data Core CPI'!$A$1:$AX$1,),))</f>
        <v>9.8560058248454863E-3</v>
      </c>
      <c r="H70" s="20">
        <f>IF(VLOOKUP(B70,'Data Core CPI'!$A:$AX,MATCH($H$1,'Data Core CPI'!$A$1:$AX$1,),)=0,#N/A,(VLOOKUP(B70,'Data Core CPI'!$A:$AX,MATCH($H$1,'Data Core CPI'!$A$1:$AX$1,),)-VLOOKUP(EDATE(B70,-12),'Data Core CPI'!$A:$AX,MATCH($H$1,'Data Core CPI'!$A$1:$AX$1,),))/VLOOKUP(EDATE(B70,-12),'Data Core CPI'!$A:$AX,MATCH($H$1,'Data Core CPI'!$A$1:$AX$1,),))</f>
        <v>6.3133433505688343E-3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5.3636222286543821E-3</v>
      </c>
      <c r="K70" s="20">
        <f>IF(VLOOKUP(B70,'Data Core CPI'!$A:$AX,MATCH($K$1,'Data Core CPI'!$A$1:$AX$1,),)=0,#N/A,(VLOOKUP(B70,'Data Core CPI'!$A:$AX,MATCH($K$1,'Data Core CPI'!$A$1:$AX$1,),)-VLOOKUP(EDATE(B70,-12),'Data Core CPI'!$A:$AX,MATCH($K$1,'Data Core CPI'!$A$1:$AX$1,),))/VLOOKUP(EDATE(B70,-12),'Data Core CPI'!$A:$AX,MATCH($K$1,'Data Core CPI'!$A$1:$AX$1,),))</f>
        <v>8.2188096175016111E-3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2.1746801049687989E-2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-8.4576233768042311E-3</v>
      </c>
      <c r="S70" s="20">
        <f>(VLOOKUP(B70,'Data Core CPI'!$A:$AX,MATCH($S$1,'Data Core CPI'!$A$1:$AX$1,),)-VLOOKUP(EDATE(B70,-12),'Data Core CPI'!$A:$AX,MATCH($S$1,'Data Core CPI'!$A$1:$AX$1,),))/VLOOKUP(EDATE(B70,-12),'Data Core CPI'!$A:$AX,MATCH($S$1,'Data Core CPI'!$A$1:$AX$1,),)</f>
        <v>2.6451423094233713E-2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4.8767553202541765E-3</v>
      </c>
      <c r="V70" s="20">
        <f>(VLOOKUP(B70,'Data Core CPI'!$A:$AX,MATCH($V$1,'Data Core CPI'!$A$1:$AX$1,),)-VLOOKUP(EDATE(B70,-12),'Data Core CPI'!$A:$AX,MATCH($V$1,'Data Core CPI'!$A$1:$AX$1,),))/VLOOKUP(EDATE(B70,-12),'Data Core CPI'!$A:$AX,MATCH($V$1,'Data Core CPI'!$A$1:$AX$1,),)</f>
        <v>1.2124821054504511E-2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35">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4.901645851757174E-3</v>
      </c>
      <c r="G71" s="20">
        <f>IF(VLOOKUP(B71,'Data Core CPI'!$A:$AX,MATCH($G$1,'Data Core CPI'!$A$1:$AX$1,),)=0,#N/A,(VLOOKUP(B71,'Data Core CPI'!$A:$AX,MATCH($G$1,'Data Core CPI'!$A$1:$AX$1,),)-VLOOKUP(EDATE(B71,-12),'Data Core CPI'!$A:$AX,MATCH($G$1,'Data Core CPI'!$A$1:$AX$1,),))/VLOOKUP(EDATE(B71,-12),'Data Core CPI'!$A:$AX,MATCH($G$1,'Data Core CPI'!$A$1:$AX$1,),))</f>
        <v>1.2879723517706613E-2</v>
      </c>
      <c r="H71" s="20">
        <f>IF(VLOOKUP(B71,'Data Core CPI'!$A:$AX,MATCH($H$1,'Data Core CPI'!$A$1:$AX$1,),)=0,#N/A,(VLOOKUP(B71,'Data Core CPI'!$A:$AX,MATCH($H$1,'Data Core CPI'!$A$1:$AX$1,),)-VLOOKUP(EDATE(B71,-12),'Data Core CPI'!$A:$AX,MATCH($H$1,'Data Core CPI'!$A$1:$AX$1,),))/VLOOKUP(EDATE(B71,-12),'Data Core CPI'!$A:$AX,MATCH($H$1,'Data Core CPI'!$A$1:$AX$1,),))</f>
        <v>6.3996795246525472E-3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7.6209710002497454E-3</v>
      </c>
      <c r="K71" s="20">
        <f>IF(VLOOKUP(B71,'Data Core CPI'!$A:$AX,MATCH($K$1,'Data Core CPI'!$A$1:$AX$1,),)=0,#N/A,(VLOOKUP(B71,'Data Core CPI'!$A:$AX,MATCH($K$1,'Data Core CPI'!$A$1:$AX$1,),)-VLOOKUP(EDATE(B71,-12),'Data Core CPI'!$A:$AX,MATCH($K$1,'Data Core CPI'!$A$1:$AX$1,),))/VLOOKUP(EDATE(B71,-12),'Data Core CPI'!$A:$AX,MATCH($K$1,'Data Core CPI'!$A$1:$AX$1,),))</f>
        <v>8.1027560584783446E-3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2.0626977520088196E-2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-8.7110889360110383E-3</v>
      </c>
      <c r="S71" s="20">
        <f>(VLOOKUP(B71,'Data Core CPI'!$A:$AX,MATCH($S$1,'Data Core CPI'!$A$1:$AX$1,),)-VLOOKUP(EDATE(B71,-12),'Data Core CPI'!$A:$AX,MATCH($S$1,'Data Core CPI'!$A$1:$AX$1,),))/VLOOKUP(EDATE(B71,-12),'Data Core CPI'!$A:$AX,MATCH($S$1,'Data Core CPI'!$A$1:$AX$1,),)</f>
        <v>1.7819972247287107E-2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-2.4850977258509756E-3</v>
      </c>
      <c r="V71" s="20">
        <f>(VLOOKUP(B71,'Data Core CPI'!$A:$AX,MATCH($V$1,'Data Core CPI'!$A$1:$AX$1,),)-VLOOKUP(EDATE(B71,-12),'Data Core CPI'!$A:$AX,MATCH($V$1,'Data Core CPI'!$A$1:$AX$1,),))/VLOOKUP(EDATE(B71,-12),'Data Core CPI'!$A:$AX,MATCH($V$1,'Data Core CPI'!$A$1:$AX$1,),)</f>
        <v>8.7653257019788336E-3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35">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6.1149611898171129E-3</v>
      </c>
      <c r="G72" s="20">
        <f>IF(VLOOKUP(B72,'Data Core CPI'!$A:$AX,MATCH($G$1,'Data Core CPI'!$A$1:$AX$1,),)=0,#N/A,(VLOOKUP(B72,'Data Core CPI'!$A:$AX,MATCH($G$1,'Data Core CPI'!$A$1:$AX$1,),)-VLOOKUP(EDATE(B72,-12),'Data Core CPI'!$A:$AX,MATCH($G$1,'Data Core CPI'!$A$1:$AX$1,),))/VLOOKUP(EDATE(B72,-12),'Data Core CPI'!$A:$AX,MATCH($G$1,'Data Core CPI'!$A$1:$AX$1,),))</f>
        <v>1.1596521407345805E-2</v>
      </c>
      <c r="H72" s="20">
        <f>IF(VLOOKUP(B72,'Data Core CPI'!$A:$AX,MATCH($H$1,'Data Core CPI'!$A$1:$AX$1,),)=0,#N/A,(VLOOKUP(B72,'Data Core CPI'!$A:$AX,MATCH($H$1,'Data Core CPI'!$A$1:$AX$1,),)-VLOOKUP(EDATE(B72,-12),'Data Core CPI'!$A:$AX,MATCH($H$1,'Data Core CPI'!$A$1:$AX$1,),))/VLOOKUP(EDATE(B72,-12),'Data Core CPI'!$A:$AX,MATCH($H$1,'Data Core CPI'!$A$1:$AX$1,),))</f>
        <v>4.6324463985380473E-3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3.0715959616165176E-3</v>
      </c>
      <c r="K72" s="20">
        <f>IF(VLOOKUP(B72,'Data Core CPI'!$A:$AX,MATCH($K$1,'Data Core CPI'!$A$1:$AX$1,),)=0,#N/A,(VLOOKUP(B72,'Data Core CPI'!$A:$AX,MATCH($K$1,'Data Core CPI'!$A$1:$AX$1,),)-VLOOKUP(EDATE(B72,-12),'Data Core CPI'!$A:$AX,MATCH($K$1,'Data Core CPI'!$A$1:$AX$1,),))/VLOOKUP(EDATE(B72,-12),'Data Core CPI'!$A:$AX,MATCH($K$1,'Data Core CPI'!$A$1:$AX$1,),))</f>
        <v>9.5490384595840333E-3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1.75979262846922E-2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-5.2826947755269587E-3</v>
      </c>
      <c r="S72" s="20">
        <f>(VLOOKUP(B72,'Data Core CPI'!$A:$AX,MATCH($S$1,'Data Core CPI'!$A$1:$AX$1,),)-VLOOKUP(EDATE(B72,-12),'Data Core CPI'!$A:$AX,MATCH($S$1,'Data Core CPI'!$A$1:$AX$1,),))/VLOOKUP(EDATE(B72,-12),'Data Core CPI'!$A:$AX,MATCH($S$1,'Data Core CPI'!$A$1:$AX$1,),)</f>
        <v>1.9011848100308541E-2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-4.1172235631177995E-3</v>
      </c>
      <c r="V72" s="20">
        <f>(VLOOKUP(B72,'Data Core CPI'!$A:$AX,MATCH($V$1,'Data Core CPI'!$A$1:$AX$1,),)-VLOOKUP(EDATE(B72,-12),'Data Core CPI'!$A:$AX,MATCH($V$1,'Data Core CPI'!$A$1:$AX$1,),))/VLOOKUP(EDATE(B72,-12),'Data Core CPI'!$A:$AX,MATCH($V$1,'Data Core CPI'!$A$1:$AX$1,),)</f>
        <v>8.6255963646629311E-3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35">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6.5358426817896022E-3</v>
      </c>
      <c r="G73" s="20">
        <f>IF(VLOOKUP(B73,'Data Core CPI'!$A:$AX,MATCH($G$1,'Data Core CPI'!$A$1:$AX$1,),)=0,#N/A,(VLOOKUP(B73,'Data Core CPI'!$A:$AX,MATCH($G$1,'Data Core CPI'!$A$1:$AX$1,),)-VLOOKUP(EDATE(B73,-12),'Data Core CPI'!$A:$AX,MATCH($G$1,'Data Core CPI'!$A$1:$AX$1,),))/VLOOKUP(EDATE(B73,-12),'Data Core CPI'!$A:$AX,MATCH($G$1,'Data Core CPI'!$A$1:$AX$1,),))</f>
        <v>1.4514741613050913E-2</v>
      </c>
      <c r="H73" s="20">
        <f>IF(VLOOKUP(B73,'Data Core CPI'!$A:$AX,MATCH($H$1,'Data Core CPI'!$A$1:$AX$1,),)=0,#N/A,(VLOOKUP(B73,'Data Core CPI'!$A:$AX,MATCH($H$1,'Data Core CPI'!$A$1:$AX$1,),)-VLOOKUP(EDATE(B73,-12),'Data Core CPI'!$A:$AX,MATCH($H$1,'Data Core CPI'!$A$1:$AX$1,),))/VLOOKUP(EDATE(B73,-12),'Data Core CPI'!$A:$AX,MATCH($H$1,'Data Core CPI'!$A$1:$AX$1,),))</f>
        <v>4.7379289310661475E-3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6.560191056784433E-3</v>
      </c>
      <c r="K73" s="20">
        <f>IF(VLOOKUP(B73,'Data Core CPI'!$A:$AX,MATCH($K$1,'Data Core CPI'!$A$1:$AX$1,),)=0,#N/A,(VLOOKUP(B73,'Data Core CPI'!$A:$AX,MATCH($K$1,'Data Core CPI'!$A$1:$AX$1,),)-VLOOKUP(EDATE(B73,-12),'Data Core CPI'!$A:$AX,MATCH($K$1,'Data Core CPI'!$A$1:$AX$1,),))/VLOOKUP(EDATE(B73,-12),'Data Core CPI'!$A:$AX,MATCH($K$1,'Data Core CPI'!$A$1:$AX$1,),))</f>
        <v>1.0095915592177842E-2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1.7782386334383241E-2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-4.9849580618810518E-3</v>
      </c>
      <c r="S73" s="20">
        <f>(VLOOKUP(B73,'Data Core CPI'!$A:$AX,MATCH($S$1,'Data Core CPI'!$A$1:$AX$1,),)-VLOOKUP(EDATE(B73,-12),'Data Core CPI'!$A:$AX,MATCH($S$1,'Data Core CPI'!$A$1:$AX$1,),))/VLOOKUP(EDATE(B73,-12),'Data Core CPI'!$A:$AX,MATCH($S$1,'Data Core CPI'!$A$1:$AX$1,),)</f>
        <v>1.878114212310325E-2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-1.3827325925203259E-2</v>
      </c>
      <c r="V73" s="20">
        <f>(VLOOKUP(B73,'Data Core CPI'!$A:$AX,MATCH($V$1,'Data Core CPI'!$A$1:$AX$1,),)-VLOOKUP(EDATE(B73,-12),'Data Core CPI'!$A:$AX,MATCH($V$1,'Data Core CPI'!$A$1:$AX$1,),))/VLOOKUP(EDATE(B73,-12),'Data Core CPI'!$A:$AX,MATCH($V$1,'Data Core CPI'!$A$1:$AX$1,),)</f>
        <v>8.8072036462228491E-3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35">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5.8998197819039684E-3</v>
      </c>
      <c r="G74" s="20">
        <f>IF(VLOOKUP(B74,'Data Core CPI'!$A:$AX,MATCH($G$1,'Data Core CPI'!$A$1:$AX$1,),)=0,#N/A,(VLOOKUP(B74,'Data Core CPI'!$A:$AX,MATCH($G$1,'Data Core CPI'!$A$1:$AX$1,),)-VLOOKUP(EDATE(B74,-12),'Data Core CPI'!$A:$AX,MATCH($G$1,'Data Core CPI'!$A$1:$AX$1,),))/VLOOKUP(EDATE(B74,-12),'Data Core CPI'!$A:$AX,MATCH($G$1,'Data Core CPI'!$A$1:$AX$1,),))</f>
        <v>9.6056885094839613E-3</v>
      </c>
      <c r="H74" s="20">
        <f>IF(VLOOKUP(B74,'Data Core CPI'!$A:$AX,MATCH($H$1,'Data Core CPI'!$A$1:$AX$1,),)=0,#N/A,(VLOOKUP(B74,'Data Core CPI'!$A:$AX,MATCH($H$1,'Data Core CPI'!$A$1:$AX$1,),)-VLOOKUP(EDATE(B74,-12),'Data Core CPI'!$A:$AX,MATCH($H$1,'Data Core CPI'!$A$1:$AX$1,),))/VLOOKUP(EDATE(B74,-12),'Data Core CPI'!$A:$AX,MATCH($H$1,'Data Core CPI'!$A$1:$AX$1,),))</f>
        <v>4.2249216441837094E-3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3.5057445556788132E-3</v>
      </c>
      <c r="K74" s="20">
        <f>IF(VLOOKUP(B74,'Data Core CPI'!$A:$AX,MATCH($K$1,'Data Core CPI'!$A$1:$AX$1,),)=0,#N/A,(VLOOKUP(B74,'Data Core CPI'!$A:$AX,MATCH($K$1,'Data Core CPI'!$A$1:$AX$1,),)-VLOOKUP(EDATE(B74,-12),'Data Core CPI'!$A:$AX,MATCH($K$1,'Data Core CPI'!$A$1:$AX$1,),))/VLOOKUP(EDATE(B74,-12),'Data Core CPI'!$A:$AX,MATCH($K$1,'Data Core CPI'!$A$1:$AX$1,),))</f>
        <v>6.5170643003053721E-3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1.8986358808526362E-2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-4.2605373465529468E-4</v>
      </c>
      <c r="S74" s="20">
        <f>(VLOOKUP(B74,'Data Core CPI'!$A:$AX,MATCH($S$1,'Data Core CPI'!$A$1:$AX$1,),)-VLOOKUP(EDATE(B74,-12),'Data Core CPI'!$A:$AX,MATCH($S$1,'Data Core CPI'!$A$1:$AX$1,),))/VLOOKUP(EDATE(B74,-12),'Data Core CPI'!$A:$AX,MATCH($S$1,'Data Core CPI'!$A$1:$AX$1,),)</f>
        <v>1.9968973434946167E-2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-9.1202455580292746E-3</v>
      </c>
      <c r="V74" s="20">
        <f>(VLOOKUP(B74,'Data Core CPI'!$A:$AX,MATCH($V$1,'Data Core CPI'!$A$1:$AX$1,),)-VLOOKUP(EDATE(B74,-12),'Data Core CPI'!$A:$AX,MATCH($V$1,'Data Core CPI'!$A$1:$AX$1,),))/VLOOKUP(EDATE(B74,-12),'Data Core CPI'!$A:$AX,MATCH($V$1,'Data Core CPI'!$A$1:$AX$1,),)</f>
        <v>1.0397884632254314E-2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35">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4.8488371280103176E-3</v>
      </c>
      <c r="G75" s="20">
        <f>IF(VLOOKUP(B75,'Data Core CPI'!$A:$AX,MATCH($G$1,'Data Core CPI'!$A$1:$AX$1,),)=0,#N/A,(VLOOKUP(B75,'Data Core CPI'!$A:$AX,MATCH($G$1,'Data Core CPI'!$A$1:$AX$1,),)-VLOOKUP(EDATE(B75,-12),'Data Core CPI'!$A:$AX,MATCH($G$1,'Data Core CPI'!$A$1:$AX$1,),))/VLOOKUP(EDATE(B75,-12),'Data Core CPI'!$A:$AX,MATCH($G$1,'Data Core CPI'!$A$1:$AX$1,),))</f>
        <v>1.3540082813399313E-2</v>
      </c>
      <c r="H75" s="20">
        <f>IF(VLOOKUP(B75,'Data Core CPI'!$A:$AX,MATCH($H$1,'Data Core CPI'!$A$1:$AX$1,),)=0,#N/A,(VLOOKUP(B75,'Data Core CPI'!$A:$AX,MATCH($H$1,'Data Core CPI'!$A$1:$AX$1,),)-VLOOKUP(EDATE(B75,-12),'Data Core CPI'!$A:$AX,MATCH($H$1,'Data Core CPI'!$A$1:$AX$1,),))/VLOOKUP(EDATE(B75,-12),'Data Core CPI'!$A:$AX,MATCH($H$1,'Data Core CPI'!$A$1:$AX$1,),))</f>
        <v>3.4766777437788012E-3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5.9188354053427679E-3</v>
      </c>
      <c r="K75" s="20">
        <f>IF(VLOOKUP(B75,'Data Core CPI'!$A:$AX,MATCH($K$1,'Data Core CPI'!$A$1:$AX$1,),)=0,#N/A,(VLOOKUP(B75,'Data Core CPI'!$A:$AX,MATCH($K$1,'Data Core CPI'!$A$1:$AX$1,),)-VLOOKUP(EDATE(B75,-12),'Data Core CPI'!$A:$AX,MATCH($K$1,'Data Core CPI'!$A$1:$AX$1,),))/VLOOKUP(EDATE(B75,-12),'Data Core CPI'!$A:$AX,MATCH($K$1,'Data Core CPI'!$A$1:$AX$1,),))</f>
        <v>6.283805123580506E-3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2.0044060565793539E-2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-1.6139740847002715E-3</v>
      </c>
      <c r="S75" s="20">
        <f>(VLOOKUP(B75,'Data Core CPI'!$A:$AX,MATCH($S$1,'Data Core CPI'!$A$1:$AX$1,),)-VLOOKUP(EDATE(B75,-12),'Data Core CPI'!$A:$AX,MATCH($S$1,'Data Core CPI'!$A$1:$AX$1,),))/VLOOKUP(EDATE(B75,-12),'Data Core CPI'!$A:$AX,MATCH($S$1,'Data Core CPI'!$A$1:$AX$1,),)</f>
        <v>2.0332090002167201E-2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-9.2947275574677499E-3</v>
      </c>
      <c r="V75" s="20">
        <f>(VLOOKUP(B75,'Data Core CPI'!$A:$AX,MATCH($V$1,'Data Core CPI'!$A$1:$AX$1,),)-VLOOKUP(EDATE(B75,-12),'Data Core CPI'!$A:$AX,MATCH($V$1,'Data Core CPI'!$A$1:$AX$1,),))/VLOOKUP(EDATE(B75,-12),'Data Core CPI'!$A:$AX,MATCH($V$1,'Data Core CPI'!$A$1:$AX$1,),)</f>
        <v>1.2673205019353739E-2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35">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5.4069434261875739E-3</v>
      </c>
      <c r="G76" s="20">
        <f>IF(VLOOKUP(B76,'Data Core CPI'!$A:$AX,MATCH($G$1,'Data Core CPI'!$A$1:$AX$1,),)=0,#N/A,(VLOOKUP(B76,'Data Core CPI'!$A:$AX,MATCH($G$1,'Data Core CPI'!$A$1:$AX$1,),)-VLOOKUP(EDATE(B76,-12),'Data Core CPI'!$A:$AX,MATCH($G$1,'Data Core CPI'!$A$1:$AX$1,),))/VLOOKUP(EDATE(B76,-12),'Data Core CPI'!$A:$AX,MATCH($G$1,'Data Core CPI'!$A$1:$AX$1,),))</f>
        <v>1.24111137743688E-2</v>
      </c>
      <c r="H76" s="20">
        <f>IF(VLOOKUP(B76,'Data Core CPI'!$A:$AX,MATCH($H$1,'Data Core CPI'!$A$1:$AX$1,),)=0,#N/A,(VLOOKUP(B76,'Data Core CPI'!$A:$AX,MATCH($H$1,'Data Core CPI'!$A$1:$AX$1,),)-VLOOKUP(EDATE(B76,-12),'Data Core CPI'!$A:$AX,MATCH($H$1,'Data Core CPI'!$A$1:$AX$1,),))/VLOOKUP(EDATE(B76,-12),'Data Core CPI'!$A:$AX,MATCH($H$1,'Data Core CPI'!$A$1:$AX$1,),))</f>
        <v>4.3230653883580168E-3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3.5741062987134625E-3</v>
      </c>
      <c r="K76" s="20">
        <f>IF(VLOOKUP(B76,'Data Core CPI'!$A:$AX,MATCH($K$1,'Data Core CPI'!$A$1:$AX$1,),)=0,#N/A,(VLOOKUP(B76,'Data Core CPI'!$A:$AX,MATCH($K$1,'Data Core CPI'!$A$1:$AX$1,),)-VLOOKUP(EDATE(B76,-12),'Data Core CPI'!$A:$AX,MATCH($K$1,'Data Core CPI'!$A$1:$AX$1,),))/VLOOKUP(EDATE(B76,-12),'Data Core CPI'!$A:$AX,MATCH($K$1,'Data Core CPI'!$A$1:$AX$1,),))</f>
        <v>5.5150742055217932E-3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2.1639435369566681E-2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-2.2800413139099814E-3</v>
      </c>
      <c r="S76" s="20">
        <f>(VLOOKUP(B76,'Data Core CPI'!$A:$AX,MATCH($S$1,'Data Core CPI'!$A$1:$AX$1,),)-VLOOKUP(EDATE(B76,-12),'Data Core CPI'!$A:$AX,MATCH($S$1,'Data Core CPI'!$A$1:$AX$1,),))/VLOOKUP(EDATE(B76,-12),'Data Core CPI'!$A:$AX,MATCH($S$1,'Data Core CPI'!$A$1:$AX$1,),)</f>
        <v>2.094442792414062E-2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-7.0082659054708186E-3</v>
      </c>
      <c r="V76" s="20">
        <f>(VLOOKUP(B76,'Data Core CPI'!$A:$AX,MATCH($V$1,'Data Core CPI'!$A$1:$AX$1,),)-VLOOKUP(EDATE(B76,-12),'Data Core CPI'!$A:$AX,MATCH($V$1,'Data Core CPI'!$A$1:$AX$1,),))/VLOOKUP(EDATE(B76,-12),'Data Core CPI'!$A:$AX,MATCH($V$1,'Data Core CPI'!$A$1:$AX$1,),)</f>
        <v>1.6654329387399174E-2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35">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3.4195964876145915E-3</v>
      </c>
      <c r="G77" s="20">
        <f>IF(VLOOKUP(B77,'Data Core CPI'!$A:$AX,MATCH($G$1,'Data Core CPI'!$A$1:$AX$1,),)=0,#N/A,(VLOOKUP(B77,'Data Core CPI'!$A:$AX,MATCH($G$1,'Data Core CPI'!$A$1:$AX$1,),)-VLOOKUP(EDATE(B77,-12),'Data Core CPI'!$A:$AX,MATCH($G$1,'Data Core CPI'!$A$1:$AX$1,),))/VLOOKUP(EDATE(B77,-12),'Data Core CPI'!$A:$AX,MATCH($G$1,'Data Core CPI'!$A$1:$AX$1,),))</f>
        <v>1.4394099911168436E-2</v>
      </c>
      <c r="H77" s="20">
        <f>IF(VLOOKUP(B77,'Data Core CPI'!$A:$AX,MATCH($H$1,'Data Core CPI'!$A$1:$AX$1,),)=0,#N/A,(VLOOKUP(B77,'Data Core CPI'!$A:$AX,MATCH($H$1,'Data Core CPI'!$A$1:$AX$1,),)-VLOOKUP(EDATE(B77,-12),'Data Core CPI'!$A:$AX,MATCH($H$1,'Data Core CPI'!$A$1:$AX$1,),))/VLOOKUP(EDATE(B77,-12),'Data Core CPI'!$A:$AX,MATCH($H$1,'Data Core CPI'!$A$1:$AX$1,),))</f>
        <v>3.46567769197474E-3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6.0097375485531962E-3</v>
      </c>
      <c r="K77" s="20">
        <f>IF(VLOOKUP(B77,'Data Core CPI'!$A:$AX,MATCH($K$1,'Data Core CPI'!$A$1:$AX$1,),)=0,#N/A,(VLOOKUP(B77,'Data Core CPI'!$A:$AX,MATCH($K$1,'Data Core CPI'!$A$1:$AX$1,),)-VLOOKUP(EDATE(B77,-12),'Data Core CPI'!$A:$AX,MATCH($K$1,'Data Core CPI'!$A$1:$AX$1,),))/VLOOKUP(EDATE(B77,-12),'Data Core CPI'!$A:$AX,MATCH($K$1,'Data Core CPI'!$A$1:$AX$1,),))</f>
        <v>6.4783177335163708E-3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2.1564748722797875E-2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-6.5627877992146101E-4</v>
      </c>
      <c r="S77" s="20">
        <f>(VLOOKUP(B77,'Data Core CPI'!$A:$AX,MATCH($S$1,'Data Core CPI'!$A$1:$AX$1,),)-VLOOKUP(EDATE(B77,-12),'Data Core CPI'!$A:$AX,MATCH($S$1,'Data Core CPI'!$A$1:$AX$1,),))/VLOOKUP(EDATE(B77,-12),'Data Core CPI'!$A:$AX,MATCH($S$1,'Data Core CPI'!$A$1:$AX$1,),)</f>
        <v>1.8453176423656171E-2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-1.7226734877674274E-2</v>
      </c>
      <c r="V77" s="20">
        <f>(VLOOKUP(B77,'Data Core CPI'!$A:$AX,MATCH($V$1,'Data Core CPI'!$A$1:$AX$1,),)-VLOOKUP(EDATE(B77,-12),'Data Core CPI'!$A:$AX,MATCH($V$1,'Data Core CPI'!$A$1:$AX$1,),))/VLOOKUP(EDATE(B77,-12),'Data Core CPI'!$A:$AX,MATCH($V$1,'Data Core CPI'!$A$1:$AX$1,),)</f>
        <v>1.6823770430397986E-2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35">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2.2764039404443623E-3</v>
      </c>
      <c r="G78" s="20">
        <f>IF(VLOOKUP(B78,'Data Core CPI'!$A:$AX,MATCH($G$1,'Data Core CPI'!$A$1:$AX$1,),)=0,#N/A,(VLOOKUP(B78,'Data Core CPI'!$A:$AX,MATCH($G$1,'Data Core CPI'!$A$1:$AX$1,),)-VLOOKUP(EDATE(B78,-12),'Data Core CPI'!$A:$AX,MATCH($G$1,'Data Core CPI'!$A$1:$AX$1,),))/VLOOKUP(EDATE(B78,-12),'Data Core CPI'!$A:$AX,MATCH($G$1,'Data Core CPI'!$A$1:$AX$1,),))</f>
        <v>1.163932182952925E-2</v>
      </c>
      <c r="H78" s="20">
        <f>IF(VLOOKUP(B78,'Data Core CPI'!$A:$AX,MATCH($H$1,'Data Core CPI'!$A$1:$AX$1,),)=0,#N/A,(VLOOKUP(B78,'Data Core CPI'!$A:$AX,MATCH($H$1,'Data Core CPI'!$A$1:$AX$1,),)-VLOOKUP(EDATE(B78,-12),'Data Core CPI'!$A:$AX,MATCH($H$1,'Data Core CPI'!$A$1:$AX$1,),))/VLOOKUP(EDATE(B78,-12),'Data Core CPI'!$A:$AX,MATCH($H$1,'Data Core CPI'!$A$1:$AX$1,),))</f>
        <v>2.5801644271130388E-3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4.7279165409593801E-3</v>
      </c>
      <c r="K78" s="20">
        <f>IF(VLOOKUP(B78,'Data Core CPI'!$A:$AX,MATCH($K$1,'Data Core CPI'!$A$1:$AX$1,),)=0,#N/A,(VLOOKUP(B78,'Data Core CPI'!$A:$AX,MATCH($K$1,'Data Core CPI'!$A$1:$AX$1,),)-VLOOKUP(EDATE(B78,-12),'Data Core CPI'!$A:$AX,MATCH($K$1,'Data Core CPI'!$A$1:$AX$1,),))/VLOOKUP(EDATE(B78,-12),'Data Core CPI'!$A:$AX,MATCH($K$1,'Data Core CPI'!$A$1:$AX$1,),))</f>
        <v>9.2969545448345556E-3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1.8824463226583581E-2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-4.3404569664436739E-4</v>
      </c>
      <c r="S78" s="20">
        <f>(VLOOKUP(B78,'Data Core CPI'!$A:$AX,MATCH($S$1,'Data Core CPI'!$A$1:$AX$1,),)-VLOOKUP(EDATE(B78,-12),'Data Core CPI'!$A:$AX,MATCH($S$1,'Data Core CPI'!$A$1:$AX$1,),))/VLOOKUP(EDATE(B78,-12),'Data Core CPI'!$A:$AX,MATCH($S$1,'Data Core CPI'!$A$1:$AX$1,),)</f>
        <v>1.8310938588633498E-2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-9.7757133838512651E-3</v>
      </c>
      <c r="V78" s="20">
        <f>(VLOOKUP(B78,'Data Core CPI'!$A:$AX,MATCH($V$1,'Data Core CPI'!$A$1:$AX$1,),)-VLOOKUP(EDATE(B78,-12),'Data Core CPI'!$A:$AX,MATCH($V$1,'Data Core CPI'!$A$1:$AX$1,),))/VLOOKUP(EDATE(B78,-12),'Data Core CPI'!$A:$AX,MATCH($V$1,'Data Core CPI'!$A$1:$AX$1,),)</f>
        <v>9.4407053712785034E-3</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35">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1.2658543270783454E-4</v>
      </c>
      <c r="G79" s="20">
        <f>IF(VLOOKUP(B79,'Data Core CPI'!$A:$AX,MATCH($G$1,'Data Core CPI'!$A$1:$AX$1,),)=0,#N/A,(VLOOKUP(B79,'Data Core CPI'!$A:$AX,MATCH($G$1,'Data Core CPI'!$A$1:$AX$1,),)-VLOOKUP(EDATE(B79,-12),'Data Core CPI'!$A:$AX,MATCH($G$1,'Data Core CPI'!$A$1:$AX$1,),))/VLOOKUP(EDATE(B79,-12),'Data Core CPI'!$A:$AX,MATCH($G$1,'Data Core CPI'!$A$1:$AX$1,),))</f>
        <v>1.1427034686979616E-2</v>
      </c>
      <c r="H79" s="20">
        <f>IF(VLOOKUP(B79,'Data Core CPI'!$A:$AX,MATCH($H$1,'Data Core CPI'!$A$1:$AX$1,),)=0,#N/A,(VLOOKUP(B79,'Data Core CPI'!$A:$AX,MATCH($H$1,'Data Core CPI'!$A$1:$AX$1,),)-VLOOKUP(EDATE(B79,-12),'Data Core CPI'!$A:$AX,MATCH($H$1,'Data Core CPI'!$A$1:$AX$1,),))/VLOOKUP(EDATE(B79,-12),'Data Core CPI'!$A:$AX,MATCH($H$1,'Data Core CPI'!$A$1:$AX$1,),))</f>
        <v>4.9427523610156886E-3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4.9924236382486459E-3</v>
      </c>
      <c r="K79" s="20">
        <f>IF(VLOOKUP(B79,'Data Core CPI'!$A:$AX,MATCH($K$1,'Data Core CPI'!$A$1:$AX$1,),)=0,#N/A,(VLOOKUP(B79,'Data Core CPI'!$A:$AX,MATCH($K$1,'Data Core CPI'!$A$1:$AX$1,),)-VLOOKUP(EDATE(B79,-12),'Data Core CPI'!$A:$AX,MATCH($K$1,'Data Core CPI'!$A$1:$AX$1,),))/VLOOKUP(EDATE(B79,-12),'Data Core CPI'!$A:$AX,MATCH($K$1,'Data Core CPI'!$A$1:$AX$1,),))</f>
        <v>8.8912237167727819E-3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1.9011051596314089E-2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-1.9278176478760161E-3</v>
      </c>
      <c r="S79" s="20">
        <f>(VLOOKUP(B79,'Data Core CPI'!$A:$AX,MATCH($S$1,'Data Core CPI'!$A$1:$AX$1,),)-VLOOKUP(EDATE(B79,-12),'Data Core CPI'!$A:$AX,MATCH($S$1,'Data Core CPI'!$A$1:$AX$1,),))/VLOOKUP(EDATE(B79,-12),'Data Core CPI'!$A:$AX,MATCH($S$1,'Data Core CPI'!$A$1:$AX$1,),)</f>
        <v>1.994704729829502E-2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-1.0666615127069854E-2</v>
      </c>
      <c r="V79" s="20">
        <f>(VLOOKUP(B79,'Data Core CPI'!$A:$AX,MATCH($V$1,'Data Core CPI'!$A$1:$AX$1,),)-VLOOKUP(EDATE(B79,-12),'Data Core CPI'!$A:$AX,MATCH($V$1,'Data Core CPI'!$A$1:$AX$1,),))/VLOOKUP(EDATE(B79,-12),'Data Core CPI'!$A:$AX,MATCH($V$1,'Data Core CPI'!$A$1:$AX$1,),)</f>
        <v>7.2822340537671048E-3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35">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1.9249115217855352E-3</v>
      </c>
      <c r="G80" s="20">
        <f>IF(VLOOKUP(B80,'Data Core CPI'!$A:$AX,MATCH($G$1,'Data Core CPI'!$A$1:$AX$1,),)=0,#N/A,(VLOOKUP(B80,'Data Core CPI'!$A:$AX,MATCH($G$1,'Data Core CPI'!$A$1:$AX$1,),)-VLOOKUP(EDATE(B80,-12),'Data Core CPI'!$A:$AX,MATCH($G$1,'Data Core CPI'!$A$1:$AX$1,),))/VLOOKUP(EDATE(B80,-12),'Data Core CPI'!$A:$AX,MATCH($G$1,'Data Core CPI'!$A$1:$AX$1,),))</f>
        <v>1.1314779118377406E-2</v>
      </c>
      <c r="H80" s="20">
        <f>IF(VLOOKUP(B80,'Data Core CPI'!$A:$AX,MATCH($H$1,'Data Core CPI'!$A$1:$AX$1,),)=0,#N/A,(VLOOKUP(B80,'Data Core CPI'!$A:$AX,MATCH($H$1,'Data Core CPI'!$A$1:$AX$1,),)-VLOOKUP(EDATE(B80,-12),'Data Core CPI'!$A:$AX,MATCH($H$1,'Data Core CPI'!$A$1:$AX$1,),))/VLOOKUP(EDATE(B80,-12),'Data Core CPI'!$A:$AX,MATCH($H$1,'Data Core CPI'!$A$1:$AX$1,),))</f>
        <v>4.4734862523713665E-3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2.1538262294592088E-3</v>
      </c>
      <c r="K80" s="20">
        <f>IF(VLOOKUP(B80,'Data Core CPI'!$A:$AX,MATCH($K$1,'Data Core CPI'!$A$1:$AX$1,),)=0,#N/A,(VLOOKUP(B80,'Data Core CPI'!$A:$AX,MATCH($K$1,'Data Core CPI'!$A$1:$AX$1,),)-VLOOKUP(EDATE(B80,-12),'Data Core CPI'!$A:$AX,MATCH($K$1,'Data Core CPI'!$A$1:$AX$1,),))/VLOOKUP(EDATE(B80,-12),'Data Core CPI'!$A:$AX,MATCH($K$1,'Data Core CPI'!$A$1:$AX$1,),))</f>
        <v>8.9994354268184244E-3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1.8850256372612735E-2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-3.5090966945307781E-3</v>
      </c>
      <c r="S80" s="20">
        <f>(VLOOKUP(B80,'Data Core CPI'!$A:$AX,MATCH($S$1,'Data Core CPI'!$A$1:$AX$1,),)-VLOOKUP(EDATE(B80,-12),'Data Core CPI'!$A:$AX,MATCH($S$1,'Data Core CPI'!$A$1:$AX$1,),))/VLOOKUP(EDATE(B80,-12),'Data Core CPI'!$A:$AX,MATCH($S$1,'Data Core CPI'!$A$1:$AX$1,),)</f>
        <v>1.8534999536575249E-2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-1.4549167780966548E-2</v>
      </c>
      <c r="V80" s="20">
        <f>(VLOOKUP(B80,'Data Core CPI'!$A:$AX,MATCH($V$1,'Data Core CPI'!$A$1:$AX$1,),)-VLOOKUP(EDATE(B80,-12),'Data Core CPI'!$A:$AX,MATCH($V$1,'Data Core CPI'!$A$1:$AX$1,),))/VLOOKUP(EDATE(B80,-12),'Data Core CPI'!$A:$AX,MATCH($V$1,'Data Core CPI'!$A$1:$AX$1,),)</f>
        <v>1.8171897185895475E-3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1.4904109589041754E-3</v>
      </c>
      <c r="G81" s="20">
        <f>IF(VLOOKUP(B81,'Data Core CPI'!$A:$AX,MATCH($G$1,'Data Core CPI'!$A$1:$AX$1,),)=0,#N/A,(VLOOKUP(B81,'Data Core CPI'!$A:$AX,MATCH($G$1,'Data Core CPI'!$A$1:$AX$1,),)-VLOOKUP(EDATE(B81,-12),'Data Core CPI'!$A:$AX,MATCH($G$1,'Data Core CPI'!$A$1:$AX$1,),))/VLOOKUP(EDATE(B81,-12),'Data Core CPI'!$A:$AX,MATCH($G$1,'Data Core CPI'!$A$1:$AX$1,),))</f>
        <v>1.1940914803954161E-2</v>
      </c>
      <c r="H81" s="20">
        <f>IF(VLOOKUP(B81,'Data Core CPI'!$A:$AX,MATCH($H$1,'Data Core CPI'!$A$1:$AX$1,),)=0,#N/A,(VLOOKUP(B81,'Data Core CPI'!$A:$AX,MATCH($H$1,'Data Core CPI'!$A$1:$AX$1,),)-VLOOKUP(EDATE(B81,-12),'Data Core CPI'!$A:$AX,MATCH($H$1,'Data Core CPI'!$A$1:$AX$1,),))/VLOOKUP(EDATE(B81,-12),'Data Core CPI'!$A:$AX,MATCH($H$1,'Data Core CPI'!$A$1:$AX$1,),))</f>
        <v>4.4368150297245763E-3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4.6214390907948211E-3</v>
      </c>
      <c r="K81" s="20">
        <f>IF(VLOOKUP(B81,'Data Core CPI'!$A:$AX,MATCH($K$1,'Data Core CPI'!$A$1:$AX$1,),)=0,#N/A,(VLOOKUP(B81,'Data Core CPI'!$A:$AX,MATCH($K$1,'Data Core CPI'!$A$1:$AX$1,),)-VLOOKUP(EDATE(B81,-12),'Data Core CPI'!$A:$AX,MATCH($K$1,'Data Core CPI'!$A$1:$AX$1,),))/VLOOKUP(EDATE(B81,-12),'Data Core CPI'!$A:$AX,MATCH($K$1,'Data Core CPI'!$A$1:$AX$1,),))</f>
        <v>9.7333931015145293E-3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1.7134787633775572E-2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-3.9563792256222556E-3</v>
      </c>
      <c r="S81" s="20">
        <f>(VLOOKUP(B81,'Data Core CPI'!$A:$AX,MATCH($S$1,'Data Core CPI'!$A$1:$AX$1,),)-VLOOKUP(EDATE(B81,-12),'Data Core CPI'!$A:$AX,MATCH($S$1,'Data Core CPI'!$A$1:$AX$1,),))/VLOOKUP(EDATE(B81,-12),'Data Core CPI'!$A:$AX,MATCH($S$1,'Data Core CPI'!$A$1:$AX$1,),)</f>
        <v>1.693223718677854E-2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-1.9095298871094509E-2</v>
      </c>
      <c r="V81" s="20">
        <f>(VLOOKUP(B81,'Data Core CPI'!$A:$AX,MATCH($V$1,'Data Core CPI'!$A$1:$AX$1,),)-VLOOKUP(EDATE(B81,-12),'Data Core CPI'!$A:$AX,MATCH($V$1,'Data Core CPI'!$A$1:$AX$1,),))/VLOOKUP(EDATE(B81,-12),'Data Core CPI'!$A:$AX,MATCH($V$1,'Data Core CPI'!$A$1:$AX$1,),)</f>
        <v>3.863795467505384E-3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2.768593395211644E-4</v>
      </c>
      <c r="G82" s="20">
        <f>IF(VLOOKUP(B82,'Data Core CPI'!$A:$AX,MATCH($G$1,'Data Core CPI'!$A$1:$AX$1,),)=0,#N/A,(VLOOKUP(B82,'Data Core CPI'!$A:$AX,MATCH($G$1,'Data Core CPI'!$A$1:$AX$1,),)-VLOOKUP(EDATE(B82,-12),'Data Core CPI'!$A:$AX,MATCH($G$1,'Data Core CPI'!$A$1:$AX$1,),))/VLOOKUP(EDATE(B82,-12),'Data Core CPI'!$A:$AX,MATCH($G$1,'Data Core CPI'!$A$1:$AX$1,),))</f>
        <v>1.3385148526696566E-2</v>
      </c>
      <c r="H82" s="20">
        <f>IF(VLOOKUP(B82,'Data Core CPI'!$A:$AX,MATCH($H$1,'Data Core CPI'!$A$1:$AX$1,),)=0,#N/A,(VLOOKUP(B82,'Data Core CPI'!$A:$AX,MATCH($H$1,'Data Core CPI'!$A$1:$AX$1,),)-VLOOKUP(EDATE(B82,-12),'Data Core CPI'!$A:$AX,MATCH($H$1,'Data Core CPI'!$A$1:$AX$1,),))/VLOOKUP(EDATE(B82,-12),'Data Core CPI'!$A:$AX,MATCH($H$1,'Data Core CPI'!$A$1:$AX$1,),))</f>
        <v>2.2612449891170213E-3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7.033014302613088E-3</v>
      </c>
      <c r="K82" s="20">
        <f>IF(VLOOKUP(B82,'Data Core CPI'!$A:$AX,MATCH($K$1,'Data Core CPI'!$A$1:$AX$1,),)=0,#N/A,(VLOOKUP(B82,'Data Core CPI'!$A:$AX,MATCH($K$1,'Data Core CPI'!$A$1:$AX$1,),)-VLOOKUP(EDATE(B82,-12),'Data Core CPI'!$A:$AX,MATCH($K$1,'Data Core CPI'!$A$1:$AX$1,),))/VLOOKUP(EDATE(B82,-12),'Data Core CPI'!$A:$AX,MATCH($K$1,'Data Core CPI'!$A$1:$AX$1,),))</f>
        <v>1.1693155936742004E-2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1.8804857904980994E-2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-3.4960321870049094E-3</v>
      </c>
      <c r="S82" s="20">
        <f>(VLOOKUP(B82,'Data Core CPI'!$A:$AX,MATCH($S$1,'Data Core CPI'!$A$1:$AX$1,),)-VLOOKUP(EDATE(B82,-12),'Data Core CPI'!$A:$AX,MATCH($S$1,'Data Core CPI'!$A$1:$AX$1,),))/VLOOKUP(EDATE(B82,-12),'Data Core CPI'!$A:$AX,MATCH($S$1,'Data Core CPI'!$A$1:$AX$1,),)</f>
        <v>1.6002750938678378E-2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-1.8358732703058683E-2</v>
      </c>
      <c r="V82" s="20">
        <f>(VLOOKUP(B82,'Data Core CPI'!$A:$AX,MATCH($V$1,'Data Core CPI'!$A$1:$AX$1,),)-VLOOKUP(EDATE(B82,-12),'Data Core CPI'!$A:$AX,MATCH($V$1,'Data Core CPI'!$A$1:$AX$1,),))/VLOOKUP(EDATE(B82,-12),'Data Core CPI'!$A:$AX,MATCH($V$1,'Data Core CPI'!$A$1:$AX$1,),)</f>
        <v>3.1944190562379648E-3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1.774788365180508E-3</v>
      </c>
      <c r="G83" s="20">
        <f>IF(VLOOKUP(B83,'Data Core CPI'!$A:$AX,MATCH($G$1,'Data Core CPI'!$A$1:$AX$1,),)=0,#N/A,(VLOOKUP(B83,'Data Core CPI'!$A:$AX,MATCH($G$1,'Data Core CPI'!$A$1:$AX$1,),)-VLOOKUP(EDATE(B83,-12),'Data Core CPI'!$A:$AX,MATCH($G$1,'Data Core CPI'!$A$1:$AX$1,),))/VLOOKUP(EDATE(B83,-12),'Data Core CPI'!$A:$AX,MATCH($G$1,'Data Core CPI'!$A$1:$AX$1,),))</f>
        <v>9.8595217990004695E-3</v>
      </c>
      <c r="H83" s="20">
        <f>IF(VLOOKUP(B83,'Data Core CPI'!$A:$AX,MATCH($H$1,'Data Core CPI'!$A$1:$AX$1,),)=0,#N/A,(VLOOKUP(B83,'Data Core CPI'!$A:$AX,MATCH($H$1,'Data Core CPI'!$A$1:$AX$1,),)-VLOOKUP(EDATE(B83,-12),'Data Core CPI'!$A:$AX,MATCH($H$1,'Data Core CPI'!$A$1:$AX$1,),))/VLOOKUP(EDATE(B83,-12),'Data Core CPI'!$A:$AX,MATCH($H$1,'Data Core CPI'!$A$1:$AX$1,),))</f>
        <v>4.9345120377953825E-3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5.2966716063603172E-3</v>
      </c>
      <c r="K83" s="20">
        <f>IF(VLOOKUP(B83,'Data Core CPI'!$A:$AX,MATCH($K$1,'Data Core CPI'!$A$1:$AX$1,),)=0,#N/A,(VLOOKUP(B83,'Data Core CPI'!$A:$AX,MATCH($K$1,'Data Core CPI'!$A$1:$AX$1,),)-VLOOKUP(EDATE(B83,-12),'Data Core CPI'!$A:$AX,MATCH($K$1,'Data Core CPI'!$A$1:$AX$1,),))/VLOOKUP(EDATE(B83,-12),'Data Core CPI'!$A:$AX,MATCH($K$1,'Data Core CPI'!$A$1:$AX$1,),))</f>
        <v>1.240029164354195E-2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2.1244395679234123E-2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-2.1349001616073546E-3</v>
      </c>
      <c r="S83" s="20">
        <f>(VLOOKUP(B83,'Data Core CPI'!$A:$AX,MATCH($S$1,'Data Core CPI'!$A$1:$AX$1,),)-VLOOKUP(EDATE(B83,-12),'Data Core CPI'!$A:$AX,MATCH($S$1,'Data Core CPI'!$A$1:$AX$1,),))/VLOOKUP(EDATE(B83,-12),'Data Core CPI'!$A:$AX,MATCH($S$1,'Data Core CPI'!$A$1:$AX$1,),)</f>
        <v>1.7508178364010717E-2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-1.8328774976773866E-2</v>
      </c>
      <c r="V83" s="20">
        <f>(VLOOKUP(B83,'Data Core CPI'!$A:$AX,MATCH($V$1,'Data Core CPI'!$A$1:$AX$1,),)-VLOOKUP(EDATE(B83,-12),'Data Core CPI'!$A:$AX,MATCH($V$1,'Data Core CPI'!$A$1:$AX$1,),))/VLOOKUP(EDATE(B83,-12),'Data Core CPI'!$A:$AX,MATCH($V$1,'Data Core CPI'!$A$1:$AX$1,),)</f>
        <v>1.2154228685125684E-3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-2.6420412410623763E-5</v>
      </c>
      <c r="G84" s="20">
        <f>IF(VLOOKUP(B84,'Data Core CPI'!$A:$AX,MATCH($G$1,'Data Core CPI'!$A$1:$AX$1,),)=0,#N/A,(VLOOKUP(B84,'Data Core CPI'!$A:$AX,MATCH($G$1,'Data Core CPI'!$A$1:$AX$1,),)-VLOOKUP(EDATE(B84,-12),'Data Core CPI'!$A:$AX,MATCH($G$1,'Data Core CPI'!$A$1:$AX$1,),))/VLOOKUP(EDATE(B84,-12),'Data Core CPI'!$A:$AX,MATCH($G$1,'Data Core CPI'!$A$1:$AX$1,),))</f>
        <v>1.0440327713616119E-2</v>
      </c>
      <c r="H84" s="20">
        <f>IF(VLOOKUP(B84,'Data Core CPI'!$A:$AX,MATCH($H$1,'Data Core CPI'!$A$1:$AX$1,),)=0,#N/A,(VLOOKUP(B84,'Data Core CPI'!$A:$AX,MATCH($H$1,'Data Core CPI'!$A$1:$AX$1,),)-VLOOKUP(EDATE(B84,-12),'Data Core CPI'!$A:$AX,MATCH($H$1,'Data Core CPI'!$A$1:$AX$1,),))/VLOOKUP(EDATE(B84,-12),'Data Core CPI'!$A:$AX,MATCH($H$1,'Data Core CPI'!$A$1:$AX$1,),))</f>
        <v>1.5931264821544193E-3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7.7296575038224603E-3</v>
      </c>
      <c r="K84" s="20">
        <f>IF(VLOOKUP(B84,'Data Core CPI'!$A:$AX,MATCH($K$1,'Data Core CPI'!$A$1:$AX$1,),)=0,#N/A,(VLOOKUP(B84,'Data Core CPI'!$A:$AX,MATCH($K$1,'Data Core CPI'!$A$1:$AX$1,),)-VLOOKUP(EDATE(B84,-12),'Data Core CPI'!$A:$AX,MATCH($K$1,'Data Core CPI'!$A$1:$AX$1,),))/VLOOKUP(EDATE(B84,-12),'Data Core CPI'!$A:$AX,MATCH($K$1,'Data Core CPI'!$A$1:$AX$1,),))</f>
        <v>1.163783474643116E-2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2.0208830856115422E-2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-5.0288377591921915E-4</v>
      </c>
      <c r="S84" s="20">
        <f>(VLOOKUP(B84,'Data Core CPI'!$A:$AX,MATCH($S$1,'Data Core CPI'!$A$1:$AX$1,),)-VLOOKUP(EDATE(B84,-12),'Data Core CPI'!$A:$AX,MATCH($S$1,'Data Core CPI'!$A$1:$AX$1,),))/VLOOKUP(EDATE(B84,-12),'Data Core CPI'!$A:$AX,MATCH($S$1,'Data Core CPI'!$A$1:$AX$1,),)</f>
        <v>1.7758790329822971E-2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-4.4735766577815549E-3</v>
      </c>
      <c r="V84" s="20">
        <f>(VLOOKUP(B84,'Data Core CPI'!$A:$AX,MATCH($V$1,'Data Core CPI'!$A$1:$AX$1,),)-VLOOKUP(EDATE(B84,-12),'Data Core CPI'!$A:$AX,MATCH($V$1,'Data Core CPI'!$A$1:$AX$1,),))/VLOOKUP(EDATE(B84,-12),'Data Core CPI'!$A:$AX,MATCH($V$1,'Data Core CPI'!$A$1:$AX$1,),)</f>
        <v>1.6287018558024616E-3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-2.8659779618448837E-3</v>
      </c>
      <c r="G85" s="20">
        <f>IF(VLOOKUP(B85,'Data Core CPI'!$A:$AX,MATCH($G$1,'Data Core CPI'!$A$1:$AX$1,),)=0,#N/A,(VLOOKUP(B85,'Data Core CPI'!$A:$AX,MATCH($G$1,'Data Core CPI'!$A$1:$AX$1,),)-VLOOKUP(EDATE(B85,-12),'Data Core CPI'!$A:$AX,MATCH($G$1,'Data Core CPI'!$A$1:$AX$1,),))/VLOOKUP(EDATE(B85,-12),'Data Core CPI'!$A:$AX,MATCH($G$1,'Data Core CPI'!$A$1:$AX$1,),))</f>
        <v>8.9360976296681167E-3</v>
      </c>
      <c r="H85" s="20">
        <f>IF(VLOOKUP(B85,'Data Core CPI'!$A:$AX,MATCH($H$1,'Data Core CPI'!$A$1:$AX$1,),)=0,#N/A,(VLOOKUP(B85,'Data Core CPI'!$A:$AX,MATCH($H$1,'Data Core CPI'!$A$1:$AX$1,),)-VLOOKUP(EDATE(B85,-12),'Data Core CPI'!$A:$AX,MATCH($H$1,'Data Core CPI'!$A$1:$AX$1,),))/VLOOKUP(EDATE(B85,-12),'Data Core CPI'!$A:$AX,MATCH($H$1,'Data Core CPI'!$A$1:$AX$1,),))</f>
        <v>3.7631139195403169E-3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7.3777013718130885E-3</v>
      </c>
      <c r="K85" s="20">
        <f>IF(VLOOKUP(B85,'Data Core CPI'!$A:$AX,MATCH($K$1,'Data Core CPI'!$A$1:$AX$1,),)=0,#N/A,(VLOOKUP(B85,'Data Core CPI'!$A:$AX,MATCH($K$1,'Data Core CPI'!$A$1:$AX$1,),)-VLOOKUP(EDATE(B85,-12),'Data Core CPI'!$A:$AX,MATCH($K$1,'Data Core CPI'!$A$1:$AX$1,),))/VLOOKUP(EDATE(B85,-12),'Data Core CPI'!$A:$AX,MATCH($K$1,'Data Core CPI'!$A$1:$AX$1,),))</f>
        <v>1.0205013293908011E-2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1.6599923825570274E-2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1.5299505694414679E-3</v>
      </c>
      <c r="S85" s="20">
        <f>(VLOOKUP(B85,'Data Core CPI'!$A:$AX,MATCH($S$1,'Data Core CPI'!$A$1:$AX$1,),)-VLOOKUP(EDATE(B85,-12),'Data Core CPI'!$A:$AX,MATCH($S$1,'Data Core CPI'!$A$1:$AX$1,),))/VLOOKUP(EDATE(B85,-12),'Data Core CPI'!$A:$AX,MATCH($S$1,'Data Core CPI'!$A$1:$AX$1,),)</f>
        <v>1.6651849690814676E-2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4.7793608816216445E-3</v>
      </c>
      <c r="V85" s="20">
        <f>(VLOOKUP(B85,'Data Core CPI'!$A:$AX,MATCH($V$1,'Data Core CPI'!$A$1:$AX$1,),)-VLOOKUP(EDATE(B85,-12),'Data Core CPI'!$A:$AX,MATCH($V$1,'Data Core CPI'!$A$1:$AX$1,),))/VLOOKUP(EDATE(B85,-12),'Data Core CPI'!$A:$AX,MATCH($V$1,'Data Core CPI'!$A$1:$AX$1,),)</f>
        <v>4.5749888033428951E-3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-2.4270613864574636E-3</v>
      </c>
      <c r="G86" s="20">
        <f>IF(VLOOKUP(B86,'Data Core CPI'!$A:$AX,MATCH($G$1,'Data Core CPI'!$A$1:$AX$1,),)=0,#N/A,(VLOOKUP(B86,'Data Core CPI'!$A:$AX,MATCH($G$1,'Data Core CPI'!$A$1:$AX$1,),)-VLOOKUP(EDATE(B86,-12),'Data Core CPI'!$A:$AX,MATCH($G$1,'Data Core CPI'!$A$1:$AX$1,),))/VLOOKUP(EDATE(B86,-12),'Data Core CPI'!$A:$AX,MATCH($G$1,'Data Core CPI'!$A$1:$AX$1,),))</f>
        <v>1.3742190359340252E-2</v>
      </c>
      <c r="H86" s="20">
        <f>IF(VLOOKUP(B86,'Data Core CPI'!$A:$AX,MATCH($H$1,'Data Core CPI'!$A$1:$AX$1,),)=0,#N/A,(VLOOKUP(B86,'Data Core CPI'!$A:$AX,MATCH($H$1,'Data Core CPI'!$A$1:$AX$1,),)-VLOOKUP(EDATE(B86,-12),'Data Core CPI'!$A:$AX,MATCH($H$1,'Data Core CPI'!$A$1:$AX$1,),))/VLOOKUP(EDATE(B86,-12),'Data Core CPI'!$A:$AX,MATCH($H$1,'Data Core CPI'!$A$1:$AX$1,),))</f>
        <v>4.6368128326928189E-3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1.2380260987668481E-2</v>
      </c>
      <c r="K86" s="20">
        <f>IF(VLOOKUP(B86,'Data Core CPI'!$A:$AX,MATCH($K$1,'Data Core CPI'!$A$1:$AX$1,),)=0,#N/A,(VLOOKUP(B86,'Data Core CPI'!$A:$AX,MATCH($K$1,'Data Core CPI'!$A$1:$AX$1,),)-VLOOKUP(EDATE(B86,-12),'Data Core CPI'!$A:$AX,MATCH($K$1,'Data Core CPI'!$A$1:$AX$1,),))/VLOOKUP(EDATE(B86,-12),'Data Core CPI'!$A:$AX,MATCH($K$1,'Data Core CPI'!$A$1:$AX$1,),))</f>
        <v>1.4689043934405486E-2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1.5135315736718998E-2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1.6151025061040443E-3</v>
      </c>
      <c r="S86" s="20">
        <f>(VLOOKUP(B86,'Data Core CPI'!$A:$AX,MATCH($S$1,'Data Core CPI'!$A$1:$AX$1,),)-VLOOKUP(EDATE(B86,-12),'Data Core CPI'!$A:$AX,MATCH($S$1,'Data Core CPI'!$A$1:$AX$1,),))/VLOOKUP(EDATE(B86,-12),'Data Core CPI'!$A:$AX,MATCH($S$1,'Data Core CPI'!$A$1:$AX$1,),)</f>
        <v>1.5842188114915449E-2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4.2796233931415182E-3</v>
      </c>
      <c r="V86" s="20">
        <f>(VLOOKUP(B86,'Data Core CPI'!$A:$AX,MATCH($V$1,'Data Core CPI'!$A$1:$AX$1,),)-VLOOKUP(EDATE(B86,-12),'Data Core CPI'!$A:$AX,MATCH($V$1,'Data Core CPI'!$A$1:$AX$1,),))/VLOOKUP(EDATE(B86,-12),'Data Core CPI'!$A:$AX,MATCH($V$1,'Data Core CPI'!$A$1:$AX$1,),)</f>
        <v>9.3160183125396024E-3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-2.7422012749894857E-3</v>
      </c>
      <c r="G87" s="20">
        <f>IF(VLOOKUP(B87,'Data Core CPI'!$A:$AX,MATCH($G$1,'Data Core CPI'!$A$1:$AX$1,),)=0,#N/A,(VLOOKUP(B87,'Data Core CPI'!$A:$AX,MATCH($G$1,'Data Core CPI'!$A$1:$AX$1,),)-VLOOKUP(EDATE(B87,-12),'Data Core CPI'!$A:$AX,MATCH($G$1,'Data Core CPI'!$A$1:$AX$1,),))/VLOOKUP(EDATE(B87,-12),'Data Core CPI'!$A:$AX,MATCH($G$1,'Data Core CPI'!$A$1:$AX$1,),))</f>
        <v>1.0141355377641789E-2</v>
      </c>
      <c r="H87" s="20">
        <f>IF(VLOOKUP(B87,'Data Core CPI'!$A:$AX,MATCH($H$1,'Data Core CPI'!$A$1:$AX$1,),)=0,#N/A,(VLOOKUP(B87,'Data Core CPI'!$A:$AX,MATCH($H$1,'Data Core CPI'!$A$1:$AX$1,),)-VLOOKUP(EDATE(B87,-12),'Data Core CPI'!$A:$AX,MATCH($H$1,'Data Core CPI'!$A$1:$AX$1,),))/VLOOKUP(EDATE(B87,-12),'Data Core CPI'!$A:$AX,MATCH($H$1,'Data Core CPI'!$A$1:$AX$1,),))</f>
        <v>4.3717758153361671E-3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7.4159402427414079E-3</v>
      </c>
      <c r="K87" s="20">
        <f>IF(VLOOKUP(B87,'Data Core CPI'!$A:$AX,MATCH($K$1,'Data Core CPI'!$A$1:$AX$1,),)=0,#N/A,(VLOOKUP(B87,'Data Core CPI'!$A:$AX,MATCH($K$1,'Data Core CPI'!$A$1:$AX$1,),)-VLOOKUP(EDATE(B87,-12),'Data Core CPI'!$A:$AX,MATCH($K$1,'Data Core CPI'!$A$1:$AX$1,),))/VLOOKUP(EDATE(B87,-12),'Data Core CPI'!$A:$AX,MATCH($K$1,'Data Core CPI'!$A$1:$AX$1,),))</f>
        <v>1.108861913874944E-2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1.477731187503494E-2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2.9695605070419332E-3</v>
      </c>
      <c r="S87" s="20">
        <f>(VLOOKUP(B87,'Data Core CPI'!$A:$AX,MATCH($S$1,'Data Core CPI'!$A$1:$AX$1,),)-VLOOKUP(EDATE(B87,-12),'Data Core CPI'!$A:$AX,MATCH($S$1,'Data Core CPI'!$A$1:$AX$1,),))/VLOOKUP(EDATE(B87,-12),'Data Core CPI'!$A:$AX,MATCH($S$1,'Data Core CPI'!$A$1:$AX$1,),)</f>
        <v>1.5410256359920703E-2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7.1967195193264289E-3</v>
      </c>
      <c r="V87" s="20">
        <f>(VLOOKUP(B87,'Data Core CPI'!$A:$AX,MATCH($V$1,'Data Core CPI'!$A$1:$AX$1,),)-VLOOKUP(EDATE(B87,-12),'Data Core CPI'!$A:$AX,MATCH($V$1,'Data Core CPI'!$A$1:$AX$1,),))/VLOOKUP(EDATE(B87,-12),'Data Core CPI'!$A:$AX,MATCH($V$1,'Data Core CPI'!$A$1:$AX$1,),)</f>
        <v>2.4631977126038321E-3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-1.8279807430138452E-3</v>
      </c>
      <c r="G88" s="20">
        <f>IF(VLOOKUP(B88,'Data Core CPI'!$A:$AX,MATCH($G$1,'Data Core CPI'!$A$1:$AX$1,),)=0,#N/A,(VLOOKUP(B88,'Data Core CPI'!$A:$AX,MATCH($G$1,'Data Core CPI'!$A$1:$AX$1,),)-VLOOKUP(EDATE(B88,-12),'Data Core CPI'!$A:$AX,MATCH($G$1,'Data Core CPI'!$A$1:$AX$1,),))/VLOOKUP(EDATE(B88,-12),'Data Core CPI'!$A:$AX,MATCH($G$1,'Data Core CPI'!$A$1:$AX$1,),))</f>
        <v>1.4856363821104128E-2</v>
      </c>
      <c r="H88" s="20">
        <f>IF(VLOOKUP(B88,'Data Core CPI'!$A:$AX,MATCH($H$1,'Data Core CPI'!$A$1:$AX$1,),)=0,#N/A,(VLOOKUP(B88,'Data Core CPI'!$A:$AX,MATCH($H$1,'Data Core CPI'!$A$1:$AX$1,),)-VLOOKUP(EDATE(B88,-12),'Data Core CPI'!$A:$AX,MATCH($H$1,'Data Core CPI'!$A$1:$AX$1,),))/VLOOKUP(EDATE(B88,-12),'Data Core CPI'!$A:$AX,MATCH($H$1,'Data Core CPI'!$A$1:$AX$1,),))</f>
        <v>5.3815638997427341E-3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8.7054790500471942E-3</v>
      </c>
      <c r="K88" s="20">
        <f>IF(VLOOKUP(B88,'Data Core CPI'!$A:$AX,MATCH($K$1,'Data Core CPI'!$A$1:$AX$1,),)=0,#N/A,(VLOOKUP(B88,'Data Core CPI'!$A:$AX,MATCH($K$1,'Data Core CPI'!$A$1:$AX$1,),)-VLOOKUP(EDATE(B88,-12),'Data Core CPI'!$A:$AX,MATCH($K$1,'Data Core CPI'!$A$1:$AX$1,),))/VLOOKUP(EDATE(B88,-12),'Data Core CPI'!$A:$AX,MATCH($K$1,'Data Core CPI'!$A$1:$AX$1,),))</f>
        <v>1.2855798426762828E-2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1.4034953834834666E-2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2.6339850014739817E-3</v>
      </c>
      <c r="S88" s="20">
        <f>(VLOOKUP(B88,'Data Core CPI'!$A:$AX,MATCH($S$1,'Data Core CPI'!$A$1:$AX$1,),)-VLOOKUP(EDATE(B88,-12),'Data Core CPI'!$A:$AX,MATCH($S$1,'Data Core CPI'!$A$1:$AX$1,),))/VLOOKUP(EDATE(B88,-12),'Data Core CPI'!$A:$AX,MATCH($S$1,'Data Core CPI'!$A$1:$AX$1,),)</f>
        <v>1.4618210152472522E-2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1.0470728306424846E-2</v>
      </c>
      <c r="V88" s="20">
        <f>(VLOOKUP(B88,'Data Core CPI'!$A:$AX,MATCH($V$1,'Data Core CPI'!$A$1:$AX$1,),)-VLOOKUP(EDATE(B88,-12),'Data Core CPI'!$A:$AX,MATCH($V$1,'Data Core CPI'!$A$1:$AX$1,),))/VLOOKUP(EDATE(B88,-12),'Data Core CPI'!$A:$AX,MATCH($V$1,'Data Core CPI'!$A$1:$AX$1,),)</f>
        <v>-8.6156479006473932E-4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-2.068681006598789E-3</v>
      </c>
      <c r="G89" s="20">
        <f>IF(VLOOKUP(B89,'Data Core CPI'!$A:$AX,MATCH($G$1,'Data Core CPI'!$A$1:$AX$1,),)=0,#N/A,(VLOOKUP(B89,'Data Core CPI'!$A:$AX,MATCH($G$1,'Data Core CPI'!$A$1:$AX$1,),)-VLOOKUP(EDATE(B89,-12),'Data Core CPI'!$A:$AX,MATCH($G$1,'Data Core CPI'!$A$1:$AX$1,),))/VLOOKUP(EDATE(B89,-12),'Data Core CPI'!$A:$AX,MATCH($G$1,'Data Core CPI'!$A$1:$AX$1,),))</f>
        <v>1.3739736384559635E-2</v>
      </c>
      <c r="H89" s="20">
        <f>IF(VLOOKUP(B89,'Data Core CPI'!$A:$AX,MATCH($H$1,'Data Core CPI'!$A$1:$AX$1,),)=0,#N/A,(VLOOKUP(B89,'Data Core CPI'!$A:$AX,MATCH($H$1,'Data Core CPI'!$A$1:$AX$1,),)-VLOOKUP(EDATE(B89,-12),'Data Core CPI'!$A:$AX,MATCH($H$1,'Data Core CPI'!$A$1:$AX$1,),))/VLOOKUP(EDATE(B89,-12),'Data Core CPI'!$A:$AX,MATCH($H$1,'Data Core CPI'!$A$1:$AX$1,),))</f>
        <v>5.859147294777824E-3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8.6512165092231391E-3</v>
      </c>
      <c r="K89" s="20">
        <f>IF(VLOOKUP(B89,'Data Core CPI'!$A:$AX,MATCH($K$1,'Data Core CPI'!$A$1:$AX$1,),)=0,#N/A,(VLOOKUP(B89,'Data Core CPI'!$A:$AX,MATCH($K$1,'Data Core CPI'!$A$1:$AX$1,),)-VLOOKUP(EDATE(B89,-12),'Data Core CPI'!$A:$AX,MATCH($K$1,'Data Core CPI'!$A$1:$AX$1,),))/VLOOKUP(EDATE(B89,-12),'Data Core CPI'!$A:$AX,MATCH($K$1,'Data Core CPI'!$A$1:$AX$1,),))</f>
        <v>1.4465736263385506E-2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1.4047903968970708E-2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2.8066536415716097E-3</v>
      </c>
      <c r="S89" s="20">
        <f>(VLOOKUP(B89,'Data Core CPI'!$A:$AX,MATCH($S$1,'Data Core CPI'!$A$1:$AX$1,),)-VLOOKUP(EDATE(B89,-12),'Data Core CPI'!$A:$AX,MATCH($S$1,'Data Core CPI'!$A$1:$AX$1,),))/VLOOKUP(EDATE(B89,-12),'Data Core CPI'!$A:$AX,MATCH($S$1,'Data Core CPI'!$A$1:$AX$1,),)</f>
        <v>1.5073398726795723E-2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1.3124462142695206E-2</v>
      </c>
      <c r="V89" s="20">
        <f>(VLOOKUP(B89,'Data Core CPI'!$A:$AX,MATCH($V$1,'Data Core CPI'!$A$1:$AX$1,),)-VLOOKUP(EDATE(B89,-12),'Data Core CPI'!$A:$AX,MATCH($V$1,'Data Core CPI'!$A$1:$AX$1,),))/VLOOKUP(EDATE(B89,-12),'Data Core CPI'!$A:$AX,MATCH($V$1,'Data Core CPI'!$A$1:$AX$1,),)</f>
        <v>7.730951113277785E-4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-1.2326993926117971E-3</v>
      </c>
      <c r="G90" s="20">
        <f>IF(VLOOKUP(B90,'Data Core CPI'!$A:$AX,MATCH($G$1,'Data Core CPI'!$A$1:$AX$1,),)=0,#N/A,(VLOOKUP(B90,'Data Core CPI'!$A:$AX,MATCH($G$1,'Data Core CPI'!$A$1:$AX$1,),)-VLOOKUP(EDATE(B90,-12),'Data Core CPI'!$A:$AX,MATCH($G$1,'Data Core CPI'!$A$1:$AX$1,),))/VLOOKUP(EDATE(B90,-12),'Data Core CPI'!$A:$AX,MATCH($G$1,'Data Core CPI'!$A$1:$AX$1,),))</f>
        <v>1.4172488963121482E-2</v>
      </c>
      <c r="H90" s="20">
        <f>IF(VLOOKUP(B90,'Data Core CPI'!$A:$AX,MATCH($H$1,'Data Core CPI'!$A$1:$AX$1,),)=0,#N/A,(VLOOKUP(B90,'Data Core CPI'!$A:$AX,MATCH($H$1,'Data Core CPI'!$A$1:$AX$1,),)-VLOOKUP(EDATE(B90,-12),'Data Core CPI'!$A:$AX,MATCH($H$1,'Data Core CPI'!$A$1:$AX$1,),))/VLOOKUP(EDATE(B90,-12),'Data Core CPI'!$A:$AX,MATCH($H$1,'Data Core CPI'!$A$1:$AX$1,),))</f>
        <v>5.6950497561247017E-3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9.0636470313988533E-3</v>
      </c>
      <c r="K90" s="20">
        <f>IF(VLOOKUP(B90,'Data Core CPI'!$A:$AX,MATCH($K$1,'Data Core CPI'!$A$1:$AX$1,),)=0,#N/A,(VLOOKUP(B90,'Data Core CPI'!$A:$AX,MATCH($K$1,'Data Core CPI'!$A$1:$AX$1,),)-VLOOKUP(EDATE(B90,-12),'Data Core CPI'!$A:$AX,MATCH($K$1,'Data Core CPI'!$A$1:$AX$1,),))/VLOOKUP(EDATE(B90,-12),'Data Core CPI'!$A:$AX,MATCH($K$1,'Data Core CPI'!$A$1:$AX$1,),))</f>
        <v>1.2458898453717331E-2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1.4547009851994964E-2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3.5841152094313322E-3</v>
      </c>
      <c r="S90" s="20">
        <f>(VLOOKUP(B90,'Data Core CPI'!$A:$AX,MATCH($S$1,'Data Core CPI'!$A$1:$AX$1,),)-VLOOKUP(EDATE(B90,-12),'Data Core CPI'!$A:$AX,MATCH($S$1,'Data Core CPI'!$A$1:$AX$1,),))/VLOOKUP(EDATE(B90,-12),'Data Core CPI'!$A:$AX,MATCH($S$1,'Data Core CPI'!$A$1:$AX$1,),)</f>
        <v>1.4662343844229717E-2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9.0517800317591463E-3</v>
      </c>
      <c r="V90" s="20">
        <f>(VLOOKUP(B90,'Data Core CPI'!$A:$AX,MATCH($V$1,'Data Core CPI'!$A$1:$AX$1,),)-VLOOKUP(EDATE(B90,-12),'Data Core CPI'!$A:$AX,MATCH($V$1,'Data Core CPI'!$A$1:$AX$1,),))/VLOOKUP(EDATE(B90,-12),'Data Core CPI'!$A:$AX,MATCH($V$1,'Data Core CPI'!$A$1:$AX$1,),)</f>
        <v>4.6639299182904348E-3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4.0063703281435238E-4</v>
      </c>
      <c r="G91" s="20">
        <f>IF(VLOOKUP(B91,'Data Core CPI'!$A:$AX,MATCH($G$1,'Data Core CPI'!$A$1:$AX$1,),)=0,#N/A,(VLOOKUP(B91,'Data Core CPI'!$A:$AX,MATCH($G$1,'Data Core CPI'!$A$1:$AX$1,),)-VLOOKUP(EDATE(B91,-12),'Data Core CPI'!$A:$AX,MATCH($G$1,'Data Core CPI'!$A$1:$AX$1,),))/VLOOKUP(EDATE(B91,-12),'Data Core CPI'!$A:$AX,MATCH($G$1,'Data Core CPI'!$A$1:$AX$1,),))</f>
        <v>1.4380703542831559E-2</v>
      </c>
      <c r="H91" s="20">
        <f>IF(VLOOKUP(B91,'Data Core CPI'!$A:$AX,MATCH($H$1,'Data Core CPI'!$A$1:$AX$1,),)=0,#N/A,(VLOOKUP(B91,'Data Core CPI'!$A:$AX,MATCH($H$1,'Data Core CPI'!$A$1:$AX$1,),)-VLOOKUP(EDATE(B91,-12),'Data Core CPI'!$A:$AX,MATCH($H$1,'Data Core CPI'!$A$1:$AX$1,),))/VLOOKUP(EDATE(B91,-12),'Data Core CPI'!$A:$AX,MATCH($H$1,'Data Core CPI'!$A$1:$AX$1,),))</f>
        <v>5.6886563779239762E-3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7.6825561833418305E-3</v>
      </c>
      <c r="K91" s="20">
        <f>IF(VLOOKUP(B91,'Data Core CPI'!$A:$AX,MATCH($K$1,'Data Core CPI'!$A$1:$AX$1,),)=0,#N/A,(VLOOKUP(B91,'Data Core CPI'!$A:$AX,MATCH($K$1,'Data Core CPI'!$A$1:$AX$1,),)-VLOOKUP(EDATE(B91,-12),'Data Core CPI'!$A:$AX,MATCH($K$1,'Data Core CPI'!$A$1:$AX$1,),))/VLOOKUP(EDATE(B91,-12),'Data Core CPI'!$A:$AX,MATCH($K$1,'Data Core CPI'!$A$1:$AX$1,),))</f>
        <v>1.2498546969400373E-2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1.3433135718368457E-2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5.1054835667341779E-3</v>
      </c>
      <c r="S91" s="20">
        <f>(VLOOKUP(B91,'Data Core CPI'!$A:$AX,MATCH($S$1,'Data Core CPI'!$A$1:$AX$1,),)-VLOOKUP(EDATE(B91,-12),'Data Core CPI'!$A:$AX,MATCH($S$1,'Data Core CPI'!$A$1:$AX$1,),))/VLOOKUP(EDATE(B91,-12),'Data Core CPI'!$A:$AX,MATCH($S$1,'Data Core CPI'!$A$1:$AX$1,),)</f>
        <v>1.3689371761905014E-2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5.8606184851475339E-3</v>
      </c>
      <c r="V91" s="20">
        <f>(VLOOKUP(B91,'Data Core CPI'!$A:$AX,MATCH($V$1,'Data Core CPI'!$A$1:$AX$1,),)-VLOOKUP(EDATE(B91,-12),'Data Core CPI'!$A:$AX,MATCH($V$1,'Data Core CPI'!$A$1:$AX$1,),))/VLOOKUP(EDATE(B91,-12),'Data Core CPI'!$A:$AX,MATCH($V$1,'Data Core CPI'!$A$1:$AX$1,),)</f>
        <v>2.3081760571652477E-3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-8.5574997391008002E-4</v>
      </c>
      <c r="G92" s="20">
        <f>IF(VLOOKUP(B92,'Data Core CPI'!$A:$AX,MATCH($G$1,'Data Core CPI'!$A$1:$AX$1,),)=0,#N/A,(VLOOKUP(B92,'Data Core CPI'!$A:$AX,MATCH($G$1,'Data Core CPI'!$A$1:$AX$1,),)-VLOOKUP(EDATE(B92,-12),'Data Core CPI'!$A:$AX,MATCH($G$1,'Data Core CPI'!$A$1:$AX$1,),))/VLOOKUP(EDATE(B92,-12),'Data Core CPI'!$A:$AX,MATCH($G$1,'Data Core CPI'!$A$1:$AX$1,),))</f>
        <v>1.0320467882127414E-2</v>
      </c>
      <c r="H92" s="20">
        <f>IF(VLOOKUP(B92,'Data Core CPI'!$A:$AX,MATCH($H$1,'Data Core CPI'!$A$1:$AX$1,),)=0,#N/A,(VLOOKUP(B92,'Data Core CPI'!$A:$AX,MATCH($H$1,'Data Core CPI'!$A$1:$AX$1,),)-VLOOKUP(EDATE(B92,-12),'Data Core CPI'!$A:$AX,MATCH($H$1,'Data Core CPI'!$A$1:$AX$1,),))/VLOOKUP(EDATE(B92,-12),'Data Core CPI'!$A:$AX,MATCH($H$1,'Data Core CPI'!$A$1:$AX$1,),))</f>
        <v>5.8687979058904462E-3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4.1433182531659821E-3</v>
      </c>
      <c r="K92" s="20">
        <f>IF(VLOOKUP(B92,'Data Core CPI'!$A:$AX,MATCH($K$1,'Data Core CPI'!$A$1:$AX$1,),)=0,#N/A,(VLOOKUP(B92,'Data Core CPI'!$A:$AX,MATCH($K$1,'Data Core CPI'!$A$1:$AX$1,),)-VLOOKUP(EDATE(B92,-12),'Data Core CPI'!$A:$AX,MATCH($K$1,'Data Core CPI'!$A$1:$AX$1,),))/VLOOKUP(EDATE(B92,-12),'Data Core CPI'!$A:$AX,MATCH($K$1,'Data Core CPI'!$A$1:$AX$1,),))</f>
        <v>9.1158419960054755E-3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1.551057047665973E-2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5.351015210764659E-3</v>
      </c>
      <c r="S92" s="20">
        <f>(VLOOKUP(B92,'Data Core CPI'!$A:$AX,MATCH($S$1,'Data Core CPI'!$A$1:$AX$1,),)-VLOOKUP(EDATE(B92,-12),'Data Core CPI'!$A:$AX,MATCH($S$1,'Data Core CPI'!$A$1:$AX$1,),))/VLOOKUP(EDATE(B92,-12),'Data Core CPI'!$A:$AX,MATCH($S$1,'Data Core CPI'!$A$1:$AX$1,),)</f>
        <v>1.5951123144196978E-2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9.3363648826651074E-3</v>
      </c>
      <c r="V92" s="20">
        <f>(VLOOKUP(B92,'Data Core CPI'!$A:$AX,MATCH($V$1,'Data Core CPI'!$A$1:$AX$1,),)-VLOOKUP(EDATE(B92,-12),'Data Core CPI'!$A:$AX,MATCH($V$1,'Data Core CPI'!$A$1:$AX$1,),))/VLOOKUP(EDATE(B92,-12),'Data Core CPI'!$A:$AX,MATCH($V$1,'Data Core CPI'!$A$1:$AX$1,),)</f>
        <v>6.3133433983717452E-3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-3.4021523089883135E-4</v>
      </c>
      <c r="G93" s="20">
        <f>IF(VLOOKUP(B93,'Data Core CPI'!$A:$AX,MATCH($G$1,'Data Core CPI'!$A$1:$AX$1,),)=0,#N/A,(VLOOKUP(B93,'Data Core CPI'!$A:$AX,MATCH($G$1,'Data Core CPI'!$A$1:$AX$1,),)-VLOOKUP(EDATE(B93,-12),'Data Core CPI'!$A:$AX,MATCH($G$1,'Data Core CPI'!$A$1:$AX$1,),))/VLOOKUP(EDATE(B93,-12),'Data Core CPI'!$A:$AX,MATCH($G$1,'Data Core CPI'!$A$1:$AX$1,),))</f>
        <v>1.2396653348629322E-2</v>
      </c>
      <c r="H93" s="20">
        <f>IF(VLOOKUP(B93,'Data Core CPI'!$A:$AX,MATCH($H$1,'Data Core CPI'!$A$1:$AX$1,),)=0,#N/A,(VLOOKUP(B93,'Data Core CPI'!$A:$AX,MATCH($H$1,'Data Core CPI'!$A$1:$AX$1,),)-VLOOKUP(EDATE(B93,-12),'Data Core CPI'!$A:$AX,MATCH($H$1,'Data Core CPI'!$A$1:$AX$1,),))/VLOOKUP(EDATE(B93,-12),'Data Core CPI'!$A:$AX,MATCH($H$1,'Data Core CPI'!$A$1:$AX$1,),))</f>
        <v>6.9126397717833082E-3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2.8680716928202602E-3</v>
      </c>
      <c r="K93" s="20">
        <f>IF(VLOOKUP(B93,'Data Core CPI'!$A:$AX,MATCH($K$1,'Data Core CPI'!$A$1:$AX$1,),)=0,#N/A,(VLOOKUP(B93,'Data Core CPI'!$A:$AX,MATCH($K$1,'Data Core CPI'!$A$1:$AX$1,),)-VLOOKUP(EDATE(B93,-12),'Data Core CPI'!$A:$AX,MATCH($K$1,'Data Core CPI'!$A$1:$AX$1,),))/VLOOKUP(EDATE(B93,-12),'Data Core CPI'!$A:$AX,MATCH($K$1,'Data Core CPI'!$A$1:$AX$1,),))</f>
        <v>7.6252126806562737E-3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1.7692249821445846E-2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5.8502981988156144E-3</v>
      </c>
      <c r="S93" s="20">
        <f>(VLOOKUP(B93,'Data Core CPI'!$A:$AX,MATCH($S$1,'Data Core CPI'!$A$1:$AX$1,),)-VLOOKUP(EDATE(B93,-12),'Data Core CPI'!$A:$AX,MATCH($S$1,'Data Core CPI'!$A$1:$AX$1,),))/VLOOKUP(EDATE(B93,-12),'Data Core CPI'!$A:$AX,MATCH($S$1,'Data Core CPI'!$A$1:$AX$1,),)</f>
        <v>1.3419170579489497E-2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1.007390548708163E-2</v>
      </c>
      <c r="V93" s="20">
        <f>(VLOOKUP(B93,'Data Core CPI'!$A:$AX,MATCH($V$1,'Data Core CPI'!$A$1:$AX$1,),)-VLOOKUP(EDATE(B93,-12),'Data Core CPI'!$A:$AX,MATCH($V$1,'Data Core CPI'!$A$1:$AX$1,),))/VLOOKUP(EDATE(B93,-12),'Data Core CPI'!$A:$AX,MATCH($V$1,'Data Core CPI'!$A$1:$AX$1,),)</f>
        <v>2.8381959698213352E-3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5.0577559891592074E-4</v>
      </c>
      <c r="G94" s="20">
        <f>IF(VLOOKUP(B94,'Data Core CPI'!$A:$AX,MATCH($G$1,'Data Core CPI'!$A$1:$AX$1,),)=0,#N/A,(VLOOKUP(B94,'Data Core CPI'!$A:$AX,MATCH($G$1,'Data Core CPI'!$A$1:$AX$1,),)-VLOOKUP(EDATE(B94,-12),'Data Core CPI'!$A:$AX,MATCH($G$1,'Data Core CPI'!$A$1:$AX$1,),))/VLOOKUP(EDATE(B94,-12),'Data Core CPI'!$A:$AX,MATCH($G$1,'Data Core CPI'!$A$1:$AX$1,),))</f>
        <v>1.2635787493679065E-2</v>
      </c>
      <c r="H94" s="20">
        <f>IF(VLOOKUP(B94,'Data Core CPI'!$A:$AX,MATCH($H$1,'Data Core CPI'!$A$1:$AX$1,),)=0,#N/A,(VLOOKUP(B94,'Data Core CPI'!$A:$AX,MATCH($H$1,'Data Core CPI'!$A$1:$AX$1,),)-VLOOKUP(EDATE(B94,-12),'Data Core CPI'!$A:$AX,MATCH($H$1,'Data Core CPI'!$A$1:$AX$1,),))/VLOOKUP(EDATE(B94,-12),'Data Core CPI'!$A:$AX,MATCH($H$1,'Data Core CPI'!$A$1:$AX$1,),))</f>
        <v>7.8244758266812799E-3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4.1026231954169497E-3</v>
      </c>
      <c r="K94" s="20">
        <f>IF(VLOOKUP(B94,'Data Core CPI'!$A:$AX,MATCH($K$1,'Data Core CPI'!$A$1:$AX$1,),)=0,#N/A,(VLOOKUP(B94,'Data Core CPI'!$A:$AX,MATCH($K$1,'Data Core CPI'!$A$1:$AX$1,),)-VLOOKUP(EDATE(B94,-12),'Data Core CPI'!$A:$AX,MATCH($K$1,'Data Core CPI'!$A$1:$AX$1,),))/VLOOKUP(EDATE(B94,-12),'Data Core CPI'!$A:$AX,MATCH($K$1,'Data Core CPI'!$A$1:$AX$1,),))</f>
        <v>6.6619200120325867E-3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1.6864885847121119E-2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6.6281033757071449E-3</v>
      </c>
      <c r="S94" s="20">
        <f>(VLOOKUP(B94,'Data Core CPI'!$A:$AX,MATCH($S$1,'Data Core CPI'!$A$1:$AX$1,),)-VLOOKUP(EDATE(B94,-12),'Data Core CPI'!$A:$AX,MATCH($S$1,'Data Core CPI'!$A$1:$AX$1,),))/VLOOKUP(EDATE(B94,-12),'Data Core CPI'!$A:$AX,MATCH($S$1,'Data Core CPI'!$A$1:$AX$1,),)</f>
        <v>1.3783571227345243E-2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2.8094392746369841E-3</v>
      </c>
      <c r="V94" s="20">
        <f>(VLOOKUP(B94,'Data Core CPI'!$A:$AX,MATCH($V$1,'Data Core CPI'!$A$1:$AX$1,),)-VLOOKUP(EDATE(B94,-12),'Data Core CPI'!$A:$AX,MATCH($V$1,'Data Core CPI'!$A$1:$AX$1,),))/VLOOKUP(EDATE(B94,-12),'Data Core CPI'!$A:$AX,MATCH($V$1,'Data Core CPI'!$A$1:$AX$1,),)</f>
        <v>3.3634731594244602E-3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9.7639985239470124E-4</v>
      </c>
      <c r="G95" s="20">
        <f>IF(VLOOKUP(B95,'Data Core CPI'!$A:$AX,MATCH($G$1,'Data Core CPI'!$A$1:$AX$1,),)=0,#N/A,(VLOOKUP(B95,'Data Core CPI'!$A:$AX,MATCH($G$1,'Data Core CPI'!$A$1:$AX$1,),)-VLOOKUP(EDATE(B95,-12),'Data Core CPI'!$A:$AX,MATCH($G$1,'Data Core CPI'!$A$1:$AX$1,),))/VLOOKUP(EDATE(B95,-12),'Data Core CPI'!$A:$AX,MATCH($G$1,'Data Core CPI'!$A$1:$AX$1,),))</f>
        <v>1.3191689692366016E-2</v>
      </c>
      <c r="H95" s="20">
        <f>IF(VLOOKUP(B95,'Data Core CPI'!$A:$AX,MATCH($H$1,'Data Core CPI'!$A$1:$AX$1,),)=0,#N/A,(VLOOKUP(B95,'Data Core CPI'!$A:$AX,MATCH($H$1,'Data Core CPI'!$A$1:$AX$1,),)-VLOOKUP(EDATE(B95,-12),'Data Core CPI'!$A:$AX,MATCH($H$1,'Data Core CPI'!$A$1:$AX$1,),))/VLOOKUP(EDATE(B95,-12),'Data Core CPI'!$A:$AX,MATCH($H$1,'Data Core CPI'!$A$1:$AX$1,),))</f>
        <v>9.5454835962294222E-3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3.9388914805557097E-3</v>
      </c>
      <c r="K95" s="20">
        <f>IF(VLOOKUP(B95,'Data Core CPI'!$A:$AX,MATCH($K$1,'Data Core CPI'!$A$1:$AX$1,),)=0,#N/A,(VLOOKUP(B95,'Data Core CPI'!$A:$AX,MATCH($K$1,'Data Core CPI'!$A$1:$AX$1,),)-VLOOKUP(EDATE(B95,-12),'Data Core CPI'!$A:$AX,MATCH($K$1,'Data Core CPI'!$A$1:$AX$1,),))/VLOOKUP(EDATE(B95,-12),'Data Core CPI'!$A:$AX,MATCH($K$1,'Data Core CPI'!$A$1:$AX$1,),))</f>
        <v>7.5212664630341696E-3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1.6488316226250362E-2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4.5579701124188786E-3</v>
      </c>
      <c r="S95" s="20">
        <f>(VLOOKUP(B95,'Data Core CPI'!$A:$AX,MATCH($S$1,'Data Core CPI'!$A$1:$AX$1,),)-VLOOKUP(EDATE(B95,-12),'Data Core CPI'!$A:$AX,MATCH($S$1,'Data Core CPI'!$A$1:$AX$1,),))/VLOOKUP(EDATE(B95,-12),'Data Core CPI'!$A:$AX,MATCH($S$1,'Data Core CPI'!$A$1:$AX$1,),)</f>
        <v>9.9154382956217358E-3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6.7558154442091728E-4</v>
      </c>
      <c r="V95" s="20">
        <f>(VLOOKUP(B95,'Data Core CPI'!$A:$AX,MATCH($V$1,'Data Core CPI'!$A$1:$AX$1,),)-VLOOKUP(EDATE(B95,-12),'Data Core CPI'!$A:$AX,MATCH($V$1,'Data Core CPI'!$A$1:$AX$1,),))/VLOOKUP(EDATE(B95,-12),'Data Core CPI'!$A:$AX,MATCH($V$1,'Data Core CPI'!$A$1:$AX$1,),)</f>
        <v>2.8863766517147225E-3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2.3218551622746506E-3</v>
      </c>
      <c r="G96" s="20">
        <f>IF(VLOOKUP(B96,'Data Core CPI'!$A:$AX,MATCH($G$1,'Data Core CPI'!$A$1:$AX$1,),)=0,#N/A,(VLOOKUP(B96,'Data Core CPI'!$A:$AX,MATCH($G$1,'Data Core CPI'!$A$1:$AX$1,),)-VLOOKUP(EDATE(B96,-12),'Data Core CPI'!$A:$AX,MATCH($G$1,'Data Core CPI'!$A$1:$AX$1,),))/VLOOKUP(EDATE(B96,-12),'Data Core CPI'!$A:$AX,MATCH($G$1,'Data Core CPI'!$A$1:$AX$1,),))</f>
        <v>1.2794962286347035E-2</v>
      </c>
      <c r="H96" s="20">
        <f>IF(VLOOKUP(B96,'Data Core CPI'!$A:$AX,MATCH($H$1,'Data Core CPI'!$A$1:$AX$1,),)=0,#N/A,(VLOOKUP(B96,'Data Core CPI'!$A:$AX,MATCH($H$1,'Data Core CPI'!$A$1:$AX$1,),)-VLOOKUP(EDATE(B96,-12),'Data Core CPI'!$A:$AX,MATCH($H$1,'Data Core CPI'!$A$1:$AX$1,),))/VLOOKUP(EDATE(B96,-12),'Data Core CPI'!$A:$AX,MATCH($H$1,'Data Core CPI'!$A$1:$AX$1,),))</f>
        <v>8.4190117330962457E-3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4.09590965355143E-3</v>
      </c>
      <c r="K96" s="20">
        <f>IF(VLOOKUP(B96,'Data Core CPI'!$A:$AX,MATCH($K$1,'Data Core CPI'!$A$1:$AX$1,),)=0,#N/A,(VLOOKUP(B96,'Data Core CPI'!$A:$AX,MATCH($K$1,'Data Core CPI'!$A$1:$AX$1,),)-VLOOKUP(EDATE(B96,-12),'Data Core CPI'!$A:$AX,MATCH($K$1,'Data Core CPI'!$A$1:$AX$1,),))/VLOOKUP(EDATE(B96,-12),'Data Core CPI'!$A:$AX,MATCH($K$1,'Data Core CPI'!$A$1:$AX$1,),))</f>
        <v>1.060505643358821E-2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1.9948273268537386E-2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5.2229195333695078E-3</v>
      </c>
      <c r="S96" s="20">
        <f>(VLOOKUP(B96,'Data Core CPI'!$A:$AX,MATCH($S$1,'Data Core CPI'!$A$1:$AX$1,),)-VLOOKUP(EDATE(B96,-12),'Data Core CPI'!$A:$AX,MATCH($S$1,'Data Core CPI'!$A$1:$AX$1,),))/VLOOKUP(EDATE(B96,-12),'Data Core CPI'!$A:$AX,MATCH($S$1,'Data Core CPI'!$A$1:$AX$1,),)</f>
        <v>1.1540818542882008E-2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5.0126660640771844E-3</v>
      </c>
      <c r="V96" s="20">
        <f>(VLOOKUP(B96,'Data Core CPI'!$A:$AX,MATCH($V$1,'Data Core CPI'!$A$1:$AX$1,),)-VLOOKUP(EDATE(B96,-12),'Data Core CPI'!$A:$AX,MATCH($V$1,'Data Core CPI'!$A$1:$AX$1,),))/VLOOKUP(EDATE(B96,-12),'Data Core CPI'!$A:$AX,MATCH($V$1,'Data Core CPI'!$A$1:$AX$1,),)</f>
        <v>6.3229881944334319E-3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3.1434041549935079E-3</v>
      </c>
      <c r="G97" s="20">
        <f>IF(VLOOKUP(B97,'Data Core CPI'!$A:$AX,MATCH($G$1,'Data Core CPI'!$A$1:$AX$1,),)=0,#N/A,(VLOOKUP(B97,'Data Core CPI'!$A:$AX,MATCH($G$1,'Data Core CPI'!$A$1:$AX$1,),)-VLOOKUP(EDATE(B97,-12),'Data Core CPI'!$A:$AX,MATCH($G$1,'Data Core CPI'!$A$1:$AX$1,),))/VLOOKUP(EDATE(B97,-12),'Data Core CPI'!$A:$AX,MATCH($G$1,'Data Core CPI'!$A$1:$AX$1,),))</f>
        <v>1.4950957987719634E-2</v>
      </c>
      <c r="H97" s="20">
        <f>IF(VLOOKUP(B97,'Data Core CPI'!$A:$AX,MATCH($H$1,'Data Core CPI'!$A$1:$AX$1,),)=0,#N/A,(VLOOKUP(B97,'Data Core CPI'!$A:$AX,MATCH($H$1,'Data Core CPI'!$A$1:$AX$1,),)-VLOOKUP(EDATE(B97,-12),'Data Core CPI'!$A:$AX,MATCH($H$1,'Data Core CPI'!$A$1:$AX$1,),))/VLOOKUP(EDATE(B97,-12),'Data Core CPI'!$A:$AX,MATCH($H$1,'Data Core CPI'!$A$1:$AX$1,),))</f>
        <v>1.2261361540612513E-2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5.8985765918080496E-3</v>
      </c>
      <c r="K97" s="20">
        <f>IF(VLOOKUP(B97,'Data Core CPI'!$A:$AX,MATCH($K$1,'Data Core CPI'!$A$1:$AX$1,),)=0,#N/A,(VLOOKUP(B97,'Data Core CPI'!$A:$AX,MATCH($K$1,'Data Core CPI'!$A$1:$AX$1,),)-VLOOKUP(EDATE(B97,-12),'Data Core CPI'!$A:$AX,MATCH($K$1,'Data Core CPI'!$A$1:$AX$1,),))/VLOOKUP(EDATE(B97,-12),'Data Core CPI'!$A:$AX,MATCH($K$1,'Data Core CPI'!$A$1:$AX$1,),))</f>
        <v>1.131983202893762E-2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2.1138364073590835E-2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5.3879310344827737E-3</v>
      </c>
      <c r="S97" s="20">
        <f>(VLOOKUP(B97,'Data Core CPI'!$A:$AX,MATCH($S$1,'Data Core CPI'!$A$1:$AX$1,),)-VLOOKUP(EDATE(B97,-12),'Data Core CPI'!$A:$AX,MATCH($S$1,'Data Core CPI'!$A$1:$AX$1,),))/VLOOKUP(EDATE(B97,-12),'Data Core CPI'!$A:$AX,MATCH($S$1,'Data Core CPI'!$A$1:$AX$1,),)</f>
        <v>1.3384430589715736E-2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4.430704237840134E-5</v>
      </c>
      <c r="V97" s="20">
        <f>(VLOOKUP(B97,'Data Core CPI'!$A:$AX,MATCH($V$1,'Data Core CPI'!$A$1:$AX$1,),)-VLOOKUP(EDATE(B97,-12),'Data Core CPI'!$A:$AX,MATCH($V$1,'Data Core CPI'!$A$1:$AX$1,),))/VLOOKUP(EDATE(B97,-12),'Data Core CPI'!$A:$AX,MATCH($V$1,'Data Core CPI'!$A$1:$AX$1,),)</f>
        <v>2.570175681393165E-3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8.731169677723635E-4</v>
      </c>
      <c r="G98" s="20">
        <f>IF(VLOOKUP(B98,'Data Core CPI'!$A:$AX,MATCH($G$1,'Data Core CPI'!$A$1:$AX$1,),)=0,#N/A,(VLOOKUP(B98,'Data Core CPI'!$A:$AX,MATCH($G$1,'Data Core CPI'!$A$1:$AX$1,),)-VLOOKUP(EDATE(B98,-12),'Data Core CPI'!$A:$AX,MATCH($G$1,'Data Core CPI'!$A$1:$AX$1,),))/VLOOKUP(EDATE(B98,-12),'Data Core CPI'!$A:$AX,MATCH($G$1,'Data Core CPI'!$A$1:$AX$1,),))</f>
        <v>1.0625557695017128E-2</v>
      </c>
      <c r="H98" s="20">
        <f>IF(VLOOKUP(B98,'Data Core CPI'!$A:$AX,MATCH($H$1,'Data Core CPI'!$A$1:$AX$1,),)=0,#N/A,(VLOOKUP(B98,'Data Core CPI'!$A:$AX,MATCH($H$1,'Data Core CPI'!$A$1:$AX$1,),)-VLOOKUP(EDATE(B98,-12),'Data Core CPI'!$A:$AX,MATCH($H$1,'Data Core CPI'!$A$1:$AX$1,),))/VLOOKUP(EDATE(B98,-12),'Data Core CPI'!$A:$AX,MATCH($H$1,'Data Core CPI'!$A$1:$AX$1,),))</f>
        <v>1.1780091753836716E-2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3.1421729849954111E-3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2.0743991899494853E-2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3.7820954901874111E-3</v>
      </c>
      <c r="S98" s="20">
        <f>(VLOOKUP(B98,'Data Core CPI'!$A:$AX,MATCH($S$1,'Data Core CPI'!$A$1:$AX$1,),)-VLOOKUP(EDATE(B98,-12),'Data Core CPI'!$A:$AX,MATCH($S$1,'Data Core CPI'!$A$1:$AX$1,),))/VLOOKUP(EDATE(B98,-12),'Data Core CPI'!$A:$AX,MATCH($S$1,'Data Core CPI'!$A$1:$AX$1,),)</f>
        <v>1.4334112669999571E-2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2.8206792729357864E-3</v>
      </c>
      <c r="V98" s="20">
        <f>(VLOOKUP(B98,'Data Core CPI'!$A:$AX,MATCH($V$1,'Data Core CPI'!$A$1:$AX$1,),)-VLOOKUP(EDATE(B98,-12),'Data Core CPI'!$A:$AX,MATCH($V$1,'Data Core CPI'!$A$1:$AX$1,),))/VLOOKUP(EDATE(B98,-12),'Data Core CPI'!$A:$AX,MATCH($V$1,'Data Core CPI'!$A$1:$AX$1,),)</f>
        <v>-5.1788054340101289E-3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2.0969396043522166E-3</v>
      </c>
      <c r="G99" s="20">
        <f>IF(VLOOKUP(B99,'Data Core CPI'!$A:$AX,MATCH($G$1,'Data Core CPI'!$A$1:$AX$1,),)=0,#N/A,(VLOOKUP(B99,'Data Core CPI'!$A:$AX,MATCH($G$1,'Data Core CPI'!$A$1:$AX$1,),)-VLOOKUP(EDATE(B99,-12),'Data Core CPI'!$A:$AX,MATCH($G$1,'Data Core CPI'!$A$1:$AX$1,),))/VLOOKUP(EDATE(B99,-12),'Data Core CPI'!$A:$AX,MATCH($G$1,'Data Core CPI'!$A$1:$AX$1,),))</f>
        <v>1.5844657690534319E-2</v>
      </c>
      <c r="H99" s="20">
        <f>IF(VLOOKUP(B99,'Data Core CPI'!$A:$AX,MATCH($H$1,'Data Core CPI'!$A$1:$AX$1,),)=0,#N/A,(VLOOKUP(B99,'Data Core CPI'!$A:$AX,MATCH($H$1,'Data Core CPI'!$A$1:$AX$1,),)-VLOOKUP(EDATE(B99,-12),'Data Core CPI'!$A:$AX,MATCH($H$1,'Data Core CPI'!$A$1:$AX$1,),))/VLOOKUP(EDATE(B99,-12),'Data Core CPI'!$A:$AX,MATCH($H$1,'Data Core CPI'!$A$1:$AX$1,),))</f>
        <v>1.269518111382825E-2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6.6464439401929176E-3</v>
      </c>
      <c r="K99" s="20">
        <f>IF(VLOOKUP(B99,'Data Core CPI'!$A:$AX,MATCH($K$1,'Data Core CPI'!$A$1:$AX$1,),)=0,#N/A,(VLOOKUP(B99,'Data Core CPI'!$A:$AX,MATCH($K$1,'Data Core CPI'!$A$1:$AX$1,),)-VLOOKUP(EDATE(B99,-12),'Data Core CPI'!$A:$AX,MATCH($K$1,'Data Core CPI'!$A$1:$AX$1,),))/VLOOKUP(EDATE(B99,-12),'Data Core CPI'!$A:$AX,MATCH($K$1,'Data Core CPI'!$A$1:$AX$1,),))</f>
        <v>1.1131002815207552E-2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1.78949928767504E-2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3.5431655929650933E-3</v>
      </c>
      <c r="S99" s="20">
        <f>(VLOOKUP(B99,'Data Core CPI'!$A:$AX,MATCH($S$1,'Data Core CPI'!$A$1:$AX$1,),)-VLOOKUP(EDATE(B99,-12),'Data Core CPI'!$A:$AX,MATCH($S$1,'Data Core CPI'!$A$1:$AX$1,),))/VLOOKUP(EDATE(B99,-12),'Data Core CPI'!$A:$AX,MATCH($S$1,'Data Core CPI'!$A$1:$AX$1,),)</f>
        <v>1.3815343034619641E-2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1.4355737664829987E-3</v>
      </c>
      <c r="V99" s="20">
        <f>(VLOOKUP(B99,'Data Core CPI'!$A:$AX,MATCH($V$1,'Data Core CPI'!$A$1:$AX$1,),)-VLOOKUP(EDATE(B99,-12),'Data Core CPI'!$A:$AX,MATCH($V$1,'Data Core CPI'!$A$1:$AX$1,),))/VLOOKUP(EDATE(B99,-12),'Data Core CPI'!$A:$AX,MATCH($V$1,'Data Core CPI'!$A$1:$AX$1,),)</f>
        <v>1.9192137135110553E-3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5.612617722911456E-4</v>
      </c>
      <c r="G100" s="20">
        <f>IF(VLOOKUP(B100,'Data Core CPI'!$A:$AX,MATCH($G$1,'Data Core CPI'!$A$1:$AX$1,),)=0,#N/A,(VLOOKUP(B100,'Data Core CPI'!$A:$AX,MATCH($G$1,'Data Core CPI'!$A$1:$AX$1,),)-VLOOKUP(EDATE(B100,-12),'Data Core CPI'!$A:$AX,MATCH($G$1,'Data Core CPI'!$A$1:$AX$1,),))/VLOOKUP(EDATE(B100,-12),'Data Core CPI'!$A:$AX,MATCH($G$1,'Data Core CPI'!$A$1:$AX$1,),))</f>
        <v>1.1649868240330373E-2</v>
      </c>
      <c r="H100" s="20">
        <f>IF(VLOOKUP(B100,'Data Core CPI'!$A:$AX,MATCH($H$1,'Data Core CPI'!$A$1:$AX$1,),)=0,#N/A,(VLOOKUP(B100,'Data Core CPI'!$A:$AX,MATCH($H$1,'Data Core CPI'!$A$1:$AX$1,),)-VLOOKUP(EDATE(B100,-12),'Data Core CPI'!$A:$AX,MATCH($H$1,'Data Core CPI'!$A$1:$AX$1,),))/VLOOKUP(EDATE(B100,-12),'Data Core CPI'!$A:$AX,MATCH($H$1,'Data Core CPI'!$A$1:$AX$1,),))</f>
        <v>1.0409291937093935E-2</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7.1806150022682676E-3</v>
      </c>
      <c r="K100" s="20">
        <f>IF(VLOOKUP(B100,'Data Core CPI'!$A:$AX,MATCH($K$1,'Data Core CPI'!$A$1:$AX$1,),)=0,#N/A,(VLOOKUP(B100,'Data Core CPI'!$A:$AX,MATCH($K$1,'Data Core CPI'!$A$1:$AX$1,),)-VLOOKUP(EDATE(B100,-12),'Data Core CPI'!$A:$AX,MATCH($K$1,'Data Core CPI'!$A$1:$AX$1,),))/VLOOKUP(EDATE(B100,-12),'Data Core CPI'!$A:$AX,MATCH($K$1,'Data Core CPI'!$A$1:$AX$1,),))</f>
        <v>9.7132861547930983E-3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1.9346105307032936E-2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3.6495877520551809E-3</v>
      </c>
      <c r="S100" s="20">
        <f>(VLOOKUP(B100,'Data Core CPI'!$A:$AX,MATCH($S$1,'Data Core CPI'!$A$1:$AX$1,),)-VLOOKUP(EDATE(B100,-12),'Data Core CPI'!$A:$AX,MATCH($S$1,'Data Core CPI'!$A$1:$AX$1,),))/VLOOKUP(EDATE(B100,-12),'Data Core CPI'!$A:$AX,MATCH($S$1,'Data Core CPI'!$A$1:$AX$1,),)</f>
        <v>1.2574729253050835E-2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5.5058295565189354E-4</v>
      </c>
      <c r="V100" s="20">
        <f>(VLOOKUP(B100,'Data Core CPI'!$A:$AX,MATCH($V$1,'Data Core CPI'!$A$1:$AX$1,),)-VLOOKUP(EDATE(B100,-12),'Data Core CPI'!$A:$AX,MATCH($V$1,'Data Core CPI'!$A$1:$AX$1,),))/VLOOKUP(EDATE(B100,-12),'Data Core CPI'!$A:$AX,MATCH($V$1,'Data Core CPI'!$A$1:$AX$1,),)</f>
        <v>-1.9937183141196797E-3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3.1454014231202282E-4</v>
      </c>
      <c r="G101" s="20">
        <f>IF(VLOOKUP(B101,'Data Core CPI'!$A:$AX,MATCH($G$1,'Data Core CPI'!$A$1:$AX$1,),)=0,#N/A,(VLOOKUP(B101,'Data Core CPI'!$A:$AX,MATCH($G$1,'Data Core CPI'!$A$1:$AX$1,),)-VLOOKUP(EDATE(B101,-12),'Data Core CPI'!$A:$AX,MATCH($G$1,'Data Core CPI'!$A$1:$AX$1,),))/VLOOKUP(EDATE(B101,-12),'Data Core CPI'!$A:$AX,MATCH($G$1,'Data Core CPI'!$A$1:$AX$1,),))</f>
        <v>1.2246627340740692E-2</v>
      </c>
      <c r="H101" s="20">
        <f>IF(VLOOKUP(B101,'Data Core CPI'!$A:$AX,MATCH($H$1,'Data Core CPI'!$A$1:$AX$1,),)=0,#N/A,(VLOOKUP(B101,'Data Core CPI'!$A:$AX,MATCH($H$1,'Data Core CPI'!$A$1:$AX$1,),)-VLOOKUP(EDATE(B101,-12),'Data Core CPI'!$A:$AX,MATCH($H$1,'Data Core CPI'!$A$1:$AX$1,),))/VLOOKUP(EDATE(B101,-12),'Data Core CPI'!$A:$AX,MATCH($H$1,'Data Core CPI'!$A$1:$AX$1,),))</f>
        <v>1.1845193221185255E-2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5.4973814277283865E-3</v>
      </c>
      <c r="K101" s="20">
        <f>IF(VLOOKUP(B101,'Data Core CPI'!$A:$AX,MATCH($K$1,'Data Core CPI'!$A$1:$AX$1,),)=0,#N/A,(VLOOKUP(B101,'Data Core CPI'!$A:$AX,MATCH($K$1,'Data Core CPI'!$A$1:$AX$1,),)-VLOOKUP(EDATE(B101,-12),'Data Core CPI'!$A:$AX,MATCH($K$1,'Data Core CPI'!$A$1:$AX$1,),))/VLOOKUP(EDATE(B101,-12),'Data Core CPI'!$A:$AX,MATCH($K$1,'Data Core CPI'!$A$1:$AX$1,),))</f>
        <v>9.1143362511663974E-3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2.4496314022154519E-2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5.2506879357322768E-3</v>
      </c>
      <c r="S101" s="20">
        <f>(VLOOKUP(B101,'Data Core CPI'!$A:$AX,MATCH($S$1,'Data Core CPI'!$A$1:$AX$1,),)-VLOOKUP(EDATE(B101,-12),'Data Core CPI'!$A:$AX,MATCH($S$1,'Data Core CPI'!$A$1:$AX$1,),))/VLOOKUP(EDATE(B101,-12),'Data Core CPI'!$A:$AX,MATCH($S$1,'Data Core CPI'!$A$1:$AX$1,),)</f>
        <v>1.0032838251353529E-2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-3.6564606214696768E-3</v>
      </c>
      <c r="V101" s="20">
        <f>(VLOOKUP(B101,'Data Core CPI'!$A:$AX,MATCH($V$1,'Data Core CPI'!$A$1:$AX$1,),)-VLOOKUP(EDATE(B101,-12),'Data Core CPI'!$A:$AX,MATCH($V$1,'Data Core CPI'!$A$1:$AX$1,),))/VLOOKUP(EDATE(B101,-12),'Data Core CPI'!$A:$AX,MATCH($V$1,'Data Core CPI'!$A$1:$AX$1,),)</f>
        <v>1.7000843171147471E-3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2.8801808861266616E-3</v>
      </c>
      <c r="G102" s="20">
        <f>IF(VLOOKUP(B102,'Data Core CPI'!$A:$AX,MATCH($G$1,'Data Core CPI'!$A$1:$AX$1,),)=0,#N/A,(VLOOKUP(B102,'Data Core CPI'!$A:$AX,MATCH($G$1,'Data Core CPI'!$A$1:$AX$1,),)-VLOOKUP(EDATE(B102,-12),'Data Core CPI'!$A:$AX,MATCH($G$1,'Data Core CPI'!$A$1:$AX$1,),))/VLOOKUP(EDATE(B102,-12),'Data Core CPI'!$A:$AX,MATCH($G$1,'Data Core CPI'!$A$1:$AX$1,),))</f>
        <v>1.1933215744074261E-2</v>
      </c>
      <c r="H102" s="20">
        <f>IF(VLOOKUP(B102,'Data Core CPI'!$A:$AX,MATCH($H$1,'Data Core CPI'!$A$1:$AX$1,),)=0,#N/A,(VLOOKUP(B102,'Data Core CPI'!$A:$AX,MATCH($H$1,'Data Core CPI'!$A$1:$AX$1,),)-VLOOKUP(EDATE(B102,-12),'Data Core CPI'!$A:$AX,MATCH($H$1,'Data Core CPI'!$A$1:$AX$1,),))/VLOOKUP(EDATE(B102,-12),'Data Core CPI'!$A:$AX,MATCH($H$1,'Data Core CPI'!$A$1:$AX$1,),))</f>
        <v>1.219467734259299E-2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7.5628541111149973E-3</v>
      </c>
      <c r="K102" s="20">
        <f>IF(VLOOKUP(B102,'Data Core CPI'!$A:$AX,MATCH($K$1,'Data Core CPI'!$A$1:$AX$1,),)=0,#N/A,(VLOOKUP(B102,'Data Core CPI'!$A:$AX,MATCH($K$1,'Data Core CPI'!$A$1:$AX$1,),)-VLOOKUP(EDATE(B102,-12),'Data Core CPI'!$A:$AX,MATCH($K$1,'Data Core CPI'!$A$1:$AX$1,),))/VLOOKUP(EDATE(B102,-12),'Data Core CPI'!$A:$AX,MATCH($K$1,'Data Core CPI'!$A$1:$AX$1,),))</f>
        <v>7.7672990233460222E-3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2.4750502853118687E-2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5.9473187698974549E-3</v>
      </c>
      <c r="S102" s="20">
        <f>(VLOOKUP(B102,'Data Core CPI'!$A:$AX,MATCH($S$1,'Data Core CPI'!$A$1:$AX$1,),)-VLOOKUP(EDATE(B102,-12),'Data Core CPI'!$A:$AX,MATCH($S$1,'Data Core CPI'!$A$1:$AX$1,),))/VLOOKUP(EDATE(B102,-12),'Data Core CPI'!$A:$AX,MATCH($S$1,'Data Core CPI'!$A$1:$AX$1,),)</f>
        <v>1.0303458825660085E-2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2.8104628553219155E-4</v>
      </c>
      <c r="V102" s="20">
        <f>(VLOOKUP(B102,'Data Core CPI'!$A:$AX,MATCH($V$1,'Data Core CPI'!$A$1:$AX$1,),)-VLOOKUP(EDATE(B102,-12),'Data Core CPI'!$A:$AX,MATCH($V$1,'Data Core CPI'!$A$1:$AX$1,),))/VLOOKUP(EDATE(B102,-12),'Data Core CPI'!$A:$AX,MATCH($V$1,'Data Core CPI'!$A$1:$AX$1,),)</f>
        <v>-8.8955013201546252E-5</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8.0892285745035595E-4</v>
      </c>
      <c r="G103" s="20">
        <f>IF(VLOOKUP(B103,'Data Core CPI'!$A:$AX,MATCH($G$1,'Data Core CPI'!$A$1:$AX$1,),)=0,#N/A,(VLOOKUP(B103,'Data Core CPI'!$A:$AX,MATCH($G$1,'Data Core CPI'!$A$1:$AX$1,),)-VLOOKUP(EDATE(B103,-12),'Data Core CPI'!$A:$AX,MATCH($G$1,'Data Core CPI'!$A$1:$AX$1,),))/VLOOKUP(EDATE(B103,-12),'Data Core CPI'!$A:$AX,MATCH($G$1,'Data Core CPI'!$A$1:$AX$1,),))</f>
        <v>1.157495623240826E-2</v>
      </c>
      <c r="H103" s="20">
        <f>IF(VLOOKUP(B103,'Data Core CPI'!$A:$AX,MATCH($H$1,'Data Core CPI'!$A$1:$AX$1,),)=0,#N/A,(VLOOKUP(B103,'Data Core CPI'!$A:$AX,MATCH($H$1,'Data Core CPI'!$A$1:$AX$1,),)-VLOOKUP(EDATE(B103,-12),'Data Core CPI'!$A:$AX,MATCH($H$1,'Data Core CPI'!$A$1:$AX$1,),))/VLOOKUP(EDATE(B103,-12),'Data Core CPI'!$A:$AX,MATCH($H$1,'Data Core CPI'!$A$1:$AX$1,),))</f>
        <v>1.0118218821922684E-2</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6.5244376019443799E-3</v>
      </c>
      <c r="K103" s="20">
        <f>IF(VLOOKUP(B103,'Data Core CPI'!$A:$AX,MATCH($K$1,'Data Core CPI'!$A$1:$AX$1,),)=0,#N/A,(VLOOKUP(B103,'Data Core CPI'!$A:$AX,MATCH($K$1,'Data Core CPI'!$A$1:$AX$1,),)-VLOOKUP(EDATE(B103,-12),'Data Core CPI'!$A:$AX,MATCH($K$1,'Data Core CPI'!$A$1:$AX$1,),))/VLOOKUP(EDATE(B103,-12),'Data Core CPI'!$A:$AX,MATCH($K$1,'Data Core CPI'!$A$1:$AX$1,),))</f>
        <v>8.0237700631049062E-3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1.9590990550511157E-2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3.3252832435900466E-3</v>
      </c>
      <c r="S103" s="20">
        <f>(VLOOKUP(B103,'Data Core CPI'!$A:$AX,MATCH($S$1,'Data Core CPI'!$A$1:$AX$1,),)-VLOOKUP(EDATE(B103,-12),'Data Core CPI'!$A:$AX,MATCH($S$1,'Data Core CPI'!$A$1:$AX$1,),))/VLOOKUP(EDATE(B103,-12),'Data Core CPI'!$A:$AX,MATCH($S$1,'Data Core CPI'!$A$1:$AX$1,),)</f>
        <v>1.1198433029877627E-2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1.9272505256364182E-3</v>
      </c>
      <c r="V103" s="20">
        <f>(VLOOKUP(B103,'Data Core CPI'!$A:$AX,MATCH($V$1,'Data Core CPI'!$A$1:$AX$1,),)-VLOOKUP(EDATE(B103,-12),'Data Core CPI'!$A:$AX,MATCH($V$1,'Data Core CPI'!$A$1:$AX$1,),))/VLOOKUP(EDATE(B103,-12),'Data Core CPI'!$A:$AX,MATCH($V$1,'Data Core CPI'!$A$1:$AX$1,),)</f>
        <v>2.7263978945274913E-3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1.9497171915318406E-3</v>
      </c>
      <c r="G104" s="20">
        <f>IF(VLOOKUP(B104,'Data Core CPI'!$A:$AX,MATCH($G$1,'Data Core CPI'!$A$1:$AX$1,),)=0,#N/A,(VLOOKUP(B104,'Data Core CPI'!$A:$AX,MATCH($G$1,'Data Core CPI'!$A$1:$AX$1,),)-VLOOKUP(EDATE(B104,-12),'Data Core CPI'!$A:$AX,MATCH($G$1,'Data Core CPI'!$A$1:$AX$1,),))/VLOOKUP(EDATE(B104,-12),'Data Core CPI'!$A:$AX,MATCH($G$1,'Data Core CPI'!$A$1:$AX$1,),))</f>
        <v>1.6326990094532354E-2</v>
      </c>
      <c r="H104" s="20">
        <f>IF(VLOOKUP(B104,'Data Core CPI'!$A:$AX,MATCH($H$1,'Data Core CPI'!$A$1:$AX$1,),)=0,#N/A,(VLOOKUP(B104,'Data Core CPI'!$A:$AX,MATCH($H$1,'Data Core CPI'!$A$1:$AX$1,),)-VLOOKUP(EDATE(B104,-12),'Data Core CPI'!$A:$AX,MATCH($H$1,'Data Core CPI'!$A$1:$AX$1,),))/VLOOKUP(EDATE(B104,-12),'Data Core CPI'!$A:$AX,MATCH($H$1,'Data Core CPI'!$A$1:$AX$1,),))</f>
        <v>1.0434175608174138E-2</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7.8039846553643599E-3</v>
      </c>
      <c r="K104" s="20">
        <f>IF(VLOOKUP(B104,'Data Core CPI'!$A:$AX,MATCH($K$1,'Data Core CPI'!$A$1:$AX$1,),)=0,#N/A,(VLOOKUP(B104,'Data Core CPI'!$A:$AX,MATCH($K$1,'Data Core CPI'!$A$1:$AX$1,),)-VLOOKUP(EDATE(B104,-12),'Data Core CPI'!$A:$AX,MATCH($K$1,'Data Core CPI'!$A$1:$AX$1,),))/VLOOKUP(EDATE(B104,-12),'Data Core CPI'!$A:$AX,MATCH($K$1,'Data Core CPI'!$A$1:$AX$1,),))</f>
        <v>1.0026496300360338E-2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2.1566828405895452E-2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3.4928225841892951E-3</v>
      </c>
      <c r="S104" s="20">
        <f>(VLOOKUP(B104,'Data Core CPI'!$A:$AX,MATCH($S$1,'Data Core CPI'!$A$1:$AX$1,),)-VLOOKUP(EDATE(B104,-12),'Data Core CPI'!$A:$AX,MATCH($S$1,'Data Core CPI'!$A$1:$AX$1,),))/VLOOKUP(EDATE(B104,-12),'Data Core CPI'!$A:$AX,MATCH($S$1,'Data Core CPI'!$A$1:$AX$1,),)</f>
        <v>1.0107878366443664E-2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3.1424435402680052E-3</v>
      </c>
      <c r="V104" s="20">
        <f>(VLOOKUP(B104,'Data Core CPI'!$A:$AX,MATCH($V$1,'Data Core CPI'!$A$1:$AX$1,),)-VLOOKUP(EDATE(B104,-12),'Data Core CPI'!$A:$AX,MATCH($V$1,'Data Core CPI'!$A$1:$AX$1,),))/VLOOKUP(EDATE(B104,-12),'Data Core CPI'!$A:$AX,MATCH($V$1,'Data Core CPI'!$A$1:$AX$1,),)</f>
        <v>3.0084693449220329E-3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2.3882878364501394E-3</v>
      </c>
      <c r="G105" s="20">
        <f>IF(VLOOKUP(B105,'Data Core CPI'!$A:$AX,MATCH($G$1,'Data Core CPI'!$A$1:$AX$1,),)=0,#N/A,(VLOOKUP(B105,'Data Core CPI'!$A:$AX,MATCH($G$1,'Data Core CPI'!$A$1:$AX$1,),)-VLOOKUP(EDATE(B105,-12),'Data Core CPI'!$A:$AX,MATCH($G$1,'Data Core CPI'!$A$1:$AX$1,),))/VLOOKUP(EDATE(B105,-12),'Data Core CPI'!$A:$AX,MATCH($G$1,'Data Core CPI'!$A$1:$AX$1,),))</f>
        <v>1.2354265674834837E-2</v>
      </c>
      <c r="H105" s="20">
        <f>IF(VLOOKUP(B105,'Data Core CPI'!$A:$AX,MATCH($H$1,'Data Core CPI'!$A$1:$AX$1,),)=0,#N/A,(VLOOKUP(B105,'Data Core CPI'!$A:$AX,MATCH($H$1,'Data Core CPI'!$A$1:$AX$1,),)-VLOOKUP(EDATE(B105,-12),'Data Core CPI'!$A:$AX,MATCH($H$1,'Data Core CPI'!$A$1:$AX$1,),))/VLOOKUP(EDATE(B105,-12),'Data Core CPI'!$A:$AX,MATCH($H$1,'Data Core CPI'!$A$1:$AX$1,),))</f>
        <v>9.3896713615023945E-3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8.3499835982463952E-3</v>
      </c>
      <c r="K105" s="20">
        <f>IF(VLOOKUP(B105,'Data Core CPI'!$A:$AX,MATCH($K$1,'Data Core CPI'!$A$1:$AX$1,),)=0,#N/A,(VLOOKUP(B105,'Data Core CPI'!$A:$AX,MATCH($K$1,'Data Core CPI'!$A$1:$AX$1,),)-VLOOKUP(EDATE(B105,-12),'Data Core CPI'!$A:$AX,MATCH($K$1,'Data Core CPI'!$A$1:$AX$1,),))/VLOOKUP(EDATE(B105,-12),'Data Core CPI'!$A:$AX,MATCH($K$1,'Data Core CPI'!$A$1:$AX$1,),))</f>
        <v>9.3220684394705999E-3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1.9843376628613189E-2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2.2591384189350507E-3</v>
      </c>
      <c r="S105" s="20">
        <f>(VLOOKUP(B105,'Data Core CPI'!$A:$AX,MATCH($S$1,'Data Core CPI'!$A$1:$AX$1,),)-VLOOKUP(EDATE(B105,-12),'Data Core CPI'!$A:$AX,MATCH($S$1,'Data Core CPI'!$A$1:$AX$1,),))/VLOOKUP(EDATE(B105,-12),'Data Core CPI'!$A:$AX,MATCH($S$1,'Data Core CPI'!$A$1:$AX$1,),)</f>
        <v>1.2370699611386081E-2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2.0342683266194764E-3</v>
      </c>
      <c r="V105" s="20">
        <f>(VLOOKUP(B105,'Data Core CPI'!$A:$AX,MATCH($V$1,'Data Core CPI'!$A$1:$AX$1,),)-VLOOKUP(EDATE(B105,-12),'Data Core CPI'!$A:$AX,MATCH($V$1,'Data Core CPI'!$A$1:$AX$1,),))/VLOOKUP(EDATE(B105,-12),'Data Core CPI'!$A:$AX,MATCH($V$1,'Data Core CPI'!$A$1:$AX$1,),)</f>
        <v>2.1189025751213418E-3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1.6359739119877934E-3</v>
      </c>
      <c r="G106" s="20">
        <f>IF(VLOOKUP(B106,'Data Core CPI'!$A:$AX,MATCH($G$1,'Data Core CPI'!$A$1:$AX$1,),)=0,#N/A,(VLOOKUP(B106,'Data Core CPI'!$A:$AX,MATCH($G$1,'Data Core CPI'!$A$1:$AX$1,),)-VLOOKUP(EDATE(B106,-12),'Data Core CPI'!$A:$AX,MATCH($G$1,'Data Core CPI'!$A$1:$AX$1,),))/VLOOKUP(EDATE(B106,-12),'Data Core CPI'!$A:$AX,MATCH($G$1,'Data Core CPI'!$A$1:$AX$1,),))</f>
        <v>1.190783836350533E-2</v>
      </c>
      <c r="H106" s="20">
        <f>IF(VLOOKUP(B106,'Data Core CPI'!$A:$AX,MATCH($H$1,'Data Core CPI'!$A$1:$AX$1,),)=0,#N/A,(VLOOKUP(B106,'Data Core CPI'!$A:$AX,MATCH($H$1,'Data Core CPI'!$A$1:$AX$1,),)-VLOOKUP(EDATE(B106,-12),'Data Core CPI'!$A:$AX,MATCH($H$1,'Data Core CPI'!$A$1:$AX$1,),))/VLOOKUP(EDATE(B106,-12),'Data Core CPI'!$A:$AX,MATCH($H$1,'Data Core CPI'!$A$1:$AX$1,),))</f>
        <v>7.506449237575403E-3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5.0672584074246624E-3</v>
      </c>
      <c r="K106" s="20">
        <f>IF(VLOOKUP(B106,'Data Core CPI'!$A:$AX,MATCH($K$1,'Data Core CPI'!$A$1:$AX$1,),)=0,#N/A,(VLOOKUP(B106,'Data Core CPI'!$A:$AX,MATCH($K$1,'Data Core CPI'!$A$1:$AX$1,),)-VLOOKUP(EDATE(B106,-12),'Data Core CPI'!$A:$AX,MATCH($K$1,'Data Core CPI'!$A$1:$AX$1,),))/VLOOKUP(EDATE(B106,-12),'Data Core CPI'!$A:$AX,MATCH($K$1,'Data Core CPI'!$A$1:$AX$1,),))</f>
        <v>9.7584166100709024E-3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2.4215035686330461E-2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2.7135305592132547E-3</v>
      </c>
      <c r="S106" s="20">
        <f>(VLOOKUP(B106,'Data Core CPI'!$A:$AX,MATCH($S$1,'Data Core CPI'!$A$1:$AX$1,),)-VLOOKUP(EDATE(B106,-12),'Data Core CPI'!$A:$AX,MATCH($S$1,'Data Core CPI'!$A$1:$AX$1,),))/VLOOKUP(EDATE(B106,-12),'Data Core CPI'!$A:$AX,MATCH($S$1,'Data Core CPI'!$A$1:$AX$1,),)</f>
        <v>1.0523979756752958E-2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6.398198194413663E-3</v>
      </c>
      <c r="V106" s="20">
        <f>(VLOOKUP(B106,'Data Core CPI'!$A:$AX,MATCH($V$1,'Data Core CPI'!$A$1:$AX$1,),)-VLOOKUP(EDATE(B106,-12),'Data Core CPI'!$A:$AX,MATCH($V$1,'Data Core CPI'!$A$1:$AX$1,),))/VLOOKUP(EDATE(B106,-12),'Data Core CPI'!$A:$AX,MATCH($V$1,'Data Core CPI'!$A$1:$AX$1,),)</f>
        <v>5.0650145827565649E-3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3.2418312149171918E-3</v>
      </c>
      <c r="G107" s="20">
        <f>IF(VLOOKUP(B107,'Data Core CPI'!$A:$AX,MATCH($G$1,'Data Core CPI'!$A$1:$AX$1,),)=0,#N/A,(VLOOKUP(B107,'Data Core CPI'!$A:$AX,MATCH($G$1,'Data Core CPI'!$A$1:$AX$1,),)-VLOOKUP(EDATE(B107,-12),'Data Core CPI'!$A:$AX,MATCH($G$1,'Data Core CPI'!$A$1:$AX$1,),))/VLOOKUP(EDATE(B107,-12),'Data Core CPI'!$A:$AX,MATCH($G$1,'Data Core CPI'!$A$1:$AX$1,),))</f>
        <v>1.3193442391543025E-2</v>
      </c>
      <c r="H107" s="20">
        <f>IF(VLOOKUP(B107,'Data Core CPI'!$A:$AX,MATCH($H$1,'Data Core CPI'!$A$1:$AX$1,),)=0,#N/A,(VLOOKUP(B107,'Data Core CPI'!$A:$AX,MATCH($H$1,'Data Core CPI'!$A$1:$AX$1,),)-VLOOKUP(EDATE(B107,-12),'Data Core CPI'!$A:$AX,MATCH($H$1,'Data Core CPI'!$A$1:$AX$1,),))/VLOOKUP(EDATE(B107,-12),'Data Core CPI'!$A:$AX,MATCH($H$1,'Data Core CPI'!$A$1:$AX$1,),))</f>
        <v>8.6179437794521984E-3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5.8167933032074754E-3</v>
      </c>
      <c r="K107" s="20">
        <f>IF(VLOOKUP(B107,'Data Core CPI'!$A:$AX,MATCH($K$1,'Data Core CPI'!$A$1:$AX$1,),)=0,#N/A,(VLOOKUP(B107,'Data Core CPI'!$A:$AX,MATCH($K$1,'Data Core CPI'!$A$1:$AX$1,),)-VLOOKUP(EDATE(B107,-12),'Data Core CPI'!$A:$AX,MATCH($K$1,'Data Core CPI'!$A$1:$AX$1,),))/VLOOKUP(EDATE(B107,-12),'Data Core CPI'!$A:$AX,MATCH($K$1,'Data Core CPI'!$A$1:$AX$1,),))</f>
        <v>8.9073681132618831E-3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2.057916302196033E-2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5.1548876432929358E-3</v>
      </c>
      <c r="S107" s="20">
        <f>(VLOOKUP(B107,'Data Core CPI'!$A:$AX,MATCH($S$1,'Data Core CPI'!$A$1:$AX$1,),)-VLOOKUP(EDATE(B107,-12),'Data Core CPI'!$A:$AX,MATCH($S$1,'Data Core CPI'!$A$1:$AX$1,),))/VLOOKUP(EDATE(B107,-12),'Data Core CPI'!$A:$AX,MATCH($S$1,'Data Core CPI'!$A$1:$AX$1,),)</f>
        <v>1.0499645262741403E-2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2.8946286090318382E-3</v>
      </c>
      <c r="V107" s="20">
        <f>(VLOOKUP(B107,'Data Core CPI'!$A:$AX,MATCH($V$1,'Data Core CPI'!$A$1:$AX$1,),)-VLOOKUP(EDATE(B107,-12),'Data Core CPI'!$A:$AX,MATCH($V$1,'Data Core CPI'!$A$1:$AX$1,),))/VLOOKUP(EDATE(B107,-12),'Data Core CPI'!$A:$AX,MATCH($V$1,'Data Core CPI'!$A$1:$AX$1,),)</f>
        <v>8.9336421674079628E-3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2" customFormat="1" x14ac:dyDescent="0.35">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3.7343200991291764E-3</v>
      </c>
      <c r="G108" s="20">
        <f>IF(VLOOKUP(B108,'Data Core CPI'!$A:$AX,MATCH($G$1,'Data Core CPI'!$A$1:$AX$1,),)=0,#N/A,(VLOOKUP(B108,'Data Core CPI'!$A:$AX,MATCH($G$1,'Data Core CPI'!$A$1:$AX$1,),)-VLOOKUP(EDATE(B108,-12),'Data Core CPI'!$A:$AX,MATCH($G$1,'Data Core CPI'!$A$1:$AX$1,),))/VLOOKUP(EDATE(B108,-12),'Data Core CPI'!$A:$AX,MATCH($G$1,'Data Core CPI'!$A$1:$AX$1,),))</f>
        <v>1.2819749480972925E-2</v>
      </c>
      <c r="H108" s="20">
        <f>IF(VLOOKUP(B108,'Data Core CPI'!$A:$AX,MATCH($H$1,'Data Core CPI'!$A$1:$AX$1,),)=0,#N/A,(VLOOKUP(B108,'Data Core CPI'!$A:$AX,MATCH($H$1,'Data Core CPI'!$A$1:$AX$1,),)-VLOOKUP(EDATE(B108,-12),'Data Core CPI'!$A:$AX,MATCH($H$1,'Data Core CPI'!$A$1:$AX$1,),))/VLOOKUP(EDATE(B108,-12),'Data Core CPI'!$A:$AX,MATCH($H$1,'Data Core CPI'!$A$1:$AX$1,),))</f>
        <v>7.8419074631101739E-3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4.4343879762984827E-3</v>
      </c>
      <c r="K108" s="20">
        <f>IF(VLOOKUP(B108,'Data Core CPI'!$A:$AX,MATCH($K$1,'Data Core CPI'!$A$1:$AX$1,),)=0,#N/A,(VLOOKUP(B108,'Data Core CPI'!$A:$AX,MATCH($K$1,'Data Core CPI'!$A$1:$AX$1,),)-VLOOKUP(EDATE(B108,-12),'Data Core CPI'!$A:$AX,MATCH($K$1,'Data Core CPI'!$A$1:$AX$1,),))/VLOOKUP(EDATE(B108,-12),'Data Core CPI'!$A:$AX,MATCH($K$1,'Data Core CPI'!$A$1:$AX$1,),))</f>
        <v>7.3171812457227658E-3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1.892917971017254E-2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3.7961377121649487E-3</v>
      </c>
      <c r="S108" s="20">
        <f>(VLOOKUP(B108,'Data Core CPI'!$A:$AX,MATCH($S$1,'Data Core CPI'!$A$1:$AX$1,),)-VLOOKUP(EDATE(B108,-12),'Data Core CPI'!$A:$AX,MATCH($S$1,'Data Core CPI'!$A$1:$AX$1,),))/VLOOKUP(EDATE(B108,-12),'Data Core CPI'!$A:$AX,MATCH($S$1,'Data Core CPI'!$A$1:$AX$1,),)</f>
        <v>1.1022835549914805E-2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2.4385920931639655E-3</v>
      </c>
      <c r="V108" s="20">
        <f>(VLOOKUP(B108,'Data Core CPI'!$A:$AX,MATCH($V$1,'Data Core CPI'!$A$1:$AX$1,),)-VLOOKUP(EDATE(B108,-12),'Data Core CPI'!$A:$AX,MATCH($V$1,'Data Core CPI'!$A$1:$AX$1,),))/VLOOKUP(EDATE(B108,-12),'Data Core CPI'!$A:$AX,MATCH($V$1,'Data Core CPI'!$A$1:$AX$1,),)</f>
        <v>6.4880835762529997E-3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2" customFormat="1" x14ac:dyDescent="0.35">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3.2331112086509055E-3</v>
      </c>
      <c r="G109" s="20">
        <f>IF(VLOOKUP(B109,'Data Core CPI'!$A:$AX,MATCH($G$1,'Data Core CPI'!$A$1:$AX$1,),)=0,#N/A,(VLOOKUP(B109,'Data Core CPI'!$A:$AX,MATCH($G$1,'Data Core CPI'!$A$1:$AX$1,),)-VLOOKUP(EDATE(B109,-12),'Data Core CPI'!$A:$AX,MATCH($G$1,'Data Core CPI'!$A$1:$AX$1,),))/VLOOKUP(EDATE(B109,-12),'Data Core CPI'!$A:$AX,MATCH($G$1,'Data Core CPI'!$A$1:$AX$1,),))</f>
        <v>9.5418960220955487E-3</v>
      </c>
      <c r="H109" s="20">
        <f>IF(VLOOKUP(B109,'Data Core CPI'!$A:$AX,MATCH($H$1,'Data Core CPI'!$A$1:$AX$1,),)=0,#N/A,(VLOOKUP(B109,'Data Core CPI'!$A:$AX,MATCH($H$1,'Data Core CPI'!$A$1:$AX$1,),)-VLOOKUP(EDATE(B109,-12),'Data Core CPI'!$A:$AX,MATCH($H$1,'Data Core CPI'!$A$1:$AX$1,),))/VLOOKUP(EDATE(B109,-12),'Data Core CPI'!$A:$AX,MATCH($H$1,'Data Core CPI'!$A$1:$AX$1,),))</f>
        <v>4.541091194044466E-3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4.3211439504476697E-3</v>
      </c>
      <c r="K109" s="20">
        <f>IF(VLOOKUP(B109,'Data Core CPI'!$A:$AX,MATCH($K$1,'Data Core CPI'!$A$1:$AX$1,),)=0,#N/A,(VLOOKUP(B109,'Data Core CPI'!$A:$AX,MATCH($K$1,'Data Core CPI'!$A$1:$AX$1,),)-VLOOKUP(EDATE(B109,-12),'Data Core CPI'!$A:$AX,MATCH($K$1,'Data Core CPI'!$A$1:$AX$1,),))/VLOOKUP(EDATE(B109,-12),'Data Core CPI'!$A:$AX,MATCH($K$1,'Data Core CPI'!$A$1:$AX$1,),))</f>
        <v>7.4372876511463633E-3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1.8610321855230028E-2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4.9255598176131381E-3</v>
      </c>
      <c r="S109" s="20">
        <f>(VLOOKUP(B109,'Data Core CPI'!$A:$AX,MATCH($S$1,'Data Core CPI'!$A$1:$AX$1,),)-VLOOKUP(EDATE(B109,-12),'Data Core CPI'!$A:$AX,MATCH($S$1,'Data Core CPI'!$A$1:$AX$1,),))/VLOOKUP(EDATE(B109,-12),'Data Core CPI'!$A:$AX,MATCH($S$1,'Data Core CPI'!$A$1:$AX$1,),)</f>
        <v>7.4590812424723298E-3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4.5811050189115366E-3</v>
      </c>
      <c r="V109" s="20">
        <f>(VLOOKUP(B109,'Data Core CPI'!$A:$AX,MATCH($V$1,'Data Core CPI'!$A$1:$AX$1,),)-VLOOKUP(EDATE(B109,-12),'Data Core CPI'!$A:$AX,MATCH($V$1,'Data Core CPI'!$A$1:$AX$1,),))/VLOOKUP(EDATE(B109,-12),'Data Core CPI'!$A:$AX,MATCH($V$1,'Data Core CPI'!$A$1:$AX$1,),)</f>
        <v>1.0477182105375283E-2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2" customFormat="1" x14ac:dyDescent="0.35">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5.4203537619825059E-3</v>
      </c>
      <c r="G110" s="20">
        <f>IF(VLOOKUP(B110,'Data Core CPI'!$A:$AX,MATCH($G$1,'Data Core CPI'!$A$1:$AX$1,),)=0,#N/A,(VLOOKUP(B110,'Data Core CPI'!$A:$AX,MATCH($G$1,'Data Core CPI'!$A$1:$AX$1,),)-VLOOKUP(EDATE(B110,-12),'Data Core CPI'!$A:$AX,MATCH($G$1,'Data Core CPI'!$A$1:$AX$1,),))/VLOOKUP(EDATE(B110,-12),'Data Core CPI'!$A:$AX,MATCH($G$1,'Data Core CPI'!$A$1:$AX$1,),))</f>
        <v>1.8844561652164152E-2</v>
      </c>
      <c r="H110" s="20">
        <f>IF(VLOOKUP(B110,'Data Core CPI'!$A:$AX,MATCH($H$1,'Data Core CPI'!$A$1:$AX$1,),)=0,#N/A,(VLOOKUP(B110,'Data Core CPI'!$A:$AX,MATCH($H$1,'Data Core CPI'!$A$1:$AX$1,),)-VLOOKUP(EDATE(B110,-12),'Data Core CPI'!$A:$AX,MATCH($H$1,'Data Core CPI'!$A$1:$AX$1,),))/VLOOKUP(EDATE(B110,-12),'Data Core CPI'!$A:$AX,MATCH($H$1,'Data Core CPI'!$A$1:$AX$1,),))</f>
        <v>6.8190290931542533E-3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7.5578523798348635E-3</v>
      </c>
      <c r="K110" s="20">
        <f>IF(VLOOKUP(B110,'Data Core CPI'!$A:$AX,MATCH($K$1,'Data Core CPI'!$A$1:$AX$1,),)=0,#N/A,(VLOOKUP(B110,'Data Core CPI'!$A:$AX,MATCH($K$1,'Data Core CPI'!$A$1:$AX$1,),)-VLOOKUP(EDATE(B110,-12),'Data Core CPI'!$A:$AX,MATCH($K$1,'Data Core CPI'!$A$1:$AX$1,),))/VLOOKUP(EDATE(B110,-12),'Data Core CPI'!$A:$AX,MATCH($K$1,'Data Core CPI'!$A$1:$AX$1,),))</f>
        <v>1.0883117739336505E-2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2.025793517195203E-2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5.0694643702834758E-3</v>
      </c>
      <c r="S110" s="20">
        <f>(VLOOKUP(B110,'Data Core CPI'!$A:$AX,MATCH($S$1,'Data Core CPI'!$A$1:$AX$1,),)-VLOOKUP(EDATE(B110,-12),'Data Core CPI'!$A:$AX,MATCH($S$1,'Data Core CPI'!$A$1:$AX$1,),))/VLOOKUP(EDATE(B110,-12),'Data Core CPI'!$A:$AX,MATCH($S$1,'Data Core CPI'!$A$1:$AX$1,),)</f>
        <v>7.0610005518943605E-3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5.0456661579962904E-3</v>
      </c>
      <c r="V110" s="20">
        <f>(VLOOKUP(B110,'Data Core CPI'!$A:$AX,MATCH($V$1,'Data Core CPI'!$A$1:$AX$1,),)-VLOOKUP(EDATE(B110,-12),'Data Core CPI'!$A:$AX,MATCH($V$1,'Data Core CPI'!$A$1:$AX$1,),))/VLOOKUP(EDATE(B110,-12),'Data Core CPI'!$A:$AX,MATCH($V$1,'Data Core CPI'!$A$1:$AX$1,),)</f>
        <v>1.5618283421693659E-2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2" customFormat="1" x14ac:dyDescent="0.35">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3.2522071745480297E-3</v>
      </c>
      <c r="G111" s="20">
        <f>IF(VLOOKUP(B111,'Data Core CPI'!$A:$AX,MATCH($G$1,'Data Core CPI'!$A$1:$AX$1,),)=0,#N/A,(VLOOKUP(B111,'Data Core CPI'!$A:$AX,MATCH($G$1,'Data Core CPI'!$A$1:$AX$1,),)-VLOOKUP(EDATE(B111,-12),'Data Core CPI'!$A:$AX,MATCH($G$1,'Data Core CPI'!$A$1:$AX$1,),))/VLOOKUP(EDATE(B111,-12),'Data Core CPI'!$A:$AX,MATCH($G$1,'Data Core CPI'!$A$1:$AX$1,),))</f>
        <v>1.1707034701862464E-2</v>
      </c>
      <c r="H111" s="20">
        <f>IF(VLOOKUP(B111,'Data Core CPI'!$A:$AX,MATCH($H$1,'Data Core CPI'!$A$1:$AX$1,),)=0,#N/A,(VLOOKUP(B111,'Data Core CPI'!$A:$AX,MATCH($H$1,'Data Core CPI'!$A$1:$AX$1,),)-VLOOKUP(EDATE(B111,-12),'Data Core CPI'!$A:$AX,MATCH($H$1,'Data Core CPI'!$A$1:$AX$1,),))/VLOOKUP(EDATE(B111,-12),'Data Core CPI'!$A:$AX,MATCH($H$1,'Data Core CPI'!$A$1:$AX$1,),))</f>
        <v>4.5101588470717923E-3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4.226776516425907E-3</v>
      </c>
      <c r="K111" s="20">
        <f>IF(VLOOKUP(B111,'Data Core CPI'!$A:$AX,MATCH($K$1,'Data Core CPI'!$A$1:$AX$1,),)=0,#N/A,(VLOOKUP(B111,'Data Core CPI'!$A:$AX,MATCH($K$1,'Data Core CPI'!$A$1:$AX$1,),)-VLOOKUP(EDATE(B111,-12),'Data Core CPI'!$A:$AX,MATCH($K$1,'Data Core CPI'!$A$1:$AX$1,),))/VLOOKUP(EDATE(B111,-12),'Data Core CPI'!$A:$AX,MATCH($K$1,'Data Core CPI'!$A$1:$AX$1,),))</f>
        <v>8.0861987239329164E-3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2.4145065732080161E-2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6.098044895578289E-3</v>
      </c>
      <c r="S111" s="20">
        <f>(VLOOKUP(B111,'Data Core CPI'!$A:$AX,MATCH($S$1,'Data Core CPI'!$A$1:$AX$1,),)-VLOOKUP(EDATE(B111,-12),'Data Core CPI'!$A:$AX,MATCH($S$1,'Data Core CPI'!$A$1:$AX$1,),))/VLOOKUP(EDATE(B111,-12),'Data Core CPI'!$A:$AX,MATCH($S$1,'Data Core CPI'!$A$1:$AX$1,),)</f>
        <v>5.7294378114290867E-3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2.3202060483879768E-3</v>
      </c>
      <c r="V111" s="20">
        <f>(VLOOKUP(B111,'Data Core CPI'!$A:$AX,MATCH($V$1,'Data Core CPI'!$A$1:$AX$1,),)-VLOOKUP(EDATE(B111,-12),'Data Core CPI'!$A:$AX,MATCH($V$1,'Data Core CPI'!$A$1:$AX$1,),))/VLOOKUP(EDATE(B111,-12),'Data Core CPI'!$A:$AX,MATCH($V$1,'Data Core CPI'!$A$1:$AX$1,),)</f>
        <v>7.4821991706549764E-3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2" customFormat="1" x14ac:dyDescent="0.35">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2.4679672399019062E-3</v>
      </c>
      <c r="G112" s="20">
        <f>IF(VLOOKUP(B112,'Data Core CPI'!$A:$AX,MATCH($G$1,'Data Core CPI'!$A$1:$AX$1,),)=0,#N/A,(VLOOKUP(B112,'Data Core CPI'!$A:$AX,MATCH($G$1,'Data Core CPI'!$A$1:$AX$1,),)-VLOOKUP(EDATE(B112,-12),'Data Core CPI'!$A:$AX,MATCH($G$1,'Data Core CPI'!$A$1:$AX$1,),))/VLOOKUP(EDATE(B112,-12),'Data Core CPI'!$A:$AX,MATCH($G$1,'Data Core CPI'!$A$1:$AX$1,),))</f>
        <v>1.5947122849631814E-2</v>
      </c>
      <c r="H112" s="20">
        <f>IF(VLOOKUP(B112,'Data Core CPI'!$A:$AX,MATCH($H$1,'Data Core CPI'!$A$1:$AX$1,),)=0,#N/A,(VLOOKUP(B112,'Data Core CPI'!$A:$AX,MATCH($H$1,'Data Core CPI'!$A$1:$AX$1,),)-VLOOKUP(EDATE(B112,-12),'Data Core CPI'!$A:$AX,MATCH($H$1,'Data Core CPI'!$A$1:$AX$1,),))/VLOOKUP(EDATE(B112,-12),'Data Core CPI'!$A:$AX,MATCH($H$1,'Data Core CPI'!$A$1:$AX$1,),))</f>
        <v>8.0456097043754247E-3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5.1926001286645741E-3</v>
      </c>
      <c r="K112" s="20">
        <f>IF(VLOOKUP(B112,'Data Core CPI'!$A:$AX,MATCH($K$1,'Data Core CPI'!$A$1:$AX$1,),)=0,#N/A,(VLOOKUP(B112,'Data Core CPI'!$A:$AX,MATCH($K$1,'Data Core CPI'!$A$1:$AX$1,),)-VLOOKUP(EDATE(B112,-12),'Data Core CPI'!$A:$AX,MATCH($K$1,'Data Core CPI'!$A$1:$AX$1,),))/VLOOKUP(EDATE(B112,-12),'Data Core CPI'!$A:$AX,MATCH($K$1,'Data Core CPI'!$A$1:$AX$1,),))</f>
        <v>9.560041322991682E-3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2.334718742398155E-2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7.4354831822835595E-3</v>
      </c>
      <c r="S112" s="20">
        <f>(VLOOKUP(B112,'Data Core CPI'!$A:$AX,MATCH($S$1,'Data Core CPI'!$A$1:$AX$1,),)-VLOOKUP(EDATE(B112,-12),'Data Core CPI'!$A:$AX,MATCH($S$1,'Data Core CPI'!$A$1:$AX$1,),))/VLOOKUP(EDATE(B112,-12),'Data Core CPI'!$A:$AX,MATCH($S$1,'Data Core CPI'!$A$1:$AX$1,),)</f>
        <v>6.8717164963225464E-3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3.4943272753139012E-3</v>
      </c>
      <c r="V112" s="20">
        <f>(VLOOKUP(B112,'Data Core CPI'!$A:$AX,MATCH($V$1,'Data Core CPI'!$A$1:$AX$1,),)-VLOOKUP(EDATE(B112,-12),'Data Core CPI'!$A:$AX,MATCH($V$1,'Data Core CPI'!$A$1:$AX$1,),))/VLOOKUP(EDATE(B112,-12),'Data Core CPI'!$A:$AX,MATCH($V$1,'Data Core CPI'!$A$1:$AX$1,),)</f>
        <v>1.1976366112690016E-2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2" customFormat="1" x14ac:dyDescent="0.35">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4.8593649085575162E-3</v>
      </c>
      <c r="G113" s="20">
        <f>IF(VLOOKUP(B113,'Data Core CPI'!$A:$AX,MATCH($G$1,'Data Core CPI'!$A$1:$AX$1,),)=0,#N/A,(VLOOKUP(B113,'Data Core CPI'!$A:$AX,MATCH($G$1,'Data Core CPI'!$A$1:$AX$1,),)-VLOOKUP(EDATE(B113,-12),'Data Core CPI'!$A:$AX,MATCH($G$1,'Data Core CPI'!$A$1:$AX$1,),))/VLOOKUP(EDATE(B113,-12),'Data Core CPI'!$A:$AX,MATCH($G$1,'Data Core CPI'!$A$1:$AX$1,),))</f>
        <v>1.623353663081727E-2</v>
      </c>
      <c r="H113" s="20">
        <f>IF(VLOOKUP(B113,'Data Core CPI'!$A:$AX,MATCH($H$1,'Data Core CPI'!$A$1:$AX$1,),)=0,#N/A,(VLOOKUP(B113,'Data Core CPI'!$A:$AX,MATCH($H$1,'Data Core CPI'!$A$1:$AX$1,),)-VLOOKUP(EDATE(B113,-12),'Data Core CPI'!$A:$AX,MATCH($H$1,'Data Core CPI'!$A$1:$AX$1,),))/VLOOKUP(EDATE(B113,-12),'Data Core CPI'!$A:$AX,MATCH($H$1,'Data Core CPI'!$A$1:$AX$1,),))</f>
        <v>7.4946445844706949E-3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5.4194692650948607E-3</v>
      </c>
      <c r="K113" s="20">
        <f>IF(VLOOKUP(B113,'Data Core CPI'!$A:$AX,MATCH($K$1,'Data Core CPI'!$A$1:$AX$1,),)=0,#N/A,(VLOOKUP(B113,'Data Core CPI'!$A:$AX,MATCH($K$1,'Data Core CPI'!$A$1:$AX$1,),)-VLOOKUP(EDATE(B113,-12),'Data Core CPI'!$A:$AX,MATCH($K$1,'Data Core CPI'!$A$1:$AX$1,),))/VLOOKUP(EDATE(B113,-12),'Data Core CPI'!$A:$AX,MATCH($K$1,'Data Core CPI'!$A$1:$AX$1,),))</f>
        <v>9.4714371037531823E-3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2.2018428118939837E-2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4.4160443636175007E-3</v>
      </c>
      <c r="S113" s="20">
        <f>(VLOOKUP(B113,'Data Core CPI'!$A:$AX,MATCH($S$1,'Data Core CPI'!$A$1:$AX$1,),)-VLOOKUP(EDATE(B113,-12),'Data Core CPI'!$A:$AX,MATCH($S$1,'Data Core CPI'!$A$1:$AX$1,),))/VLOOKUP(EDATE(B113,-12),'Data Core CPI'!$A:$AX,MATCH($S$1,'Data Core CPI'!$A$1:$AX$1,),)</f>
        <v>8.7908645305235233E-3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9.3581263742479985E-3</v>
      </c>
      <c r="V113" s="20">
        <f>(VLOOKUP(B113,'Data Core CPI'!$A:$AX,MATCH($V$1,'Data Core CPI'!$A$1:$AX$1,),)-VLOOKUP(EDATE(B113,-12),'Data Core CPI'!$A:$AX,MATCH($V$1,'Data Core CPI'!$A$1:$AX$1,),))/VLOOKUP(EDATE(B113,-12),'Data Core CPI'!$A:$AX,MATCH($V$1,'Data Core CPI'!$A$1:$AX$1,),)</f>
        <v>6.9504803994100859E-3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2" customFormat="1" x14ac:dyDescent="0.35">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3.3580164441409316E-3</v>
      </c>
      <c r="G114" s="20">
        <f>IF(VLOOKUP(B114,'Data Core CPI'!$A:$AX,MATCH($G$1,'Data Core CPI'!$A$1:$AX$1,),)=0,#N/A,(VLOOKUP(B114,'Data Core CPI'!$A:$AX,MATCH($G$1,'Data Core CPI'!$A$1:$AX$1,),)-VLOOKUP(EDATE(B114,-12),'Data Core CPI'!$A:$AX,MATCH($G$1,'Data Core CPI'!$A$1:$AX$1,),))/VLOOKUP(EDATE(B114,-12),'Data Core CPI'!$A:$AX,MATCH($G$1,'Data Core CPI'!$A$1:$AX$1,),))</f>
        <v>1.4255669890412961E-2</v>
      </c>
      <c r="H114" s="20">
        <f>IF(VLOOKUP(B114,'Data Core CPI'!$A:$AX,MATCH($H$1,'Data Core CPI'!$A$1:$AX$1,),)=0,#N/A,(VLOOKUP(B114,'Data Core CPI'!$A:$AX,MATCH($H$1,'Data Core CPI'!$A$1:$AX$1,),)-VLOOKUP(EDATE(B114,-12),'Data Core CPI'!$A:$AX,MATCH($H$1,'Data Core CPI'!$A$1:$AX$1,),))/VLOOKUP(EDATE(B114,-12),'Data Core CPI'!$A:$AX,MATCH($H$1,'Data Core CPI'!$A$1:$AX$1,),))</f>
        <v>6.7968206221495344E-3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5.3201308075989922E-3</v>
      </c>
      <c r="K114" s="20">
        <f>IF(VLOOKUP(B114,'Data Core CPI'!$A:$AX,MATCH($K$1,'Data Core CPI'!$A$1:$AX$1,),)=0,#N/A,(VLOOKUP(B114,'Data Core CPI'!$A:$AX,MATCH($K$1,'Data Core CPI'!$A$1:$AX$1,),)-VLOOKUP(EDATE(B114,-12),'Data Core CPI'!$A:$AX,MATCH($K$1,'Data Core CPI'!$A$1:$AX$1,),))/VLOOKUP(EDATE(B114,-12),'Data Core CPI'!$A:$AX,MATCH($K$1,'Data Core CPI'!$A$1:$AX$1,),))</f>
        <v>1.0204508955484163E-2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2.2839449804705248E-2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3.976742773924802E-3</v>
      </c>
      <c r="S114" s="20">
        <f>(VLOOKUP(B114,'Data Core CPI'!$A:$AX,MATCH($S$1,'Data Core CPI'!$A$1:$AX$1,),)-VLOOKUP(EDATE(B114,-12),'Data Core CPI'!$A:$AX,MATCH($S$1,'Data Core CPI'!$A$1:$AX$1,),))/VLOOKUP(EDATE(B114,-12),'Data Core CPI'!$A:$AX,MATCH($S$1,'Data Core CPI'!$A$1:$AX$1,),)</f>
        <v>8.3924965245796793E-3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7.263756462554994E-3</v>
      </c>
      <c r="V114" s="20">
        <f>(VLOOKUP(B114,'Data Core CPI'!$A:$AX,MATCH($V$1,'Data Core CPI'!$A$1:$AX$1,),)-VLOOKUP(EDATE(B114,-12),'Data Core CPI'!$A:$AX,MATCH($V$1,'Data Core CPI'!$A$1:$AX$1,),))/VLOOKUP(EDATE(B114,-12),'Data Core CPI'!$A:$AX,MATCH($V$1,'Data Core CPI'!$A$1:$AX$1,),)</f>
        <v>1.0413550520188761E-2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2" customFormat="1" x14ac:dyDescent="0.35">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3.7626316921092248E-3</v>
      </c>
      <c r="G115" s="20">
        <f>IF(VLOOKUP(B115,'Data Core CPI'!$A:$AX,MATCH($G$1,'Data Core CPI'!$A$1:$AX$1,),)=0,#N/A,(VLOOKUP(B115,'Data Core CPI'!$A:$AX,MATCH($G$1,'Data Core CPI'!$A$1:$AX$1,),)-VLOOKUP(EDATE(B115,-12),'Data Core CPI'!$A:$AX,MATCH($G$1,'Data Core CPI'!$A$1:$AX$1,),))/VLOOKUP(EDATE(B115,-12),'Data Core CPI'!$A:$AX,MATCH($G$1,'Data Core CPI'!$A$1:$AX$1,),))</f>
        <v>1.5531100926817518E-2</v>
      </c>
      <c r="H115" s="20">
        <f>IF(VLOOKUP(B115,'Data Core CPI'!$A:$AX,MATCH($H$1,'Data Core CPI'!$A$1:$AX$1,),)=0,#N/A,(VLOOKUP(B115,'Data Core CPI'!$A:$AX,MATCH($H$1,'Data Core CPI'!$A$1:$AX$1,),)-VLOOKUP(EDATE(B115,-12),'Data Core CPI'!$A:$AX,MATCH($H$1,'Data Core CPI'!$A$1:$AX$1,),))/VLOOKUP(EDATE(B115,-12),'Data Core CPI'!$A:$AX,MATCH($H$1,'Data Core CPI'!$A$1:$AX$1,),))</f>
        <v>8.031884920013754E-3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5.5550067921693747E-3</v>
      </c>
      <c r="K115" s="20">
        <f>IF(VLOOKUP(B115,'Data Core CPI'!$A:$AX,MATCH($K$1,'Data Core CPI'!$A$1:$AX$1,),)=0,#N/A,(VLOOKUP(B115,'Data Core CPI'!$A:$AX,MATCH($K$1,'Data Core CPI'!$A$1:$AX$1,),)-VLOOKUP(EDATE(B115,-12),'Data Core CPI'!$A:$AX,MATCH($K$1,'Data Core CPI'!$A$1:$AX$1,),))/VLOOKUP(EDATE(B115,-12),'Data Core CPI'!$A:$AX,MATCH($K$1,'Data Core CPI'!$A$1:$AX$1,),))</f>
        <v>1.0762464542079284E-2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2.1599032617078538E-2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3.7982562279352014E-3</v>
      </c>
      <c r="S115" s="20">
        <f>(VLOOKUP(B115,'Data Core CPI'!$A:$AX,MATCH($S$1,'Data Core CPI'!$A$1:$AX$1,),)-VLOOKUP(EDATE(B115,-12),'Data Core CPI'!$A:$AX,MATCH($S$1,'Data Core CPI'!$A$1:$AX$1,),))/VLOOKUP(EDATE(B115,-12),'Data Core CPI'!$A:$AX,MATCH($S$1,'Data Core CPI'!$A$1:$AX$1,),)</f>
        <v>4.7643084310034552E-3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7.0639272493031443E-3</v>
      </c>
      <c r="V115" s="20">
        <f>(VLOOKUP(B115,'Data Core CPI'!$A:$AX,MATCH($V$1,'Data Core CPI'!$A$1:$AX$1,),)-VLOOKUP(EDATE(B115,-12),'Data Core CPI'!$A:$AX,MATCH($V$1,'Data Core CPI'!$A$1:$AX$1,),))/VLOOKUP(EDATE(B115,-12),'Data Core CPI'!$A:$AX,MATCH($V$1,'Data Core CPI'!$A$1:$AX$1,),)</f>
        <v>1.3958372420377773E-2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2" customFormat="1" x14ac:dyDescent="0.35">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4.9223914204643872E-3</v>
      </c>
      <c r="G116" s="20">
        <f>IF(VLOOKUP(B116,'Data Core CPI'!$A:$AX,MATCH($G$1,'Data Core CPI'!$A$1:$AX$1,),)=0,#N/A,(VLOOKUP(B116,'Data Core CPI'!$A:$AX,MATCH($G$1,'Data Core CPI'!$A$1:$AX$1,),)-VLOOKUP(EDATE(B116,-12),'Data Core CPI'!$A:$AX,MATCH($G$1,'Data Core CPI'!$A$1:$AX$1,),))/VLOOKUP(EDATE(B116,-12),'Data Core CPI'!$A:$AX,MATCH($G$1,'Data Core CPI'!$A$1:$AX$1,),))</f>
        <v>1.5876592839443704E-2</v>
      </c>
      <c r="H116" s="20">
        <f>IF(VLOOKUP(B116,'Data Core CPI'!$A:$AX,MATCH($H$1,'Data Core CPI'!$A$1:$AX$1,),)=0,#N/A,(VLOOKUP(B116,'Data Core CPI'!$A:$AX,MATCH($H$1,'Data Core CPI'!$A$1:$AX$1,),)-VLOOKUP(EDATE(B116,-12),'Data Core CPI'!$A:$AX,MATCH($H$1,'Data Core CPI'!$A$1:$AX$1,),))/VLOOKUP(EDATE(B116,-12),'Data Core CPI'!$A:$AX,MATCH($H$1,'Data Core CPI'!$A$1:$AX$1,),))</f>
        <v>8.6873899765250485E-3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6.7052518251330823E-3</v>
      </c>
      <c r="K116" s="20">
        <f>IF(VLOOKUP(B116,'Data Core CPI'!$A:$AX,MATCH($K$1,'Data Core CPI'!$A$1:$AX$1,),)=0,#N/A,(VLOOKUP(B116,'Data Core CPI'!$A:$AX,MATCH($K$1,'Data Core CPI'!$A$1:$AX$1,),)-VLOOKUP(EDATE(B116,-12),'Data Core CPI'!$A:$AX,MATCH($K$1,'Data Core CPI'!$A$1:$AX$1,),))/VLOOKUP(EDATE(B116,-12),'Data Core CPI'!$A:$AX,MATCH($K$1,'Data Core CPI'!$A$1:$AX$1,),))</f>
        <v>1.0555057068704295E-2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1.9878333076810441E-2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2.0384336309697752E-3</v>
      </c>
      <c r="S116" s="20">
        <f>(VLOOKUP(B116,'Data Core CPI'!$A:$AX,MATCH($S$1,'Data Core CPI'!$A$1:$AX$1,),)-VLOOKUP(EDATE(B116,-12),'Data Core CPI'!$A:$AX,MATCH($S$1,'Data Core CPI'!$A$1:$AX$1,),))/VLOOKUP(EDATE(B116,-12),'Data Core CPI'!$A:$AX,MATCH($S$1,'Data Core CPI'!$A$1:$AX$1,),)</f>
        <v>6.2948491314785268E-3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3.5344432534298018E-3</v>
      </c>
      <c r="V116" s="20">
        <f>(VLOOKUP(B116,'Data Core CPI'!$A:$AX,MATCH($V$1,'Data Core CPI'!$A$1:$AX$1,),)-VLOOKUP(EDATE(B116,-12),'Data Core CPI'!$A:$AX,MATCH($V$1,'Data Core CPI'!$A$1:$AX$1,),))/VLOOKUP(EDATE(B116,-12),'Data Core CPI'!$A:$AX,MATCH($V$1,'Data Core CPI'!$A$1:$AX$1,),)</f>
        <v>1.1560568417590643E-2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2" customFormat="1" x14ac:dyDescent="0.35">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6.4280495262601335E-3</v>
      </c>
      <c r="G117" s="20">
        <f>IF(VLOOKUP(B117,'Data Core CPI'!$A:$AX,MATCH($G$1,'Data Core CPI'!$A$1:$AX$1,),)=0,#N/A,(VLOOKUP(B117,'Data Core CPI'!$A:$AX,MATCH($G$1,'Data Core CPI'!$A$1:$AX$1,),)-VLOOKUP(EDATE(B117,-12),'Data Core CPI'!$A:$AX,MATCH($G$1,'Data Core CPI'!$A$1:$AX$1,),))/VLOOKUP(EDATE(B117,-12),'Data Core CPI'!$A:$AX,MATCH($G$1,'Data Core CPI'!$A$1:$AX$1,),))</f>
        <v>1.6395166846465616E-2</v>
      </c>
      <c r="H117" s="20">
        <f>IF(VLOOKUP(B117,'Data Core CPI'!$A:$AX,MATCH($H$1,'Data Core CPI'!$A$1:$AX$1,),)=0,#N/A,(VLOOKUP(B117,'Data Core CPI'!$A:$AX,MATCH($H$1,'Data Core CPI'!$A$1:$AX$1,),)-VLOOKUP(EDATE(B117,-12),'Data Core CPI'!$A:$AX,MATCH($H$1,'Data Core CPI'!$A$1:$AX$1,),))/VLOOKUP(EDATE(B117,-12),'Data Core CPI'!$A:$AX,MATCH($H$1,'Data Core CPI'!$A$1:$AX$1,),))</f>
        <v>1.0372504630582344E-2</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6.6956496022240828E-3</v>
      </c>
      <c r="K117" s="20">
        <f>IF(VLOOKUP(B117,'Data Core CPI'!$A:$AX,MATCH($K$1,'Data Core CPI'!$A$1:$AX$1,),)=0,#N/A,(VLOOKUP(B117,'Data Core CPI'!$A:$AX,MATCH($K$1,'Data Core CPI'!$A$1:$AX$1,),)-VLOOKUP(EDATE(B117,-12),'Data Core CPI'!$A:$AX,MATCH($K$1,'Data Core CPI'!$A$1:$AX$1,),))/VLOOKUP(EDATE(B117,-12),'Data Core CPI'!$A:$AX,MATCH($K$1,'Data Core CPI'!$A$1:$AX$1,),))</f>
        <v>1.0690688265337572E-2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1.9999510485034001E-2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4.1302892200349283E-3</v>
      </c>
      <c r="S117" s="20">
        <f>(VLOOKUP(B117,'Data Core CPI'!$A:$AX,MATCH($S$1,'Data Core CPI'!$A$1:$AX$1,),)-VLOOKUP(EDATE(B117,-12),'Data Core CPI'!$A:$AX,MATCH($S$1,'Data Core CPI'!$A$1:$AX$1,),))/VLOOKUP(EDATE(B117,-12),'Data Core CPI'!$A:$AX,MATCH($S$1,'Data Core CPI'!$A$1:$AX$1,),)</f>
        <v>5.2419897604112824E-3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9.6104411716666505E-3</v>
      </c>
      <c r="V117" s="20">
        <f>(VLOOKUP(B117,'Data Core CPI'!$A:$AX,MATCH($V$1,'Data Core CPI'!$A$1:$AX$1,),)-VLOOKUP(EDATE(B117,-12),'Data Core CPI'!$A:$AX,MATCH($V$1,'Data Core CPI'!$A$1:$AX$1,),))/VLOOKUP(EDATE(B117,-12),'Data Core CPI'!$A:$AX,MATCH($V$1,'Data Core CPI'!$A$1:$AX$1,),)</f>
        <v>1.6447156765211059E-2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2" customFormat="1" x14ac:dyDescent="0.35">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7.619094928220084E-3</v>
      </c>
      <c r="G118" s="20">
        <f>IF(VLOOKUP(B118,'Data Core CPI'!$A:$AX,MATCH($G$1,'Data Core CPI'!$A$1:$AX$1,),)=0,#N/A,(VLOOKUP(B118,'Data Core CPI'!$A:$AX,MATCH($G$1,'Data Core CPI'!$A$1:$AX$1,),)-VLOOKUP(EDATE(B118,-12),'Data Core CPI'!$A:$AX,MATCH($G$1,'Data Core CPI'!$A$1:$AX$1,),))/VLOOKUP(EDATE(B118,-12),'Data Core CPI'!$A:$AX,MATCH($G$1,'Data Core CPI'!$A$1:$AX$1,),))</f>
        <v>1.6878220471034801E-2</v>
      </c>
      <c r="H118" s="20">
        <f>IF(VLOOKUP(B118,'Data Core CPI'!$A:$AX,MATCH($H$1,'Data Core CPI'!$A$1:$AX$1,),)=0,#N/A,(VLOOKUP(B118,'Data Core CPI'!$A:$AX,MATCH($H$1,'Data Core CPI'!$A$1:$AX$1,),)-VLOOKUP(EDATE(B118,-12),'Data Core CPI'!$A:$AX,MATCH($H$1,'Data Core CPI'!$A$1:$AX$1,),))/VLOOKUP(EDATE(B118,-12),'Data Core CPI'!$A:$AX,MATCH($H$1,'Data Core CPI'!$A$1:$AX$1,),))</f>
        <v>1.2430582461578184E-2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7.4670866451755913E-3</v>
      </c>
      <c r="K118" s="20">
        <f>IF(VLOOKUP(B118,'Data Core CPI'!$A:$AX,MATCH($K$1,'Data Core CPI'!$A$1:$AX$1,),)=0,#N/A,(VLOOKUP(B118,'Data Core CPI'!$A:$AX,MATCH($K$1,'Data Core CPI'!$A$1:$AX$1,),)-VLOOKUP(EDATE(B118,-12),'Data Core CPI'!$A:$AX,MATCH($K$1,'Data Core CPI'!$A$1:$AX$1,),))/VLOOKUP(EDATE(B118,-12),'Data Core CPI'!$A:$AX,MATCH($K$1,'Data Core CPI'!$A$1:$AX$1,),))</f>
        <v>1.0784447489233798E-2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1.8539433708677264E-2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3.7192624891936024E-3</v>
      </c>
      <c r="S118" s="20">
        <f>(VLOOKUP(B118,'Data Core CPI'!$A:$AX,MATCH($S$1,'Data Core CPI'!$A$1:$AX$1,),)-VLOOKUP(EDATE(B118,-12),'Data Core CPI'!$A:$AX,MATCH($S$1,'Data Core CPI'!$A$1:$AX$1,),))/VLOOKUP(EDATE(B118,-12),'Data Core CPI'!$A:$AX,MATCH($S$1,'Data Core CPI'!$A$1:$AX$1,),)</f>
        <v>6.3038168551191849E-3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6.4033377261243979E-3</v>
      </c>
      <c r="V118" s="20">
        <f>(VLOOKUP(B118,'Data Core CPI'!$A:$AX,MATCH($V$1,'Data Core CPI'!$A$1:$AX$1,),)-VLOOKUP(EDATE(B118,-12),'Data Core CPI'!$A:$AX,MATCH($V$1,'Data Core CPI'!$A$1:$AX$1,),))/VLOOKUP(EDATE(B118,-12),'Data Core CPI'!$A:$AX,MATCH($V$1,'Data Core CPI'!$A$1:$AX$1,),)</f>
        <v>1.5914281285267316E-2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2" customFormat="1" x14ac:dyDescent="0.35">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7.064357170392211E-3</v>
      </c>
      <c r="G119" s="20">
        <f>IF(VLOOKUP(B119,'Data Core CPI'!$A:$AX,MATCH($G$1,'Data Core CPI'!$A$1:$AX$1,),)=0,#N/A,(VLOOKUP(B119,'Data Core CPI'!$A:$AX,MATCH($G$1,'Data Core CPI'!$A$1:$AX$1,),)-VLOOKUP(EDATE(B119,-12),'Data Core CPI'!$A:$AX,MATCH($G$1,'Data Core CPI'!$A$1:$AX$1,),))/VLOOKUP(EDATE(B119,-12),'Data Core CPI'!$A:$AX,MATCH($G$1,'Data Core CPI'!$A$1:$AX$1,),))</f>
        <v>1.4465158714264091E-2</v>
      </c>
      <c r="H119" s="20">
        <f>IF(VLOOKUP(B119,'Data Core CPI'!$A:$AX,MATCH($H$1,'Data Core CPI'!$A$1:$AX$1,),)=0,#N/A,(VLOOKUP(B119,'Data Core CPI'!$A:$AX,MATCH($H$1,'Data Core CPI'!$A$1:$AX$1,),)-VLOOKUP(EDATE(B119,-12),'Data Core CPI'!$A:$AX,MATCH($H$1,'Data Core CPI'!$A$1:$AX$1,),))/VLOOKUP(EDATE(B119,-12),'Data Core CPI'!$A:$AX,MATCH($H$1,'Data Core CPI'!$A$1:$AX$1,),))</f>
        <v>1.1175976373041456E-2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7.7611087579664232E-3</v>
      </c>
      <c r="K119" s="20">
        <f>IF(VLOOKUP(B119,'Data Core CPI'!$A:$AX,MATCH($K$1,'Data Core CPI'!$A$1:$AX$1,),)=0,#N/A,(VLOOKUP(B119,'Data Core CPI'!$A:$AX,MATCH($K$1,'Data Core CPI'!$A$1:$AX$1,),)-VLOOKUP(EDATE(B119,-12),'Data Core CPI'!$A:$AX,MATCH($K$1,'Data Core CPI'!$A$1:$AX$1,),))/VLOOKUP(EDATE(B119,-12),'Data Core CPI'!$A:$AX,MATCH($K$1,'Data Core CPI'!$A$1:$AX$1,),))</f>
        <v>1.0300345139891873E-2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1.8452837423312846E-2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3.2679738562091652E-3</v>
      </c>
      <c r="S119" s="20">
        <f>(VLOOKUP(B119,'Data Core CPI'!$A:$AX,MATCH($S$1,'Data Core CPI'!$A$1:$AX$1,),)-VLOOKUP(EDATE(B119,-12),'Data Core CPI'!$A:$AX,MATCH($S$1,'Data Core CPI'!$A$1:$AX$1,),))/VLOOKUP(EDATE(B119,-12),'Data Core CPI'!$A:$AX,MATCH($S$1,'Data Core CPI'!$A$1:$AX$1,),)</f>
        <v>6.2179433440283727E-3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6.2673317919094106E-3</v>
      </c>
      <c r="V119" s="20">
        <f>(VLOOKUP(B119,'Data Core CPI'!$A:$AX,MATCH($V$1,'Data Core CPI'!$A$1:$AX$1,),)-VLOOKUP(EDATE(B119,-12),'Data Core CPI'!$A:$AX,MATCH($V$1,'Data Core CPI'!$A$1:$AX$1,),))/VLOOKUP(EDATE(B119,-12),'Data Core CPI'!$A:$AX,MATCH($V$1,'Data Core CPI'!$A$1:$AX$1,),)</f>
        <v>1.1815712992519859E-2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2" customFormat="1" x14ac:dyDescent="0.35">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5.6890698037624001E-3</v>
      </c>
      <c r="G120" s="20">
        <f>IF(VLOOKUP(B120,'Data Core CPI'!$A:$AX,MATCH($G$1,'Data Core CPI'!$A$1:$AX$1,),)=0,#N/A,(VLOOKUP(B120,'Data Core CPI'!$A:$AX,MATCH($G$1,'Data Core CPI'!$A$1:$AX$1,),)-VLOOKUP(EDATE(B120,-12),'Data Core CPI'!$A:$AX,MATCH($G$1,'Data Core CPI'!$A$1:$AX$1,),))/VLOOKUP(EDATE(B120,-12),'Data Core CPI'!$A:$AX,MATCH($G$1,'Data Core CPI'!$A$1:$AX$1,),))</f>
        <v>1.535686028100107E-2</v>
      </c>
      <c r="H120" s="20">
        <f>IF(VLOOKUP(B120,'Data Core CPI'!$A:$AX,MATCH($H$1,'Data Core CPI'!$A$1:$AX$1,),)=0,#N/A,(VLOOKUP(B120,'Data Core CPI'!$A:$AX,MATCH($H$1,'Data Core CPI'!$A$1:$AX$1,),)-VLOOKUP(EDATE(B120,-12),'Data Core CPI'!$A:$AX,MATCH($H$1,'Data Core CPI'!$A$1:$AX$1,),))/VLOOKUP(EDATE(B120,-12),'Data Core CPI'!$A:$AX,MATCH($H$1,'Data Core CPI'!$A$1:$AX$1,),))</f>
        <v>1.4161575083820285E-2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7.2486823040152012E-3</v>
      </c>
      <c r="K120" s="20">
        <f>IF(VLOOKUP(B120,'Data Core CPI'!$A:$AX,MATCH($K$1,'Data Core CPI'!$A$1:$AX$1,),)=0,#N/A,(VLOOKUP(B120,'Data Core CPI'!$A:$AX,MATCH($K$1,'Data Core CPI'!$A$1:$AX$1,),)-VLOOKUP(EDATE(B120,-12),'Data Core CPI'!$A:$AX,MATCH($K$1,'Data Core CPI'!$A$1:$AX$1,),))/VLOOKUP(EDATE(B120,-12),'Data Core CPI'!$A:$AX,MATCH($K$1,'Data Core CPI'!$A$1:$AX$1,),))</f>
        <v>1.0982554990977464E-2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1.9405825576357096E-2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2.4637823987385663E-3</v>
      </c>
      <c r="S120" s="20">
        <f>(VLOOKUP(B120,'Data Core CPI'!$A:$AX,MATCH($S$1,'Data Core CPI'!$A$1:$AX$1,),)-VLOOKUP(EDATE(B120,-12),'Data Core CPI'!$A:$AX,MATCH($S$1,'Data Core CPI'!$A$1:$AX$1,),))/VLOOKUP(EDATE(B120,-12),'Data Core CPI'!$A:$AX,MATCH($S$1,'Data Core CPI'!$A$1:$AX$1,),)</f>
        <v>3.762217964021884E-3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2.6731961749384037E-3</v>
      </c>
      <c r="V120" s="20">
        <f>(VLOOKUP(B120,'Data Core CPI'!$A:$AX,MATCH($V$1,'Data Core CPI'!$A$1:$AX$1,),)-VLOOKUP(EDATE(B120,-12),'Data Core CPI'!$A:$AX,MATCH($V$1,'Data Core CPI'!$A$1:$AX$1,),))/VLOOKUP(EDATE(B120,-12),'Data Core CPI'!$A:$AX,MATCH($V$1,'Data Core CPI'!$A$1:$AX$1,),)</f>
        <v>1.1023625143657165E-2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2" customFormat="1" x14ac:dyDescent="0.35">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6.4941069782564736E-3</v>
      </c>
      <c r="G121" s="20">
        <f>IF(VLOOKUP(B121,'Data Core CPI'!$A:$AX,MATCH($G$1,'Data Core CPI'!$A$1:$AX$1,),)=0,#N/A,(VLOOKUP(B121,'Data Core CPI'!$A:$AX,MATCH($G$1,'Data Core CPI'!$A$1:$AX$1,),)-VLOOKUP(EDATE(B121,-12),'Data Core CPI'!$A:$AX,MATCH($G$1,'Data Core CPI'!$A$1:$AX$1,),))/VLOOKUP(EDATE(B121,-12),'Data Core CPI'!$A:$AX,MATCH($G$1,'Data Core CPI'!$A$1:$AX$1,),))</f>
        <v>1.4930112225252423E-2</v>
      </c>
      <c r="H121" s="20">
        <f>IF(VLOOKUP(B121,'Data Core CPI'!$A:$AX,MATCH($H$1,'Data Core CPI'!$A$1:$AX$1,),)=0,#N/A,(VLOOKUP(B121,'Data Core CPI'!$A:$AX,MATCH($H$1,'Data Core CPI'!$A$1:$AX$1,),)-VLOOKUP(EDATE(B121,-12),'Data Core CPI'!$A:$AX,MATCH($H$1,'Data Core CPI'!$A$1:$AX$1,),))/VLOOKUP(EDATE(B121,-12),'Data Core CPI'!$A:$AX,MATCH($H$1,'Data Core CPI'!$A$1:$AX$1,),))</f>
        <v>9.2410212805791071E-3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5.7210404210340949E-3</v>
      </c>
      <c r="K121" s="20">
        <f>IF(VLOOKUP(B121,'Data Core CPI'!$A:$AX,MATCH($K$1,'Data Core CPI'!$A$1:$AX$1,),)=0,#N/A,(VLOOKUP(B121,'Data Core CPI'!$A:$AX,MATCH($K$1,'Data Core CPI'!$A$1:$AX$1,),)-VLOOKUP(EDATE(B121,-12),'Data Core CPI'!$A:$AX,MATCH($K$1,'Data Core CPI'!$A$1:$AX$1,),))/VLOOKUP(EDATE(B121,-12),'Data Core CPI'!$A:$AX,MATCH($K$1,'Data Core CPI'!$A$1:$AX$1,),))</f>
        <v>1.0211745547785839E-2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1.7373078150929713E-2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-1.6671151882602891E-3</v>
      </c>
      <c r="S121" s="20">
        <f>(VLOOKUP(B121,'Data Core CPI'!$A:$AX,MATCH($S$1,'Data Core CPI'!$A$1:$AX$1,),)-VLOOKUP(EDATE(B121,-12),'Data Core CPI'!$A:$AX,MATCH($S$1,'Data Core CPI'!$A$1:$AX$1,),))/VLOOKUP(EDATE(B121,-12),'Data Core CPI'!$A:$AX,MATCH($S$1,'Data Core CPI'!$A$1:$AX$1,),)</f>
        <v>2.0691292374893193E-3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1.0379615155484257E-2</v>
      </c>
      <c r="V121" s="20">
        <f>(VLOOKUP(B121,'Data Core CPI'!$A:$AX,MATCH($V$1,'Data Core CPI'!$A$1:$AX$1,),)-VLOOKUP(EDATE(B121,-12),'Data Core CPI'!$A:$AX,MATCH($V$1,'Data Core CPI'!$A$1:$AX$1,),))/VLOOKUP(EDATE(B121,-12),'Data Core CPI'!$A:$AX,MATCH($V$1,'Data Core CPI'!$A$1:$AX$1,),)</f>
        <v>1.0521745069914022E-2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2" customFormat="1" x14ac:dyDescent="0.35">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1.4272682521460484E-3</v>
      </c>
      <c r="G122" s="20">
        <f>IF(VLOOKUP(B122,'Data Core CPI'!$A:$AX,MATCH($G$1,'Data Core CPI'!$A$1:$AX$1,),)=0,#N/A,(VLOOKUP(B122,'Data Core CPI'!$A:$AX,MATCH($G$1,'Data Core CPI'!$A$1:$AX$1,),)-VLOOKUP(EDATE(B122,-12),'Data Core CPI'!$A:$AX,MATCH($G$1,'Data Core CPI'!$A$1:$AX$1,),))/VLOOKUP(EDATE(B122,-12),'Data Core CPI'!$A:$AX,MATCH($G$1,'Data Core CPI'!$A$1:$AX$1,),))</f>
        <v>1.2703477516393653E-2</v>
      </c>
      <c r="H122" s="20">
        <f>IF(VLOOKUP(B122,'Data Core CPI'!$A:$AX,MATCH($H$1,'Data Core CPI'!$A$1:$AX$1,),)=0,#N/A,(VLOOKUP(B122,'Data Core CPI'!$A:$AX,MATCH($H$1,'Data Core CPI'!$A$1:$AX$1,),)-VLOOKUP(EDATE(B122,-12),'Data Core CPI'!$A:$AX,MATCH($H$1,'Data Core CPI'!$A$1:$AX$1,),))/VLOOKUP(EDATE(B122,-12),'Data Core CPI'!$A:$AX,MATCH($H$1,'Data Core CPI'!$A$1:$AX$1,),))</f>
        <v>5.7212997175794924E-3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5.3425175517587669E-3</v>
      </c>
      <c r="K122" s="20">
        <f>IF(VLOOKUP(B122,'Data Core CPI'!$A:$AX,MATCH($K$1,'Data Core CPI'!$A$1:$AX$1,),)=0,#N/A,(VLOOKUP(B122,'Data Core CPI'!$A:$AX,MATCH($K$1,'Data Core CPI'!$A$1:$AX$1,),)-VLOOKUP(EDATE(B122,-12),'Data Core CPI'!$A:$AX,MATCH($K$1,'Data Core CPI'!$A$1:$AX$1,),))/VLOOKUP(EDATE(B122,-12),'Data Core CPI'!$A:$AX,MATCH($K$1,'Data Core CPI'!$A$1:$AX$1,),))</f>
        <v>9.4443043085860913E-3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1.3151926172974488E-2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-6.6175184947738332E-3</v>
      </c>
      <c r="S122" s="20">
        <f>(VLOOKUP(B122,'Data Core CPI'!$A:$AX,MATCH($S$1,'Data Core CPI'!$A$1:$AX$1,),)-VLOOKUP(EDATE(B122,-12),'Data Core CPI'!$A:$AX,MATCH($S$1,'Data Core CPI'!$A$1:$AX$1,),))/VLOOKUP(EDATE(B122,-12),'Data Core CPI'!$A:$AX,MATCH($S$1,'Data Core CPI'!$A$1:$AX$1,),)</f>
        <v>9.5288030590773179E-4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-6.0161041922074875E-4</v>
      </c>
      <c r="V122" s="20">
        <f>(VLOOKUP(B122,'Data Core CPI'!$A:$AX,MATCH($V$1,'Data Core CPI'!$A$1:$AX$1,),)-VLOOKUP(EDATE(B122,-12),'Data Core CPI'!$A:$AX,MATCH($V$1,'Data Core CPI'!$A$1:$AX$1,),))/VLOOKUP(EDATE(B122,-12),'Data Core CPI'!$A:$AX,MATCH($V$1,'Data Core CPI'!$A$1:$AX$1,),)</f>
        <v>7.0259593679457997E-3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2" customFormat="1" x14ac:dyDescent="0.35">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2.4614841668971561E-3</v>
      </c>
      <c r="G123" s="20">
        <f>IF(VLOOKUP(B123,'Data Core CPI'!$A:$AX,MATCH($G$1,'Data Core CPI'!$A$1:$AX$1,),)=0,#N/A,(VLOOKUP(B123,'Data Core CPI'!$A:$AX,MATCH($G$1,'Data Core CPI'!$A$1:$AX$1,),)-VLOOKUP(EDATE(B123,-12),'Data Core CPI'!$A:$AX,MATCH($G$1,'Data Core CPI'!$A$1:$AX$1,),))/VLOOKUP(EDATE(B123,-12),'Data Core CPI'!$A:$AX,MATCH($G$1,'Data Core CPI'!$A$1:$AX$1,),))</f>
        <v>1.3212970038435726E-2</v>
      </c>
      <c r="H123" s="20">
        <f>IF(VLOOKUP(B123,'Data Core CPI'!$A:$AX,MATCH($H$1,'Data Core CPI'!$A$1:$AX$1,),)=0,#N/A,(VLOOKUP(B123,'Data Core CPI'!$A:$AX,MATCH($H$1,'Data Core CPI'!$A$1:$AX$1,),)-VLOOKUP(EDATE(B123,-12),'Data Core CPI'!$A:$AX,MATCH($H$1,'Data Core CPI'!$A$1:$AX$1,),))/VLOOKUP(EDATE(B123,-12),'Data Core CPI'!$A:$AX,MATCH($H$1,'Data Core CPI'!$A$1:$AX$1,),))</f>
        <v>9.1908439705690372E-3</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6.9225073796449514E-3</v>
      </c>
      <c r="K123" s="20">
        <f>IF(VLOOKUP(B123,'Data Core CPI'!$A:$AX,MATCH($K$1,'Data Core CPI'!$A$1:$AX$1,),)=0,#N/A,(VLOOKUP(B123,'Data Core CPI'!$A:$AX,MATCH($K$1,'Data Core CPI'!$A$1:$AX$1,),)-VLOOKUP(EDATE(B123,-12),'Data Core CPI'!$A:$AX,MATCH($K$1,'Data Core CPI'!$A$1:$AX$1,),))/VLOOKUP(EDATE(B123,-12),'Data Core CPI'!$A:$AX,MATCH($K$1,'Data Core CPI'!$A$1:$AX$1,),))</f>
        <v>8.8468370977241272E-3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7.820030054247638E-3</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-7.8970591860378983E-3</v>
      </c>
      <c r="S123" s="20">
        <f>(VLOOKUP(B123,'Data Core CPI'!$A:$AX,MATCH($S$1,'Data Core CPI'!$A$1:$AX$1,),)-VLOOKUP(EDATE(B123,-12),'Data Core CPI'!$A:$AX,MATCH($S$1,'Data Core CPI'!$A$1:$AX$1,),))/VLOOKUP(EDATE(B123,-12),'Data Core CPI'!$A:$AX,MATCH($S$1,'Data Core CPI'!$A$1:$AX$1,),)</f>
        <v>2.2563454976900856E-3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3.485632126525222E-3</v>
      </c>
      <c r="V123" s="20">
        <f>(VLOOKUP(B123,'Data Core CPI'!$A:$AX,MATCH($V$1,'Data Core CPI'!$A$1:$AX$1,),)-VLOOKUP(EDATE(B123,-12),'Data Core CPI'!$A:$AX,MATCH($V$1,'Data Core CPI'!$A$1:$AX$1,),))/VLOOKUP(EDATE(B123,-12),'Data Core CPI'!$A:$AX,MATCH($V$1,'Data Core CPI'!$A$1:$AX$1,),)</f>
        <v>6.2680810028929853E-3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2" customFormat="1" x14ac:dyDescent="0.35">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2.9200794722786709E-3</v>
      </c>
      <c r="G124" s="20">
        <f>IF(VLOOKUP(B124,'Data Core CPI'!$A:$AX,MATCH($G$1,'Data Core CPI'!$A$1:$AX$1,),)=0,#N/A,(VLOOKUP(B124,'Data Core CPI'!$A:$AX,MATCH($G$1,'Data Core CPI'!$A$1:$AX$1,),)-VLOOKUP(EDATE(B124,-12),'Data Core CPI'!$A:$AX,MATCH($G$1,'Data Core CPI'!$A$1:$AX$1,),))/VLOOKUP(EDATE(B124,-12),'Data Core CPI'!$A:$AX,MATCH($G$1,'Data Core CPI'!$A$1:$AX$1,),))</f>
        <v>1.3743806444229952E-2</v>
      </c>
      <c r="H124" s="20">
        <f>IF(VLOOKUP(B124,'Data Core CPI'!$A:$AX,MATCH($H$1,'Data Core CPI'!$A$1:$AX$1,),)=0,#N/A,(VLOOKUP(B124,'Data Core CPI'!$A:$AX,MATCH($H$1,'Data Core CPI'!$A$1:$AX$1,),)-VLOOKUP(EDATE(B124,-12),'Data Core CPI'!$A:$AX,MATCH($H$1,'Data Core CPI'!$A$1:$AX$1,),))/VLOOKUP(EDATE(B124,-12),'Data Core CPI'!$A:$AX,MATCH($H$1,'Data Core CPI'!$A$1:$AX$1,),))</f>
        <v>7.2882453534770198E-3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6.4243437330745497E-3</v>
      </c>
      <c r="K124" s="20">
        <f>IF(VLOOKUP(B124,'Data Core CPI'!$A:$AX,MATCH($K$1,'Data Core CPI'!$A$1:$AX$1,),)=0,#N/A,(VLOOKUP(B124,'Data Core CPI'!$A:$AX,MATCH($K$1,'Data Core CPI'!$A$1:$AX$1,),)-VLOOKUP(EDATE(B124,-12),'Data Core CPI'!$A:$AX,MATCH($K$1,'Data Core CPI'!$A$1:$AX$1,),))/VLOOKUP(EDATE(B124,-12),'Data Core CPI'!$A:$AX,MATCH($K$1,'Data Core CPI'!$A$1:$AX$1,),))</f>
        <v>8.2646839068927936E-3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1.1348070069638621E-2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-9.5618652980481236E-3</v>
      </c>
      <c r="S124" s="20">
        <f>(VLOOKUP(B124,'Data Core CPI'!$A:$AX,MATCH($S$1,'Data Core CPI'!$A$1:$AX$1,),)-VLOOKUP(EDATE(B124,-12),'Data Core CPI'!$A:$AX,MATCH($S$1,'Data Core CPI'!$A$1:$AX$1,),))/VLOOKUP(EDATE(B124,-12),'Data Core CPI'!$A:$AX,MATCH($S$1,'Data Core CPI'!$A$1:$AX$1,),)</f>
        <v>3.8345726282474693E-3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-1.3219801348561475E-2</v>
      </c>
      <c r="V124" s="20">
        <f>(VLOOKUP(B124,'Data Core CPI'!$A:$AX,MATCH($V$1,'Data Core CPI'!$A$1:$AX$1,),)-VLOOKUP(EDATE(B124,-12),'Data Core CPI'!$A:$AX,MATCH($V$1,'Data Core CPI'!$A$1:$AX$1,),))/VLOOKUP(EDATE(B124,-12),'Data Core CPI'!$A:$AX,MATCH($V$1,'Data Core CPI'!$A$1:$AX$1,),)</f>
        <v>5.8988387086736102E-3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2" customFormat="1" x14ac:dyDescent="0.35">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2.6573419626581196E-3</v>
      </c>
      <c r="G125" s="20">
        <f>IF(VLOOKUP(B125,'Data Core CPI'!$A:$AX,MATCH($G$1,'Data Core CPI'!$A$1:$AX$1,),)=0,#N/A,(VLOOKUP(B125,'Data Core CPI'!$A:$AX,MATCH($G$1,'Data Core CPI'!$A$1:$AX$1,),)-VLOOKUP(EDATE(B125,-12),'Data Core CPI'!$A:$AX,MATCH($G$1,'Data Core CPI'!$A$1:$AX$1,),))/VLOOKUP(EDATE(B125,-12),'Data Core CPI'!$A:$AX,MATCH($G$1,'Data Core CPI'!$A$1:$AX$1,),))</f>
        <v>6.3381546566158237E-3</v>
      </c>
      <c r="H125" s="20">
        <f>IF(VLOOKUP(B125,'Data Core CPI'!$A:$AX,MATCH($H$1,'Data Core CPI'!$A$1:$AX$1,),)=0,#N/A,(VLOOKUP(B125,'Data Core CPI'!$A:$AX,MATCH($H$1,'Data Core CPI'!$A$1:$AX$1,),)-VLOOKUP(EDATE(B125,-12),'Data Core CPI'!$A:$AX,MATCH($H$1,'Data Core CPI'!$A$1:$AX$1,),))/VLOOKUP(EDATE(B125,-12),'Data Core CPI'!$A:$AX,MATCH($H$1,'Data Core CPI'!$A$1:$AX$1,),))</f>
        <v>1.5784446057581121E-2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3.5358686677352405E-3</v>
      </c>
      <c r="K125" s="20">
        <f>IF(VLOOKUP(B125,'Data Core CPI'!$A:$AX,MATCH($K$1,'Data Core CPI'!$A$1:$AX$1,),)=0,#N/A,(VLOOKUP(B125,'Data Core CPI'!$A:$AX,MATCH($K$1,'Data Core CPI'!$A$1:$AX$1,),)-VLOOKUP(EDATE(B125,-12),'Data Core CPI'!$A:$AX,MATCH($K$1,'Data Core CPI'!$A$1:$AX$1,),))/VLOOKUP(EDATE(B125,-12),'Data Core CPI'!$A:$AX,MATCH($K$1,'Data Core CPI'!$A$1:$AX$1,),))</f>
        <v>3.7536073817406807E-3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5.7209998848059222E-3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-5.1353495290034443E-3</v>
      </c>
      <c r="S125" s="20">
        <f>(VLOOKUP(B125,'Data Core CPI'!$A:$AX,MATCH($S$1,'Data Core CPI'!$A$1:$AX$1,),)-VLOOKUP(EDATE(B125,-12),'Data Core CPI'!$A:$AX,MATCH($S$1,'Data Core CPI'!$A$1:$AX$1,),))/VLOOKUP(EDATE(B125,-12),'Data Core CPI'!$A:$AX,MATCH($S$1,'Data Core CPI'!$A$1:$AX$1,),)</f>
        <v>3.3345957205074446E-3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-1.219158858033686E-2</v>
      </c>
      <c r="V125" s="20">
        <f>(VLOOKUP(B125,'Data Core CPI'!$A:$AX,MATCH($V$1,'Data Core CPI'!$A$1:$AX$1,),)-VLOOKUP(EDATE(B125,-12),'Data Core CPI'!$A:$AX,MATCH($V$1,'Data Core CPI'!$A$1:$AX$1,),))/VLOOKUP(EDATE(B125,-12),'Data Core CPI'!$A:$AX,MATCH($V$1,'Data Core CPI'!$A$1:$AX$1,),)</f>
        <v>2.6459763448352593E-3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2" customFormat="1" x14ac:dyDescent="0.35">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-1.8982908447097845E-3</v>
      </c>
      <c r="G126" s="20">
        <f>IF(VLOOKUP(B126,'Data Core CPI'!$A:$AX,MATCH($G$1,'Data Core CPI'!$A$1:$AX$1,),)=0,#N/A,(VLOOKUP(B126,'Data Core CPI'!$A:$AX,MATCH($G$1,'Data Core CPI'!$A$1:$AX$1,),)-VLOOKUP(EDATE(B126,-12),'Data Core CPI'!$A:$AX,MATCH($G$1,'Data Core CPI'!$A$1:$AX$1,),))/VLOOKUP(EDATE(B126,-12),'Data Core CPI'!$A:$AX,MATCH($G$1,'Data Core CPI'!$A$1:$AX$1,),))</f>
        <v>7.3497007386426035E-3</v>
      </c>
      <c r="H126" s="20">
        <f>IF(VLOOKUP(B126,'Data Core CPI'!$A:$AX,MATCH($H$1,'Data Core CPI'!$A$1:$AX$1,),)=0,#N/A,(VLOOKUP(B126,'Data Core CPI'!$A:$AX,MATCH($H$1,'Data Core CPI'!$A$1:$AX$1,),)-VLOOKUP(EDATE(B126,-12),'Data Core CPI'!$A:$AX,MATCH($H$1,'Data Core CPI'!$A$1:$AX$1,),))/VLOOKUP(EDATE(B126,-12),'Data Core CPI'!$A:$AX,MATCH($H$1,'Data Core CPI'!$A$1:$AX$1,),))</f>
        <v>8.737926973478749E-3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2.7358630966760893E-3</v>
      </c>
      <c r="K126" s="20">
        <f>IF(VLOOKUP(B126,'Data Core CPI'!$A:$AX,MATCH($K$1,'Data Core CPI'!$A$1:$AX$1,),)=0,#N/A,(VLOOKUP(B126,'Data Core CPI'!$A:$AX,MATCH($K$1,'Data Core CPI'!$A$1:$AX$1,),)-VLOOKUP(EDATE(B126,-12),'Data Core CPI'!$A:$AX,MATCH($K$1,'Data Core CPI'!$A$1:$AX$1,),))/VLOOKUP(EDATE(B126,-12),'Data Core CPI'!$A:$AX,MATCH($K$1,'Data Core CPI'!$A$1:$AX$1,),))</f>
        <v>2.4217206749582048E-3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4.8016478570678716E-3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-4.0383269250216861E-3</v>
      </c>
      <c r="S126" s="20">
        <f>(VLOOKUP(B126,'Data Core CPI'!$A:$AX,MATCH($S$1,'Data Core CPI'!$A$1:$AX$1,),)-VLOOKUP(EDATE(B126,-12),'Data Core CPI'!$A:$AX,MATCH($S$1,'Data Core CPI'!$A$1:$AX$1,),))/VLOOKUP(EDATE(B126,-12),'Data Core CPI'!$A:$AX,MATCH($S$1,'Data Core CPI'!$A$1:$AX$1,),)</f>
        <v>3.9107560921182397E-3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-1.3586027574485375E-2</v>
      </c>
      <c r="V126" s="20">
        <f>(VLOOKUP(B126,'Data Core CPI'!$A:$AX,MATCH($V$1,'Data Core CPI'!$A$1:$AX$1,),)-VLOOKUP(EDATE(B126,-12),'Data Core CPI'!$A:$AX,MATCH($V$1,'Data Core CPI'!$A$1:$AX$1,),))/VLOOKUP(EDATE(B126,-12),'Data Core CPI'!$A:$AX,MATCH($V$1,'Data Core CPI'!$A$1:$AX$1,),)</f>
        <v>-3.9659426249335538E-3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2" customFormat="1" x14ac:dyDescent="0.35">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-9.3019012372125287E-4</v>
      </c>
      <c r="G127" s="20">
        <f>IF(VLOOKUP(B127,'Data Core CPI'!$A:$AX,MATCH($G$1,'Data Core CPI'!$A$1:$AX$1,),)=0,#N/A,(VLOOKUP(B127,'Data Core CPI'!$A:$AX,MATCH($G$1,'Data Core CPI'!$A$1:$AX$1,),)-VLOOKUP(EDATE(B127,-12),'Data Core CPI'!$A:$AX,MATCH($G$1,'Data Core CPI'!$A$1:$AX$1,),))/VLOOKUP(EDATE(B127,-12),'Data Core CPI'!$A:$AX,MATCH($G$1,'Data Core CPI'!$A$1:$AX$1,),))</f>
        <v>6.1275986742995239E-3</v>
      </c>
      <c r="H127" s="20">
        <f>IF(VLOOKUP(B127,'Data Core CPI'!$A:$AX,MATCH($H$1,'Data Core CPI'!$A$1:$AX$1,),)=0,#N/A,(VLOOKUP(B127,'Data Core CPI'!$A:$AX,MATCH($H$1,'Data Core CPI'!$A$1:$AX$1,),)-VLOOKUP(EDATE(B127,-12),'Data Core CPI'!$A:$AX,MATCH($H$1,'Data Core CPI'!$A$1:$AX$1,),))/VLOOKUP(EDATE(B127,-12),'Data Core CPI'!$A:$AX,MATCH($H$1,'Data Core CPI'!$A$1:$AX$1,),))</f>
        <v>7.4166380366193097E-3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1.0387276170245577E-3</v>
      </c>
      <c r="K127" s="20">
        <f>IF(VLOOKUP(B127,'Data Core CPI'!$A:$AX,MATCH($K$1,'Data Core CPI'!$A$1:$AX$1,),)=0,#N/A,(VLOOKUP(B127,'Data Core CPI'!$A:$AX,MATCH($K$1,'Data Core CPI'!$A$1:$AX$1,),)-VLOOKUP(EDATE(B127,-12),'Data Core CPI'!$A:$AX,MATCH($K$1,'Data Core CPI'!$A$1:$AX$1,),))/VLOOKUP(EDATE(B127,-12),'Data Core CPI'!$A:$AX,MATCH($K$1,'Data Core CPI'!$A$1:$AX$1,),))</f>
        <v>2.793909450752606E-3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9.1736167963675369E-3</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-3.7660261974941083E-3</v>
      </c>
      <c r="S127" s="20">
        <f>(VLOOKUP(B127,'Data Core CPI'!$A:$AX,MATCH($S$1,'Data Core CPI'!$A$1:$AX$1,),)-VLOOKUP(EDATE(B127,-12),'Data Core CPI'!$A:$AX,MATCH($S$1,'Data Core CPI'!$A$1:$AX$1,),))/VLOOKUP(EDATE(B127,-12),'Data Core CPI'!$A:$AX,MATCH($S$1,'Data Core CPI'!$A$1:$AX$1,),)</f>
        <v>6.2896844616397397E-3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-1.4624771238088172E-2</v>
      </c>
      <c r="V127" s="20">
        <f>(VLOOKUP(B127,'Data Core CPI'!$A:$AX,MATCH($V$1,'Data Core CPI'!$A$1:$AX$1,),)-VLOOKUP(EDATE(B127,-12),'Data Core CPI'!$A:$AX,MATCH($V$1,'Data Core CPI'!$A$1:$AX$1,),))/VLOOKUP(EDATE(B127,-12),'Data Core CPI'!$A:$AX,MATCH($V$1,'Data Core CPI'!$A$1:$AX$1,),)</f>
        <v>-5.9976536396194758E-3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2" customFormat="1" x14ac:dyDescent="0.35">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-4.0249280768865549E-3</v>
      </c>
      <c r="G128" s="20">
        <f>IF(VLOOKUP(B128,'Data Core CPI'!$A:$AX,MATCH($G$1,'Data Core CPI'!$A$1:$AX$1,),)=0,#N/A,(VLOOKUP(B128,'Data Core CPI'!$A:$AX,MATCH($G$1,'Data Core CPI'!$A$1:$AX$1,),)-VLOOKUP(EDATE(B128,-12),'Data Core CPI'!$A:$AX,MATCH($G$1,'Data Core CPI'!$A$1:$AX$1,),))/VLOOKUP(EDATE(B128,-12),'Data Core CPI'!$A:$AX,MATCH($G$1,'Data Core CPI'!$A$1:$AX$1,),))</f>
        <v>4.9318915829801874E-3</v>
      </c>
      <c r="H128" s="20">
        <f>IF(VLOOKUP(B128,'Data Core CPI'!$A:$AX,MATCH($H$1,'Data Core CPI'!$A$1:$AX$1,),)=0,#N/A,(VLOOKUP(B128,'Data Core CPI'!$A:$AX,MATCH($H$1,'Data Core CPI'!$A$1:$AX$1,),)-VLOOKUP(EDATE(B128,-12),'Data Core CPI'!$A:$AX,MATCH($H$1,'Data Core CPI'!$A$1:$AX$1,),))/VLOOKUP(EDATE(B128,-12),'Data Core CPI'!$A:$AX,MATCH($H$1,'Data Core CPI'!$A$1:$AX$1,),))</f>
        <v>5.8468072474410996E-3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3.2746766793451372E-3</v>
      </c>
      <c r="K128" s="20">
        <f>IF(VLOOKUP(B128,'Data Core CPI'!$A:$AX,MATCH($K$1,'Data Core CPI'!$A$1:$AX$1,),)=0,#N/A,(VLOOKUP(B128,'Data Core CPI'!$A:$AX,MATCH($K$1,'Data Core CPI'!$A$1:$AX$1,),)-VLOOKUP(EDATE(B128,-12),'Data Core CPI'!$A:$AX,MATCH($K$1,'Data Core CPI'!$A$1:$AX$1,),))/VLOOKUP(EDATE(B128,-12),'Data Core CPI'!$A:$AX,MATCH($K$1,'Data Core CPI'!$A$1:$AX$1,),))</f>
        <v>1.0234769574474748E-3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9.8370038823498256E-3</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-1.4641302976633557E-3</v>
      </c>
      <c r="S128" s="20">
        <f>(VLOOKUP(B128,'Data Core CPI'!$A:$AX,MATCH($S$1,'Data Core CPI'!$A$1:$AX$1,),)-VLOOKUP(EDATE(B128,-12),'Data Core CPI'!$A:$AX,MATCH($S$1,'Data Core CPI'!$A$1:$AX$1,),))/VLOOKUP(EDATE(B128,-12),'Data Core CPI'!$A:$AX,MATCH($S$1,'Data Core CPI'!$A$1:$AX$1,),)</f>
        <v>-2.6170271632637294E-3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-1.268648031292606E-2</v>
      </c>
      <c r="V128" s="20">
        <f>(VLOOKUP(B128,'Data Core CPI'!$A:$AX,MATCH($V$1,'Data Core CPI'!$A$1:$AX$1,),)-VLOOKUP(EDATE(B128,-12),'Data Core CPI'!$A:$AX,MATCH($V$1,'Data Core CPI'!$A$1:$AX$1,),))/VLOOKUP(EDATE(B128,-12),'Data Core CPI'!$A:$AX,MATCH($V$1,'Data Core CPI'!$A$1:$AX$1,),)</f>
        <v>-9.4951526437780428E-3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2" customFormat="1" x14ac:dyDescent="0.35">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-4.7298277040656945E-3</v>
      </c>
      <c r="G129" s="20">
        <f>IF(VLOOKUP(B129,'Data Core CPI'!$A:$AX,MATCH($G$1,'Data Core CPI'!$A$1:$AX$1,),)=0,#N/A,(VLOOKUP(B129,'Data Core CPI'!$A:$AX,MATCH($G$1,'Data Core CPI'!$A$1:$AX$1,),)-VLOOKUP(EDATE(B129,-12),'Data Core CPI'!$A:$AX,MATCH($G$1,'Data Core CPI'!$A$1:$AX$1,),))/VLOOKUP(EDATE(B129,-12),'Data Core CPI'!$A:$AX,MATCH($G$1,'Data Core CPI'!$A$1:$AX$1,),))</f>
        <v>5.0553813466396565E-3</v>
      </c>
      <c r="H129" s="20">
        <f>IF(VLOOKUP(B129,'Data Core CPI'!$A:$AX,MATCH($H$1,'Data Core CPI'!$A$1:$AX$1,),)=0,#N/A,(VLOOKUP(B129,'Data Core CPI'!$A:$AX,MATCH($H$1,'Data Core CPI'!$A$1:$AX$1,),)-VLOOKUP(EDATE(B129,-12),'Data Core CPI'!$A:$AX,MATCH($H$1,'Data Core CPI'!$A$1:$AX$1,),))/VLOOKUP(EDATE(B129,-12),'Data Core CPI'!$A:$AX,MATCH($H$1,'Data Core CPI'!$A$1:$AX$1,),))</f>
        <v>6.7382882594518552E-3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4.4272225714906991E-3</v>
      </c>
      <c r="K129" s="20">
        <f>IF(VLOOKUP(B129,'Data Core CPI'!$A:$AX,MATCH($K$1,'Data Core CPI'!$A$1:$AX$1,),)=0,#N/A,(VLOOKUP(B129,'Data Core CPI'!$A:$AX,MATCH($K$1,'Data Core CPI'!$A$1:$AX$1,),)-VLOOKUP(EDATE(B129,-12),'Data Core CPI'!$A:$AX,MATCH($K$1,'Data Core CPI'!$A$1:$AX$1,),))/VLOOKUP(EDATE(B129,-12),'Data Core CPI'!$A:$AX,MATCH($K$1,'Data Core CPI'!$A$1:$AX$1,),))</f>
        <v>7.5058291467794088E-4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1.4112324541933327E-2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-2.4934211049362312E-3</v>
      </c>
      <c r="S129" s="20">
        <f>(VLOOKUP(B129,'Data Core CPI'!$A:$AX,MATCH($S$1,'Data Core CPI'!$A$1:$AX$1,),)-VLOOKUP(EDATE(B129,-12),'Data Core CPI'!$A:$AX,MATCH($S$1,'Data Core CPI'!$A$1:$AX$1,),))/VLOOKUP(EDATE(B129,-12),'Data Core CPI'!$A:$AX,MATCH($S$1,'Data Core CPI'!$A$1:$AX$1,),)</f>
        <v>6.2896844616397397E-3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-1.718121714059859E-2</v>
      </c>
      <c r="V129" s="20">
        <f>(VLOOKUP(B129,'Data Core CPI'!$A:$AX,MATCH($V$1,'Data Core CPI'!$A$1:$AX$1,),)-VLOOKUP(EDATE(B129,-12),'Data Core CPI'!$A:$AX,MATCH($V$1,'Data Core CPI'!$A$1:$AX$1,),))/VLOOKUP(EDATE(B129,-12),'Data Core CPI'!$A:$AX,MATCH($V$1,'Data Core CPI'!$A$1:$AX$1,),)</f>
        <v>-5.5832570460256255E-3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2" customFormat="1" x14ac:dyDescent="0.35">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-5.4268358214546982E-3</v>
      </c>
      <c r="G130" s="20">
        <f>IF(VLOOKUP(B130,'Data Core CPI'!$A:$AX,MATCH($G$1,'Data Core CPI'!$A$1:$AX$1,),)=0,#N/A,(VLOOKUP(B130,'Data Core CPI'!$A:$AX,MATCH($G$1,'Data Core CPI'!$A$1:$AX$1,),)-VLOOKUP(EDATE(B130,-12),'Data Core CPI'!$A:$AX,MATCH($G$1,'Data Core CPI'!$A$1:$AX$1,),))/VLOOKUP(EDATE(B130,-12),'Data Core CPI'!$A:$AX,MATCH($G$1,'Data Core CPI'!$A$1:$AX$1,),))</f>
        <v>3.8983759756562293E-3</v>
      </c>
      <c r="H130" s="20">
        <f>IF(VLOOKUP(B130,'Data Core CPI'!$A:$AX,MATCH($H$1,'Data Core CPI'!$A$1:$AX$1,),)=0,#N/A,(VLOOKUP(B130,'Data Core CPI'!$A:$AX,MATCH($H$1,'Data Core CPI'!$A$1:$AX$1,),)-VLOOKUP(EDATE(B130,-12),'Data Core CPI'!$A:$AX,MATCH($H$1,'Data Core CPI'!$A$1:$AX$1,),))/VLOOKUP(EDATE(B130,-12),'Data Core CPI'!$A:$AX,MATCH($H$1,'Data Core CPI'!$A$1:$AX$1,),))</f>
        <v>5.046478433600907E-3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4.7210044640457844E-3</v>
      </c>
      <c r="K130" s="20">
        <f>IF(VLOOKUP(B130,'Data Core CPI'!$A:$AX,MATCH($K$1,'Data Core CPI'!$A$1:$AX$1,),)=0,#N/A,(VLOOKUP(B130,'Data Core CPI'!$A:$AX,MATCH($K$1,'Data Core CPI'!$A$1:$AX$1,),)-VLOOKUP(EDATE(B130,-12),'Data Core CPI'!$A:$AX,MATCH($K$1,'Data Core CPI'!$A$1:$AX$1,),))/VLOOKUP(EDATE(B130,-12),'Data Core CPI'!$A:$AX,MATCH($K$1,'Data Core CPI'!$A$1:$AX$1,),))</f>
        <v>-2.8992891513356241E-4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1.1521082249882252E-2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-3.9200609566498179E-3</v>
      </c>
      <c r="S130" s="20">
        <f>(VLOOKUP(B130,'Data Core CPI'!$A:$AX,MATCH($S$1,'Data Core CPI'!$A$1:$AX$1,),)-VLOOKUP(EDATE(B130,-12),'Data Core CPI'!$A:$AX,MATCH($S$1,'Data Core CPI'!$A$1:$AX$1,),))/VLOOKUP(EDATE(B130,-12),'Data Core CPI'!$A:$AX,MATCH($S$1,'Data Core CPI'!$A$1:$AX$1,),)</f>
        <v>6.424683842171543E-3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-1.8827378418920144E-2</v>
      </c>
      <c r="V130" s="20">
        <f>(VLOOKUP(B130,'Data Core CPI'!$A:$AX,MATCH($V$1,'Data Core CPI'!$A$1:$AX$1,),)-VLOOKUP(EDATE(B130,-12),'Data Core CPI'!$A:$AX,MATCH($V$1,'Data Core CPI'!$A$1:$AX$1,),))/VLOOKUP(EDATE(B130,-12),'Data Core CPI'!$A:$AX,MATCH($V$1,'Data Core CPI'!$A$1:$AX$1,),)</f>
        <v>-2.1614918181120913E-3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2" customFormat="1" x14ac:dyDescent="0.35">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8.9020331254687686E-6</v>
      </c>
      <c r="G131" s="20">
        <f>IF(VLOOKUP(B131,'Data Core CPI'!$A:$AX,MATCH($G$1,'Data Core CPI'!$A$1:$AX$1,),)=0,#N/A,(VLOOKUP(B131,'Data Core CPI'!$A:$AX,MATCH($G$1,'Data Core CPI'!$A$1:$AX$1,),)-VLOOKUP(EDATE(B131,-12),'Data Core CPI'!$A:$AX,MATCH($G$1,'Data Core CPI'!$A$1:$AX$1,),))/VLOOKUP(EDATE(B131,-12),'Data Core CPI'!$A:$AX,MATCH($G$1,'Data Core CPI'!$A$1:$AX$1,),))</f>
        <v>1.320505313112154E-2</v>
      </c>
      <c r="H131" s="20">
        <f>IF(VLOOKUP(B131,'Data Core CPI'!$A:$AX,MATCH($H$1,'Data Core CPI'!$A$1:$AX$1,),)=0,#N/A,(VLOOKUP(B131,'Data Core CPI'!$A:$AX,MATCH($H$1,'Data Core CPI'!$A$1:$AX$1,),)-VLOOKUP(EDATE(B131,-12),'Data Core CPI'!$A:$AX,MATCH($H$1,'Data Core CPI'!$A$1:$AX$1,),))/VLOOKUP(EDATE(B131,-12),'Data Core CPI'!$A:$AX,MATCH($H$1,'Data Core CPI'!$A$1:$AX$1,),))</f>
        <v>1.1461083879956308E-2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9.1616498984917697E-3</v>
      </c>
      <c r="K131" s="20">
        <f>IF(VLOOKUP(B131,'Data Core CPI'!$A:$AX,MATCH($K$1,'Data Core CPI'!$A$1:$AX$1,),)=0,#N/A,(VLOOKUP(B131,'Data Core CPI'!$A:$AX,MATCH($K$1,'Data Core CPI'!$A$1:$AX$1,),)-VLOOKUP(EDATE(B131,-12),'Data Core CPI'!$A:$AX,MATCH($K$1,'Data Core CPI'!$A$1:$AX$1,),))/VLOOKUP(EDATE(B131,-12),'Data Core CPI'!$A:$AX,MATCH($K$1,'Data Core CPI'!$A$1:$AX$1,),))</f>
        <v>4.237070490238401E-3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1.4632291807965152E-2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-2.4278104794179562E-3</v>
      </c>
      <c r="S131" s="20">
        <f>(VLOOKUP(B131,'Data Core CPI'!$A:$AX,MATCH($S$1,'Data Core CPI'!$A$1:$AX$1,),)-VLOOKUP(EDATE(B131,-12),'Data Core CPI'!$A:$AX,MATCH($S$1,'Data Core CPI'!$A$1:$AX$1,),))/VLOOKUP(EDATE(B131,-12),'Data Core CPI'!$A:$AX,MATCH($S$1,'Data Core CPI'!$A$1:$AX$1,),)</f>
        <v>7.2114906682345502E-3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-1.2284406475798764E-2</v>
      </c>
      <c r="V131" s="20">
        <f>(VLOOKUP(B131,'Data Core CPI'!$A:$AX,MATCH($V$1,'Data Core CPI'!$A$1:$AX$1,),)-VLOOKUP(EDATE(B131,-12),'Data Core CPI'!$A:$AX,MATCH($V$1,'Data Core CPI'!$A$1:$AX$1,),))/VLOOKUP(EDATE(B131,-12),'Data Core CPI'!$A:$AX,MATCH($V$1,'Data Core CPI'!$A$1:$AX$1,),)</f>
        <v>7.8734441462227685E-3</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2" customFormat="1" x14ac:dyDescent="0.35">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1.0860748976241569E-3</v>
      </c>
      <c r="G132" s="20">
        <f>IF(VLOOKUP(B132,'Data Core CPI'!$A:$AX,MATCH($G$1,'Data Core CPI'!$A$1:$AX$1,),)=0,#N/A,(VLOOKUP(B132,'Data Core CPI'!$A:$AX,MATCH($G$1,'Data Core CPI'!$A$1:$AX$1,),)-VLOOKUP(EDATE(B132,-12),'Data Core CPI'!$A:$AX,MATCH($G$1,'Data Core CPI'!$A$1:$AX$1,),))/VLOOKUP(EDATE(B132,-12),'Data Core CPI'!$A:$AX,MATCH($G$1,'Data Core CPI'!$A$1:$AX$1,),))</f>
        <v>1.3809081780060871E-2</v>
      </c>
      <c r="H132" s="20">
        <f>IF(VLOOKUP(B132,'Data Core CPI'!$A:$AX,MATCH($H$1,'Data Core CPI'!$A$1:$AX$1,),)=0,#N/A,(VLOOKUP(B132,'Data Core CPI'!$A:$AX,MATCH($H$1,'Data Core CPI'!$A$1:$AX$1,),)-VLOOKUP(EDATE(B132,-12),'Data Core CPI'!$A:$AX,MATCH($H$1,'Data Core CPI'!$A$1:$AX$1,),))/VLOOKUP(EDATE(B132,-12),'Data Core CPI'!$A:$AX,MATCH($H$1,'Data Core CPI'!$A$1:$AX$1,),))</f>
        <v>7.3605729226843605E-3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1.0408007995478124E-2</v>
      </c>
      <c r="K132" s="20">
        <f>IF(VLOOKUP(B132,'Data Core CPI'!$A:$AX,MATCH($K$1,'Data Core CPI'!$A$1:$AX$1,),)=0,#N/A,(VLOOKUP(B132,'Data Core CPI'!$A:$AX,MATCH($K$1,'Data Core CPI'!$A$1:$AX$1,),)-VLOOKUP(EDATE(B132,-12),'Data Core CPI'!$A:$AX,MATCH($K$1,'Data Core CPI'!$A$1:$AX$1,),))/VLOOKUP(EDATE(B132,-12),'Data Core CPI'!$A:$AX,MATCH($K$1,'Data Core CPI'!$A$1:$AX$1,),))</f>
        <v>1.4020214248211555E-3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9.3116351927594911E-3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-4.326592706458977E-3</v>
      </c>
      <c r="S132" s="20">
        <f>(VLOOKUP(B132,'Data Core CPI'!$A:$AX,MATCH($S$1,'Data Core CPI'!$A$1:$AX$1,),)-VLOOKUP(EDATE(B132,-12),'Data Core CPI'!$A:$AX,MATCH($S$1,'Data Core CPI'!$A$1:$AX$1,),))/VLOOKUP(EDATE(B132,-12),'Data Core CPI'!$A:$AX,MATCH($S$1,'Data Core CPI'!$A$1:$AX$1,),)</f>
        <v>6.2947202372799311E-3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-9.0884816699807521E-3</v>
      </c>
      <c r="V132" s="20">
        <f>(VLOOKUP(B132,'Data Core CPI'!$A:$AX,MATCH($V$1,'Data Core CPI'!$A$1:$AX$1,),)-VLOOKUP(EDATE(B132,-12),'Data Core CPI'!$A:$AX,MATCH($V$1,'Data Core CPI'!$A$1:$AX$1,),))/VLOOKUP(EDATE(B132,-12),'Data Core CPI'!$A:$AX,MATCH($V$1,'Data Core CPI'!$A$1:$AX$1,),)</f>
        <v>1.9846517670304401E-3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2" customFormat="1" x14ac:dyDescent="0.35">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4.9791940818732085E-4</v>
      </c>
      <c r="G133" s="20">
        <f>IF(VLOOKUP(B133,'Data Core CPI'!$A:$AX,MATCH($G$1,'Data Core CPI'!$A$1:$AX$1,),)=0,#N/A,(VLOOKUP(B133,'Data Core CPI'!$A:$AX,MATCH($G$1,'Data Core CPI'!$A$1:$AX$1,),)-VLOOKUP(EDATE(B133,-12),'Data Core CPI'!$A:$AX,MATCH($G$1,'Data Core CPI'!$A$1:$AX$1,),))/VLOOKUP(EDATE(B133,-12),'Data Core CPI'!$A:$AX,MATCH($G$1,'Data Core CPI'!$A$1:$AX$1,),))</f>
        <v>1.2340964876878642E-2</v>
      </c>
      <c r="H133" s="20">
        <f>IF(VLOOKUP(B133,'Data Core CPI'!$A:$AX,MATCH($H$1,'Data Core CPI'!$A$1:$AX$1,),)=0,#N/A,(VLOOKUP(B133,'Data Core CPI'!$A:$AX,MATCH($H$1,'Data Core CPI'!$A$1:$AX$1,),)-VLOOKUP(EDATE(B133,-12),'Data Core CPI'!$A:$AX,MATCH($H$1,'Data Core CPI'!$A$1:$AX$1,),))/VLOOKUP(EDATE(B133,-12),'Data Core CPI'!$A:$AX,MATCH($H$1,'Data Core CPI'!$A$1:$AX$1,),))</f>
        <v>7.8829927740037969E-3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9.3803616174758693E-3</v>
      </c>
      <c r="K133" s="20">
        <f>IF(VLOOKUP(B133,'Data Core CPI'!$A:$AX,MATCH($K$1,'Data Core CPI'!$A$1:$AX$1,),)=0,#N/A,(VLOOKUP(B133,'Data Core CPI'!$A:$AX,MATCH($K$1,'Data Core CPI'!$A$1:$AX$1,),)-VLOOKUP(EDATE(B133,-12),'Data Core CPI'!$A:$AX,MATCH($K$1,'Data Core CPI'!$A$1:$AX$1,),))/VLOOKUP(EDATE(B133,-12),'Data Core CPI'!$A:$AX,MATCH($K$1,'Data Core CPI'!$A$1:$AX$1,),))</f>
        <v>1.0618274011100954E-3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1.0467602304299639E-2</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-3.5915218677500167E-3</v>
      </c>
      <c r="S133" s="20">
        <f>(VLOOKUP(B133,'Data Core CPI'!$A:$AX,MATCH($S$1,'Data Core CPI'!$A$1:$AX$1,),)-VLOOKUP(EDATE(B133,-12),'Data Core CPI'!$A:$AX,MATCH($S$1,'Data Core CPI'!$A$1:$AX$1,),))/VLOOKUP(EDATE(B133,-12),'Data Core CPI'!$A:$AX,MATCH($S$1,'Data Core CPI'!$A$1:$AX$1,),)</f>
        <v>1.0727021005819227E-2</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-2.7125634706179357E-2</v>
      </c>
      <c r="V133" s="20">
        <f>(VLOOKUP(B133,'Data Core CPI'!$A:$AX,MATCH($V$1,'Data Core CPI'!$A$1:$AX$1,),)-VLOOKUP(EDATE(B133,-12),'Data Core CPI'!$A:$AX,MATCH($V$1,'Data Core CPI'!$A$1:$AX$1,),))/VLOOKUP(EDATE(B133,-12),'Data Core CPI'!$A:$AX,MATCH($V$1,'Data Core CPI'!$A$1:$AX$1,),)</f>
        <v>-8.1111380409562686E-5</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2" customFormat="1" x14ac:dyDescent="0.35">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-1.0977071633589181E-2</v>
      </c>
      <c r="G134" s="20">
        <f>IF(VLOOKUP(B134,'Data Core CPI'!$A:$AX,MATCH($G$1,'Data Core CPI'!$A$1:$AX$1,),)=0,#N/A,(VLOOKUP(B134,'Data Core CPI'!$A:$AX,MATCH($G$1,'Data Core CPI'!$A$1:$AX$1,),)-VLOOKUP(EDATE(B134,-12),'Data Core CPI'!$A:$AX,MATCH($G$1,'Data Core CPI'!$A$1:$AX$1,),))/VLOOKUP(EDATE(B134,-12),'Data Core CPI'!$A:$AX,MATCH($G$1,'Data Core CPI'!$A$1:$AX$1,),))</f>
        <v>1.1833830944736069E-2</v>
      </c>
      <c r="H134" s="20">
        <f>IF(VLOOKUP(B134,'Data Core CPI'!$A:$AX,MATCH($H$1,'Data Core CPI'!$A$1:$AX$1,),)=0,#N/A,(VLOOKUP(B134,'Data Core CPI'!$A:$AX,MATCH($H$1,'Data Core CPI'!$A$1:$AX$1,),)-VLOOKUP(EDATE(B134,-12),'Data Core CPI'!$A:$AX,MATCH($H$1,'Data Core CPI'!$A$1:$AX$1,),))/VLOOKUP(EDATE(B134,-12),'Data Core CPI'!$A:$AX,MATCH($H$1,'Data Core CPI'!$A$1:$AX$1,),))</f>
        <v>8.6205813601791109E-3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4.4203608022566022E-3</v>
      </c>
      <c r="K134" s="20">
        <f>IF(VLOOKUP(B134,'Data Core CPI'!$A:$AX,MATCH($K$1,'Data Core CPI'!$A$1:$AX$1,),)=0,#N/A,(VLOOKUP(B134,'Data Core CPI'!$A:$AX,MATCH($K$1,'Data Core CPI'!$A$1:$AX$1,),)-VLOOKUP(EDATE(B134,-12),'Data Core CPI'!$A:$AX,MATCH($K$1,'Data Core CPI'!$A$1:$AX$1,),))/VLOOKUP(EDATE(B134,-12),'Data Core CPI'!$A:$AX,MATCH($K$1,'Data Core CPI'!$A$1:$AX$1,),))</f>
        <v>-7.5820485973202175E-4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1.8535525583025503E-2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1.9092812948108624E-3</v>
      </c>
      <c r="S134" s="20">
        <f>(VLOOKUP(B134,'Data Core CPI'!$A:$AX,MATCH($S$1,'Data Core CPI'!$A$1:$AX$1,),)-VLOOKUP(EDATE(B134,-12),'Data Core CPI'!$A:$AX,MATCH($S$1,'Data Core CPI'!$A$1:$AX$1,),))/VLOOKUP(EDATE(B134,-12),'Data Core CPI'!$A:$AX,MATCH($S$1,'Data Core CPI'!$A$1:$AX$1,),)</f>
        <v>1.222598801555743E-2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-1.4868228302793243E-2</v>
      </c>
      <c r="V134" s="20">
        <f>(VLOOKUP(B134,'Data Core CPI'!$A:$AX,MATCH($V$1,'Data Core CPI'!$A$1:$AX$1,),)-VLOOKUP(EDATE(B134,-12),'Data Core CPI'!$A:$AX,MATCH($V$1,'Data Core CPI'!$A$1:$AX$1,),))/VLOOKUP(EDATE(B134,-12),'Data Core CPI'!$A:$AX,MATCH($V$1,'Data Core CPI'!$A$1:$AX$1,),)</f>
        <v>6.9160689906384906E-3</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2" customFormat="1" x14ac:dyDescent="0.35">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-1.0033385283577145E-2</v>
      </c>
      <c r="G135" s="20">
        <f>IF(VLOOKUP(B135,'Data Core CPI'!$A:$AX,MATCH($G$1,'Data Core CPI'!$A$1:$AX$1,),)=0,#N/A,(VLOOKUP(B135,'Data Core CPI'!$A:$AX,MATCH($G$1,'Data Core CPI'!$A$1:$AX$1,),)-VLOOKUP(EDATE(B135,-12),'Data Core CPI'!$A:$AX,MATCH($G$1,'Data Core CPI'!$A$1:$AX$1,),))/VLOOKUP(EDATE(B135,-12),'Data Core CPI'!$A:$AX,MATCH($G$1,'Data Core CPI'!$A$1:$AX$1,),))</f>
        <v>1.7045166737019807E-2</v>
      </c>
      <c r="H135" s="20">
        <f>IF(VLOOKUP(B135,'Data Core CPI'!$A:$AX,MATCH($H$1,'Data Core CPI'!$A$1:$AX$1,),)=0,#N/A,(VLOOKUP(B135,'Data Core CPI'!$A:$AX,MATCH($H$1,'Data Core CPI'!$A$1:$AX$1,),)-VLOOKUP(EDATE(B135,-12),'Data Core CPI'!$A:$AX,MATCH($H$1,'Data Core CPI'!$A$1:$AX$1,),))/VLOOKUP(EDATE(B135,-12),'Data Core CPI'!$A:$AX,MATCH($H$1,'Data Core CPI'!$A$1:$AX$1,),))</f>
        <v>8.2341049012437557E-3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3.4903269052983781E-3</v>
      </c>
      <c r="K135" s="20">
        <f>IF(VLOOKUP(B135,'Data Core CPI'!$A:$AX,MATCH($K$1,'Data Core CPI'!$A$1:$AX$1,),)=0,#N/A,(VLOOKUP(B135,'Data Core CPI'!$A:$AX,MATCH($K$1,'Data Core CPI'!$A$1:$AX$1,),)-VLOOKUP(EDATE(B135,-12),'Data Core CPI'!$A:$AX,MATCH($K$1,'Data Core CPI'!$A$1:$AX$1,),))/VLOOKUP(EDATE(B135,-12),'Data Core CPI'!$A:$AX,MATCH($K$1,'Data Core CPI'!$A$1:$AX$1,),))</f>
        <v>1.4666055343712416E-3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2.3039192718740525E-2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3.4527105865234291E-3</v>
      </c>
      <c r="S135" s="20">
        <f>(VLOOKUP(B135,'Data Core CPI'!$A:$AX,MATCH($S$1,'Data Core CPI'!$A$1:$AX$1,),)-VLOOKUP(EDATE(B135,-12),'Data Core CPI'!$A:$AX,MATCH($S$1,'Data Core CPI'!$A$1:$AX$1,),))/VLOOKUP(EDATE(B135,-12),'Data Core CPI'!$A:$AX,MATCH($S$1,'Data Core CPI'!$A$1:$AX$1,),)</f>
        <v>1.1909007239049439E-2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-1.6745354123405231E-2</v>
      </c>
      <c r="V135" s="20">
        <f>(VLOOKUP(B135,'Data Core CPI'!$A:$AX,MATCH($V$1,'Data Core CPI'!$A$1:$AX$1,),)-VLOOKUP(EDATE(B135,-12),'Data Core CPI'!$A:$AX,MATCH($V$1,'Data Core CPI'!$A$1:$AX$1,),))/VLOOKUP(EDATE(B135,-12),'Data Core CPI'!$A:$AX,MATCH($V$1,'Data Core CPI'!$A$1:$AX$1,),)</f>
        <v>1.1043882604672425E-2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2" customFormat="1" x14ac:dyDescent="0.35">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-9.9902385848425115E-3</v>
      </c>
      <c r="G136" s="20">
        <f>IF(VLOOKUP(B136,'Data Core CPI'!$A:$AX,MATCH($G$1,'Data Core CPI'!$A$1:$AX$1,),)=0,#N/A,(VLOOKUP(B136,'Data Core CPI'!$A:$AX,MATCH($G$1,'Data Core CPI'!$A$1:$AX$1,),)-VLOOKUP(EDATE(B136,-12),'Data Core CPI'!$A:$AX,MATCH($G$1,'Data Core CPI'!$A$1:$AX$1,),))/VLOOKUP(EDATE(B136,-12),'Data Core CPI'!$A:$AX,MATCH($G$1,'Data Core CPI'!$A$1:$AX$1,),))</f>
        <v>1.5242363657905995E-2</v>
      </c>
      <c r="H136" s="20">
        <f>IF(VLOOKUP(B136,'Data Core CPI'!$A:$AX,MATCH($H$1,'Data Core CPI'!$A$1:$AX$1,),)=0,#N/A,(VLOOKUP(B136,'Data Core CPI'!$A:$AX,MATCH($H$1,'Data Core CPI'!$A$1:$AX$1,),)-VLOOKUP(EDATE(B136,-12),'Data Core CPI'!$A:$AX,MATCH($H$1,'Data Core CPI'!$A$1:$AX$1,),))/VLOOKUP(EDATE(B136,-12),'Data Core CPI'!$A:$AX,MATCH($H$1,'Data Core CPI'!$A$1:$AX$1,),))</f>
        <v>9.096841128655048E-3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3.1060078845559554E-3</v>
      </c>
      <c r="K136" s="20">
        <f>IF(VLOOKUP(B136,'Data Core CPI'!$A:$AX,MATCH($K$1,'Data Core CPI'!$A$1:$AX$1,),)=0,#N/A,(VLOOKUP(B136,'Data Core CPI'!$A:$AX,MATCH($K$1,'Data Core CPI'!$A$1:$AX$1,),)-VLOOKUP(EDATE(B136,-12),'Data Core CPI'!$A:$AX,MATCH($K$1,'Data Core CPI'!$A$1:$AX$1,),))/VLOOKUP(EDATE(B136,-12),'Data Core CPI'!$A:$AX,MATCH($K$1,'Data Core CPI'!$A$1:$AX$1,),))</f>
        <v>7.4672691021841851E-4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2.1925660906767837E-2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4.7957406578095834E-3</v>
      </c>
      <c r="S136" s="20">
        <f>(VLOOKUP(B136,'Data Core CPI'!$A:$AX,MATCH($S$1,'Data Core CPI'!$A$1:$AX$1,),)-VLOOKUP(EDATE(B136,-12),'Data Core CPI'!$A:$AX,MATCH($S$1,'Data Core CPI'!$A$1:$AX$1,),))/VLOOKUP(EDATE(B136,-12),'Data Core CPI'!$A:$AX,MATCH($S$1,'Data Core CPI'!$A$1:$AX$1,),)</f>
        <v>1.119704839453539E-2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-4.7089704795170934E-3</v>
      </c>
      <c r="V136" s="20">
        <f>(VLOOKUP(B136,'Data Core CPI'!$A:$AX,MATCH($V$1,'Data Core CPI'!$A$1:$AX$1,),)-VLOOKUP(EDATE(B136,-12),'Data Core CPI'!$A:$AX,MATCH($V$1,'Data Core CPI'!$A$1:$AX$1,),))/VLOOKUP(EDATE(B136,-12),'Data Core CPI'!$A:$AX,MATCH($V$1,'Data Core CPI'!$A$1:$AX$1,),)</f>
        <v>9.0670569719374546E-3</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2" customFormat="1" x14ac:dyDescent="0.35">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-5.1698173027384664E-3</v>
      </c>
      <c r="G137" s="20">
        <f>IF(VLOOKUP(B137,'Data Core CPI'!$A:$AX,MATCH($G$1,'Data Core CPI'!$A$1:$AX$1,),)=0,#N/A,(VLOOKUP(B137,'Data Core CPI'!$A:$AX,MATCH($G$1,'Data Core CPI'!$A$1:$AX$1,),)-VLOOKUP(EDATE(B137,-12),'Data Core CPI'!$A:$AX,MATCH($G$1,'Data Core CPI'!$A$1:$AX$1,),))/VLOOKUP(EDATE(B137,-12),'Data Core CPI'!$A:$AX,MATCH($G$1,'Data Core CPI'!$A$1:$AX$1,),))</f>
        <v>2.6448851132701179E-2</v>
      </c>
      <c r="H137" s="20">
        <f>IF(VLOOKUP(B137,'Data Core CPI'!$A:$AX,MATCH($H$1,'Data Core CPI'!$A$1:$AX$1,),)=0,#N/A,(VLOOKUP(B137,'Data Core CPI'!$A:$AX,MATCH($H$1,'Data Core CPI'!$A$1:$AX$1,),)-VLOOKUP(EDATE(B137,-12),'Data Core CPI'!$A:$AX,MATCH($H$1,'Data Core CPI'!$A$1:$AX$1,),))/VLOOKUP(EDATE(B137,-12),'Data Core CPI'!$A:$AX,MATCH($H$1,'Data Core CPI'!$A$1:$AX$1,),))</f>
        <v>1.2436692452076608E-3</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6.2705088617642582E-3</v>
      </c>
      <c r="K137" s="20">
        <f>IF(VLOOKUP(B137,'Data Core CPI'!$A:$AX,MATCH($K$1,'Data Core CPI'!$A$1:$AX$1,),)=0,#N/A,(VLOOKUP(B137,'Data Core CPI'!$A:$AX,MATCH($K$1,'Data Core CPI'!$A$1:$AX$1,),)-VLOOKUP(EDATE(B137,-12),'Data Core CPI'!$A:$AX,MATCH($K$1,'Data Core CPI'!$A$1:$AX$1,),))/VLOOKUP(EDATE(B137,-12),'Data Core CPI'!$A:$AX,MATCH($K$1,'Data Core CPI'!$A$1:$AX$1,),))</f>
        <v>4.0626601625640951E-3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2.9075451764035275E-2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3.8023723215202575E-3</v>
      </c>
      <c r="S137" s="20">
        <f>(VLOOKUP(B137,'Data Core CPI'!$A:$AX,MATCH($S$1,'Data Core CPI'!$A$1:$AX$1,),)-VLOOKUP(EDATE(B137,-12),'Data Core CPI'!$A:$AX,MATCH($S$1,'Data Core CPI'!$A$1:$AX$1,),))/VLOOKUP(EDATE(B137,-12),'Data Core CPI'!$A:$AX,MATCH($S$1,'Data Core CPI'!$A$1:$AX$1,),)</f>
        <v>1.2778823125310278E-2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-5.1047768420057977E-3</v>
      </c>
      <c r="V137" s="20">
        <f>(VLOOKUP(B137,'Data Core CPI'!$A:$AX,MATCH($V$1,'Data Core CPI'!$A$1:$AX$1,),)-VLOOKUP(EDATE(B137,-12),'Data Core CPI'!$A:$AX,MATCH($V$1,'Data Core CPI'!$A$1:$AX$1,),))/VLOOKUP(EDATE(B137,-12),'Data Core CPI'!$A:$AX,MATCH($V$1,'Data Core CPI'!$A$1:$AX$1,),)</f>
        <v>1.4511067952872695E-2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2" customFormat="1" x14ac:dyDescent="0.35">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-4.4708575331070966E-3</v>
      </c>
      <c r="G138" s="20">
        <f>IF(VLOOKUP(B138,'Data Core CPI'!$A:$AX,MATCH($G$1,'Data Core CPI'!$A$1:$AX$1,),)=0,#N/A,(VLOOKUP(B138,'Data Core CPI'!$A:$AX,MATCH($G$1,'Data Core CPI'!$A$1:$AX$1,),)-VLOOKUP(EDATE(B138,-12),'Data Core CPI'!$A:$AX,MATCH($G$1,'Data Core CPI'!$A$1:$AX$1,),))/VLOOKUP(EDATE(B138,-12),'Data Core CPI'!$A:$AX,MATCH($G$1,'Data Core CPI'!$A$1:$AX$1,),))</f>
        <v>2.6212593000440206E-2</v>
      </c>
      <c r="H138" s="20">
        <f>IF(VLOOKUP(B138,'Data Core CPI'!$A:$AX,MATCH($H$1,'Data Core CPI'!$A$1:$AX$1,),)=0,#N/A,(VLOOKUP(B138,'Data Core CPI'!$A:$AX,MATCH($H$1,'Data Core CPI'!$A$1:$AX$1,),)-VLOOKUP(EDATE(B138,-12),'Data Core CPI'!$A:$AX,MATCH($H$1,'Data Core CPI'!$A$1:$AX$1,),))/VLOOKUP(EDATE(B138,-12),'Data Core CPI'!$A:$AX,MATCH($H$1,'Data Core CPI'!$A$1:$AX$1,),))</f>
        <v>9.0657781731181292E-3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4.8342095498769815E-3</v>
      </c>
      <c r="K138" s="20">
        <f>IF(VLOOKUP(B138,'Data Core CPI'!$A:$AX,MATCH($K$1,'Data Core CPI'!$A$1:$AX$1,),)=0,#N/A,(VLOOKUP(B138,'Data Core CPI'!$A:$AX,MATCH($K$1,'Data Core CPI'!$A$1:$AX$1,),)-VLOOKUP(EDATE(B138,-12),'Data Core CPI'!$A:$AX,MATCH($K$1,'Data Core CPI'!$A$1:$AX$1,),))/VLOOKUP(EDATE(B138,-12),'Data Core CPI'!$A:$AX,MATCH($K$1,'Data Core CPI'!$A$1:$AX$1,),))</f>
        <v>5.2048921369775604E-3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3.0594869192530377E-2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5.2582694300621121E-3</v>
      </c>
      <c r="S138" s="20">
        <f>(VLOOKUP(B138,'Data Core CPI'!$A:$AX,MATCH($S$1,'Data Core CPI'!$A$1:$AX$1,),)-VLOOKUP(EDATE(B138,-12),'Data Core CPI'!$A:$AX,MATCH($S$1,'Data Core CPI'!$A$1:$AX$1,),))/VLOOKUP(EDATE(B138,-12),'Data Core CPI'!$A:$AX,MATCH($S$1,'Data Core CPI'!$A$1:$AX$1,),)</f>
        <v>1.3352710476843598E-2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-3.2808595370566449E-3</v>
      </c>
      <c r="V138" s="20">
        <f>(VLOOKUP(B138,'Data Core CPI'!$A:$AX,MATCH($V$1,'Data Core CPI'!$A$1:$AX$1,),)-VLOOKUP(EDATE(B138,-12),'Data Core CPI'!$A:$AX,MATCH($V$1,'Data Core CPI'!$A$1:$AX$1,),))/VLOOKUP(EDATE(B138,-12),'Data Core CPI'!$A:$AX,MATCH($V$1,'Data Core CPI'!$A$1:$AX$1,),)</f>
        <v>2.0437106768559261E-2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2" customFormat="1" x14ac:dyDescent="0.35">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-5.4751662104028914E-3</v>
      </c>
      <c r="G139" s="20">
        <f>IF(VLOOKUP(B139,'Data Core CPI'!$A:$AX,MATCH($G$1,'Data Core CPI'!$A$1:$AX$1,),)=0,#N/A,(VLOOKUP(B139,'Data Core CPI'!$A:$AX,MATCH($G$1,'Data Core CPI'!$A$1:$AX$1,),)-VLOOKUP(EDATE(B139,-12),'Data Core CPI'!$A:$AX,MATCH($G$1,'Data Core CPI'!$A$1:$AX$1,),))/VLOOKUP(EDATE(B139,-12),'Data Core CPI'!$A:$AX,MATCH($G$1,'Data Core CPI'!$A$1:$AX$1,),))</f>
        <v>2.6351596686468491E-2</v>
      </c>
      <c r="H139" s="20">
        <f>IF(VLOOKUP(B139,'Data Core CPI'!$A:$AX,MATCH($H$1,'Data Core CPI'!$A$1:$AX$1,),)=0,#N/A,(VLOOKUP(B139,'Data Core CPI'!$A:$AX,MATCH($H$1,'Data Core CPI'!$A$1:$AX$1,),)-VLOOKUP(EDATE(B139,-12),'Data Core CPI'!$A:$AX,MATCH($H$1,'Data Core CPI'!$A$1:$AX$1,),))/VLOOKUP(EDATE(B139,-12),'Data Core CPI'!$A:$AX,MATCH($H$1,'Data Core CPI'!$A$1:$AX$1,),))</f>
        <v>1.1346514737559975E-2</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9.9247120959068524E-3</v>
      </c>
      <c r="K139" s="20">
        <f>IF(VLOOKUP(B139,'Data Core CPI'!$A:$AX,MATCH($K$1,'Data Core CPI'!$A$1:$AX$1,),)=0,#N/A,(VLOOKUP(B139,'Data Core CPI'!$A:$AX,MATCH($K$1,'Data Core CPI'!$A$1:$AX$1,),)-VLOOKUP(EDATE(B139,-12),'Data Core CPI'!$A:$AX,MATCH($K$1,'Data Core CPI'!$A$1:$AX$1,),))/VLOOKUP(EDATE(B139,-12),'Data Core CPI'!$A:$AX,MATCH($K$1,'Data Core CPI'!$A$1:$AX$1,),))</f>
        <v>7.7619663648124133E-3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3.2321212420867974E-2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6.3774506728489257E-3</v>
      </c>
      <c r="S139" s="20">
        <f>(VLOOKUP(B139,'Data Core CPI'!$A:$AX,MATCH($S$1,'Data Core CPI'!$A$1:$AX$1,),)-VLOOKUP(EDATE(B139,-12),'Data Core CPI'!$A:$AX,MATCH($S$1,'Data Core CPI'!$A$1:$AX$1,),))/VLOOKUP(EDATE(B139,-12),'Data Core CPI'!$A:$AX,MATCH($S$1,'Data Core CPI'!$A$1:$AX$1,),)</f>
        <v>1.4176820492687472E-2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1.0264001004963281E-3</v>
      </c>
      <c r="V139" s="20">
        <f>(VLOOKUP(B139,'Data Core CPI'!$A:$AX,MATCH($V$1,'Data Core CPI'!$A$1:$AX$1,),)-VLOOKUP(EDATE(B139,-12),'Data Core CPI'!$A:$AX,MATCH($V$1,'Data Core CPI'!$A$1:$AX$1,),))/VLOOKUP(EDATE(B139,-12),'Data Core CPI'!$A:$AX,MATCH($V$1,'Data Core CPI'!$A$1:$AX$1,),)</f>
        <v>2.9162435212456331E-2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2" customFormat="1" x14ac:dyDescent="0.35">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-8.7672276459700785E-3</v>
      </c>
      <c r="G140" s="20">
        <f>IF(VLOOKUP(B140,'Data Core CPI'!$A:$AX,MATCH($G$1,'Data Core CPI'!$A$1:$AX$1,),)=0,#N/A,(VLOOKUP(B140,'Data Core CPI'!$A:$AX,MATCH($G$1,'Data Core CPI'!$A$1:$AX$1,),)-VLOOKUP(EDATE(B140,-12),'Data Core CPI'!$A:$AX,MATCH($G$1,'Data Core CPI'!$A$1:$AX$1,),))/VLOOKUP(EDATE(B140,-12),'Data Core CPI'!$A:$AX,MATCH($G$1,'Data Core CPI'!$A$1:$AX$1,),))</f>
        <v>2.6855254555301057E-2</v>
      </c>
      <c r="H140" s="20">
        <f>IF(VLOOKUP(B140,'Data Core CPI'!$A:$AX,MATCH($H$1,'Data Core CPI'!$A$1:$AX$1,),)=0,#N/A,(VLOOKUP(B140,'Data Core CPI'!$A:$AX,MATCH($H$1,'Data Core CPI'!$A$1:$AX$1,),)-VLOOKUP(EDATE(B140,-12),'Data Core CPI'!$A:$AX,MATCH($H$1,'Data Core CPI'!$A$1:$AX$1,),))/VLOOKUP(EDATE(B140,-12),'Data Core CPI'!$A:$AX,MATCH($H$1,'Data Core CPI'!$A$1:$AX$1,),))</f>
        <v>1.2952743223198079E-2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1.0189750921522207E-2</v>
      </c>
      <c r="K140" s="20">
        <f>IF(VLOOKUP(B140,'Data Core CPI'!$A:$AX,MATCH($K$1,'Data Core CPI'!$A$1:$AX$1,),)=0,#N/A,(VLOOKUP(B140,'Data Core CPI'!$A:$AX,MATCH($K$1,'Data Core CPI'!$A$1:$AX$1,),)-VLOOKUP(EDATE(B140,-12),'Data Core CPI'!$A:$AX,MATCH($K$1,'Data Core CPI'!$A$1:$AX$1,),))/VLOOKUP(EDATE(B140,-12),'Data Core CPI'!$A:$AX,MATCH($K$1,'Data Core CPI'!$A$1:$AX$1,),))</f>
        <v>1.2038356404783228E-2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3.2095775207467064E-2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7.5830600228595606E-3</v>
      </c>
      <c r="S140" s="20">
        <f>(VLOOKUP(B140,'Data Core CPI'!$A:$AX,MATCH($S$1,'Data Core CPI'!$A$1:$AX$1,),)-VLOOKUP(EDATE(B140,-12),'Data Core CPI'!$A:$AX,MATCH($S$1,'Data Core CPI'!$A$1:$AX$1,),))/VLOOKUP(EDATE(B140,-12),'Data Core CPI'!$A:$AX,MATCH($S$1,'Data Core CPI'!$A$1:$AX$1,),)</f>
        <v>2.3417446139873774E-2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1.9519485021243321E-3</v>
      </c>
      <c r="V140" s="20">
        <f>(VLOOKUP(B140,'Data Core CPI'!$A:$AX,MATCH($V$1,'Data Core CPI'!$A$1:$AX$1,),)-VLOOKUP(EDATE(B140,-12),'Data Core CPI'!$A:$AX,MATCH($V$1,'Data Core CPI'!$A$1:$AX$1,),))/VLOOKUP(EDATE(B140,-12),'Data Core CPI'!$A:$AX,MATCH($V$1,'Data Core CPI'!$A$1:$AX$1,),)</f>
        <v>3.8879339405036066E-2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2" customFormat="1" x14ac:dyDescent="0.35">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-9.218778494009823E-3</v>
      </c>
      <c r="G141" s="20">
        <f>IF(VLOOKUP(B141,'Data Core CPI'!$A:$AX,MATCH($G$1,'Data Core CPI'!$A$1:$AX$1,),)=0,#N/A,(VLOOKUP(B141,'Data Core CPI'!$A:$AX,MATCH($G$1,'Data Core CPI'!$A$1:$AX$1,),)-VLOOKUP(EDATE(B141,-12),'Data Core CPI'!$A:$AX,MATCH($G$1,'Data Core CPI'!$A$1:$AX$1,),))/VLOOKUP(EDATE(B141,-12),'Data Core CPI'!$A:$AX,MATCH($G$1,'Data Core CPI'!$A$1:$AX$1,),))</f>
        <v>3.1091249487558904E-2</v>
      </c>
      <c r="H141" s="20">
        <f>IF(VLOOKUP(B141,'Data Core CPI'!$A:$AX,MATCH($H$1,'Data Core CPI'!$A$1:$AX$1,),)=0,#N/A,(VLOOKUP(B141,'Data Core CPI'!$A:$AX,MATCH($H$1,'Data Core CPI'!$A$1:$AX$1,),)-VLOOKUP(EDATE(B141,-12),'Data Core CPI'!$A:$AX,MATCH($H$1,'Data Core CPI'!$A$1:$AX$1,),))/VLOOKUP(EDATE(B141,-12),'Data Core CPI'!$A:$AX,MATCH($H$1,'Data Core CPI'!$A$1:$AX$1,),))</f>
        <v>1.3788139945140339E-2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1.1872832584091076E-2</v>
      </c>
      <c r="K141" s="20">
        <f>IF(VLOOKUP(B141,'Data Core CPI'!$A:$AX,MATCH($K$1,'Data Core CPI'!$A$1:$AX$1,),)=0,#N/A,(VLOOKUP(B141,'Data Core CPI'!$A:$AX,MATCH($K$1,'Data Core CPI'!$A$1:$AX$1,),)-VLOOKUP(EDATE(B141,-12),'Data Core CPI'!$A:$AX,MATCH($K$1,'Data Core CPI'!$A$1:$AX$1,),))/VLOOKUP(EDATE(B141,-12),'Data Core CPI'!$A:$AX,MATCH($K$1,'Data Core CPI'!$A$1:$AX$1,),))</f>
        <v>1.4795070591232569E-2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3.1161836601711627E-2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9.3609992239018173E-3</v>
      </c>
      <c r="S141" s="20">
        <f>(VLOOKUP(B141,'Data Core CPI'!$A:$AX,MATCH($S$1,'Data Core CPI'!$A$1:$AX$1,),)-VLOOKUP(EDATE(B141,-12),'Data Core CPI'!$A:$AX,MATCH($S$1,'Data Core CPI'!$A$1:$AX$1,),))/VLOOKUP(EDATE(B141,-12),'Data Core CPI'!$A:$AX,MATCH($S$1,'Data Core CPI'!$A$1:$AX$1,),)</f>
        <v>1.8969118087006957E-2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6.0990001124378978E-3</v>
      </c>
      <c r="V141" s="20">
        <f>(VLOOKUP(B141,'Data Core CPI'!$A:$AX,MATCH($V$1,'Data Core CPI'!$A$1:$AX$1,),)-VLOOKUP(EDATE(B141,-12),'Data Core CPI'!$A:$AX,MATCH($V$1,'Data Core CPI'!$A$1:$AX$1,),))/VLOOKUP(EDATE(B141,-12),'Data Core CPI'!$A:$AX,MATCH($V$1,'Data Core CPI'!$A$1:$AX$1,),)</f>
        <v>3.8553032209792101E-2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2" customFormat="1" x14ac:dyDescent="0.35">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-9.7262358545277695E-3</v>
      </c>
      <c r="G142" s="20">
        <f>IF(VLOOKUP(B142,'Data Core CPI'!$A:$AX,MATCH($G$1,'Data Core CPI'!$A$1:$AX$1,),)=0,#N/A,(VLOOKUP(B142,'Data Core CPI'!$A:$AX,MATCH($G$1,'Data Core CPI'!$A$1:$AX$1,),)-VLOOKUP(EDATE(B142,-12),'Data Core CPI'!$A:$AX,MATCH($G$1,'Data Core CPI'!$A$1:$AX$1,),))/VLOOKUP(EDATE(B142,-12),'Data Core CPI'!$A:$AX,MATCH($G$1,'Data Core CPI'!$A$1:$AX$1,),))</f>
        <v>3.4960424645063187E-2</v>
      </c>
      <c r="H142" s="20">
        <f>IF(VLOOKUP(B142,'Data Core CPI'!$A:$AX,MATCH($H$1,'Data Core CPI'!$A$1:$AX$1,),)=0,#N/A,(VLOOKUP(B142,'Data Core CPI'!$A:$AX,MATCH($H$1,'Data Core CPI'!$A$1:$AX$1,),)-VLOOKUP(EDATE(B142,-12),'Data Core CPI'!$A:$AX,MATCH($H$1,'Data Core CPI'!$A$1:$AX$1,),))/VLOOKUP(EDATE(B142,-12),'Data Core CPI'!$A:$AX,MATCH($H$1,'Data Core CPI'!$A$1:$AX$1,),))</f>
        <v>1.3749960336652942E-2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1.2653365657178532E-2</v>
      </c>
      <c r="K142" s="20">
        <f>IF(VLOOKUP(B142,'Data Core CPI'!$A:$AX,MATCH($K$1,'Data Core CPI'!$A$1:$AX$1,),)=0,#N/A,(VLOOKUP(B142,'Data Core CPI'!$A:$AX,MATCH($K$1,'Data Core CPI'!$A$1:$AX$1,),)-VLOOKUP(EDATE(B142,-12),'Data Core CPI'!$A:$AX,MATCH($K$1,'Data Core CPI'!$A$1:$AX$1,),))/VLOOKUP(EDATE(B142,-12),'Data Core CPI'!$A:$AX,MATCH($K$1,'Data Core CPI'!$A$1:$AX$1,),))</f>
        <v>1.6359585690283247E-2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3.4329443533962133E-2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1.0774222052896654E-2</v>
      </c>
      <c r="S142" s="20">
        <f>(VLOOKUP(B142,'Data Core CPI'!$A:$AX,MATCH($S$1,'Data Core CPI'!$A$1:$AX$1,),)-VLOOKUP(EDATE(B142,-12),'Data Core CPI'!$A:$AX,MATCH($S$1,'Data Core CPI'!$A$1:$AX$1,),))/VLOOKUP(EDATE(B142,-12),'Data Core CPI'!$A:$AX,MATCH($S$1,'Data Core CPI'!$A$1:$AX$1,),)</f>
        <v>2.2441369882386267E-2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9.755008118689474E-3</v>
      </c>
      <c r="V142" s="20">
        <f>(VLOOKUP(B142,'Data Core CPI'!$A:$AX,MATCH($V$1,'Data Core CPI'!$A$1:$AX$1,),)-VLOOKUP(EDATE(B142,-12),'Data Core CPI'!$A:$AX,MATCH($V$1,'Data Core CPI'!$A$1:$AX$1,),))/VLOOKUP(EDATE(B142,-12),'Data Core CPI'!$A:$AX,MATCH($V$1,'Data Core CPI'!$A$1:$AX$1,),)</f>
        <v>3.8690166018145643E-2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2" customFormat="1" x14ac:dyDescent="0.35">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2.2709850517439675E-2</v>
      </c>
      <c r="F143" s="20">
        <f>IF(VLOOKUP(B143,'Data Core CPI'!$A:$AX,MATCH($F$1,'Data Core CPI'!$A$1:$AX$1,),)=0,#N/A,(VLOOKUP(B143,'Data Core CPI'!$A:$AX,MATCH($F$1,'Data Core CPI'!$A$1:$AX$1,),)-VLOOKUP(EDATE(B143,-12),'Data Core CPI'!$A:$AX,MATCH($F$1,'Data Core CPI'!$A$1:$AX$1,),))/VLOOKUP(EDATE(B143,-12),'Data Core CPI'!$A:$AX,MATCH($F$1,'Data Core CPI'!$A$1:$AX$1,),))</f>
        <v>-1.4610875813786992E-2</v>
      </c>
      <c r="G143" s="20">
        <f>IF(VLOOKUP(B143,'Data Core CPI'!$A:$AX,MATCH($G$1,'Data Core CPI'!$A$1:$AX$1,),)=0,#N/A,(VLOOKUP(B143,'Data Core CPI'!$A:$AX,MATCH($G$1,'Data Core CPI'!$A$1:$AX$1,),)-VLOOKUP(EDATE(B143,-12),'Data Core CPI'!$A:$AX,MATCH($G$1,'Data Core CPI'!$A$1:$AX$1,),))/VLOOKUP(EDATE(B143,-12),'Data Core CPI'!$A:$AX,MATCH($G$1,'Data Core CPI'!$A$1:$AX$1,),))</f>
        <v>2.8438869561288542E-2</v>
      </c>
      <c r="H143" s="20">
        <f>IF(VLOOKUP(B143,'Data Core CPI'!$A:$AX,MATCH($H$1,'Data Core CPI'!$A$1:$AX$1,),)=0,#N/A,(VLOOKUP(B143,'Data Core CPI'!$A:$AX,MATCH($H$1,'Data Core CPI'!$A$1:$AX$1,),)-VLOOKUP(EDATE(B143,-12),'Data Core CPI'!$A:$AX,MATCH($H$1,'Data Core CPI'!$A$1:$AX$1,),))/VLOOKUP(EDATE(B143,-12),'Data Core CPI'!$A:$AX,MATCH($H$1,'Data Core CPI'!$A$1:$AX$1,),))</f>
        <v>1.2951060305538855E-2</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1.3420608615302327E-2</v>
      </c>
      <c r="K143" s="20">
        <f>IF(VLOOKUP(B143,'Data Core CPI'!$A:$AX,MATCH($K$1,'Data Core CPI'!$A$1:$AX$1,),)=0,#N/A,(VLOOKUP(B143,'Data Core CPI'!$A:$AX,MATCH($K$1,'Data Core CPI'!$A$1:$AX$1,),)-VLOOKUP(EDATE(B143,-12),'Data Core CPI'!$A:$AX,MATCH($K$1,'Data Core CPI'!$A$1:$AX$1,),))/VLOOKUP(EDATE(B143,-12),'Data Core CPI'!$A:$AX,MATCH($K$1,'Data Core CPI'!$A$1:$AX$1,),))</f>
        <v>2.0062400057130794E-2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3.6085474500616582E-2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1.1101472509855145E-2</v>
      </c>
      <c r="S143" s="20">
        <f>(VLOOKUP(B143,'Data Core CPI'!$A:$AX,MATCH($S$1,'Data Core CPI'!$A$1:$AX$1,),)-VLOOKUP(EDATE(B143,-12),'Data Core CPI'!$A:$AX,MATCH($S$1,'Data Core CPI'!$A$1:$AX$1,),))/VLOOKUP(EDATE(B143,-12),'Data Core CPI'!$A:$AX,MATCH($S$1,'Data Core CPI'!$A$1:$AX$1,),)</f>
        <v>2.5855197359021267E-2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1.2035923745800725E-2</v>
      </c>
      <c r="V143" s="20">
        <f>(VLOOKUP(B143,'Data Core CPI'!$A:$AX,MATCH($V$1,'Data Core CPI'!$A$1:$AX$1,),)-VLOOKUP(EDATE(B143,-12),'Data Core CPI'!$A:$AX,MATCH($V$1,'Data Core CPI'!$A$1:$AX$1,),))/VLOOKUP(EDATE(B143,-12),'Data Core CPI'!$A:$AX,MATCH($V$1,'Data Core CPI'!$A$1:$AX$1,),)</f>
        <v>3.2467330217383288E-2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9.1145833333333329E-2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2" customFormat="1" x14ac:dyDescent="0.35">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2.718744016848558E-2</v>
      </c>
      <c r="F144" s="20">
        <f>IF(VLOOKUP(B144,'Data Core CPI'!$A:$AX,MATCH($F$1,'Data Core CPI'!$A$1:$AX$1,),)=0,#N/A,(VLOOKUP(B144,'Data Core CPI'!$A:$AX,MATCH($F$1,'Data Core CPI'!$A$1:$AX$1,),)-VLOOKUP(EDATE(B144,-12),'Data Core CPI'!$A:$AX,MATCH($F$1,'Data Core CPI'!$A$1:$AX$1,),))/VLOOKUP(EDATE(B144,-12),'Data Core CPI'!$A:$AX,MATCH($F$1,'Data Core CPI'!$A$1:$AX$1,),))</f>
        <v>-1.4582472892405638E-2</v>
      </c>
      <c r="G144" s="20">
        <f>IF(VLOOKUP(B144,'Data Core CPI'!$A:$AX,MATCH($G$1,'Data Core CPI'!$A$1:$AX$1,),)=0,#N/A,(VLOOKUP(B144,'Data Core CPI'!$A:$AX,MATCH($G$1,'Data Core CPI'!$A$1:$AX$1,),)-VLOOKUP(EDATE(B144,-12),'Data Core CPI'!$A:$AX,MATCH($G$1,'Data Core CPI'!$A$1:$AX$1,),))/VLOOKUP(EDATE(B144,-12),'Data Core CPI'!$A:$AX,MATCH($G$1,'Data Core CPI'!$A$1:$AX$1,),))</f>
        <v>2.8876607831810779E-2</v>
      </c>
      <c r="H144" s="20">
        <f>IF(VLOOKUP(B144,'Data Core CPI'!$A:$AX,MATCH($H$1,'Data Core CPI'!$A$1:$AX$1,),)=0,#N/A,(VLOOKUP(B144,'Data Core CPI'!$A:$AX,MATCH($H$1,'Data Core CPI'!$A$1:$AX$1,),)-VLOOKUP(EDATE(B144,-12),'Data Core CPI'!$A:$AX,MATCH($H$1,'Data Core CPI'!$A$1:$AX$1,),))/VLOOKUP(EDATE(B144,-12),'Data Core CPI'!$A:$AX,MATCH($H$1,'Data Core CPI'!$A$1:$AX$1,),))</f>
        <v>1.9791273102991058E-2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1.4115082833198293E-2</v>
      </c>
      <c r="K144" s="20">
        <f>IF(VLOOKUP(B144,'Data Core CPI'!$A:$AX,MATCH($K$1,'Data Core CPI'!$A$1:$AX$1,),)=0,#N/A,(VLOOKUP(B144,'Data Core CPI'!$A:$AX,MATCH($K$1,'Data Core CPI'!$A$1:$AX$1,),)-VLOOKUP(EDATE(B144,-12),'Data Core CPI'!$A:$AX,MATCH($K$1,'Data Core CPI'!$A$1:$AX$1,),))/VLOOKUP(EDATE(B144,-12),'Data Core CPI'!$A:$AX,MATCH($K$1,'Data Core CPI'!$A$1:$AX$1,),))</f>
        <v>2.4243220095957144E-2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4.0988918234541323E-2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1.5915489726939316E-2</v>
      </c>
      <c r="S144" s="20">
        <f>(VLOOKUP(B144,'Data Core CPI'!$A:$AX,MATCH($S$1,'Data Core CPI'!$A$1:$AX$1,),)-VLOOKUP(EDATE(B144,-12),'Data Core CPI'!$A:$AX,MATCH($S$1,'Data Core CPI'!$A$1:$AX$1,),))/VLOOKUP(EDATE(B144,-12),'Data Core CPI'!$A:$AX,MATCH($S$1,'Data Core CPI'!$A$1:$AX$1,),)</f>
        <v>2.8699115484512309E-2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1.1713944113158589E-2</v>
      </c>
      <c r="V144" s="20">
        <f>(VLOOKUP(B144,'Data Core CPI'!$A:$AX,MATCH($V$1,'Data Core CPI'!$A$1:$AX$1,),)-VLOOKUP(EDATE(B144,-12),'Data Core CPI'!$A:$AX,MATCH($V$1,'Data Core CPI'!$A$1:$AX$1,),))/VLOOKUP(EDATE(B144,-12),'Data Core CPI'!$A:$AX,MATCH($V$1,'Data Core CPI'!$A$1:$AX$1,),)</f>
        <v>3.7159136013695152E-2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2" customFormat="1" x14ac:dyDescent="0.35">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2.9581871622262296E-2</v>
      </c>
      <c r="F145" s="20">
        <f>IF(VLOOKUP(B145,'Data Core CPI'!$A:$AX,MATCH($F$1,'Data Core CPI'!$A$1:$AX$1,),)=0,#N/A,(VLOOKUP(B145,'Data Core CPI'!$A:$AX,MATCH($F$1,'Data Core CPI'!$A$1:$AX$1,),)-VLOOKUP(EDATE(B145,-12),'Data Core CPI'!$A:$AX,MATCH($F$1,'Data Core CPI'!$A$1:$AX$1,),))/VLOOKUP(EDATE(B145,-12),'Data Core CPI'!$A:$AX,MATCH($F$1,'Data Core CPI'!$A$1:$AX$1,),))</f>
        <v>-1.322986898597435E-2</v>
      </c>
      <c r="G145" s="20">
        <f>IF(VLOOKUP(B145,'Data Core CPI'!$A:$AX,MATCH($G$1,'Data Core CPI'!$A$1:$AX$1,),)=0,#N/A,(VLOOKUP(B145,'Data Core CPI'!$A:$AX,MATCH($G$1,'Data Core CPI'!$A$1:$AX$1,),)-VLOOKUP(EDATE(B145,-12),'Data Core CPI'!$A:$AX,MATCH($G$1,'Data Core CPI'!$A$1:$AX$1,),))/VLOOKUP(EDATE(B145,-12),'Data Core CPI'!$A:$AX,MATCH($G$1,'Data Core CPI'!$A$1:$AX$1,),))</f>
        <v>3.3520434552852356E-2</v>
      </c>
      <c r="H145" s="20">
        <f>IF(VLOOKUP(B145,'Data Core CPI'!$A:$AX,MATCH($H$1,'Data Core CPI'!$A$1:$AX$1,),)=0,#N/A,(VLOOKUP(B145,'Data Core CPI'!$A:$AX,MATCH($H$1,'Data Core CPI'!$A$1:$AX$1,),)-VLOOKUP(EDATE(B145,-12),'Data Core CPI'!$A:$AX,MATCH($H$1,'Data Core CPI'!$A$1:$AX$1,),))/VLOOKUP(EDATE(B145,-12),'Data Core CPI'!$A:$AX,MATCH($H$1,'Data Core CPI'!$A$1:$AX$1,),))</f>
        <v>2.0219100972802197E-2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1.6185048181175211E-2</v>
      </c>
      <c r="K145" s="20">
        <f>IF(VLOOKUP(B145,'Data Core CPI'!$A:$AX,MATCH($K$1,'Data Core CPI'!$A$1:$AX$1,),)=0,#N/A,(VLOOKUP(B145,'Data Core CPI'!$A:$AX,MATCH($K$1,'Data Core CPI'!$A$1:$AX$1,),)-VLOOKUP(EDATE(B145,-12),'Data Core CPI'!$A:$AX,MATCH($K$1,'Data Core CPI'!$A$1:$AX$1,),))/VLOOKUP(EDATE(B145,-12),'Data Core CPI'!$A:$AX,MATCH($K$1,'Data Core CPI'!$A$1:$AX$1,),))</f>
        <v>2.7000800329739678E-2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4.8722124996265402E-2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1.5425409704809623E-2</v>
      </c>
      <c r="S145" s="20">
        <f>(VLOOKUP(B145,'Data Core CPI'!$A:$AX,MATCH($S$1,'Data Core CPI'!$A$1:$AX$1,),)-VLOOKUP(EDATE(B145,-12),'Data Core CPI'!$A:$AX,MATCH($S$1,'Data Core CPI'!$A$1:$AX$1,),))/VLOOKUP(EDATE(B145,-12),'Data Core CPI'!$A:$AX,MATCH($S$1,'Data Core CPI'!$A$1:$AX$1,),)</f>
        <v>2.8764324736850609E-2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1.7433327971674219E-2</v>
      </c>
      <c r="V145" s="20">
        <f>(VLOOKUP(B145,'Data Core CPI'!$A:$AX,MATCH($V$1,'Data Core CPI'!$A$1:$AX$1,),)-VLOOKUP(EDATE(B145,-12),'Data Core CPI'!$A:$AX,MATCH($V$1,'Data Core CPI'!$A$1:$AX$1,),))/VLOOKUP(EDATE(B145,-12),'Data Core CPI'!$A:$AX,MATCH($V$1,'Data Core CPI'!$A$1:$AX$1,),)</f>
        <v>3.8277054529617258E-2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2" customFormat="1" x14ac:dyDescent="0.35">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3.4798189362504693E-2</v>
      </c>
      <c r="F146" s="20">
        <f>IF(VLOOKUP(B146,'Data Core CPI'!$A:$AX,MATCH($F$1,'Data Core CPI'!$A$1:$AX$1,),)=0,#N/A,(VLOOKUP(B146,'Data Core CPI'!$A:$AX,MATCH($F$1,'Data Core CPI'!$A$1:$AX$1,),)-VLOOKUP(EDATE(B146,-12),'Data Core CPI'!$A:$AX,MATCH($F$1,'Data Core CPI'!$A$1:$AX$1,),))/VLOOKUP(EDATE(B146,-12),'Data Core CPI'!$A:$AX,MATCH($F$1,'Data Core CPI'!$A$1:$AX$1,),))</f>
        <v>3.3576225532230947E-3</v>
      </c>
      <c r="G146" s="20">
        <f>IF(VLOOKUP(B146,'Data Core CPI'!$A:$AX,MATCH($G$1,'Data Core CPI'!$A$1:$AX$1,),)=0,#N/A,(VLOOKUP(B146,'Data Core CPI'!$A:$AX,MATCH($G$1,'Data Core CPI'!$A$1:$AX$1,),)-VLOOKUP(EDATE(B146,-12),'Data Core CPI'!$A:$AX,MATCH($G$1,'Data Core CPI'!$A$1:$AX$1,),))/VLOOKUP(EDATE(B146,-12),'Data Core CPI'!$A:$AX,MATCH($G$1,'Data Core CPI'!$A$1:$AX$1,),))</f>
        <v>3.783673507237767E-2</v>
      </c>
      <c r="H146" s="20">
        <f>IF(VLOOKUP(B146,'Data Core CPI'!$A:$AX,MATCH($H$1,'Data Core CPI'!$A$1:$AX$1,),)=0,#N/A,(VLOOKUP(B146,'Data Core CPI'!$A:$AX,MATCH($H$1,'Data Core CPI'!$A$1:$AX$1,),)-VLOOKUP(EDATE(B146,-12),'Data Core CPI'!$A:$AX,MATCH($H$1,'Data Core CPI'!$A$1:$AX$1,),))/VLOOKUP(EDATE(B146,-12),'Data Core CPI'!$A:$AX,MATCH($H$1,'Data Core CPI'!$A$1:$AX$1,),))</f>
        <v>2.5976987267309827E-2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1.9658350624909549E-2</v>
      </c>
      <c r="K146" s="20">
        <f>IF(VLOOKUP(B146,'Data Core CPI'!$A:$AX,MATCH($K$1,'Data Core CPI'!$A$1:$AX$1,),)=0,#N/A,(VLOOKUP(B146,'Data Core CPI'!$A:$AX,MATCH($K$1,'Data Core CPI'!$A$1:$AX$1,),)-VLOOKUP(EDATE(B146,-12),'Data Core CPI'!$A:$AX,MATCH($K$1,'Data Core CPI'!$A$1:$AX$1,),))/VLOOKUP(EDATE(B146,-12),'Data Core CPI'!$A:$AX,MATCH($K$1,'Data Core CPI'!$A$1:$AX$1,),))</f>
        <v>3.2857653600687556E-2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4.9653024237860319E-2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1.6003430157195627E-2</v>
      </c>
      <c r="S146" s="20">
        <f>(VLOOKUP(B146,'Data Core CPI'!$A:$AX,MATCH($S$1,'Data Core CPI'!$A$1:$AX$1,),)-VLOOKUP(EDATE(B146,-12),'Data Core CPI'!$A:$AX,MATCH($S$1,'Data Core CPI'!$A$1:$AX$1,),))/VLOOKUP(EDATE(B146,-12),'Data Core CPI'!$A:$AX,MATCH($S$1,'Data Core CPI'!$A$1:$AX$1,),)</f>
        <v>3.0690364763912733E-2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1.7499735609586075E-2</v>
      </c>
      <c r="V146" s="20">
        <f>(VLOOKUP(B146,'Data Core CPI'!$A:$AX,MATCH($V$1,'Data Core CPI'!$A$1:$AX$1,),)-VLOOKUP(EDATE(B146,-12),'Data Core CPI'!$A:$AX,MATCH($V$1,'Data Core CPI'!$A$1:$AX$1,),))/VLOOKUP(EDATE(B146,-12),'Data Core CPI'!$A:$AX,MATCH($V$1,'Data Core CPI'!$A$1:$AX$1,),)</f>
        <v>4.467638194137253E-2</v>
      </c>
      <c r="W146" s="20">
        <f>IF(VLOOKUP(B146,'Data Core CPI'!$A:$AX,MATCH($W$1,'Data Core CPI'!$A$1:$AX$1,),)=0,#N/A,(VLOOKUP(B146,'Data Core CPI'!$A:$AX,MATCH($W$1,'Data Core CPI'!$A$1:$AX$1,),)-VLOOKUP(EDATE(B146,-12),'Data Core CPI'!$A:$AX,MATCH($W$1,'Data Core CPI'!$A$1:$AX$1,),))/VLOOKUP(EDATE(B146,-12),'Data Core CPI'!$A:$AX,MATCH($W$1,'Data Core CPI'!$A$1:$AX$1,),))</f>
        <v>0.53042579776051146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2" customFormat="1" x14ac:dyDescent="0.35">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3.7549407114624456E-2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3.7475754481789178E-2</v>
      </c>
      <c r="H147" s="20">
        <f>IF(VLOOKUP(B147,'Data Core CPI'!$A:$AX,MATCH($H$1,'Data Core CPI'!$A$1:$AX$1,),)=0,#N/A,(VLOOKUP(B147,'Data Core CPI'!$A:$AX,MATCH($H$1,'Data Core CPI'!$A$1:$AX$1,),)-VLOOKUP(EDATE(B147,-12),'Data Core CPI'!$A:$AX,MATCH($H$1,'Data Core CPI'!$A$1:$AX$1,),))/VLOOKUP(EDATE(B147,-12),'Data Core CPI'!$A:$AX,MATCH($H$1,'Data Core CPI'!$A$1:$AX$1,),))</f>
        <v>2.8050218770488817E-2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2.5425178863682708E-2</v>
      </c>
      <c r="K147" s="20">
        <f>IF(VLOOKUP(B147,'Data Core CPI'!$A:$AX,MATCH($K$1,'Data Core CPI'!$A$1:$AX$1,),)=0,#N/A,(VLOOKUP(B147,'Data Core CPI'!$A:$AX,MATCH($K$1,'Data Core CPI'!$A$1:$AX$1,),)-VLOOKUP(EDATE(B147,-12),'Data Core CPI'!$A:$AX,MATCH($K$1,'Data Core CPI'!$A$1:$AX$1,),))/VLOOKUP(EDATE(B147,-12),'Data Core CPI'!$A:$AX,MATCH($K$1,'Data Core CPI'!$A$1:$AX$1,),))</f>
        <v>3.4866416808373199E-2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5.186377878015852E-2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1.7965809595499423E-2</v>
      </c>
      <c r="S147" s="20">
        <f>(VLOOKUP(B147,'Data Core CPI'!$A:$AX,MATCH($S$1,'Data Core CPI'!$A$1:$AX$1,),)-VLOOKUP(EDATE(B147,-12),'Data Core CPI'!$A:$AX,MATCH($S$1,'Data Core CPI'!$A$1:$AX$1,),))/VLOOKUP(EDATE(B147,-12),'Data Core CPI'!$A:$AX,MATCH($S$1,'Data Core CPI'!$A$1:$AX$1,),)</f>
        <v>3.441477771452451E-2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2.4461208008812768E-2</v>
      </c>
      <c r="V147" s="20">
        <f>(VLOOKUP(B147,'Data Core CPI'!$A:$AX,MATCH($V$1,'Data Core CPI'!$A$1:$AX$1,),)-VLOOKUP(EDATE(B147,-12),'Data Core CPI'!$A:$AX,MATCH($V$1,'Data Core CPI'!$A$1:$AX$1,),))/VLOOKUP(EDATE(B147,-12),'Data Core CPI'!$A:$AX,MATCH($V$1,'Data Core CPI'!$A$1:$AX$1,),)</f>
        <v>4.7041148773365064E-2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2" customFormat="1" x14ac:dyDescent="0.35">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f>IF(VLOOKUP(B148,'Data Core CPI'!$A:$AX,MATCH($E$1,'Data Core CPI'!$A$1:$AX$1,),)=0,#N/A,(VLOOKUP(B148,'Data Core CPI'!$A:$AX,MATCH($E$1,'Data Core CPI'!$A$1:$AX$1,),)-VLOOKUP(EDATE(B148,-12),'Data Core CPI'!$A:$AX,MATCH($E$1,'Data Core CPI'!$A$1:$AX$1,),))/VLOOKUP(EDATE(B148,-12),'Data Core CPI'!$A:$AX,MATCH($E$1,'Data Core CPI'!$A$1:$AX$1,),))</f>
        <v>3.7266497700178342E-2</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3.207810192617485E-2</v>
      </c>
      <c r="H148" s="20">
        <f>IF(VLOOKUP(B148,'Data Core CPI'!$A:$AX,MATCH($H$1,'Data Core CPI'!$A$1:$AX$1,),)=0,#N/A,(VLOOKUP(B148,'Data Core CPI'!$A:$AX,MATCH($H$1,'Data Core CPI'!$A$1:$AX$1,),)-VLOOKUP(EDATE(B148,-12),'Data Core CPI'!$A:$AX,MATCH($H$1,'Data Core CPI'!$A$1:$AX$1,),))/VLOOKUP(EDATE(B148,-12),'Data Core CPI'!$A:$AX,MATCH($H$1,'Data Core CPI'!$A$1:$AX$1,),))</f>
        <v>2.7397390924506878E-2</v>
      </c>
      <c r="I148" s="20">
        <f>IF(VLOOKUP(B148,'Data Core CPI'!$A:$AX,MATCH($I$1,'Data Core CPI'!$A$1:$AX$1,),)=0,#N/A,(VLOOKUP(B148,'Data Core CPI'!$A:$AX,MATCH($I$1,'Data Core CPI'!$A$1:$AX$1,),)-VLOOKUP(EDATE(B148,-12),'Data Core CPI'!$A:$AX,MATCH($I$1,'Data Core CPI'!$A$1:$AX$1,),))/VLOOKUP(EDATE(B148,-12),'Data Core CPI'!$A:$AX,MATCH($I$1,'Data Core CPI'!$A$1:$AX$1,),))</f>
        <v>5.1878354203935578E-2</v>
      </c>
      <c r="J148" s="20">
        <f>IF(VLOOKUP(B148,'Data Core CPI'!$A:$AX,MATCH($J$1,'Data Core CPI'!$A$1:$AX$1,),)=0,#N/A,(VLOOKUP(B148,'Data Core CPI'!$A:$AX,MATCH($J$1,'Data Core CPI'!$A$1:$AX$1,),)-VLOOKUP(EDATE(B148,-12),'Data Core CPI'!$A:$AX,MATCH($J$1,'Data Core CPI'!$A$1:$AX$1,),))/VLOOKUP(EDATE(B148,-12),'Data Core CPI'!$A:$AX,MATCH($J$1,'Data Core CPI'!$A$1:$AX$1,),))</f>
        <v>2.9963294891389929E-2</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f>IF(VLOOKUP(B148,'Data Core CPI'!$A:$AX,MATCH($L$1,'Data Core CPI'!$A$1:$AX$1,),)=0,#N/A,(VLOOKUP(B148,'Data Core CPI'!$A:$AX,MATCH($L$1,'Data Core CPI'!$A$1:$AX$1,),)-VLOOKUP(EDATE(B148,-12),'Data Core CPI'!$A:$AX,MATCH($L$1,'Data Core CPI'!$A$1:$AX$1,),))/VLOOKUP(EDATE(B148,-12),'Data Core CPI'!$A:$AX,MATCH($L$1,'Data Core CPI'!$A$1:$AX$1,),))</f>
        <v>5.4908123791102534E-2</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f>IF(VLOOKUP(B148,'Data Core CPI'!$A:$AX,MATCH($P$1,'Data Core CPI'!$A$1:$AX$1,),)=0,#N/A,(VLOOKUP(B148,'Data Core CPI'!$A:$AX,MATCH($P$1,'Data Core CPI'!$A$1:$AX$1,),)-VLOOKUP(EDATE(B148,-12),'Data Core CPI'!$A:$AX,MATCH($P$1,'Data Core CPI'!$A$1:$AX$1,),))/VLOOKUP(EDATE(B148,-12),'Data Core CPI'!$A:$AX,MATCH($P$1,'Data Core CPI'!$A$1:$AX$1,),))</f>
        <v>5.2489001213535745E-2</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1.9464794898129974E-2</v>
      </c>
      <c r="S148" s="20">
        <f>(VLOOKUP(B148,'Data Core CPI'!$A:$AX,MATCH($S$1,'Data Core CPI'!$A$1:$AX$1,),)-VLOOKUP(EDATE(B148,-12),'Data Core CPI'!$A:$AX,MATCH($S$1,'Data Core CPI'!$A$1:$AX$1,),))/VLOOKUP(EDATE(B148,-12),'Data Core CPI'!$A:$AX,MATCH($S$1,'Data Core CPI'!$A$1:$AX$1,),)</f>
        <v>3.8560389688070115E-2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3.4883582225400521E-2</v>
      </c>
      <c r="V148" s="20">
        <f>(VLOOKUP(B148,'Data Core CPI'!$A:$AX,MATCH($V$1,'Data Core CPI'!$A$1:$AX$1,),)-VLOOKUP(EDATE(B148,-12),'Data Core CPI'!$A:$AX,MATCH($V$1,'Data Core CPI'!$A$1:$AX$1,),))/VLOOKUP(EDATE(B148,-12),'Data Core CPI'!$A:$AX,MATCH($V$1,'Data Core CPI'!$A$1:$AX$1,),)</f>
        <v>5.165728891924861E-2</v>
      </c>
      <c r="W148" s="20">
        <f>IF(VLOOKUP(B148,'Data Core CPI'!$A:$AX,MATCH($W$1,'Data Core CPI'!$A$1:$AX$1,),)=0,#N/A,(VLOOKUP(B148,'Data Core CPI'!$A:$AX,MATCH($W$1,'Data Core CPI'!$A$1:$AX$1,),)-VLOOKUP(EDATE(B148,-12),'Data Core CPI'!$A:$AX,MATCH($W$1,'Data Core CPI'!$A$1:$AX$1,),))/VLOOKUP(EDATE(B148,-12),'Data Core CPI'!$A:$AX,MATCH($W$1,'Data Core CPI'!$A$1:$AX$1,),))</f>
        <v>0.58841846331934589</v>
      </c>
      <c r="X148" s="20">
        <f>IF(VLOOKUP(B148,'Data Core CPI'!$A:$AX,MATCH($X$1,'Data Core CPI'!$A$1:$AX$1,),)=0,#N/A,(VLOOKUP(B148,'Data Core CPI'!$A:$AX,MATCH($X$1,'Data Core CPI'!$A$1:$AX$1,),)-VLOOKUP(EDATE(B148,-12),'Data Core CPI'!$A:$AX,MATCH($X$1,'Data Core CPI'!$A$1:$AX$1,),))/VLOOKUP(EDATE(B148,-12),'Data Core CPI'!$A:$AX,MATCH($X$1,'Data Core CPI'!$A$1:$AX$1,),))</f>
        <v>0.1339590443686007</v>
      </c>
      <c r="Y148" s="20">
        <f>IF(VLOOKUP(B148,'Data Core CPI'!$A:$AX,MATCH($Y$1,'Data Core CPI'!$A$1:$AX$1,),)=0,#N/A,(VLOOKUP(B148,'Data Core CPI'!$A:$AX,MATCH($Y$1,'Data Core CPI'!$A$1:$AX$1,),)-VLOOKUP(EDATE(B148,-12),'Data Core CPI'!$A:$AX,MATCH($Y$1,'Data Core CPI'!$A$1:$AX$1,),))/VLOOKUP(EDATE(B148,-12),'Data Core CPI'!$A:$AX,MATCH($Y$1,'Data Core CPI'!$A$1:$AX$1,),))</f>
        <v>9.0055512870284724E-2</v>
      </c>
    </row>
    <row r="149" spans="2:25" s="72" customFormat="1" x14ac:dyDescent="0.35">
      <c r="B149" s="15">
        <v>44743</v>
      </c>
      <c r="C149" s="20">
        <f>IF(VLOOKUP(B149,'Data Core CPI'!$A:$AX,MATCH($C$1,'Data Core CPI'!$A$1:$AX$1,),)=0,#N/A,(VLOOKUP(B149,'Data Core CPI'!$A:$AX,MATCH($C$1,'Data Core CPI'!$A$1:$AX$1,),)-VLOOKUP(EDATE(B149,-12),'Data Core CPI'!$A:$AX,MATCH($C$1,'Data Core CPI'!$A$1:$AX$1,),))/VLOOKUP(EDATE(B149,-12),'Data Core CPI'!$A:$AX,MATCH($C$1,'Data Core CPI'!$A$1:$AX$1,),))</f>
        <v>5.9109346172337145E-2</v>
      </c>
      <c r="D149" s="20" t="e">
        <f>(VLOOKUP(B149,'Data Core CPI'!$A:$AX,MATCH($D$1,'Data Core CPI'!$A$1:$AX$1,),)-VLOOKUP(EDATE(B149,-12),'Data Core CPI'!$A:$AX,MATCH($D$1,'Data Core CPI'!$A$1:$AX$1,),))/VLOOKUP(EDATE(B149,-12),'Data Core CPI'!$A:$AX,MATCH($D$1,'Data Core CPI'!$A$1:$AX$1,),)</f>
        <v>#DIV/0!</v>
      </c>
      <c r="E149" s="20">
        <f>IF(VLOOKUP(B149,'Data Core CPI'!$A:$AX,MATCH($E$1,'Data Core CPI'!$A$1:$AX$1,),)=0,#N/A,(VLOOKUP(B149,'Data Core CPI'!$A:$AX,MATCH($E$1,'Data Core CPI'!$A$1:$AX$1,),)-VLOOKUP(EDATE(B149,-12),'Data Core CPI'!$A:$AX,MATCH($E$1,'Data Core CPI'!$A$1:$AX$1,),))/VLOOKUP(EDATE(B149,-12),'Data Core CPI'!$A:$AX,MATCH($E$1,'Data Core CPI'!$A$1:$AX$1,),))</f>
        <v>4.0260230058457441E-2</v>
      </c>
      <c r="F149" s="20" t="e">
        <f>IF(VLOOKUP(B149,'Data Core CPI'!$A:$AX,MATCH($F$1,'Data Core CPI'!$A$1:$AX$1,),)=0,#N/A,(VLOOKUP(B149,'Data Core CPI'!$A:$AX,MATCH($F$1,'Data Core CPI'!$A$1:$AX$1,),)-VLOOKUP(EDATE(B149,-12),'Data Core CPI'!$A:$AX,MATCH($F$1,'Data Core CPI'!$A$1:$AX$1,),))/VLOOKUP(EDATE(B149,-12),'Data Core CPI'!$A:$AX,MATCH($F$1,'Data Core CPI'!$A$1:$AX$1,),))</f>
        <v>#N/A</v>
      </c>
      <c r="G149" s="20">
        <f>IF(VLOOKUP(B149,'Data Core CPI'!$A:$AX,MATCH($G$1,'Data Core CPI'!$A$1:$AX$1,),)=0,#N/A,(VLOOKUP(B149,'Data Core CPI'!$A:$AX,MATCH($G$1,'Data Core CPI'!$A$1:$AX$1,),)-VLOOKUP(EDATE(B149,-12),'Data Core CPI'!$A:$AX,MATCH($G$1,'Data Core CPI'!$A$1:$AX$1,),))/VLOOKUP(EDATE(B149,-12),'Data Core CPI'!$A:$AX,MATCH($G$1,'Data Core CPI'!$A$1:$AX$1,),))</f>
        <v>3.1251450914702147E-2</v>
      </c>
      <c r="H149" s="20">
        <f>IF(VLOOKUP(B149,'Data Core CPI'!$A:$AX,MATCH($H$1,'Data Core CPI'!$A$1:$AX$1,),)=0,#N/A,(VLOOKUP(B149,'Data Core CPI'!$A:$AX,MATCH($H$1,'Data Core CPI'!$A$1:$AX$1,),)-VLOOKUP(EDATE(B149,-12),'Data Core CPI'!$A:$AX,MATCH($H$1,'Data Core CPI'!$A$1:$AX$1,),))/VLOOKUP(EDATE(B149,-12),'Data Core CPI'!$A:$AX,MATCH($H$1,'Data Core CPI'!$A$1:$AX$1,),))</f>
        <v>3.3355818970871219E-2</v>
      </c>
      <c r="I149" s="20">
        <f>IF(VLOOKUP(B149,'Data Core CPI'!$A:$AX,MATCH($I$1,'Data Core CPI'!$A$1:$AX$1,),)=0,#N/A,(VLOOKUP(B149,'Data Core CPI'!$A:$AX,MATCH($I$1,'Data Core CPI'!$A$1:$AX$1,),)-VLOOKUP(EDATE(B149,-12),'Data Core CPI'!$A:$AX,MATCH($I$1,'Data Core CPI'!$A$1:$AX$1,),))/VLOOKUP(EDATE(B149,-12),'Data Core CPI'!$A:$AX,MATCH($I$1,'Data Core CPI'!$A$1:$AX$1,),))</f>
        <v>5.4561717352415107E-2</v>
      </c>
      <c r="J149" s="20">
        <f>IF(VLOOKUP(B149,'Data Core CPI'!$A:$AX,MATCH($J$1,'Data Core CPI'!$A$1:$AX$1,),)=0,#N/A,(VLOOKUP(B149,'Data Core CPI'!$A:$AX,MATCH($J$1,'Data Core CPI'!$A$1:$AX$1,),)-VLOOKUP(EDATE(B149,-12),'Data Core CPI'!$A:$AX,MATCH($J$1,'Data Core CPI'!$A$1:$AX$1,),))/VLOOKUP(EDATE(B149,-12),'Data Core CPI'!$A:$AX,MATCH($J$1,'Data Core CPI'!$A$1:$AX$1,),))</f>
        <v>3.2472142274483196E-2</v>
      </c>
      <c r="K149" s="20">
        <f>IF(VLOOKUP(B149,'Data Core CPI'!$A:$AX,MATCH($K$1,'Data Core CPI'!$A$1:$AX$1,),)=0,#N/A,(VLOOKUP(B149,'Data Core CPI'!$A:$AX,MATCH($K$1,'Data Core CPI'!$A$1:$AX$1,),)-VLOOKUP(EDATE(B149,-12),'Data Core CPI'!$A:$AX,MATCH($K$1,'Data Core CPI'!$A$1:$AX$1,),))/VLOOKUP(EDATE(B149,-12),'Data Core CPI'!$A:$AX,MATCH($K$1,'Data Core CPI'!$A$1:$AX$1,),))</f>
        <v>4.4990154991840524E-2</v>
      </c>
      <c r="L149" s="20">
        <f>IF(VLOOKUP(B149,'Data Core CPI'!$A:$AX,MATCH($L$1,'Data Core CPI'!$A$1:$AX$1,),)=0,#N/A,(VLOOKUP(B149,'Data Core CPI'!$A:$AX,MATCH($L$1,'Data Core CPI'!$A$1:$AX$1,),)-VLOOKUP(EDATE(B149,-12),'Data Core CPI'!$A:$AX,MATCH($L$1,'Data Core CPI'!$A$1:$AX$1,),))/VLOOKUP(EDATE(B149,-12),'Data Core CPI'!$A:$AX,MATCH($L$1,'Data Core CPI'!$A$1:$AX$1,),))</f>
        <v>5.9706555215424284E-2</v>
      </c>
      <c r="M149" s="20">
        <f>IF(VLOOKUP(B149,'Data Core CPI'!$A:$AX,MATCH($M$1,'Data Core CPI'!$A$1:$AX$1,),)=0,#N/A,(VLOOKUP(B149,'Data Core CPI'!$A:$AX,MATCH($M$1,'Data Core CPI'!$A$1:$AX$1,),)-VLOOKUP(EDATE(B149,-12),'Data Core CPI'!$A:$AX,MATCH($M$1,'Data Core CPI'!$A$1:$AX$1,),))/VLOOKUP(EDATE(B149,-12),'Data Core CPI'!$A:$AX,MATCH($M$1,'Data Core CPI'!$A$1:$AX$1,),))</f>
        <v>6.0890135983796174E-2</v>
      </c>
      <c r="N149" s="20" t="e">
        <f>(VLOOKUP(B149,'Data Core CPI'!$A:$AX,MATCH($N$1,'Data Core CPI'!$A$1:$AX$1,),)-VLOOKUP(EDATE(B149,-12),'Data Core CPI'!$A:$AX,MATCH($N$1,'Data Core CPI'!$A$1:$AX$1,),))/VLOOKUP(EDATE(B149,-12),'Data Core CPI'!$A:$AX,MATCH($N$1,'Data Core CPI'!$A$1:$AX$1,),)</f>
        <v>#DIV/0!</v>
      </c>
      <c r="O149" s="20" t="e">
        <f>(VLOOKUP(B149,'Data Core CPI'!$A:$AX,MATCH($O$1,'Data Core CPI'!$A$1:$AX$1,),)-VLOOKUP(EDATE(B149,-12),'Data Core CPI'!$A:$AX,MATCH($O$1,'Data Core CPI'!$A$1:$AX$1,),))/VLOOKUP(EDATE(B149,-12),'Data Core CPI'!$A:$AX,MATCH($O$1,'Data Core CPI'!$A$1:$AX$1,),)</f>
        <v>#DIV/0!</v>
      </c>
      <c r="P149" s="20">
        <f>IF(VLOOKUP(B149,'Data Core CPI'!$A:$AX,MATCH($P$1,'Data Core CPI'!$A$1:$AX$1,),)=0,#N/A,(VLOOKUP(B149,'Data Core CPI'!$A:$AX,MATCH($P$1,'Data Core CPI'!$A$1:$AX$1,),)-VLOOKUP(EDATE(B149,-12),'Data Core CPI'!$A:$AX,MATCH($P$1,'Data Core CPI'!$A$1:$AX$1,),))/VLOOKUP(EDATE(B149,-12),'Data Core CPI'!$A:$AX,MATCH($P$1,'Data Core CPI'!$A$1:$AX$1,),))</f>
        <v>5.4262268223360451E-2</v>
      </c>
      <c r="Q149" s="20" t="e">
        <f>(VLOOKUP(B149,'Data Core CPI'!$A:$AX,MATCH($Q$1,'Data Core CPI'!$A$1:$AX$1,),)-VLOOKUP(EDATE(B149,-12),'Data Core CPI'!$A:$AX,MATCH($Q$1,'Data Core CPI'!$A$1:$AX$1,),))/VLOOKUP(EDATE(B149,-12),'Data Core CPI'!$A:$AX,MATCH($Q$1,'Data Core CPI'!$A$1:$AX$1,),)</f>
        <v>#N/A</v>
      </c>
      <c r="R149" s="20">
        <f>IF(VLOOKUP(B149,'Data Core CPI'!$A:$AX,MATCH($R$1,'Data Core CPI'!$A$1:$AX$1,),)=0,#N/A,(VLOOKUP(B149,'Data Core CPI'!$A:$AX,MATCH($R$1,'Data Core CPI'!$A$1:$AX$1,),)-VLOOKUP(EDATE(B149,-12),'Data Core CPI'!$A:$AX,MATCH($R$1,'Data Core CPI'!$A$1:$AX$1,),))/VLOOKUP(EDATE(B149,-12),'Data Core CPI'!$A:$AX,MATCH($R$1,'Data Core CPI'!$A$1:$AX$1,),))</f>
        <v>2.0456025799891919E-2</v>
      </c>
      <c r="S149" s="20">
        <f>(VLOOKUP(B149,'Data Core CPI'!$A:$AX,MATCH($S$1,'Data Core CPI'!$A$1:$AX$1,),)-VLOOKUP(EDATE(B149,-12),'Data Core CPI'!$A:$AX,MATCH($S$1,'Data Core CPI'!$A$1:$AX$1,),))/VLOOKUP(EDATE(B149,-12),'Data Core CPI'!$A:$AX,MATCH($S$1,'Data Core CPI'!$A$1:$AX$1,),)</f>
        <v>3.9230795032722574E-2</v>
      </c>
      <c r="T149" s="20" t="e">
        <f>(VLOOKUP(B149,'Data Core CPI'!$A:$AX,MATCH($T$1,'Data Core CPI'!$A$1:$AX$1,),)-VLOOKUP(EDATE(B149,-12),'Data Core CPI'!$A:$AX,MATCH($T$1,'Data Core CPI'!$A$1:$AX$1,),))/VLOOKUP(EDATE(B149,-12),'Data Core CPI'!$A:$AX,MATCH($T$1,'Data Core CPI'!$A$1:$AX$1,),)</f>
        <v>#DIV/0!</v>
      </c>
      <c r="U149" s="20">
        <f>IF(VLOOKUP(B149,'Data Core CPI'!$A:$AX,MATCH($U$1,'Data Core CPI'!$A$1:$AX$1,),)=0,#N/A,(VLOOKUP(B149,'Data Core CPI'!$A:$AX,MATCH($U$1,'Data Core CPI'!$A$1:$AX$1,),)-VLOOKUP(EDATE(B149,-12),'Data Core CPI'!$A:$AX,MATCH($U$1,'Data Core CPI'!$A$1:$AX$1,),))/VLOOKUP(EDATE(B149,-12),'Data Core CPI'!$A:$AX,MATCH($U$1,'Data Core CPI'!$A$1:$AX$1,),))</f>
        <v>3.5327355349161829E-2</v>
      </c>
      <c r="V149" s="20">
        <f>(VLOOKUP(B149,'Data Core CPI'!$A:$AX,MATCH($V$1,'Data Core CPI'!$A$1:$AX$1,),)-VLOOKUP(EDATE(B149,-12),'Data Core CPI'!$A:$AX,MATCH($V$1,'Data Core CPI'!$A$1:$AX$1,),))/VLOOKUP(EDATE(B149,-12),'Data Core CPI'!$A:$AX,MATCH($V$1,'Data Core CPI'!$A$1:$AX$1,),)</f>
        <v>5.6108098592896775E-2</v>
      </c>
      <c r="W149" s="20">
        <f>IF(VLOOKUP(B149,'Data Core CPI'!$A:$AX,MATCH($W$1,'Data Core CPI'!$A$1:$AX$1,),)=0,#N/A,(VLOOKUP(B149,'Data Core CPI'!$A:$AX,MATCH($W$1,'Data Core CPI'!$A$1:$AX$1,),)-VLOOKUP(EDATE(B149,-12),'Data Core CPI'!$A:$AX,MATCH($W$1,'Data Core CPI'!$A$1:$AX$1,),))/VLOOKUP(EDATE(B149,-12),'Data Core CPI'!$A:$AX,MATCH($W$1,'Data Core CPI'!$A$1:$AX$1,),))</f>
        <v>0.63767828130418958</v>
      </c>
      <c r="X149" s="20">
        <f>IF(VLOOKUP(B149,'Data Core CPI'!$A:$AX,MATCH($X$1,'Data Core CPI'!$A$1:$AX$1,),)=0,#N/A,(VLOOKUP(B149,'Data Core CPI'!$A:$AX,MATCH($X$1,'Data Core CPI'!$A$1:$AX$1,),)-VLOOKUP(EDATE(B149,-12),'Data Core CPI'!$A:$AX,MATCH($X$1,'Data Core CPI'!$A$1:$AX$1,),))/VLOOKUP(EDATE(B149,-12),'Data Core CPI'!$A:$AX,MATCH($X$1,'Data Core CPI'!$A$1:$AX$1,),))</f>
        <v>0.13502109704641349</v>
      </c>
      <c r="Y149" s="20">
        <f>IF(VLOOKUP(B149,'Data Core CPI'!$A:$AX,MATCH($Y$1,'Data Core CPI'!$A$1:$AX$1,),)=0,#N/A,(VLOOKUP(B149,'Data Core CPI'!$A:$AX,MATCH($Y$1,'Data Core CPI'!$A$1:$AX$1,),)-VLOOKUP(EDATE(B149,-12),'Data Core CPI'!$A:$AX,MATCH($Y$1,'Data Core CPI'!$A$1:$AX$1,),))/VLOOKUP(EDATE(B149,-12),'Data Core CPI'!$A:$AX,MATCH($Y$1,'Data Core CPI'!$A$1:$AX$1,),))</f>
        <v>9.2044251440056027E-2</v>
      </c>
    </row>
    <row r="150" spans="2:25" s="72" customFormat="1" x14ac:dyDescent="0.35">
      <c r="B150" s="15">
        <v>44774</v>
      </c>
      <c r="C150" s="20">
        <f>IF(VLOOKUP(B150,'Data Core CPI'!$A:$AX,MATCH($C$1,'Data Core CPI'!$A$1:$AX$1,),)=0,#N/A,(VLOOKUP(B150,'Data Core CPI'!$A:$AX,MATCH($C$1,'Data Core CPI'!$A$1:$AX$1,),)-VLOOKUP(EDATE(B150,-12),'Data Core CPI'!$A:$AX,MATCH($C$1,'Data Core CPI'!$A$1:$AX$1,),))/VLOOKUP(EDATE(B150,-12),'Data Core CPI'!$A:$AX,MATCH($C$1,'Data Core CPI'!$A$1:$AX$1,),))</f>
        <v>6.3222604722433046E-2</v>
      </c>
      <c r="D150" s="20" t="e">
        <f>(VLOOKUP(B150,'Data Core CPI'!$A:$AX,MATCH($D$1,'Data Core CPI'!$A$1:$AX$1,),)-VLOOKUP(EDATE(B150,-12),'Data Core CPI'!$A:$AX,MATCH($D$1,'Data Core CPI'!$A$1:$AX$1,),))/VLOOKUP(EDATE(B150,-12),'Data Core CPI'!$A:$AX,MATCH($D$1,'Data Core CPI'!$A$1:$AX$1,),)</f>
        <v>#DIV/0!</v>
      </c>
      <c r="E150" s="20">
        <f>IF(VLOOKUP(B150,'Data Core CPI'!$A:$AX,MATCH($E$1,'Data Core CPI'!$A$1:$AX$1,),)=0,#N/A,(VLOOKUP(B150,'Data Core CPI'!$A:$AX,MATCH($E$1,'Data Core CPI'!$A$1:$AX$1,),)-VLOOKUP(EDATE(B150,-12),'Data Core CPI'!$A:$AX,MATCH($E$1,'Data Core CPI'!$A$1:$AX$1,),))/VLOOKUP(EDATE(B150,-12),'Data Core CPI'!$A:$AX,MATCH($E$1,'Data Core CPI'!$A$1:$AX$1,),))</f>
        <v>4.2971321109544033E-2</v>
      </c>
      <c r="F150" s="20" t="e">
        <f>IF(VLOOKUP(B150,'Data Core CPI'!$A:$AX,MATCH($F$1,'Data Core CPI'!$A$1:$AX$1,),)=0,#N/A,(VLOOKUP(B150,'Data Core CPI'!$A:$AX,MATCH($F$1,'Data Core CPI'!$A$1:$AX$1,),)-VLOOKUP(EDATE(B150,-12),'Data Core CPI'!$A:$AX,MATCH($F$1,'Data Core CPI'!$A$1:$AX$1,),))/VLOOKUP(EDATE(B150,-12),'Data Core CPI'!$A:$AX,MATCH($F$1,'Data Core CPI'!$A$1:$AX$1,),))</f>
        <v>#N/A</v>
      </c>
      <c r="G150" s="20">
        <f>IF(VLOOKUP(B150,'Data Core CPI'!$A:$AX,MATCH($G$1,'Data Core CPI'!$A$1:$AX$1,),)=0,#N/A,(VLOOKUP(B150,'Data Core CPI'!$A:$AX,MATCH($G$1,'Data Core CPI'!$A$1:$AX$1,),)-VLOOKUP(EDATE(B150,-12),'Data Core CPI'!$A:$AX,MATCH($G$1,'Data Core CPI'!$A$1:$AX$1,),))/VLOOKUP(EDATE(B150,-12),'Data Core CPI'!$A:$AX,MATCH($G$1,'Data Core CPI'!$A$1:$AX$1,),))</f>
        <v>3.3603754438446626E-2</v>
      </c>
      <c r="H150" s="20">
        <f>IF(VLOOKUP(B150,'Data Core CPI'!$A:$AX,MATCH($H$1,'Data Core CPI'!$A$1:$AX$1,),)=0,#N/A,(VLOOKUP(B150,'Data Core CPI'!$A:$AX,MATCH($H$1,'Data Core CPI'!$A$1:$AX$1,),)-VLOOKUP(EDATE(B150,-12),'Data Core CPI'!$A:$AX,MATCH($H$1,'Data Core CPI'!$A$1:$AX$1,),))/VLOOKUP(EDATE(B150,-12),'Data Core CPI'!$A:$AX,MATCH($H$1,'Data Core CPI'!$A$1:$AX$1,),))</f>
        <v>3.5205875815267428E-2</v>
      </c>
      <c r="I150" s="20">
        <f>IF(VLOOKUP(B150,'Data Core CPI'!$A:$AX,MATCH($I$1,'Data Core CPI'!$A$1:$AX$1,),)=0,#N/A,(VLOOKUP(B150,'Data Core CPI'!$A:$AX,MATCH($I$1,'Data Core CPI'!$A$1:$AX$1,),)-VLOOKUP(EDATE(B150,-12),'Data Core CPI'!$A:$AX,MATCH($I$1,'Data Core CPI'!$A$1:$AX$1,),))/VLOOKUP(EDATE(B150,-12),'Data Core CPI'!$A:$AX,MATCH($I$1,'Data Core CPI'!$A$1:$AX$1,),))</f>
        <v>5.6049822064056912E-2</v>
      </c>
      <c r="J150" s="20">
        <f>IF(VLOOKUP(B150,'Data Core CPI'!$A:$AX,MATCH($J$1,'Data Core CPI'!$A$1:$AX$1,),)=0,#N/A,(VLOOKUP(B150,'Data Core CPI'!$A:$AX,MATCH($J$1,'Data Core CPI'!$A$1:$AX$1,),)-VLOOKUP(EDATE(B150,-12),'Data Core CPI'!$A:$AX,MATCH($J$1,'Data Core CPI'!$A$1:$AX$1,),))/VLOOKUP(EDATE(B150,-12),'Data Core CPI'!$A:$AX,MATCH($J$1,'Data Core CPI'!$A$1:$AX$1,),))</f>
        <v>3.4813225515311887E-2</v>
      </c>
      <c r="K150" s="20">
        <f>IF(VLOOKUP(B150,'Data Core CPI'!$A:$AX,MATCH($K$1,'Data Core CPI'!$A$1:$AX$1,),)=0,#N/A,(VLOOKUP(B150,'Data Core CPI'!$A:$AX,MATCH($K$1,'Data Core CPI'!$A$1:$AX$1,),)-VLOOKUP(EDATE(B150,-12),'Data Core CPI'!$A:$AX,MATCH($K$1,'Data Core CPI'!$A$1:$AX$1,),))/VLOOKUP(EDATE(B150,-12),'Data Core CPI'!$A:$AX,MATCH($K$1,'Data Core CPI'!$A$1:$AX$1,),))</f>
        <v>4.6918158482132107E-2</v>
      </c>
      <c r="L150" s="20">
        <f>IF(VLOOKUP(B150,'Data Core CPI'!$A:$AX,MATCH($L$1,'Data Core CPI'!$A$1:$AX$1,),)=0,#N/A,(VLOOKUP(B150,'Data Core CPI'!$A:$AX,MATCH($L$1,'Data Core CPI'!$A$1:$AX$1,),)-VLOOKUP(EDATE(B150,-12),'Data Core CPI'!$A:$AX,MATCH($L$1,'Data Core CPI'!$A$1:$AX$1,),))/VLOOKUP(EDATE(B150,-12),'Data Core CPI'!$A:$AX,MATCH($L$1,'Data Core CPI'!$A$1:$AX$1,),))</f>
        <v>6.5952611160182265E-2</v>
      </c>
      <c r="M150" s="20">
        <f>IF(VLOOKUP(B150,'Data Core CPI'!$A:$AX,MATCH($M$1,'Data Core CPI'!$A$1:$AX$1,),)=0,#N/A,(VLOOKUP(B150,'Data Core CPI'!$A:$AX,MATCH($M$1,'Data Core CPI'!$A$1:$AX$1,),)-VLOOKUP(EDATE(B150,-12),'Data Core CPI'!$A:$AX,MATCH($M$1,'Data Core CPI'!$A$1:$AX$1,),))/VLOOKUP(EDATE(B150,-12),'Data Core CPI'!$A:$AX,MATCH($M$1,'Data Core CPI'!$A$1:$AX$1,),))</f>
        <v>6.349579615372225E-2</v>
      </c>
      <c r="N150" s="20" t="e">
        <f>(VLOOKUP(B150,'Data Core CPI'!$A:$AX,MATCH($N$1,'Data Core CPI'!$A$1:$AX$1,),)-VLOOKUP(EDATE(B150,-12),'Data Core CPI'!$A:$AX,MATCH($N$1,'Data Core CPI'!$A$1:$AX$1,),))/VLOOKUP(EDATE(B150,-12),'Data Core CPI'!$A:$AX,MATCH($N$1,'Data Core CPI'!$A$1:$AX$1,),)</f>
        <v>#DIV/0!</v>
      </c>
      <c r="O150" s="20" t="e">
        <f>(VLOOKUP(B150,'Data Core CPI'!$A:$AX,MATCH($O$1,'Data Core CPI'!$A$1:$AX$1,),)-VLOOKUP(EDATE(B150,-12),'Data Core CPI'!$A:$AX,MATCH($O$1,'Data Core CPI'!$A$1:$AX$1,),))/VLOOKUP(EDATE(B150,-12),'Data Core CPI'!$A:$AX,MATCH($O$1,'Data Core CPI'!$A$1:$AX$1,),)</f>
        <v>#DIV/0!</v>
      </c>
      <c r="P150" s="20">
        <f>IF(VLOOKUP(B150,'Data Core CPI'!$A:$AX,MATCH($P$1,'Data Core CPI'!$A$1:$AX$1,),)=0,#N/A,(VLOOKUP(B150,'Data Core CPI'!$A:$AX,MATCH($P$1,'Data Core CPI'!$A$1:$AX$1,),)-VLOOKUP(EDATE(B150,-12),'Data Core CPI'!$A:$AX,MATCH($P$1,'Data Core CPI'!$A$1:$AX$1,),))/VLOOKUP(EDATE(B150,-12),'Data Core CPI'!$A:$AX,MATCH($P$1,'Data Core CPI'!$A$1:$AX$1,),))</f>
        <v>5.4039569112628E-2</v>
      </c>
      <c r="Q150" s="20" t="e">
        <f>(VLOOKUP(B150,'Data Core CPI'!$A:$AX,MATCH($Q$1,'Data Core CPI'!$A$1:$AX$1,),)-VLOOKUP(EDATE(B150,-12),'Data Core CPI'!$A:$AX,MATCH($Q$1,'Data Core CPI'!$A$1:$AX$1,),))/VLOOKUP(EDATE(B150,-12),'Data Core CPI'!$A:$AX,MATCH($Q$1,'Data Core CPI'!$A$1:$AX$1,),)</f>
        <v>#N/A</v>
      </c>
      <c r="R150" s="20">
        <f>IF(VLOOKUP(B150,'Data Core CPI'!$A:$AX,MATCH($R$1,'Data Core CPI'!$A$1:$AX$1,),)=0,#N/A,(VLOOKUP(B150,'Data Core CPI'!$A:$AX,MATCH($R$1,'Data Core CPI'!$A$1:$AX$1,),)-VLOOKUP(EDATE(B150,-12),'Data Core CPI'!$A:$AX,MATCH($R$1,'Data Core CPI'!$A$1:$AX$1,),))/VLOOKUP(EDATE(B150,-12),'Data Core CPI'!$A:$AX,MATCH($R$1,'Data Core CPI'!$A$1:$AX$1,),))</f>
        <v>1.9807980827791703E-2</v>
      </c>
      <c r="S150" s="20">
        <f>(VLOOKUP(B150,'Data Core CPI'!$A:$AX,MATCH($S$1,'Data Core CPI'!$A$1:$AX$1,),)-VLOOKUP(EDATE(B150,-12),'Data Core CPI'!$A:$AX,MATCH($S$1,'Data Core CPI'!$A$1:$AX$1,),))/VLOOKUP(EDATE(B150,-12),'Data Core CPI'!$A:$AX,MATCH($S$1,'Data Core CPI'!$A$1:$AX$1,),)</f>
        <v>3.9920662435205867E-2</v>
      </c>
      <c r="T150" s="20" t="e">
        <f>(VLOOKUP(B150,'Data Core CPI'!$A:$AX,MATCH($T$1,'Data Core CPI'!$A$1:$AX$1,),)-VLOOKUP(EDATE(B150,-12),'Data Core CPI'!$A:$AX,MATCH($T$1,'Data Core CPI'!$A$1:$AX$1,),))/VLOOKUP(EDATE(B150,-12),'Data Core CPI'!$A:$AX,MATCH($T$1,'Data Core CPI'!$A$1:$AX$1,),)</f>
        <v>#DIV/0!</v>
      </c>
      <c r="U150" s="20">
        <f>IF(VLOOKUP(B150,'Data Core CPI'!$A:$AX,MATCH($U$1,'Data Core CPI'!$A$1:$AX$1,),)=0,#N/A,(VLOOKUP(B150,'Data Core CPI'!$A:$AX,MATCH($U$1,'Data Core CPI'!$A$1:$AX$1,),)-VLOOKUP(EDATE(B150,-12),'Data Core CPI'!$A:$AX,MATCH($U$1,'Data Core CPI'!$A$1:$AX$1,),))/VLOOKUP(EDATE(B150,-12),'Data Core CPI'!$A:$AX,MATCH($U$1,'Data Core CPI'!$A$1:$AX$1,),))</f>
        <v>4.0985355141356899E-2</v>
      </c>
      <c r="V150" s="20">
        <f>(VLOOKUP(B150,'Data Core CPI'!$A:$AX,MATCH($V$1,'Data Core CPI'!$A$1:$AX$1,),)-VLOOKUP(EDATE(B150,-12),'Data Core CPI'!$A:$AX,MATCH($V$1,'Data Core CPI'!$A$1:$AX$1,),))/VLOOKUP(EDATE(B150,-12),'Data Core CPI'!$A:$AX,MATCH($V$1,'Data Core CPI'!$A$1:$AX$1,),)</f>
        <v>5.6115717427105374E-2</v>
      </c>
      <c r="W150" s="20">
        <f>IF(VLOOKUP(B150,'Data Core CPI'!$A:$AX,MATCH($W$1,'Data Core CPI'!$A$1:$AX$1,),)=0,#N/A,(VLOOKUP(B150,'Data Core CPI'!$A:$AX,MATCH($W$1,'Data Core CPI'!$A$1:$AX$1,),)-VLOOKUP(EDATE(B150,-12),'Data Core CPI'!$A:$AX,MATCH($W$1,'Data Core CPI'!$A$1:$AX$1,),))/VLOOKUP(EDATE(B150,-12),'Data Core CPI'!$A:$AX,MATCH($W$1,'Data Core CPI'!$A$1:$AX$1,),))</f>
        <v>0.67921061878365874</v>
      </c>
      <c r="X150" s="20">
        <f>IF(VLOOKUP(B150,'Data Core CPI'!$A:$AX,MATCH($X$1,'Data Core CPI'!$A$1:$AX$1,),)=0,#N/A,(VLOOKUP(B150,'Data Core CPI'!$A:$AX,MATCH($X$1,'Data Core CPI'!$A$1:$AX$1,),)-VLOOKUP(EDATE(B150,-12),'Data Core CPI'!$A:$AX,MATCH($X$1,'Data Core CPI'!$A$1:$AX$1,),))/VLOOKUP(EDATE(B150,-12),'Data Core CPI'!$A:$AX,MATCH($X$1,'Data Core CPI'!$A$1:$AX$1,),))</f>
        <v>0.13377926421404682</v>
      </c>
      <c r="Y150" s="20">
        <f>IF(VLOOKUP(B150,'Data Core CPI'!$A:$AX,MATCH($Y$1,'Data Core CPI'!$A$1:$AX$1,),)=0,#N/A,(VLOOKUP(B150,'Data Core CPI'!$A:$AX,MATCH($Y$1,'Data Core CPI'!$A$1:$AX$1,),)-VLOOKUP(EDATE(B150,-12),'Data Core CPI'!$A:$AX,MATCH($Y$1,'Data Core CPI'!$A$1:$AX$1,),))/VLOOKUP(EDATE(B150,-12),'Data Core CPI'!$A:$AX,MATCH($Y$1,'Data Core CPI'!$A$1:$AX$1,),))</f>
        <v>9.8055047316917721E-2</v>
      </c>
    </row>
    <row r="151" spans="2:25" s="72" customFormat="1" x14ac:dyDescent="0.35">
      <c r="B151" s="15">
        <v>44805</v>
      </c>
      <c r="C151" s="20">
        <f>IF(VLOOKUP(B151,'Data Core CPI'!$A:$AX,MATCH($C$1,'Data Core CPI'!$A$1:$AX$1,),)=0,#N/A,(VLOOKUP(B151,'Data Core CPI'!$A:$AX,MATCH($C$1,'Data Core CPI'!$A$1:$AX$1,),)-VLOOKUP(EDATE(B151,-12),'Data Core CPI'!$A:$AX,MATCH($C$1,'Data Core CPI'!$A$1:$AX$1,),))/VLOOKUP(EDATE(B151,-12),'Data Core CPI'!$A:$AX,MATCH($C$1,'Data Core CPI'!$A$1:$AX$1,),))</f>
        <v>6.6306089223442846E-2</v>
      </c>
      <c r="D151" s="20" t="e">
        <f>(VLOOKUP(B151,'Data Core CPI'!$A:$AX,MATCH($D$1,'Data Core CPI'!$A$1:$AX$1,),)-VLOOKUP(EDATE(B151,-12),'Data Core CPI'!$A:$AX,MATCH($D$1,'Data Core CPI'!$A$1:$AX$1,),))/VLOOKUP(EDATE(B151,-12),'Data Core CPI'!$A:$AX,MATCH($D$1,'Data Core CPI'!$A$1:$AX$1,),)</f>
        <v>#DIV/0!</v>
      </c>
      <c r="E151" s="20">
        <f>IF(VLOOKUP(B151,'Data Core CPI'!$A:$AX,MATCH($E$1,'Data Core CPI'!$A$1:$AX$1,),)=0,#N/A,(VLOOKUP(B151,'Data Core CPI'!$A:$AX,MATCH($E$1,'Data Core CPI'!$A$1:$AX$1,),)-VLOOKUP(EDATE(B151,-12),'Data Core CPI'!$A:$AX,MATCH($E$1,'Data Core CPI'!$A$1:$AX$1,),))/VLOOKUP(EDATE(B151,-12),'Data Core CPI'!$A:$AX,MATCH($E$1,'Data Core CPI'!$A$1:$AX$1,),))</f>
        <v>4.7521047708138427E-2</v>
      </c>
      <c r="F151" s="20" t="e">
        <f>IF(VLOOKUP(B151,'Data Core CPI'!$A:$AX,MATCH($F$1,'Data Core CPI'!$A$1:$AX$1,),)=0,#N/A,(VLOOKUP(B151,'Data Core CPI'!$A:$AX,MATCH($F$1,'Data Core CPI'!$A$1:$AX$1,),)-VLOOKUP(EDATE(B151,-12),'Data Core CPI'!$A:$AX,MATCH($F$1,'Data Core CPI'!$A$1:$AX$1,),))/VLOOKUP(EDATE(B151,-12),'Data Core CPI'!$A:$AX,MATCH($F$1,'Data Core CPI'!$A$1:$AX$1,),))</f>
        <v>#N/A</v>
      </c>
      <c r="G151" s="20">
        <f>IF(VLOOKUP(B151,'Data Core CPI'!$A:$AX,MATCH($G$1,'Data Core CPI'!$A$1:$AX$1,),)=0,#N/A,(VLOOKUP(B151,'Data Core CPI'!$A:$AX,MATCH($G$1,'Data Core CPI'!$A$1:$AX$1,),)-VLOOKUP(EDATE(B151,-12),'Data Core CPI'!$A:$AX,MATCH($G$1,'Data Core CPI'!$A$1:$AX$1,),))/VLOOKUP(EDATE(B151,-12),'Data Core CPI'!$A:$AX,MATCH($G$1,'Data Core CPI'!$A$1:$AX$1,),))</f>
        <v>4.6833043536932351E-2</v>
      </c>
      <c r="H151" s="20">
        <f>IF(VLOOKUP(B151,'Data Core CPI'!$A:$AX,MATCH($H$1,'Data Core CPI'!$A$1:$AX$1,),)=0,#N/A,(VLOOKUP(B151,'Data Core CPI'!$A:$AX,MATCH($H$1,'Data Core CPI'!$A$1:$AX$1,),)-VLOOKUP(EDATE(B151,-12),'Data Core CPI'!$A:$AX,MATCH($H$1,'Data Core CPI'!$A$1:$AX$1,),))/VLOOKUP(EDATE(B151,-12),'Data Core CPI'!$A:$AX,MATCH($H$1,'Data Core CPI'!$A$1:$AX$1,),))</f>
        <v>3.0955243159212314E-2</v>
      </c>
      <c r="I151" s="20">
        <f>IF(VLOOKUP(B151,'Data Core CPI'!$A:$AX,MATCH($I$1,'Data Core CPI'!$A$1:$AX$1,),)=0,#N/A,(VLOOKUP(B151,'Data Core CPI'!$A:$AX,MATCH($I$1,'Data Core CPI'!$A$1:$AX$1,),)-VLOOKUP(EDATE(B151,-12),'Data Core CPI'!$A:$AX,MATCH($I$1,'Data Core CPI'!$A$1:$AX$1,),))/VLOOKUP(EDATE(B151,-12),'Data Core CPI'!$A:$AX,MATCH($I$1,'Data Core CPI'!$A$1:$AX$1,),))</f>
        <v>5.7624113475177305E-2</v>
      </c>
      <c r="J151" s="20">
        <f>IF(VLOOKUP(B151,'Data Core CPI'!$A:$AX,MATCH($J$1,'Data Core CPI'!$A$1:$AX$1,),)=0,#N/A,(VLOOKUP(B151,'Data Core CPI'!$A:$AX,MATCH($J$1,'Data Core CPI'!$A$1:$AX$1,),)-VLOOKUP(EDATE(B151,-12),'Data Core CPI'!$A:$AX,MATCH($J$1,'Data Core CPI'!$A$1:$AX$1,),))/VLOOKUP(EDATE(B151,-12),'Data Core CPI'!$A:$AX,MATCH($J$1,'Data Core CPI'!$A$1:$AX$1,),))</f>
        <v>3.8833475714406727E-2</v>
      </c>
      <c r="K151" s="20">
        <f>IF(VLOOKUP(B151,'Data Core CPI'!$A:$AX,MATCH($K$1,'Data Core CPI'!$A$1:$AX$1,),)=0,#N/A,(VLOOKUP(B151,'Data Core CPI'!$A:$AX,MATCH($K$1,'Data Core CPI'!$A$1:$AX$1,),)-VLOOKUP(EDATE(B151,-12),'Data Core CPI'!$A:$AX,MATCH($K$1,'Data Core CPI'!$A$1:$AX$1,),))/VLOOKUP(EDATE(B151,-12),'Data Core CPI'!$A:$AX,MATCH($K$1,'Data Core CPI'!$A$1:$AX$1,),))</f>
        <v>4.4188912173965332E-2</v>
      </c>
      <c r="L151" s="20">
        <f>IF(VLOOKUP(B151,'Data Core CPI'!$A:$AX,MATCH($L$1,'Data Core CPI'!$A$1:$AX$1,),)=0,#N/A,(VLOOKUP(B151,'Data Core CPI'!$A:$AX,MATCH($L$1,'Data Core CPI'!$A$1:$AX$1,),)-VLOOKUP(EDATE(B151,-12),'Data Core CPI'!$A:$AX,MATCH($L$1,'Data Core CPI'!$A$1:$AX$1,),))/VLOOKUP(EDATE(B151,-12),'Data Core CPI'!$A:$AX,MATCH($L$1,'Data Core CPI'!$A$1:$AX$1,),))</f>
        <v>7.3769383506330957E-2</v>
      </c>
      <c r="M151" s="20">
        <f>IF(VLOOKUP(B151,'Data Core CPI'!$A:$AX,MATCH($M$1,'Data Core CPI'!$A$1:$AX$1,),)=0,#N/A,(VLOOKUP(B151,'Data Core CPI'!$A:$AX,MATCH($M$1,'Data Core CPI'!$A$1:$AX$1,),)-VLOOKUP(EDATE(B151,-12),'Data Core CPI'!$A:$AX,MATCH($M$1,'Data Core CPI'!$A$1:$AX$1,),))/VLOOKUP(EDATE(B151,-12),'Data Core CPI'!$A:$AX,MATCH($M$1,'Data Core CPI'!$A$1:$AX$1,),))</f>
        <v>6.5008274305672603E-2</v>
      </c>
      <c r="N151" s="20" t="e">
        <f>(VLOOKUP(B151,'Data Core CPI'!$A:$AX,MATCH($N$1,'Data Core CPI'!$A$1:$AX$1,),)-VLOOKUP(EDATE(B151,-12),'Data Core CPI'!$A:$AX,MATCH($N$1,'Data Core CPI'!$A$1:$AX$1,),))/VLOOKUP(EDATE(B151,-12),'Data Core CPI'!$A:$AX,MATCH($N$1,'Data Core CPI'!$A$1:$AX$1,),)</f>
        <v>#DIV/0!</v>
      </c>
      <c r="O151" s="20" t="e">
        <f>(VLOOKUP(B151,'Data Core CPI'!$A:$AX,MATCH($O$1,'Data Core CPI'!$A$1:$AX$1,),)-VLOOKUP(EDATE(B151,-12),'Data Core CPI'!$A:$AX,MATCH($O$1,'Data Core CPI'!$A$1:$AX$1,),))/VLOOKUP(EDATE(B151,-12),'Data Core CPI'!$A:$AX,MATCH($O$1,'Data Core CPI'!$A$1:$AX$1,),)</f>
        <v>#DIV/0!</v>
      </c>
      <c r="P151" s="20">
        <f>IF(VLOOKUP(B151,'Data Core CPI'!$A:$AX,MATCH($P$1,'Data Core CPI'!$A$1:$AX$1,),)=0,#N/A,(VLOOKUP(B151,'Data Core CPI'!$A:$AX,MATCH($P$1,'Data Core CPI'!$A$1:$AX$1,),)-VLOOKUP(EDATE(B151,-12),'Data Core CPI'!$A:$AX,MATCH($P$1,'Data Core CPI'!$A$1:$AX$1,),))/VLOOKUP(EDATE(B151,-12),'Data Core CPI'!$A:$AX,MATCH($P$1,'Data Core CPI'!$A$1:$AX$1,),))</f>
        <v>5.5939801075335596E-2</v>
      </c>
      <c r="Q151" s="20" t="e">
        <f>(VLOOKUP(B151,'Data Core CPI'!$A:$AX,MATCH($Q$1,'Data Core CPI'!$A$1:$AX$1,),)-VLOOKUP(EDATE(B151,-12),'Data Core CPI'!$A:$AX,MATCH($Q$1,'Data Core CPI'!$A$1:$AX$1,),))/VLOOKUP(EDATE(B151,-12),'Data Core CPI'!$A:$AX,MATCH($Q$1,'Data Core CPI'!$A$1:$AX$1,),)</f>
        <v>#N/A</v>
      </c>
      <c r="R151" s="20">
        <f>IF(VLOOKUP(B151,'Data Core CPI'!$A:$AX,MATCH($R$1,'Data Core CPI'!$A$1:$AX$1,),)=0,#N/A,(VLOOKUP(B151,'Data Core CPI'!$A:$AX,MATCH($R$1,'Data Core CPI'!$A$1:$AX$1,),)-VLOOKUP(EDATE(B151,-12),'Data Core CPI'!$A:$AX,MATCH($R$1,'Data Core CPI'!$A$1:$AX$1,),))/VLOOKUP(EDATE(B151,-12),'Data Core CPI'!$A:$AX,MATCH($R$1,'Data Core CPI'!$A$1:$AX$1,),))</f>
        <v>1.918427971623848E-2</v>
      </c>
      <c r="S151" s="20">
        <f>(VLOOKUP(B151,'Data Core CPI'!$A:$AX,MATCH($S$1,'Data Core CPI'!$A$1:$AX$1,),)-VLOOKUP(EDATE(B151,-12),'Data Core CPI'!$A:$AX,MATCH($S$1,'Data Core CPI'!$A$1:$AX$1,),))/VLOOKUP(EDATE(B151,-12),'Data Core CPI'!$A:$AX,MATCH($S$1,'Data Core CPI'!$A$1:$AX$1,),)</f>
        <v>4.0657374243815894E-2</v>
      </c>
      <c r="T151" s="20" t="e">
        <f>(VLOOKUP(B151,'Data Core CPI'!$A:$AX,MATCH($T$1,'Data Core CPI'!$A$1:$AX$1,),)-VLOOKUP(EDATE(B151,-12),'Data Core CPI'!$A:$AX,MATCH($T$1,'Data Core CPI'!$A$1:$AX$1,),))/VLOOKUP(EDATE(B151,-12),'Data Core CPI'!$A:$AX,MATCH($T$1,'Data Core CPI'!$A$1:$AX$1,),)</f>
        <v>#DIV/0!</v>
      </c>
      <c r="U151" s="20">
        <f>IF(VLOOKUP(B151,'Data Core CPI'!$A:$AX,MATCH($U$1,'Data Core CPI'!$A$1:$AX$1,),)=0,#N/A,(VLOOKUP(B151,'Data Core CPI'!$A:$AX,MATCH($U$1,'Data Core CPI'!$A$1:$AX$1,),)-VLOOKUP(EDATE(B151,-12),'Data Core CPI'!$A:$AX,MATCH($U$1,'Data Core CPI'!$A$1:$AX$1,),))/VLOOKUP(EDATE(B151,-12),'Data Core CPI'!$A:$AX,MATCH($U$1,'Data Core CPI'!$A$1:$AX$1,),))</f>
        <v>4.7170596799185879E-2</v>
      </c>
      <c r="V151" s="20">
        <f>(VLOOKUP(B151,'Data Core CPI'!$A:$AX,MATCH($V$1,'Data Core CPI'!$A$1:$AX$1,),)-VLOOKUP(EDATE(B151,-12),'Data Core CPI'!$A:$AX,MATCH($V$1,'Data Core CPI'!$A$1:$AX$1,),))/VLOOKUP(EDATE(B151,-12),'Data Core CPI'!$A:$AX,MATCH($V$1,'Data Core CPI'!$A$1:$AX$1,),)</f>
        <v>4.9671012757962305E-2</v>
      </c>
      <c r="W151" s="20">
        <f>IF(VLOOKUP(B151,'Data Core CPI'!$A:$AX,MATCH($W$1,'Data Core CPI'!$A$1:$AX$1,),)=0,#N/A,(VLOOKUP(B151,'Data Core CPI'!$A:$AX,MATCH($W$1,'Data Core CPI'!$A$1:$AX$1,),)-VLOOKUP(EDATE(B151,-12),'Data Core CPI'!$A:$AX,MATCH($W$1,'Data Core CPI'!$A$1:$AX$1,),))/VLOOKUP(EDATE(B151,-12),'Data Core CPI'!$A:$AX,MATCH($W$1,'Data Core CPI'!$A$1:$AX$1,),))</f>
        <v>0.69668230826487498</v>
      </c>
      <c r="X151" s="20">
        <f>IF(VLOOKUP(B151,'Data Core CPI'!$A:$AX,MATCH($X$1,'Data Core CPI'!$A$1:$AX$1,),)=0,#N/A,(VLOOKUP(B151,'Data Core CPI'!$A:$AX,MATCH($X$1,'Data Core CPI'!$A$1:$AX$1,),)-VLOOKUP(EDATE(B151,-12),'Data Core CPI'!$A:$AX,MATCH($X$1,'Data Core CPI'!$A$1:$AX$1,),))/VLOOKUP(EDATE(B151,-12),'Data Core CPI'!$A:$AX,MATCH($X$1,'Data Core CPI'!$A$1:$AX$1,),))</f>
        <v>0.13405495420482927</v>
      </c>
      <c r="Y151" s="20">
        <f>IF(VLOOKUP(B151,'Data Core CPI'!$A:$AX,MATCH($Y$1,'Data Core CPI'!$A$1:$AX$1,),)=0,#N/A,(VLOOKUP(B151,'Data Core CPI'!$A:$AX,MATCH($Y$1,'Data Core CPI'!$A$1:$AX$1,),)-VLOOKUP(EDATE(B151,-12),'Data Core CPI'!$A:$AX,MATCH($Y$1,'Data Core CPI'!$A$1:$AX$1,),))/VLOOKUP(EDATE(B151,-12),'Data Core CPI'!$A:$AX,MATCH($Y$1,'Data Core CPI'!$A$1:$AX$1,),))</f>
        <v>0.10587276316853836</v>
      </c>
    </row>
    <row r="152" spans="2:25" s="72" customFormat="1" x14ac:dyDescent="0.35">
      <c r="B152" s="15">
        <v>44835</v>
      </c>
      <c r="C152" s="20">
        <f>IF(VLOOKUP(B152,'Data Core CPI'!$A:$AX,MATCH($C$1,'Data Core CPI'!$A$1:$AX$1,),)=0,#N/A,(VLOOKUP(B152,'Data Core CPI'!$A:$AX,MATCH($C$1,'Data Core CPI'!$A$1:$AX$1,),)-VLOOKUP(EDATE(B152,-12),'Data Core CPI'!$A:$AX,MATCH($C$1,'Data Core CPI'!$A$1:$AX$1,),))/VLOOKUP(EDATE(B152,-12),'Data Core CPI'!$A:$AX,MATCH($C$1,'Data Core CPI'!$A$1:$AX$1,),))</f>
        <v>6.2843487827767719E-2</v>
      </c>
      <c r="D152" s="20" t="e">
        <f>(VLOOKUP(B152,'Data Core CPI'!$A:$AX,MATCH($D$1,'Data Core CPI'!$A$1:$AX$1,),)-VLOOKUP(EDATE(B152,-12),'Data Core CPI'!$A:$AX,MATCH($D$1,'Data Core CPI'!$A$1:$AX$1,),))/VLOOKUP(EDATE(B152,-12),'Data Core CPI'!$A:$AX,MATCH($D$1,'Data Core CPI'!$A$1:$AX$1,),)</f>
        <v>#DIV/0!</v>
      </c>
      <c r="E152" s="20">
        <f>IF(VLOOKUP(B152,'Data Core CPI'!$A:$AX,MATCH($E$1,'Data Core CPI'!$A$1:$AX$1,),)=0,#N/A,(VLOOKUP(B152,'Data Core CPI'!$A:$AX,MATCH($E$1,'Data Core CPI'!$A$1:$AX$1,),)-VLOOKUP(EDATE(B152,-12),'Data Core CPI'!$A:$AX,MATCH($E$1,'Data Core CPI'!$A$1:$AX$1,),))/VLOOKUP(EDATE(B152,-12),'Data Core CPI'!$A:$AX,MATCH($E$1,'Data Core CPI'!$A$1:$AX$1,),))</f>
        <v>5.0177205745196747E-2</v>
      </c>
      <c r="F152" s="20" t="e">
        <f>IF(VLOOKUP(B152,'Data Core CPI'!$A:$AX,MATCH($F$1,'Data Core CPI'!$A$1:$AX$1,),)=0,#N/A,(VLOOKUP(B152,'Data Core CPI'!$A:$AX,MATCH($F$1,'Data Core CPI'!$A$1:$AX$1,),)-VLOOKUP(EDATE(B152,-12),'Data Core CPI'!$A:$AX,MATCH($F$1,'Data Core CPI'!$A$1:$AX$1,),))/VLOOKUP(EDATE(B152,-12),'Data Core CPI'!$A:$AX,MATCH($F$1,'Data Core CPI'!$A$1:$AX$1,),))</f>
        <v>#N/A</v>
      </c>
      <c r="G152" s="20">
        <f>IF(VLOOKUP(B152,'Data Core CPI'!$A:$AX,MATCH($G$1,'Data Core CPI'!$A$1:$AX$1,),)=0,#N/A,(VLOOKUP(B152,'Data Core CPI'!$A:$AX,MATCH($G$1,'Data Core CPI'!$A$1:$AX$1,),)-VLOOKUP(EDATE(B152,-12),'Data Core CPI'!$A:$AX,MATCH($G$1,'Data Core CPI'!$A$1:$AX$1,),))/VLOOKUP(EDATE(B152,-12),'Data Core CPI'!$A:$AX,MATCH($G$1,'Data Core CPI'!$A$1:$AX$1,),))</f>
        <v>5.0144327417837198E-2</v>
      </c>
      <c r="H152" s="20">
        <f>IF(VLOOKUP(B152,'Data Core CPI'!$A:$AX,MATCH($H$1,'Data Core CPI'!$A$1:$AX$1,),)=0,#N/A,(VLOOKUP(B152,'Data Core CPI'!$A:$AX,MATCH($H$1,'Data Core CPI'!$A$1:$AX$1,),)-VLOOKUP(EDATE(B152,-12),'Data Core CPI'!$A:$AX,MATCH($H$1,'Data Core CPI'!$A$1:$AX$1,),))/VLOOKUP(EDATE(B152,-12),'Data Core CPI'!$A:$AX,MATCH($H$1,'Data Core CPI'!$A$1:$AX$1,),))</f>
        <v>3.278185924461758E-2</v>
      </c>
      <c r="I152" s="20">
        <f>IF(VLOOKUP(B152,'Data Core CPI'!$A:$AX,MATCH($I$1,'Data Core CPI'!$A$1:$AX$1,),)=0,#N/A,(VLOOKUP(B152,'Data Core CPI'!$A:$AX,MATCH($I$1,'Data Core CPI'!$A$1:$AX$1,),)-VLOOKUP(EDATE(B152,-12),'Data Core CPI'!$A:$AX,MATCH($I$1,'Data Core CPI'!$A$1:$AX$1,),))/VLOOKUP(EDATE(B152,-12),'Data Core CPI'!$A:$AX,MATCH($I$1,'Data Core CPI'!$A$1:$AX$1,),))</f>
        <v>5.8201058201058149E-2</v>
      </c>
      <c r="J152" s="20">
        <f>IF(VLOOKUP(B152,'Data Core CPI'!$A:$AX,MATCH($J$1,'Data Core CPI'!$A$1:$AX$1,),)=0,#N/A,(VLOOKUP(B152,'Data Core CPI'!$A:$AX,MATCH($J$1,'Data Core CPI'!$A$1:$AX$1,),)-VLOOKUP(EDATE(B152,-12),'Data Core CPI'!$A:$AX,MATCH($J$1,'Data Core CPI'!$A$1:$AX$1,),))/VLOOKUP(EDATE(B152,-12),'Data Core CPI'!$A:$AX,MATCH($J$1,'Data Core CPI'!$A$1:$AX$1,),))</f>
        <v>4.0634775149301985E-2</v>
      </c>
      <c r="K152" s="20">
        <f>IF(VLOOKUP(B152,'Data Core CPI'!$A:$AX,MATCH($K$1,'Data Core CPI'!$A$1:$AX$1,),)=0,#N/A,(VLOOKUP(B152,'Data Core CPI'!$A:$AX,MATCH($K$1,'Data Core CPI'!$A$1:$AX$1,),)-VLOOKUP(EDATE(B152,-12),'Data Core CPI'!$A:$AX,MATCH($K$1,'Data Core CPI'!$A$1:$AX$1,),))/VLOOKUP(EDATE(B152,-12),'Data Core CPI'!$A:$AX,MATCH($K$1,'Data Core CPI'!$A$1:$AX$1,),))</f>
        <v>4.2213581326618267E-2</v>
      </c>
      <c r="L152" s="20">
        <f>IF(VLOOKUP(B152,'Data Core CPI'!$A:$AX,MATCH($L$1,'Data Core CPI'!$A$1:$AX$1,),)=0,#N/A,(VLOOKUP(B152,'Data Core CPI'!$A:$AX,MATCH($L$1,'Data Core CPI'!$A$1:$AX$1,),)-VLOOKUP(EDATE(B152,-12),'Data Core CPI'!$A:$AX,MATCH($L$1,'Data Core CPI'!$A$1:$AX$1,),))/VLOOKUP(EDATE(B152,-12),'Data Core CPI'!$A:$AX,MATCH($L$1,'Data Core CPI'!$A$1:$AX$1,),))</f>
        <v>8.2195532400470256E-2</v>
      </c>
      <c r="M152" s="20">
        <f>IF(VLOOKUP(B152,'Data Core CPI'!$A:$AX,MATCH($M$1,'Data Core CPI'!$A$1:$AX$1,),)=0,#N/A,(VLOOKUP(B152,'Data Core CPI'!$A:$AX,MATCH($M$1,'Data Core CPI'!$A$1:$AX$1,),)-VLOOKUP(EDATE(B152,-12),'Data Core CPI'!$A:$AX,MATCH($M$1,'Data Core CPI'!$A$1:$AX$1,),))/VLOOKUP(EDATE(B152,-12),'Data Core CPI'!$A:$AX,MATCH($M$1,'Data Core CPI'!$A$1:$AX$1,),))</f>
        <v>6.550430869482872E-2</v>
      </c>
      <c r="N152" s="20" t="e">
        <f>(VLOOKUP(B152,'Data Core CPI'!$A:$AX,MATCH($N$1,'Data Core CPI'!$A$1:$AX$1,),)-VLOOKUP(EDATE(B152,-12),'Data Core CPI'!$A:$AX,MATCH($N$1,'Data Core CPI'!$A$1:$AX$1,),))/VLOOKUP(EDATE(B152,-12),'Data Core CPI'!$A:$AX,MATCH($N$1,'Data Core CPI'!$A$1:$AX$1,),)</f>
        <v>#DIV/0!</v>
      </c>
      <c r="O152" s="20" t="e">
        <f>(VLOOKUP(B152,'Data Core CPI'!$A:$AX,MATCH($O$1,'Data Core CPI'!$A$1:$AX$1,),)-VLOOKUP(EDATE(B152,-12),'Data Core CPI'!$A:$AX,MATCH($O$1,'Data Core CPI'!$A$1:$AX$1,),))/VLOOKUP(EDATE(B152,-12),'Data Core CPI'!$A:$AX,MATCH($O$1,'Data Core CPI'!$A$1:$AX$1,),)</f>
        <v>#DIV/0!</v>
      </c>
      <c r="P152" s="20">
        <f>IF(VLOOKUP(B152,'Data Core CPI'!$A:$AX,MATCH($P$1,'Data Core CPI'!$A$1:$AX$1,),)=0,#N/A,(VLOOKUP(B152,'Data Core CPI'!$A:$AX,MATCH($P$1,'Data Core CPI'!$A$1:$AX$1,),)-VLOOKUP(EDATE(B152,-12),'Data Core CPI'!$A:$AX,MATCH($P$1,'Data Core CPI'!$A$1:$AX$1,),))/VLOOKUP(EDATE(B152,-12),'Data Core CPI'!$A:$AX,MATCH($P$1,'Data Core CPI'!$A$1:$AX$1,),))</f>
        <v>5.4218298201081573E-2</v>
      </c>
      <c r="Q152" s="20" t="e">
        <f>(VLOOKUP(B152,'Data Core CPI'!$A:$AX,MATCH($Q$1,'Data Core CPI'!$A$1:$AX$1,),)-VLOOKUP(EDATE(B152,-12),'Data Core CPI'!$A:$AX,MATCH($Q$1,'Data Core CPI'!$A$1:$AX$1,),))/VLOOKUP(EDATE(B152,-12),'Data Core CPI'!$A:$AX,MATCH($Q$1,'Data Core CPI'!$A$1:$AX$1,),)</f>
        <v>#N/A</v>
      </c>
      <c r="R152" s="20">
        <f>IF(VLOOKUP(B152,'Data Core CPI'!$A:$AX,MATCH($R$1,'Data Core CPI'!$A$1:$AX$1,),)=0,#N/A,(VLOOKUP(B152,'Data Core CPI'!$A:$AX,MATCH($R$1,'Data Core CPI'!$A$1:$AX$1,),)-VLOOKUP(EDATE(B152,-12),'Data Core CPI'!$A:$AX,MATCH($R$1,'Data Core CPI'!$A$1:$AX$1,),))/VLOOKUP(EDATE(B152,-12),'Data Core CPI'!$A:$AX,MATCH($R$1,'Data Core CPI'!$A$1:$AX$1,),))</f>
        <v>1.6061961318603126E-2</v>
      </c>
      <c r="S152" s="20">
        <f>(VLOOKUP(B152,'Data Core CPI'!$A:$AX,MATCH($S$1,'Data Core CPI'!$A$1:$AX$1,),)-VLOOKUP(EDATE(B152,-12),'Data Core CPI'!$A:$AX,MATCH($S$1,'Data Core CPI'!$A$1:$AX$1,),))/VLOOKUP(EDATE(B152,-12),'Data Core CPI'!$A:$AX,MATCH($S$1,'Data Core CPI'!$A$1:$AX$1,),)</f>
        <v>4.1834836496225811E-2</v>
      </c>
      <c r="T152" s="20" t="e">
        <f>(VLOOKUP(B152,'Data Core CPI'!$A:$AX,MATCH($T$1,'Data Core CPI'!$A$1:$AX$1,),)-VLOOKUP(EDATE(B152,-12),'Data Core CPI'!$A:$AX,MATCH($T$1,'Data Core CPI'!$A$1:$AX$1,),))/VLOOKUP(EDATE(B152,-12),'Data Core CPI'!$A:$AX,MATCH($T$1,'Data Core CPI'!$A$1:$AX$1,),)</f>
        <v>#DIV/0!</v>
      </c>
      <c r="U152" s="20">
        <f>IF(VLOOKUP(B152,'Data Core CPI'!$A:$AX,MATCH($U$1,'Data Core CPI'!$A$1:$AX$1,),)=0,#N/A,(VLOOKUP(B152,'Data Core CPI'!$A:$AX,MATCH($U$1,'Data Core CPI'!$A$1:$AX$1,),)-VLOOKUP(EDATE(B152,-12),'Data Core CPI'!$A:$AX,MATCH($U$1,'Data Core CPI'!$A$1:$AX$1,),))/VLOOKUP(EDATE(B152,-12),'Data Core CPI'!$A:$AX,MATCH($U$1,'Data Core CPI'!$A$1:$AX$1,),))</f>
        <v>5.0113409205337911E-2</v>
      </c>
      <c r="V152" s="20">
        <f>(VLOOKUP(B152,'Data Core CPI'!$A:$AX,MATCH($V$1,'Data Core CPI'!$A$1:$AX$1,),)-VLOOKUP(EDATE(B152,-12),'Data Core CPI'!$A:$AX,MATCH($V$1,'Data Core CPI'!$A$1:$AX$1,),))/VLOOKUP(EDATE(B152,-12),'Data Core CPI'!$A:$AX,MATCH($V$1,'Data Core CPI'!$A$1:$AX$1,),)</f>
        <v>4.994480009308775E-2</v>
      </c>
      <c r="W152" s="20">
        <f>IF(VLOOKUP(B152,'Data Core CPI'!$A:$AX,MATCH($W$1,'Data Core CPI'!$A$1:$AX$1,),)=0,#N/A,(VLOOKUP(B152,'Data Core CPI'!$A:$AX,MATCH($W$1,'Data Core CPI'!$A$1:$AX$1,),)-VLOOKUP(EDATE(B152,-12),'Data Core CPI'!$A:$AX,MATCH($W$1,'Data Core CPI'!$A$1:$AX$1,),))/VLOOKUP(EDATE(B152,-12),'Data Core CPI'!$A:$AX,MATCH($W$1,'Data Core CPI'!$A$1:$AX$1,),))</f>
        <v>0.71718986218556846</v>
      </c>
      <c r="X152" s="20">
        <f>IF(VLOOKUP(B152,'Data Core CPI'!$A:$AX,MATCH($X$1,'Data Core CPI'!$A$1:$AX$1,),)=0,#N/A,(VLOOKUP(B152,'Data Core CPI'!$A:$AX,MATCH($X$1,'Data Core CPI'!$A$1:$AX$1,),)-VLOOKUP(EDATE(B152,-12),'Data Core CPI'!$A:$AX,MATCH($X$1,'Data Core CPI'!$A$1:$AX$1,),))/VLOOKUP(EDATE(B152,-12),'Data Core CPI'!$A:$AX,MATCH($X$1,'Data Core CPI'!$A$1:$AX$1,),))</f>
        <v>0.13179571663920922</v>
      </c>
      <c r="Y152" s="20">
        <f>IF(VLOOKUP(B152,'Data Core CPI'!$A:$AX,MATCH($Y$1,'Data Core CPI'!$A$1:$AX$1,),)=0,#N/A,(VLOOKUP(B152,'Data Core CPI'!$A:$AX,MATCH($Y$1,'Data Core CPI'!$A$1:$AX$1,),)-VLOOKUP(EDATE(B152,-12),'Data Core CPI'!$A:$AX,MATCH($Y$1,'Data Core CPI'!$A$1:$AX$1,),))/VLOOKUP(EDATE(B152,-12),'Data Core CPI'!$A:$AX,MATCH($Y$1,'Data Core CPI'!$A$1:$AX$1,),))</f>
        <v>0.1089798083857919</v>
      </c>
    </row>
    <row r="153" spans="2:25" s="72" customFormat="1" x14ac:dyDescent="0.35">
      <c r="B153" s="15">
        <v>44866</v>
      </c>
      <c r="C153" s="20">
        <f>IF(VLOOKUP(B153,'Data Core CPI'!$A:$AX,MATCH($C$1,'Data Core CPI'!$A$1:$AX$1,),)=0,#N/A,(VLOOKUP(B153,'Data Core CPI'!$A:$AX,MATCH($C$1,'Data Core CPI'!$A$1:$AX$1,),)-VLOOKUP(EDATE(B153,-12),'Data Core CPI'!$A:$AX,MATCH($C$1,'Data Core CPI'!$A$1:$AX$1,),))/VLOOKUP(EDATE(B153,-12),'Data Core CPI'!$A:$AX,MATCH($C$1,'Data Core CPI'!$A$1:$AX$1,),))</f>
        <v>5.9578518457594924E-2</v>
      </c>
      <c r="D153" s="20" t="e">
        <f>(VLOOKUP(B153,'Data Core CPI'!$A:$AX,MATCH($D$1,'Data Core CPI'!$A$1:$AX$1,),)-VLOOKUP(EDATE(B153,-12),'Data Core CPI'!$A:$AX,MATCH($D$1,'Data Core CPI'!$A$1:$AX$1,),))/VLOOKUP(EDATE(B153,-12),'Data Core CPI'!$A:$AX,MATCH($D$1,'Data Core CPI'!$A$1:$AX$1,),)</f>
        <v>#DIV/0!</v>
      </c>
      <c r="E153" s="20">
        <f>IF(VLOOKUP(B153,'Data Core CPI'!$A:$AX,MATCH($E$1,'Data Core CPI'!$A$1:$AX$1,),)=0,#N/A,(VLOOKUP(B153,'Data Core CPI'!$A:$AX,MATCH($E$1,'Data Core CPI'!$A$1:$AX$1,),)-VLOOKUP(EDATE(B153,-12),'Data Core CPI'!$A:$AX,MATCH($E$1,'Data Core CPI'!$A$1:$AX$1,),))/VLOOKUP(EDATE(B153,-12),'Data Core CPI'!$A:$AX,MATCH($E$1,'Data Core CPI'!$A$1:$AX$1,),))</f>
        <v>4.9785567779227942E-2</v>
      </c>
      <c r="F153" s="20" t="e">
        <f>IF(VLOOKUP(B153,'Data Core CPI'!$A:$AX,MATCH($F$1,'Data Core CPI'!$A$1:$AX$1,),)=0,#N/A,(VLOOKUP(B153,'Data Core CPI'!$A:$AX,MATCH($F$1,'Data Core CPI'!$A$1:$AX$1,),)-VLOOKUP(EDATE(B153,-12),'Data Core CPI'!$A:$AX,MATCH($F$1,'Data Core CPI'!$A$1:$AX$1,),))/VLOOKUP(EDATE(B153,-12),'Data Core CPI'!$A:$AX,MATCH($F$1,'Data Core CPI'!$A$1:$AX$1,),))</f>
        <v>#N/A</v>
      </c>
      <c r="G153" s="20">
        <f>IF(VLOOKUP(B153,'Data Core CPI'!$A:$AX,MATCH($G$1,'Data Core CPI'!$A$1:$AX$1,),)=0,#N/A,(VLOOKUP(B153,'Data Core CPI'!$A:$AX,MATCH($G$1,'Data Core CPI'!$A$1:$AX$1,),)-VLOOKUP(EDATE(B153,-12),'Data Core CPI'!$A:$AX,MATCH($G$1,'Data Core CPI'!$A$1:$AX$1,),))/VLOOKUP(EDATE(B153,-12),'Data Core CPI'!$A:$AX,MATCH($G$1,'Data Core CPI'!$A$1:$AX$1,),))</f>
        <v>4.9739229533892711E-2</v>
      </c>
      <c r="H153" s="20">
        <f>IF(VLOOKUP(B153,'Data Core CPI'!$A:$AX,MATCH($H$1,'Data Core CPI'!$A$1:$AX$1,),)=0,#N/A,(VLOOKUP(B153,'Data Core CPI'!$A:$AX,MATCH($H$1,'Data Core CPI'!$A$1:$AX$1,),)-VLOOKUP(EDATE(B153,-12),'Data Core CPI'!$A:$AX,MATCH($H$1,'Data Core CPI'!$A$1:$AX$1,),))/VLOOKUP(EDATE(B153,-12),'Data Core CPI'!$A:$AX,MATCH($H$1,'Data Core CPI'!$A$1:$AX$1,),))</f>
        <v>3.2785545393031156E-2</v>
      </c>
      <c r="I153" s="20">
        <f>IF(VLOOKUP(B153,'Data Core CPI'!$A:$AX,MATCH($I$1,'Data Core CPI'!$A$1:$AX$1,),)=0,#N/A,(VLOOKUP(B153,'Data Core CPI'!$A:$AX,MATCH($I$1,'Data Core CPI'!$A$1:$AX$1,),)-VLOOKUP(EDATE(B153,-12),'Data Core CPI'!$A:$AX,MATCH($I$1,'Data Core CPI'!$A$1:$AX$1,),))/VLOOKUP(EDATE(B153,-12),'Data Core CPI'!$A:$AX,MATCH($I$1,'Data Core CPI'!$A$1:$AX$1,),))</f>
        <v>5.7067603160667252E-2</v>
      </c>
      <c r="J153" s="20">
        <f>IF(VLOOKUP(B153,'Data Core CPI'!$A:$AX,MATCH($J$1,'Data Core CPI'!$A$1:$AX$1,),)=0,#N/A,(VLOOKUP(B153,'Data Core CPI'!$A:$AX,MATCH($J$1,'Data Core CPI'!$A$1:$AX$1,),)-VLOOKUP(EDATE(B153,-12),'Data Core CPI'!$A:$AX,MATCH($J$1,'Data Core CPI'!$A$1:$AX$1,),))/VLOOKUP(EDATE(B153,-12),'Data Core CPI'!$A:$AX,MATCH($J$1,'Data Core CPI'!$A$1:$AX$1,),))</f>
        <v>4.1408408093028065E-2</v>
      </c>
      <c r="K153" s="20">
        <f>IF(VLOOKUP(B153,'Data Core CPI'!$A:$AX,MATCH($K$1,'Data Core CPI'!$A$1:$AX$1,),)=0,#N/A,(VLOOKUP(B153,'Data Core CPI'!$A:$AX,MATCH($K$1,'Data Core CPI'!$A$1:$AX$1,),)-VLOOKUP(EDATE(B153,-12),'Data Core CPI'!$A:$AX,MATCH($K$1,'Data Core CPI'!$A$1:$AX$1,),))/VLOOKUP(EDATE(B153,-12),'Data Core CPI'!$A:$AX,MATCH($K$1,'Data Core CPI'!$A$1:$AX$1,),))</f>
        <v>4.0856701788042703E-2</v>
      </c>
      <c r="L153" s="20">
        <f>IF(VLOOKUP(B153,'Data Core CPI'!$A:$AX,MATCH($L$1,'Data Core CPI'!$A$1:$AX$1,),)=0,#N/A,(VLOOKUP(B153,'Data Core CPI'!$A:$AX,MATCH($L$1,'Data Core CPI'!$A$1:$AX$1,),)-VLOOKUP(EDATE(B153,-12),'Data Core CPI'!$A:$AX,MATCH($L$1,'Data Core CPI'!$A$1:$AX$1,),))/VLOOKUP(EDATE(B153,-12),'Data Core CPI'!$A:$AX,MATCH($L$1,'Data Core CPI'!$A$1:$AX$1,),))</f>
        <v>8.6835443737853471E-2</v>
      </c>
      <c r="M153" s="20">
        <f>IF(VLOOKUP(B153,'Data Core CPI'!$A:$AX,MATCH($M$1,'Data Core CPI'!$A$1:$AX$1,),)=0,#N/A,(VLOOKUP(B153,'Data Core CPI'!$A:$AX,MATCH($M$1,'Data Core CPI'!$A$1:$AX$1,),)-VLOOKUP(EDATE(B153,-12),'Data Core CPI'!$A:$AX,MATCH($M$1,'Data Core CPI'!$A$1:$AX$1,),))/VLOOKUP(EDATE(B153,-12),'Data Core CPI'!$A:$AX,MATCH($M$1,'Data Core CPI'!$A$1:$AX$1,),))</f>
        <v>6.6332856309621296E-2</v>
      </c>
      <c r="N153" s="20" t="e">
        <f>(VLOOKUP(B153,'Data Core CPI'!$A:$AX,MATCH($N$1,'Data Core CPI'!$A$1:$AX$1,),)-VLOOKUP(EDATE(B153,-12),'Data Core CPI'!$A:$AX,MATCH($N$1,'Data Core CPI'!$A$1:$AX$1,),))/VLOOKUP(EDATE(B153,-12),'Data Core CPI'!$A:$AX,MATCH($N$1,'Data Core CPI'!$A$1:$AX$1,),)</f>
        <v>#DIV/0!</v>
      </c>
      <c r="O153" s="20" t="e">
        <f>(VLOOKUP(B153,'Data Core CPI'!$A:$AX,MATCH($O$1,'Data Core CPI'!$A$1:$AX$1,),)-VLOOKUP(EDATE(B153,-12),'Data Core CPI'!$A:$AX,MATCH($O$1,'Data Core CPI'!$A$1:$AX$1,),))/VLOOKUP(EDATE(B153,-12),'Data Core CPI'!$A:$AX,MATCH($O$1,'Data Core CPI'!$A$1:$AX$1,),)</f>
        <v>#DIV/0!</v>
      </c>
      <c r="P153" s="20">
        <f>IF(VLOOKUP(B153,'Data Core CPI'!$A:$AX,MATCH($P$1,'Data Core CPI'!$A$1:$AX$1,),)=0,#N/A,(VLOOKUP(B153,'Data Core CPI'!$A:$AX,MATCH($P$1,'Data Core CPI'!$A$1:$AX$1,),)-VLOOKUP(EDATE(B153,-12),'Data Core CPI'!$A:$AX,MATCH($P$1,'Data Core CPI'!$A$1:$AX$1,),))/VLOOKUP(EDATE(B153,-12),'Data Core CPI'!$A:$AX,MATCH($P$1,'Data Core CPI'!$A$1:$AX$1,),))</f>
        <v>5.4841212193957316E-2</v>
      </c>
      <c r="Q153" s="20" t="e">
        <f>(VLOOKUP(B153,'Data Core CPI'!$A:$AX,MATCH($Q$1,'Data Core CPI'!$A$1:$AX$1,),)-VLOOKUP(EDATE(B153,-12),'Data Core CPI'!$A:$AX,MATCH($Q$1,'Data Core CPI'!$A$1:$AX$1,),))/VLOOKUP(EDATE(B153,-12),'Data Core CPI'!$A:$AX,MATCH($Q$1,'Data Core CPI'!$A$1:$AX$1,),)</f>
        <v>#N/A</v>
      </c>
      <c r="R153" s="20">
        <f>IF(VLOOKUP(B153,'Data Core CPI'!$A:$AX,MATCH($R$1,'Data Core CPI'!$A$1:$AX$1,),)=0,#N/A,(VLOOKUP(B153,'Data Core CPI'!$A:$AX,MATCH($R$1,'Data Core CPI'!$A$1:$AX$1,),)-VLOOKUP(EDATE(B153,-12),'Data Core CPI'!$A:$AX,MATCH($R$1,'Data Core CPI'!$A$1:$AX$1,),))/VLOOKUP(EDATE(B153,-12),'Data Core CPI'!$A:$AX,MATCH($R$1,'Data Core CPI'!$A$1:$AX$1,),))</f>
        <v>1.6792431413385076E-2</v>
      </c>
      <c r="S153" s="20">
        <f>(VLOOKUP(B153,'Data Core CPI'!$A:$AX,MATCH($S$1,'Data Core CPI'!$A$1:$AX$1,),)-VLOOKUP(EDATE(B153,-12),'Data Core CPI'!$A:$AX,MATCH($S$1,'Data Core CPI'!$A$1:$AX$1,),))/VLOOKUP(EDATE(B153,-12),'Data Core CPI'!$A:$AX,MATCH($S$1,'Data Core CPI'!$A$1:$AX$1,),)</f>
        <v>4.2524105853663577E-2</v>
      </c>
      <c r="T153" s="20" t="e">
        <f>(VLOOKUP(B153,'Data Core CPI'!$A:$AX,MATCH($T$1,'Data Core CPI'!$A$1:$AX$1,),)-VLOOKUP(EDATE(B153,-12),'Data Core CPI'!$A:$AX,MATCH($T$1,'Data Core CPI'!$A$1:$AX$1,),))/VLOOKUP(EDATE(B153,-12),'Data Core CPI'!$A:$AX,MATCH($T$1,'Data Core CPI'!$A$1:$AX$1,),)</f>
        <v>#DIV/0!</v>
      </c>
      <c r="U153" s="20">
        <f>IF(VLOOKUP(B153,'Data Core CPI'!$A:$AX,MATCH($U$1,'Data Core CPI'!$A$1:$AX$1,),)=0,#N/A,(VLOOKUP(B153,'Data Core CPI'!$A:$AX,MATCH($U$1,'Data Core CPI'!$A$1:$AX$1,),)-VLOOKUP(EDATE(B153,-12),'Data Core CPI'!$A:$AX,MATCH($U$1,'Data Core CPI'!$A$1:$AX$1,),))/VLOOKUP(EDATE(B153,-12),'Data Core CPI'!$A:$AX,MATCH($U$1,'Data Core CPI'!$A$1:$AX$1,),))</f>
        <v>5.7032999339529898E-2</v>
      </c>
      <c r="V153" s="20">
        <f>(VLOOKUP(B153,'Data Core CPI'!$A:$AX,MATCH($V$1,'Data Core CPI'!$A$1:$AX$1,),)-VLOOKUP(EDATE(B153,-12),'Data Core CPI'!$A:$AX,MATCH($V$1,'Data Core CPI'!$A$1:$AX$1,),))/VLOOKUP(EDATE(B153,-12),'Data Core CPI'!$A:$AX,MATCH($V$1,'Data Core CPI'!$A$1:$AX$1,),)</f>
        <v>4.9999387054400331E-2</v>
      </c>
      <c r="W153" s="20">
        <f>IF(VLOOKUP(B153,'Data Core CPI'!$A:$AX,MATCH($W$1,'Data Core CPI'!$A$1:$AX$1,),)=0,#N/A,(VLOOKUP(B153,'Data Core CPI'!$A:$AX,MATCH($W$1,'Data Core CPI'!$A$1:$AX$1,),)-VLOOKUP(EDATE(B153,-12),'Data Core CPI'!$A:$AX,MATCH($W$1,'Data Core CPI'!$A$1:$AX$1,),))/VLOOKUP(EDATE(B153,-12),'Data Core CPI'!$A:$AX,MATCH($W$1,'Data Core CPI'!$A$1:$AX$1,),))</f>
        <v>0.70580041425117412</v>
      </c>
      <c r="X153" s="20">
        <f>IF(VLOOKUP(B153,'Data Core CPI'!$A:$AX,MATCH($X$1,'Data Core CPI'!$A$1:$AX$1,),)=0,#N/A,(VLOOKUP(B153,'Data Core CPI'!$A:$AX,MATCH($X$1,'Data Core CPI'!$A$1:$AX$1,),)-VLOOKUP(EDATE(B153,-12),'Data Core CPI'!$A:$AX,MATCH($X$1,'Data Core CPI'!$A$1:$AX$1,),))/VLOOKUP(EDATE(B153,-12),'Data Core CPI'!$A:$AX,MATCH($X$1,'Data Core CPI'!$A$1:$AX$1,),))</f>
        <v>0.13125512715340443</v>
      </c>
      <c r="Y153" s="20">
        <f>IF(VLOOKUP(B153,'Data Core CPI'!$A:$AX,MATCH($Y$1,'Data Core CPI'!$A$1:$AX$1,),)=0,#N/A,(VLOOKUP(B153,'Data Core CPI'!$A:$AX,MATCH($Y$1,'Data Core CPI'!$A$1:$AX$1,),)-VLOOKUP(EDATE(B153,-12),'Data Core CPI'!$A:$AX,MATCH($Y$1,'Data Core CPI'!$A$1:$AX$1,),))/VLOOKUP(EDATE(B153,-12),'Data Core CPI'!$A:$AX,MATCH($Y$1,'Data Core CPI'!$A$1:$AX$1,),))</f>
        <v>0.11238506292958507</v>
      </c>
    </row>
    <row r="154" spans="2:25" s="72" customFormat="1" x14ac:dyDescent="0.35">
      <c r="B154" s="15">
        <v>44896</v>
      </c>
      <c r="C154" s="20">
        <f>IF(VLOOKUP(B154,'Data Core CPI'!$A:$AX,MATCH($C$1,'Data Core CPI'!$A$1:$AX$1,),)=0,#N/A,(VLOOKUP(B154,'Data Core CPI'!$A:$AX,MATCH($C$1,'Data Core CPI'!$A$1:$AX$1,),)-VLOOKUP(EDATE(B154,-12),'Data Core CPI'!$A:$AX,MATCH($C$1,'Data Core CPI'!$A$1:$AX$1,),))/VLOOKUP(EDATE(B154,-12),'Data Core CPI'!$A:$AX,MATCH($C$1,'Data Core CPI'!$A$1:$AX$1,),))</f>
        <v>5.7077765832181493E-2</v>
      </c>
      <c r="D154" s="20" t="e">
        <f>(VLOOKUP(B154,'Data Core CPI'!$A:$AX,MATCH($D$1,'Data Core CPI'!$A$1:$AX$1,),)-VLOOKUP(EDATE(B154,-12),'Data Core CPI'!$A:$AX,MATCH($D$1,'Data Core CPI'!$A$1:$AX$1,),))/VLOOKUP(EDATE(B154,-12),'Data Core CPI'!$A:$AX,MATCH($D$1,'Data Core CPI'!$A$1:$AX$1,),)</f>
        <v>#DIV/0!</v>
      </c>
      <c r="E154" s="20" t="e">
        <f>IF(VLOOKUP(B154,'Data Core CPI'!$A:$AX,MATCH($E$1,'Data Core CPI'!$A$1:$AX$1,),)=0,#N/A,(VLOOKUP(B154,'Data Core CPI'!$A:$AX,MATCH($E$1,'Data Core CPI'!$A$1:$AX$1,),)-VLOOKUP(EDATE(B154,-12),'Data Core CPI'!$A:$AX,MATCH($E$1,'Data Core CPI'!$A$1:$AX$1,),))/VLOOKUP(EDATE(B154,-12),'Data Core CPI'!$A:$AX,MATCH($E$1,'Data Core CPI'!$A$1:$AX$1,),))</f>
        <v>#N/A</v>
      </c>
      <c r="F154" s="20" t="e">
        <f>IF(VLOOKUP(B154,'Data Core CPI'!$A:$AX,MATCH($F$1,'Data Core CPI'!$A$1:$AX$1,),)=0,#N/A,(VLOOKUP(B154,'Data Core CPI'!$A:$AX,MATCH($F$1,'Data Core CPI'!$A$1:$AX$1,),)-VLOOKUP(EDATE(B154,-12),'Data Core CPI'!$A:$AX,MATCH($F$1,'Data Core CPI'!$A$1:$AX$1,),))/VLOOKUP(EDATE(B154,-12),'Data Core CPI'!$A:$AX,MATCH($F$1,'Data Core CPI'!$A$1:$AX$1,),))</f>
        <v>#N/A</v>
      </c>
      <c r="G154" s="20" t="e">
        <f>IF(VLOOKUP(B154,'Data Core CPI'!$A:$AX,MATCH($G$1,'Data Core CPI'!$A$1:$AX$1,),)=0,#N/A,(VLOOKUP(B154,'Data Core CPI'!$A:$AX,MATCH($G$1,'Data Core CPI'!$A$1:$AX$1,),)-VLOOKUP(EDATE(B154,-12),'Data Core CPI'!$A:$AX,MATCH($G$1,'Data Core CPI'!$A$1:$AX$1,),))/VLOOKUP(EDATE(B154,-12),'Data Core CPI'!$A:$AX,MATCH($G$1,'Data Core CPI'!$A$1:$AX$1,),))</f>
        <v>#N/A</v>
      </c>
      <c r="H154" s="20">
        <f>IF(VLOOKUP(B154,'Data Core CPI'!$A:$AX,MATCH($H$1,'Data Core CPI'!$A$1:$AX$1,),)=0,#N/A,(VLOOKUP(B154,'Data Core CPI'!$A:$AX,MATCH($H$1,'Data Core CPI'!$A$1:$AX$1,),)-VLOOKUP(EDATE(B154,-12),'Data Core CPI'!$A:$AX,MATCH($H$1,'Data Core CPI'!$A$1:$AX$1,),))/VLOOKUP(EDATE(B154,-12),'Data Core CPI'!$A:$AX,MATCH($H$1,'Data Core CPI'!$A$1:$AX$1,),))</f>
        <v>3.3600397608657129E-2</v>
      </c>
      <c r="I154" s="20" t="e">
        <f>IF(VLOOKUP(B154,'Data Core CPI'!$A:$AX,MATCH($I$1,'Data Core CPI'!$A$1:$AX$1,),)=0,#N/A,(VLOOKUP(B154,'Data Core CPI'!$A:$AX,MATCH($I$1,'Data Core CPI'!$A$1:$AX$1,),)-VLOOKUP(EDATE(B154,-12),'Data Core CPI'!$A:$AX,MATCH($I$1,'Data Core CPI'!$A$1:$AX$1,),))/VLOOKUP(EDATE(B154,-12),'Data Core CPI'!$A:$AX,MATCH($I$1,'Data Core CPI'!$A$1:$AX$1,),))</f>
        <v>#N/A</v>
      </c>
      <c r="J154" s="20">
        <f>IF(VLOOKUP(B154,'Data Core CPI'!$A:$AX,MATCH($J$1,'Data Core CPI'!$A$1:$AX$1,),)=0,#N/A,(VLOOKUP(B154,'Data Core CPI'!$A:$AX,MATCH($J$1,'Data Core CPI'!$A$1:$AX$1,),)-VLOOKUP(EDATE(B154,-12),'Data Core CPI'!$A:$AX,MATCH($J$1,'Data Core CPI'!$A$1:$AX$1,),))/VLOOKUP(EDATE(B154,-12),'Data Core CPI'!$A:$AX,MATCH($J$1,'Data Core CPI'!$A$1:$AX$1,),))</f>
        <v>4.4694652640069971E-2</v>
      </c>
      <c r="K154" s="20">
        <f>IF(VLOOKUP(B154,'Data Core CPI'!$A:$AX,MATCH($K$1,'Data Core CPI'!$A$1:$AX$1,),)=0,#N/A,(VLOOKUP(B154,'Data Core CPI'!$A:$AX,MATCH($K$1,'Data Core CPI'!$A$1:$AX$1,),)-VLOOKUP(EDATE(B154,-12),'Data Core CPI'!$A:$AX,MATCH($K$1,'Data Core CPI'!$A$1:$AX$1,),))/VLOOKUP(EDATE(B154,-12),'Data Core CPI'!$A:$AX,MATCH($K$1,'Data Core CPI'!$A$1:$AX$1,),))</f>
        <v>4.4423051375175188E-2</v>
      </c>
      <c r="L154" s="20">
        <f>IF(VLOOKUP(B154,'Data Core CPI'!$A:$AX,MATCH($L$1,'Data Core CPI'!$A$1:$AX$1,),)=0,#N/A,(VLOOKUP(B154,'Data Core CPI'!$A:$AX,MATCH($L$1,'Data Core CPI'!$A$1:$AX$1,),)-VLOOKUP(EDATE(B154,-12),'Data Core CPI'!$A:$AX,MATCH($L$1,'Data Core CPI'!$A$1:$AX$1,),))/VLOOKUP(EDATE(B154,-12),'Data Core CPI'!$A:$AX,MATCH($L$1,'Data Core CPI'!$A$1:$AX$1,),))</f>
        <v>9.4480157615351709E-2</v>
      </c>
      <c r="M154" s="20">
        <f>IF(VLOOKUP(B154,'Data Core CPI'!$A:$AX,MATCH($M$1,'Data Core CPI'!$A$1:$AX$1,),)=0,#N/A,(VLOOKUP(B154,'Data Core CPI'!$A:$AX,MATCH($M$1,'Data Core CPI'!$A$1:$AX$1,),)-VLOOKUP(EDATE(B154,-12),'Data Core CPI'!$A:$AX,MATCH($M$1,'Data Core CPI'!$A$1:$AX$1,),))/VLOOKUP(EDATE(B154,-12),'Data Core CPI'!$A:$AX,MATCH($M$1,'Data Core CPI'!$A$1:$AX$1,),))</f>
        <v>6.4120774222937826E-2</v>
      </c>
      <c r="N154" s="20" t="e">
        <f>(VLOOKUP(B154,'Data Core CPI'!$A:$AX,MATCH($N$1,'Data Core CPI'!$A$1:$AX$1,),)-VLOOKUP(EDATE(B154,-12),'Data Core CPI'!$A:$AX,MATCH($N$1,'Data Core CPI'!$A$1:$AX$1,),))/VLOOKUP(EDATE(B154,-12),'Data Core CPI'!$A:$AX,MATCH($N$1,'Data Core CPI'!$A$1:$AX$1,),)</f>
        <v>#DIV/0!</v>
      </c>
      <c r="O154" s="20" t="e">
        <f>(VLOOKUP(B154,'Data Core CPI'!$A:$AX,MATCH($O$1,'Data Core CPI'!$A$1:$AX$1,),)-VLOOKUP(EDATE(B154,-12),'Data Core CPI'!$A:$AX,MATCH($O$1,'Data Core CPI'!$A$1:$AX$1,),))/VLOOKUP(EDATE(B154,-12),'Data Core CPI'!$A:$AX,MATCH($O$1,'Data Core CPI'!$A$1:$AX$1,),)</f>
        <v>#DIV/0!</v>
      </c>
      <c r="P154" s="20" t="e">
        <f>IF(VLOOKUP(B154,'Data Core CPI'!$A:$AX,MATCH($P$1,'Data Core CPI'!$A$1:$AX$1,),)=0,#N/A,(VLOOKUP(B154,'Data Core CPI'!$A:$AX,MATCH($P$1,'Data Core CPI'!$A$1:$AX$1,),)-VLOOKUP(EDATE(B154,-12),'Data Core CPI'!$A:$AX,MATCH($P$1,'Data Core CPI'!$A$1:$AX$1,),))/VLOOKUP(EDATE(B154,-12),'Data Core CPI'!$A:$AX,MATCH($P$1,'Data Core CPI'!$A$1:$AX$1,),))</f>
        <v>#N/A</v>
      </c>
      <c r="Q154" s="20" t="e">
        <f>(VLOOKUP(B154,'Data Core CPI'!$A:$AX,MATCH($Q$1,'Data Core CPI'!$A$1:$AX$1,),)-VLOOKUP(EDATE(B154,-12),'Data Core CPI'!$A:$AX,MATCH($Q$1,'Data Core CPI'!$A$1:$AX$1,),))/VLOOKUP(EDATE(B154,-12),'Data Core CPI'!$A:$AX,MATCH($Q$1,'Data Core CPI'!$A$1:$AX$1,),)</f>
        <v>#N/A</v>
      </c>
      <c r="R154" s="20">
        <f>IF(VLOOKUP(B154,'Data Core CPI'!$A:$AX,MATCH($R$1,'Data Core CPI'!$A$1:$AX$1,),)=0,#N/A,(VLOOKUP(B154,'Data Core CPI'!$A:$AX,MATCH($R$1,'Data Core CPI'!$A$1:$AX$1,),)-VLOOKUP(EDATE(B154,-12),'Data Core CPI'!$A:$AX,MATCH($R$1,'Data Core CPI'!$A$1:$AX$1,),))/VLOOKUP(EDATE(B154,-12),'Data Core CPI'!$A:$AX,MATCH($R$1,'Data Core CPI'!$A$1:$AX$1,),))</f>
        <v>1.7640314403724263E-2</v>
      </c>
      <c r="S154" s="20">
        <f>(VLOOKUP(B154,'Data Core CPI'!$A:$AX,MATCH($S$1,'Data Core CPI'!$A$1:$AX$1,),)-VLOOKUP(EDATE(B154,-12),'Data Core CPI'!$A:$AX,MATCH($S$1,'Data Core CPI'!$A$1:$AX$1,),))/VLOOKUP(EDATE(B154,-12),'Data Core CPI'!$A:$AX,MATCH($S$1,'Data Core CPI'!$A$1:$AX$1,),)</f>
        <v>4.0776299749741354E-2</v>
      </c>
      <c r="T154" s="20" t="e">
        <f>(VLOOKUP(B154,'Data Core CPI'!$A:$AX,MATCH($T$1,'Data Core CPI'!$A$1:$AX$1,),)-VLOOKUP(EDATE(B154,-12),'Data Core CPI'!$A:$AX,MATCH($T$1,'Data Core CPI'!$A$1:$AX$1,),))/VLOOKUP(EDATE(B154,-12),'Data Core CPI'!$A:$AX,MATCH($T$1,'Data Core CPI'!$A$1:$AX$1,),)</f>
        <v>#DIV/0!</v>
      </c>
      <c r="U154" s="20">
        <f>IF(VLOOKUP(B154,'Data Core CPI'!$A:$AX,MATCH($U$1,'Data Core CPI'!$A$1:$AX$1,),)=0,#N/A,(VLOOKUP(B154,'Data Core CPI'!$A:$AX,MATCH($U$1,'Data Core CPI'!$A$1:$AX$1,),)-VLOOKUP(EDATE(B154,-12),'Data Core CPI'!$A:$AX,MATCH($U$1,'Data Core CPI'!$A$1:$AX$1,),))/VLOOKUP(EDATE(B154,-12),'Data Core CPI'!$A:$AX,MATCH($U$1,'Data Core CPI'!$A$1:$AX$1,),))</f>
        <v>5.054003731819337E-2</v>
      </c>
      <c r="V154" s="20">
        <f>(VLOOKUP(B154,'Data Core CPI'!$A:$AX,MATCH($V$1,'Data Core CPI'!$A$1:$AX$1,),)-VLOOKUP(EDATE(B154,-12),'Data Core CPI'!$A:$AX,MATCH($V$1,'Data Core CPI'!$A$1:$AX$1,),))/VLOOKUP(EDATE(B154,-12),'Data Core CPI'!$A:$AX,MATCH($V$1,'Data Core CPI'!$A$1:$AX$1,),)</f>
        <v>4.9997280616043624E-2</v>
      </c>
      <c r="W154" s="20">
        <f>IF(VLOOKUP(B154,'Data Core CPI'!$A:$AX,MATCH($W$1,'Data Core CPI'!$A$1:$AX$1,),)=0,#N/A,(VLOOKUP(B154,'Data Core CPI'!$A:$AX,MATCH($W$1,'Data Core CPI'!$A$1:$AX$1,),)-VLOOKUP(EDATE(B154,-12),'Data Core CPI'!$A:$AX,MATCH($W$1,'Data Core CPI'!$A$1:$AX$1,),))/VLOOKUP(EDATE(B154,-12),'Data Core CPI'!$A:$AX,MATCH($W$1,'Data Core CPI'!$A$1:$AX$1,),))</f>
        <v>0.54278563494295085</v>
      </c>
      <c r="X154" s="20">
        <f>IF(VLOOKUP(B154,'Data Core CPI'!$A:$AX,MATCH($X$1,'Data Core CPI'!$A$1:$AX$1,),)=0,#N/A,(VLOOKUP(B154,'Data Core CPI'!$A:$AX,MATCH($X$1,'Data Core CPI'!$A$1:$AX$1,),)-VLOOKUP(EDATE(B154,-12),'Data Core CPI'!$A:$AX,MATCH($X$1,'Data Core CPI'!$A$1:$AX$1,),))/VLOOKUP(EDATE(B154,-12),'Data Core CPI'!$A:$AX,MATCH($X$1,'Data Core CPI'!$A$1:$AX$1,),))</f>
        <v>0.1210398050365557</v>
      </c>
      <c r="Y154" s="20">
        <f>IF(VLOOKUP(B154,'Data Core CPI'!$A:$AX,MATCH($Y$1,'Data Core CPI'!$A$1:$AX$1,),)=0,#N/A,(VLOOKUP(B154,'Data Core CPI'!$A:$AX,MATCH($Y$1,'Data Core CPI'!$A$1:$AX$1,),)-VLOOKUP(EDATE(B154,-12),'Data Core CPI'!$A:$AX,MATCH($Y$1,'Data Core CPI'!$A$1:$AX$1,),))/VLOOKUP(EDATE(B154,-12),'Data Core CPI'!$A:$AX,MATCH($Y$1,'Data Core CPI'!$A$1:$AX$1,),))</f>
        <v>0.11500397287407435</v>
      </c>
    </row>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4">
    <cfRule type="colorScale" priority="44">
      <colorScale>
        <cfvo type="min"/>
        <cfvo type="percentile" val="50"/>
        <cfvo type="max"/>
        <color rgb="FFF8696B"/>
        <color rgb="FFFFEB84"/>
        <color rgb="FF63BE7B"/>
      </colorScale>
    </cfRule>
  </conditionalFormatting>
  <conditionalFormatting sqref="D59:D154">
    <cfRule type="colorScale" priority="45">
      <colorScale>
        <cfvo type="min"/>
        <cfvo type="percentile" val="50"/>
        <cfvo type="max"/>
        <color rgb="FFF8696B"/>
        <color rgb="FFFFEB84"/>
        <color rgb="FF63BE7B"/>
      </colorScale>
    </cfRule>
  </conditionalFormatting>
  <conditionalFormatting sqref="E59:AA59 Z60:AA106 E60:Y154">
    <cfRule type="colorScale" priority="46">
      <colorScale>
        <cfvo type="min"/>
        <cfvo type="percentile" val="50"/>
        <cfvo type="max"/>
        <color rgb="FFF8696B"/>
        <color rgb="FFFFEB84"/>
        <color rgb="FF63BE7B"/>
      </colorScale>
    </cfRule>
  </conditionalFormatting>
  <conditionalFormatting sqref="C59:C154">
    <cfRule type="colorScale" priority="16">
      <colorScale>
        <cfvo type="min"/>
        <cfvo type="percentile" val="50"/>
        <cfvo type="max"/>
        <color rgb="FFF8696B"/>
        <color rgb="FFFFEB84"/>
        <color rgb="FF63BE7B"/>
      </colorScale>
    </cfRule>
  </conditionalFormatting>
  <conditionalFormatting sqref="E59:E154">
    <cfRule type="colorScale" priority="15">
      <colorScale>
        <cfvo type="min"/>
        <cfvo type="percentile" val="50"/>
        <cfvo type="max"/>
        <color rgb="FFF8696B"/>
        <color rgb="FFFFEB84"/>
        <color rgb="FF63BE7B"/>
      </colorScale>
    </cfRule>
  </conditionalFormatting>
  <conditionalFormatting sqref="F59:F154">
    <cfRule type="colorScale" priority="14">
      <colorScale>
        <cfvo type="min"/>
        <cfvo type="percentile" val="50"/>
        <cfvo type="max"/>
        <color rgb="FFF8696B"/>
        <color rgb="FFFFEB84"/>
        <color rgb="FF63BE7B"/>
      </colorScale>
    </cfRule>
  </conditionalFormatting>
  <conditionalFormatting sqref="G59:G154">
    <cfRule type="colorScale" priority="13">
      <colorScale>
        <cfvo type="min"/>
        <cfvo type="percentile" val="50"/>
        <cfvo type="max"/>
        <color rgb="FFF8696B"/>
        <color rgb="FFFFEB84"/>
        <color rgb="FF63BE7B"/>
      </colorScale>
    </cfRule>
  </conditionalFormatting>
  <conditionalFormatting sqref="H59:H154">
    <cfRule type="colorScale" priority="12">
      <colorScale>
        <cfvo type="min"/>
        <cfvo type="percentile" val="50"/>
        <cfvo type="max"/>
        <color rgb="FFF8696B"/>
        <color rgb="FFFFEB84"/>
        <color rgb="FF63BE7B"/>
      </colorScale>
    </cfRule>
  </conditionalFormatting>
  <conditionalFormatting sqref="I59:I154">
    <cfRule type="colorScale" priority="11">
      <colorScale>
        <cfvo type="min"/>
        <cfvo type="percentile" val="50"/>
        <cfvo type="max"/>
        <color rgb="FFF8696B"/>
        <color rgb="FFFFEB84"/>
        <color rgb="FF63BE7B"/>
      </colorScale>
    </cfRule>
  </conditionalFormatting>
  <conditionalFormatting sqref="J59:J154">
    <cfRule type="colorScale" priority="10">
      <colorScale>
        <cfvo type="min"/>
        <cfvo type="percentile" val="50"/>
        <cfvo type="max"/>
        <color rgb="FFF8696B"/>
        <color rgb="FFFFEB84"/>
        <color rgb="FF63BE7B"/>
      </colorScale>
    </cfRule>
  </conditionalFormatting>
  <conditionalFormatting sqref="K59:K154">
    <cfRule type="colorScale" priority="9">
      <colorScale>
        <cfvo type="min"/>
        <cfvo type="percentile" val="50"/>
        <cfvo type="max"/>
        <color rgb="FFF8696B"/>
        <color rgb="FFFFEB84"/>
        <color rgb="FF63BE7B"/>
      </colorScale>
    </cfRule>
  </conditionalFormatting>
  <conditionalFormatting sqref="L59:L154">
    <cfRule type="colorScale" priority="8">
      <colorScale>
        <cfvo type="min"/>
        <cfvo type="percentile" val="50"/>
        <cfvo type="max"/>
        <color rgb="FFF8696B"/>
        <color rgb="FFFFEB84"/>
        <color rgb="FF63BE7B"/>
      </colorScale>
    </cfRule>
  </conditionalFormatting>
  <conditionalFormatting sqref="M59:M154">
    <cfRule type="colorScale" priority="7">
      <colorScale>
        <cfvo type="min"/>
        <cfvo type="percentile" val="50"/>
        <cfvo type="max"/>
        <color rgb="FFF8696B"/>
        <color rgb="FFFFEB84"/>
        <color rgb="FF63BE7B"/>
      </colorScale>
    </cfRule>
  </conditionalFormatting>
  <conditionalFormatting sqref="P59:P154">
    <cfRule type="colorScale" priority="6">
      <colorScale>
        <cfvo type="min"/>
        <cfvo type="percentile" val="50"/>
        <cfvo type="max"/>
        <color rgb="FFF8696B"/>
        <color rgb="FFFFEB84"/>
        <color rgb="FF63BE7B"/>
      </colorScale>
    </cfRule>
  </conditionalFormatting>
  <conditionalFormatting sqref="R59:R154">
    <cfRule type="colorScale" priority="5">
      <colorScale>
        <cfvo type="min"/>
        <cfvo type="percentile" val="50"/>
        <cfvo type="max"/>
        <color rgb="FFF8696B"/>
        <color rgb="FFFFEB84"/>
        <color rgb="FF63BE7B"/>
      </colorScale>
    </cfRule>
  </conditionalFormatting>
  <conditionalFormatting sqref="U59:U154">
    <cfRule type="colorScale" priority="4">
      <colorScale>
        <cfvo type="min"/>
        <cfvo type="percentile" val="50"/>
        <cfvo type="max"/>
        <color rgb="FFF8696B"/>
        <color rgb="FFFFEB84"/>
        <color rgb="FF63BE7B"/>
      </colorScale>
    </cfRule>
  </conditionalFormatting>
  <conditionalFormatting sqref="W59:W154">
    <cfRule type="colorScale" priority="3">
      <colorScale>
        <cfvo type="min"/>
        <cfvo type="percentile" val="50"/>
        <cfvo type="max"/>
        <color rgb="FFF8696B"/>
        <color rgb="FFFFEB84"/>
        <color rgb="FF63BE7B"/>
      </colorScale>
    </cfRule>
  </conditionalFormatting>
  <conditionalFormatting sqref="X59:X154">
    <cfRule type="colorScale" priority="2">
      <colorScale>
        <cfvo type="min"/>
        <cfvo type="percentile" val="50"/>
        <cfvo type="max"/>
        <color rgb="FFF8696B"/>
        <color rgb="FFFFEB84"/>
        <color rgb="FF63BE7B"/>
      </colorScale>
    </cfRule>
  </conditionalFormatting>
  <conditionalFormatting sqref="Y59:Y15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tabSelected="1" zoomScale="90" zoomScaleNormal="90" workbookViewId="0">
      <pane ySplit="2" topLeftCell="A840" activePane="bottomLeft" state="frozen"/>
      <selection activeCell="M12" sqref="M12"/>
      <selection pane="bottomLeft" activeCell="A854" sqref="A854:I862"/>
    </sheetView>
  </sheetViews>
  <sheetFormatPr defaultColWidth="8.81640625" defaultRowHeight="14.5" x14ac:dyDescent="0.35"/>
  <cols>
    <col min="1" max="1" width="11.1796875" style="32" customWidth="1"/>
    <col min="2" max="2" width="12.6328125" style="2" customWidth="1"/>
    <col min="3" max="5" width="11" style="1" customWidth="1"/>
    <col min="6" max="9" width="9.1796875" style="32" customWidth="1"/>
    <col min="10" max="174" width="9.1796875" style="26" customWidth="1"/>
  </cols>
  <sheetData>
    <row r="1" spans="1:17" ht="16" customHeight="1" thickBot="1" x14ac:dyDescent="0.4"/>
    <row r="2" spans="1:17" ht="33" customHeight="1" thickBot="1" x14ac:dyDescent="0.4">
      <c r="A2" s="41" t="s">
        <v>555</v>
      </c>
      <c r="B2" s="47" t="s">
        <v>430</v>
      </c>
      <c r="C2" s="42" t="s">
        <v>556</v>
      </c>
      <c r="D2" s="43" t="s">
        <v>557</v>
      </c>
      <c r="E2" s="44" t="s">
        <v>558</v>
      </c>
      <c r="F2" s="44" t="s">
        <v>33</v>
      </c>
      <c r="G2" s="44" t="s">
        <v>559</v>
      </c>
      <c r="H2" s="45" t="s">
        <v>560</v>
      </c>
      <c r="I2" s="46" t="s">
        <v>561</v>
      </c>
      <c r="K2" s="36" t="str">
        <f>Table143454[[#Headers],[USA]]</f>
        <v>USA</v>
      </c>
      <c r="L2" s="26" t="str">
        <f>VLOOKUP(K2,Notes!O13:P246,2,)</f>
        <v>United States</v>
      </c>
      <c r="M2" s="26" t="str">
        <f>L2&amp;" CPI yoy %"</f>
        <v>United States CPI yoy %</v>
      </c>
      <c r="N2" s="26" t="str">
        <f>L2&amp;" Core CPI yoy %"</f>
        <v>United States Core CPI yoy %</v>
      </c>
      <c r="Q2" s="37" t="s">
        <v>562</v>
      </c>
    </row>
    <row r="3" spans="1:17" x14ac:dyDescent="0.35">
      <c r="A3" s="38">
        <f>IF(Data!A30="",#N/A,Data!A30)</f>
        <v>18749</v>
      </c>
      <c r="B3" s="39">
        <f>VLOOKUP(A3,Data!A:AX,MATCH($B$2,Data!$B$1:$AX$1,0),FALSE)</f>
        <v>0</v>
      </c>
      <c r="C3" s="40"/>
      <c r="D3" s="40"/>
      <c r="E3" s="40" t="e">
        <f>(Table143454[[#This Row],[USA]]-#REF!)/#REF!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35">
      <c r="A4" s="33">
        <f>IF(Data!A31="",#N/A,Data!A31)</f>
        <v>18780</v>
      </c>
      <c r="B4" s="34">
        <f>VLOOKUP(A4,Data!A:AX,MATCH($B$2,Data!$B$1:$AX$1,0),FALSE)</f>
        <v>0</v>
      </c>
      <c r="C4" s="35" t="e">
        <f t="shared" ref="C4:C67" si="2">(B4/B3)-1</f>
        <v>#DIV/0!</v>
      </c>
      <c r="D4" s="35" t="e">
        <f>(Table143454[[#This Row],[USA]]-#REF!)/#REF!</f>
        <v>#REF!</v>
      </c>
      <c r="E4" s="35" t="e">
        <f>(Table143454[[#This Row],[USA]]-#REF!)/#REF!</f>
        <v>#REF!</v>
      </c>
      <c r="F4" s="34">
        <f>VLOOKUP(Table143454[[#This Row],[Date]],'Data Core CPI'!$A:$AX,MATCH($B$2,'Data Core CPI'!$B$1:$AX$1,0),FALSE)</f>
        <v>0</v>
      </c>
      <c r="G4" s="35" t="e">
        <f t="shared" si="0"/>
        <v>#DIV/0!</v>
      </c>
      <c r="H4" s="35" t="e">
        <f t="shared" si="1"/>
        <v>#DIV/0!</v>
      </c>
      <c r="I4" s="35" t="e">
        <f>(Table143454[[#This Row],[Core CPI]]-#REF!)/#REF!</f>
        <v>#REF!</v>
      </c>
    </row>
    <row r="5" spans="1:17" x14ac:dyDescent="0.35">
      <c r="A5" s="33">
        <f>IF(Data!A32="",#N/A,Data!A32)</f>
        <v>18810</v>
      </c>
      <c r="B5" s="34">
        <f>VLOOKUP(A5,Data!A:AX,MATCH($B$2,Data!$B$1:$AX$1,0),FALSE)</f>
        <v>0</v>
      </c>
      <c r="C5" s="35" t="e">
        <f t="shared" si="2"/>
        <v>#DIV/0!</v>
      </c>
      <c r="D5" s="35" t="e">
        <f>(Table143454[[#This Row],[USA]]-#REF!)/#REF!</f>
        <v>#REF!</v>
      </c>
      <c r="E5" s="35" t="e">
        <f>(Table143454[[#This Row],[USA]]-#REF!)/#REF!</f>
        <v>#REF!</v>
      </c>
      <c r="F5" s="34">
        <f>VLOOKUP(Table143454[[#This Row],[Date]],'Data Core CPI'!$A:$AX,MATCH($B$2,'Data Core CPI'!$B$1:$AX$1,0),FALSE)</f>
        <v>0</v>
      </c>
      <c r="G5" s="35" t="e">
        <f t="shared" si="0"/>
        <v>#DIV/0!</v>
      </c>
      <c r="H5" s="35" t="e">
        <f t="shared" si="1"/>
        <v>#DIV/0!</v>
      </c>
      <c r="I5" s="35" t="e">
        <f>(Table143454[[#This Row],[Core CPI]]-#REF!)/#REF!</f>
        <v>#REF!</v>
      </c>
    </row>
    <row r="6" spans="1:17" x14ac:dyDescent="0.35">
      <c r="A6" s="33">
        <f>IF(Data!A33="",#N/A,Data!A33)</f>
        <v>18841</v>
      </c>
      <c r="B6" s="34">
        <f>VLOOKUP(A6,Data!A:AX,MATCH($B$2,Data!$B$1:$AX$1,0),FALSE)</f>
        <v>0</v>
      </c>
      <c r="C6" s="35" t="e">
        <f t="shared" si="2"/>
        <v>#DIV/0!</v>
      </c>
      <c r="D6" s="35" t="e">
        <f>(Table143454[[#This Row],[USA]]-#REF!)/#REF!</f>
        <v>#REF!</v>
      </c>
      <c r="E6" s="35" t="e">
        <f>(Table143454[[#This Row],[USA]]-#REF!)/#REF!</f>
        <v>#REF!</v>
      </c>
      <c r="F6" s="34">
        <f>VLOOKUP(Table143454[[#This Row],[Date]],'Data Core CPI'!$A:$AX,MATCH($B$2,'Data Core CPI'!$B$1:$AX$1,0),FALSE)</f>
        <v>0</v>
      </c>
      <c r="G6" s="35" t="e">
        <f t="shared" si="0"/>
        <v>#DIV/0!</v>
      </c>
      <c r="H6" s="35" t="e">
        <f t="shared" si="1"/>
        <v>#DIV/0!</v>
      </c>
      <c r="I6" s="35" t="e">
        <f>(Table143454[[#This Row],[Core CPI]]-#REF!)/#REF!</f>
        <v>#REF!</v>
      </c>
    </row>
    <row r="7" spans="1:17" x14ac:dyDescent="0.35">
      <c r="A7" s="33">
        <f>IF(Data!A34="",#N/A,Data!A34)</f>
        <v>18872</v>
      </c>
      <c r="B7" s="34">
        <f>VLOOKUP(A7,Data!A:AX,MATCH($B$2,Data!$B$1:$AX$1,0),FALSE)</f>
        <v>0</v>
      </c>
      <c r="C7" s="35" t="e">
        <f t="shared" si="2"/>
        <v>#DIV/0!</v>
      </c>
      <c r="D7" s="35" t="e">
        <f>(Table143454[[#This Row],[USA]]-#REF!)/#REF!</f>
        <v>#REF!</v>
      </c>
      <c r="E7" s="35" t="e">
        <f>(Table143454[[#This Row],[USA]]-#REF!)/#REF!</f>
        <v>#REF!</v>
      </c>
      <c r="F7" s="34">
        <f>VLOOKUP(Table143454[[#This Row],[Date]],'Data Core CPI'!$A:$AX,MATCH($B$2,'Data Core CPI'!$B$1:$AX$1,0),FALSE)</f>
        <v>0</v>
      </c>
      <c r="G7" s="35" t="e">
        <f t="shared" si="0"/>
        <v>#DIV/0!</v>
      </c>
      <c r="H7" s="35" t="e">
        <f t="shared" si="1"/>
        <v>#DIV/0!</v>
      </c>
      <c r="I7" s="35" t="e">
        <f>(Table143454[[#This Row],[Core CPI]]-#REF!)/#REF!</f>
        <v>#REF!</v>
      </c>
    </row>
    <row r="8" spans="1:17" x14ac:dyDescent="0.35">
      <c r="A8" s="33">
        <f>IF(Data!A35="",#N/A,Data!A35)</f>
        <v>18902</v>
      </c>
      <c r="B8" s="34">
        <f>VLOOKUP(A8,Data!A:AX,MATCH($B$2,Data!$B$1:$AX$1,0),FALSE)</f>
        <v>0</v>
      </c>
      <c r="C8" s="35" t="e">
        <f t="shared" si="2"/>
        <v>#DIV/0!</v>
      </c>
      <c r="D8" s="35" t="e">
        <f>(Table143454[[#This Row],[USA]]-#REF!)/#REF!</f>
        <v>#REF!</v>
      </c>
      <c r="E8" s="35" t="e">
        <f>(Table143454[[#This Row],[USA]]-#REF!)/#REF!</f>
        <v>#REF!</v>
      </c>
      <c r="F8" s="34">
        <f>VLOOKUP(Table143454[[#This Row],[Date]],'Data Core CPI'!$A:$AX,MATCH($B$2,'Data Core CPI'!$B$1:$AX$1,0),FALSE)</f>
        <v>0</v>
      </c>
      <c r="G8" s="35" t="e">
        <f t="shared" si="0"/>
        <v>#DIV/0!</v>
      </c>
      <c r="H8" s="35" t="e">
        <f t="shared" si="1"/>
        <v>#DIV/0!</v>
      </c>
      <c r="I8" s="35" t="e">
        <f>(Table143454[[#This Row],[Core CPI]]-#REF!)/#REF!</f>
        <v>#REF!</v>
      </c>
    </row>
    <row r="9" spans="1:17" x14ac:dyDescent="0.35">
      <c r="A9" s="33">
        <f>IF(Data!A36="",#N/A,Data!A36)</f>
        <v>18933</v>
      </c>
      <c r="B9" s="34">
        <f>VLOOKUP(A9,Data!A:AX,MATCH($B$2,Data!$B$1:$AX$1,0),FALSE)</f>
        <v>0</v>
      </c>
      <c r="C9" s="35" t="e">
        <f t="shared" si="2"/>
        <v>#DIV/0!</v>
      </c>
      <c r="D9" s="35" t="e">
        <f>(Table143454[[#This Row],[USA]]-#REF!)/#REF!</f>
        <v>#REF!</v>
      </c>
      <c r="E9" s="35" t="e">
        <f>(Table143454[[#This Row],[USA]]-#REF!)/#REF!</f>
        <v>#REF!</v>
      </c>
      <c r="F9" s="34">
        <f>VLOOKUP(Table143454[[#This Row],[Date]],'Data Core CPI'!$A:$AX,MATCH($B$2,'Data Core CPI'!$B$1:$AX$1,0),FALSE)</f>
        <v>0</v>
      </c>
      <c r="G9" s="35" t="e">
        <f t="shared" si="0"/>
        <v>#DIV/0!</v>
      </c>
      <c r="H9" s="35" t="e">
        <f t="shared" si="1"/>
        <v>#DIV/0!</v>
      </c>
      <c r="I9" s="35" t="e">
        <f>(Table143454[[#This Row],[Core CPI]]-#REF!)/#REF!</f>
        <v>#REF!</v>
      </c>
    </row>
    <row r="10" spans="1:17" x14ac:dyDescent="0.35">
      <c r="A10" s="33">
        <f>IF(Data!A37="",#N/A,Data!A37)</f>
        <v>18963</v>
      </c>
      <c r="B10" s="34">
        <f>VLOOKUP(A10,Data!A:AX,MATCH($B$2,Data!$B$1:$AX$1,0),FALSE)</f>
        <v>0</v>
      </c>
      <c r="C10" s="35" t="e">
        <f t="shared" si="2"/>
        <v>#DIV/0!</v>
      </c>
      <c r="D10" s="35" t="e">
        <f>(Table143454[[#This Row],[USA]]-#REF!)/#REF!</f>
        <v>#REF!</v>
      </c>
      <c r="E10" s="35" t="e">
        <f>(Table143454[[#This Row],[USA]]-#REF!)/#REF!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35">
      <c r="A11" s="33">
        <f>IF(Data!A38="",#N/A,Data!A38)</f>
        <v>18994</v>
      </c>
      <c r="B11" s="34">
        <f>VLOOKUP(A11,Data!A:AX,MATCH($B$2,Data!$B$1:$AX$1,0),FALSE)</f>
        <v>0</v>
      </c>
      <c r="C11" s="35" t="e">
        <f t="shared" si="2"/>
        <v>#DIV/0!</v>
      </c>
      <c r="D11" s="35" t="e">
        <f>(Table143454[[#This Row],[USA]]-#REF!)/#REF!</f>
        <v>#REF!</v>
      </c>
      <c r="E11" s="35" t="e">
        <f>(Table143454[[#This Row],[USA]]-#REF!)/#REF!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35">
      <c r="A12" s="33">
        <f>IF(Data!A39="",#N/A,Data!A39)</f>
        <v>19025</v>
      </c>
      <c r="B12" s="34">
        <f>VLOOKUP(A12,Data!A:AX,MATCH($B$2,Data!$B$1:$AX$1,0),FALSE)</f>
        <v>0</v>
      </c>
      <c r="C12" s="35" t="e">
        <f t="shared" si="2"/>
        <v>#DIV/0!</v>
      </c>
      <c r="D12" s="35" t="e">
        <f>(Table143454[[#This Row],[USA]]-#REF!)/#REF!</f>
        <v>#REF!</v>
      </c>
      <c r="E12" s="35" t="e">
        <f>(Table143454[[#This Row],[USA]]-#REF!)/#REF!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35">
      <c r="A13" s="33">
        <f>IF(Data!A40="",#N/A,Data!A40)</f>
        <v>19054</v>
      </c>
      <c r="B13" s="34">
        <f>VLOOKUP(A13,Data!A:AX,MATCH($B$2,Data!$B$1:$AX$1,0),FALSE)</f>
        <v>0</v>
      </c>
      <c r="C13" s="35" t="e">
        <f t="shared" si="2"/>
        <v>#DIV/0!</v>
      </c>
      <c r="D13" s="35" t="e">
        <f>(Table143454[[#This Row],[USA]]-#REF!)/#REF!</f>
        <v>#REF!</v>
      </c>
      <c r="E13" s="35" t="e">
        <f>(Table143454[[#This Row],[USA]]-#REF!)/#REF!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35">
      <c r="A14" s="33">
        <f>IF(Data!A41="",#N/A,Data!A41)</f>
        <v>19085</v>
      </c>
      <c r="B14" s="34">
        <f>VLOOKUP(A14,Data!A:AX,MATCH($B$2,Data!$B$1:$AX$1,0),FALSE)</f>
        <v>0</v>
      </c>
      <c r="C14" s="35" t="e">
        <f t="shared" si="2"/>
        <v>#DIV/0!</v>
      </c>
      <c r="D14" s="35" t="e">
        <f>(Table143454[[#This Row],[USA]]-B2)/B2</f>
        <v>#VALUE!</v>
      </c>
      <c r="E14" s="35" t="e">
        <f>(Table143454[[#This Row],[USA]]-B2)/B2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35">
      <c r="A15" s="33">
        <f>IF(Data!A42="",#N/A,Data!A42)</f>
        <v>19115</v>
      </c>
      <c r="B15" s="34">
        <f>VLOOKUP(A15,Data!A:AX,MATCH($B$2,Data!$B$1:$AX$1,0),FALSE)</f>
        <v>0</v>
      </c>
      <c r="C15" s="35" t="e">
        <f t="shared" si="2"/>
        <v>#DIV/0!</v>
      </c>
      <c r="D15" s="35" t="e">
        <f>(Table143454[[#This Row],[USA]]-B3)/B3</f>
        <v>#DIV/0!</v>
      </c>
      <c r="E15" s="35" t="e">
        <f>(Table143454[[#This Row],[USA]]-B3)/B3</f>
        <v>#DIV/0!</v>
      </c>
      <c r="F15" s="34">
        <f>VLOOKUP(Table143454[[#This Row],[Date]],'Data Core CPI'!$A:$AX,MATCH($B$2,'Data Core CPI'!$B$1:$AX$1,0),FALSE)</f>
        <v>0</v>
      </c>
      <c r="G15" s="35" t="e">
        <f t="shared" si="0"/>
        <v>#DIV/0!</v>
      </c>
      <c r="H15" s="35" t="e">
        <f t="shared" si="1"/>
        <v>#DIV/0!</v>
      </c>
      <c r="I15" s="35" t="e">
        <f>(Table143454[[#This Row],[Core CPI]]-F3)/F3</f>
        <v>#DIV/0!</v>
      </c>
    </row>
    <row r="16" spans="1:17" x14ac:dyDescent="0.35">
      <c r="A16" s="33">
        <f>IF(Data!A43="",#N/A,Data!A43)</f>
        <v>19146</v>
      </c>
      <c r="B16" s="34">
        <f>VLOOKUP(A16,Data!A:AX,MATCH($B$2,Data!$B$1:$AX$1,0),FALSE)</f>
        <v>0</v>
      </c>
      <c r="C16" s="35" t="e">
        <f t="shared" si="2"/>
        <v>#DIV/0!</v>
      </c>
      <c r="D16" s="35" t="e">
        <f>(Table143454[[#This Row],[USA]]-B4)/B4</f>
        <v>#DIV/0!</v>
      </c>
      <c r="E16" s="35" t="e">
        <f>(Table143454[[#This Row],[USA]]-B4)/B4</f>
        <v>#DIV/0!</v>
      </c>
      <c r="F16" s="34">
        <f>VLOOKUP(Table143454[[#This Row],[Date]],'Data Core CPI'!$A:$AX,MATCH($B$2,'Data Core CPI'!$B$1:$AX$1,0),FALSE)</f>
        <v>0</v>
      </c>
      <c r="G16" s="35" t="e">
        <f t="shared" si="0"/>
        <v>#DIV/0!</v>
      </c>
      <c r="H16" s="35" t="e">
        <f t="shared" si="1"/>
        <v>#DIV/0!</v>
      </c>
      <c r="I16" s="35" t="e">
        <f>(Table143454[[#This Row],[Core CPI]]-F4)/F4</f>
        <v>#DIV/0!</v>
      </c>
    </row>
    <row r="17" spans="1:9" x14ac:dyDescent="0.35">
      <c r="A17" s="33">
        <f>IF(Data!A44="",#N/A,Data!A44)</f>
        <v>19176</v>
      </c>
      <c r="B17" s="34">
        <f>VLOOKUP(A17,Data!A:AX,MATCH($B$2,Data!$B$1:$AX$1,0),FALSE)</f>
        <v>0</v>
      </c>
      <c r="C17" s="35" t="e">
        <f t="shared" si="2"/>
        <v>#DIV/0!</v>
      </c>
      <c r="D17" s="35" t="e">
        <f>(Table143454[[#This Row],[USA]]-B5)/B5</f>
        <v>#DIV/0!</v>
      </c>
      <c r="E17" s="35" t="e">
        <f>(Table143454[[#This Row],[USA]]-B5)/B5</f>
        <v>#DIV/0!</v>
      </c>
      <c r="F17" s="34">
        <f>VLOOKUP(Table143454[[#This Row],[Date]],'Data Core CPI'!$A:$AX,MATCH($B$2,'Data Core CPI'!$B$1:$AX$1,0),FALSE)</f>
        <v>0</v>
      </c>
      <c r="G17" s="35" t="e">
        <f t="shared" si="0"/>
        <v>#DIV/0!</v>
      </c>
      <c r="H17" s="35" t="e">
        <f t="shared" si="1"/>
        <v>#DIV/0!</v>
      </c>
      <c r="I17" s="35" t="e">
        <f>(Table143454[[#This Row],[Core CPI]]-F5)/F5</f>
        <v>#DIV/0!</v>
      </c>
    </row>
    <row r="18" spans="1:9" x14ac:dyDescent="0.35">
      <c r="A18" s="33">
        <f>IF(Data!A45="",#N/A,Data!A45)</f>
        <v>19207</v>
      </c>
      <c r="B18" s="34">
        <f>VLOOKUP(A18,Data!A:AX,MATCH($B$2,Data!$B$1:$AX$1,0),FALSE)</f>
        <v>0</v>
      </c>
      <c r="C18" s="35" t="e">
        <f t="shared" si="2"/>
        <v>#DIV/0!</v>
      </c>
      <c r="D18" s="35" t="e">
        <f>(Table143454[[#This Row],[USA]]-B6)/B6</f>
        <v>#DIV/0!</v>
      </c>
      <c r="E18" s="35" t="e">
        <f>(Table143454[[#This Row],[USA]]-B6)/B6</f>
        <v>#DIV/0!</v>
      </c>
      <c r="F18" s="34">
        <f>VLOOKUP(Table143454[[#This Row],[Date]],'Data Core CPI'!$A:$AX,MATCH($B$2,'Data Core CPI'!$B$1:$AX$1,0),FALSE)</f>
        <v>0</v>
      </c>
      <c r="G18" s="35" t="e">
        <f t="shared" si="0"/>
        <v>#DIV/0!</v>
      </c>
      <c r="H18" s="35" t="e">
        <f t="shared" si="1"/>
        <v>#DIV/0!</v>
      </c>
      <c r="I18" s="35" t="e">
        <f>(Table143454[[#This Row],[Core CPI]]-F6)/F6</f>
        <v>#DIV/0!</v>
      </c>
    </row>
    <row r="19" spans="1:9" x14ac:dyDescent="0.35">
      <c r="A19" s="33">
        <f>IF(Data!A46="",#N/A,Data!A46)</f>
        <v>19238</v>
      </c>
      <c r="B19" s="34">
        <f>VLOOKUP(A19,Data!A:AX,MATCH($B$2,Data!$B$1:$AX$1,0),FALSE)</f>
        <v>0</v>
      </c>
      <c r="C19" s="35" t="e">
        <f t="shared" si="2"/>
        <v>#DIV/0!</v>
      </c>
      <c r="D19" s="35" t="e">
        <f>(Table143454[[#This Row],[USA]]-B7)/B7</f>
        <v>#DIV/0!</v>
      </c>
      <c r="E19" s="35" t="e">
        <f>(Table143454[[#This Row],[USA]]-B7)/B7</f>
        <v>#DIV/0!</v>
      </c>
      <c r="F19" s="34">
        <f>VLOOKUP(Table143454[[#This Row],[Date]],'Data Core CPI'!$A:$AX,MATCH($B$2,'Data Core CPI'!$B$1:$AX$1,0),FALSE)</f>
        <v>0</v>
      </c>
      <c r="G19" s="35" t="e">
        <f t="shared" si="0"/>
        <v>#DIV/0!</v>
      </c>
      <c r="H19" s="35" t="e">
        <f t="shared" si="1"/>
        <v>#DIV/0!</v>
      </c>
      <c r="I19" s="35" t="e">
        <f>(Table143454[[#This Row],[Core CPI]]-F7)/F7</f>
        <v>#DIV/0!</v>
      </c>
    </row>
    <row r="20" spans="1:9" x14ac:dyDescent="0.35">
      <c r="A20" s="33">
        <f>IF(Data!A47="",#N/A,Data!A47)</f>
        <v>19268</v>
      </c>
      <c r="B20" s="34">
        <f>VLOOKUP(A20,Data!A:AX,MATCH($B$2,Data!$B$1:$AX$1,0),FALSE)</f>
        <v>0</v>
      </c>
      <c r="C20" s="35" t="e">
        <f t="shared" si="2"/>
        <v>#DIV/0!</v>
      </c>
      <c r="D20" s="35" t="e">
        <f>(Table143454[[#This Row],[USA]]-B8)/B8</f>
        <v>#DIV/0!</v>
      </c>
      <c r="E20" s="35" t="e">
        <f>(Table143454[[#This Row],[USA]]-B8)/B8</f>
        <v>#DIV/0!</v>
      </c>
      <c r="F20" s="34">
        <f>VLOOKUP(Table143454[[#This Row],[Date]],'Data Core CPI'!$A:$AX,MATCH($B$2,'Data Core CPI'!$B$1:$AX$1,0),FALSE)</f>
        <v>0</v>
      </c>
      <c r="G20" s="35" t="e">
        <f t="shared" si="0"/>
        <v>#DIV/0!</v>
      </c>
      <c r="H20" s="35" t="e">
        <f t="shared" si="1"/>
        <v>#DIV/0!</v>
      </c>
      <c r="I20" s="35" t="e">
        <f>(Table143454[[#This Row],[Core CPI]]-F8)/F8</f>
        <v>#DIV/0!</v>
      </c>
    </row>
    <row r="21" spans="1:9" x14ac:dyDescent="0.35">
      <c r="A21" s="33">
        <f>IF(Data!A48="",#N/A,Data!A48)</f>
        <v>19299</v>
      </c>
      <c r="B21" s="34">
        <f>VLOOKUP(A21,Data!A:AX,MATCH($B$2,Data!$B$1:$AX$1,0),FALSE)</f>
        <v>0</v>
      </c>
      <c r="C21" s="35" t="e">
        <f t="shared" si="2"/>
        <v>#DIV/0!</v>
      </c>
      <c r="D21" s="35" t="e">
        <f>(Table143454[[#This Row],[USA]]-B9)/B9</f>
        <v>#DIV/0!</v>
      </c>
      <c r="E21" s="35" t="e">
        <f>(Table143454[[#This Row],[USA]]-B9)/B9</f>
        <v>#DIV/0!</v>
      </c>
      <c r="F21" s="34">
        <f>VLOOKUP(Table143454[[#This Row],[Date]],'Data Core CPI'!$A:$AX,MATCH($B$2,'Data Core CPI'!$B$1:$AX$1,0),FALSE)</f>
        <v>0</v>
      </c>
      <c r="G21" s="35" t="e">
        <f t="shared" si="0"/>
        <v>#DIV/0!</v>
      </c>
      <c r="H21" s="35" t="e">
        <f t="shared" si="1"/>
        <v>#DIV/0!</v>
      </c>
      <c r="I21" s="35" t="e">
        <f>(Table143454[[#This Row],[Core CPI]]-F9)/F9</f>
        <v>#DIV/0!</v>
      </c>
    </row>
    <row r="22" spans="1:9" x14ac:dyDescent="0.35">
      <c r="A22" s="33">
        <f>IF(Data!A49="",#N/A,Data!A49)</f>
        <v>19329</v>
      </c>
      <c r="B22" s="34">
        <f>VLOOKUP(A22,Data!A:AX,MATCH($B$2,Data!$B$1:$AX$1,0),FALSE)</f>
        <v>0</v>
      </c>
      <c r="C22" s="35" t="e">
        <f t="shared" si="2"/>
        <v>#DIV/0!</v>
      </c>
      <c r="D22" s="35" t="e">
        <f>(Table143454[[#This Row],[USA]]-B10)/B10</f>
        <v>#DIV/0!</v>
      </c>
      <c r="E22" s="35" t="e">
        <f>(Table143454[[#This Row],[USA]]-B10)/B10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35">
      <c r="A23" s="33">
        <f>IF(Data!A50="",#N/A,Data!A50)</f>
        <v>19360</v>
      </c>
      <c r="B23" s="34">
        <f>VLOOKUP(A23,Data!A:AX,MATCH($B$2,Data!$B$1:$AX$1,0),FALSE)</f>
        <v>0</v>
      </c>
      <c r="C23" s="35" t="e">
        <f t="shared" si="2"/>
        <v>#DIV/0!</v>
      </c>
      <c r="D23" s="35" t="e">
        <f>(Table143454[[#This Row],[USA]]-B11)/B11</f>
        <v>#DIV/0!</v>
      </c>
      <c r="E23" s="35" t="e">
        <f>(Table143454[[#This Row],[USA]]-B11)/B11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35">
      <c r="A24" s="33">
        <f>IF(Data!A51="",#N/A,Data!A51)</f>
        <v>19391</v>
      </c>
      <c r="B24" s="34">
        <f>VLOOKUP(A24,Data!A:AX,MATCH($B$2,Data!$B$1:$AX$1,0),FALSE)</f>
        <v>0</v>
      </c>
      <c r="C24" s="35" t="e">
        <f t="shared" si="2"/>
        <v>#DIV/0!</v>
      </c>
      <c r="D24" s="35" t="e">
        <f>(Table143454[[#This Row],[USA]]-B12)/B12</f>
        <v>#DIV/0!</v>
      </c>
      <c r="E24" s="35" t="e">
        <f>(Table143454[[#This Row],[USA]]-B12)/B12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35">
      <c r="A25" s="33">
        <f>IF(Data!A52="",#N/A,Data!A52)</f>
        <v>19419</v>
      </c>
      <c r="B25" s="34">
        <f>VLOOKUP(A25,Data!A:AX,MATCH($B$2,Data!$B$1:$AX$1,0),FALSE)</f>
        <v>0</v>
      </c>
      <c r="C25" s="35" t="e">
        <f t="shared" si="2"/>
        <v>#DIV/0!</v>
      </c>
      <c r="D25" s="35" t="e">
        <f>(Table143454[[#This Row],[USA]]-B13)/B13</f>
        <v>#DIV/0!</v>
      </c>
      <c r="E25" s="35" t="e">
        <f>(Table143454[[#This Row],[USA]]-B13)/B13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35">
      <c r="A26" s="33">
        <f>IF(Data!A53="",#N/A,Data!A53)</f>
        <v>19450</v>
      </c>
      <c r="B26" s="34">
        <f>VLOOKUP(A26,Data!A:AX,MATCH($B$2,Data!$B$1:$AX$1,0),FALSE)</f>
        <v>0</v>
      </c>
      <c r="C26" s="35" t="e">
        <f t="shared" si="2"/>
        <v>#DIV/0!</v>
      </c>
      <c r="D26" s="35" t="e">
        <f>(Table143454[[#This Row],[USA]]-B14)/B14</f>
        <v>#DIV/0!</v>
      </c>
      <c r="E26" s="35" t="e">
        <f>(Table143454[[#This Row],[USA]]-B14)/B14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35">
      <c r="A27" s="33">
        <f>IF(Data!A54="",#N/A,Data!A54)</f>
        <v>19480</v>
      </c>
      <c r="B27" s="34">
        <f>VLOOKUP(A27,Data!A:AX,MATCH($B$2,Data!$B$1:$AX$1,0),FALSE)</f>
        <v>0</v>
      </c>
      <c r="C27" s="35" t="e">
        <f t="shared" si="2"/>
        <v>#DIV/0!</v>
      </c>
      <c r="D27" s="35" t="e">
        <f>(Table143454[[#This Row],[USA]]-B15)/B15</f>
        <v>#DIV/0!</v>
      </c>
      <c r="E27" s="35" t="e">
        <f>(Table143454[[#This Row],[USA]]-B15)/B15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35">
      <c r="A28" s="33">
        <f>IF(Data!A55="",#N/A,Data!A55)</f>
        <v>19511</v>
      </c>
      <c r="B28" s="34">
        <f>VLOOKUP(A28,Data!A:AX,MATCH($B$2,Data!$B$1:$AX$1,0),FALSE)</f>
        <v>0</v>
      </c>
      <c r="C28" s="35" t="e">
        <f t="shared" si="2"/>
        <v>#DIV/0!</v>
      </c>
      <c r="D28" s="35" t="e">
        <f>(Table143454[[#This Row],[USA]]-B16)/B16</f>
        <v>#DIV/0!</v>
      </c>
      <c r="E28" s="35" t="e">
        <f>(Table143454[[#This Row],[USA]]-B16)/B16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35">
      <c r="A29" s="33">
        <f>IF(Data!A56="",#N/A,Data!A56)</f>
        <v>19541</v>
      </c>
      <c r="B29" s="34">
        <f>VLOOKUP(A29,Data!A:AX,MATCH($B$2,Data!$B$1:$AX$1,0),FALSE)</f>
        <v>0</v>
      </c>
      <c r="C29" s="35" t="e">
        <f t="shared" si="2"/>
        <v>#DIV/0!</v>
      </c>
      <c r="D29" s="35" t="e">
        <f>(Table143454[[#This Row],[USA]]-B17)/B17</f>
        <v>#DIV/0!</v>
      </c>
      <c r="E29" s="35" t="e">
        <f>(Table143454[[#This Row],[USA]]-B17)/B17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35">
      <c r="A30" s="33">
        <f>IF(Data!A57="",#N/A,Data!A57)</f>
        <v>19572</v>
      </c>
      <c r="B30" s="34">
        <f>VLOOKUP(A30,Data!A:AX,MATCH($B$2,Data!$B$1:$AX$1,0),FALSE)</f>
        <v>0</v>
      </c>
      <c r="C30" s="35" t="e">
        <f t="shared" si="2"/>
        <v>#DIV/0!</v>
      </c>
      <c r="D30" s="35" t="e">
        <f>(Table143454[[#This Row],[USA]]-B18)/B18</f>
        <v>#DIV/0!</v>
      </c>
      <c r="E30" s="35" t="e">
        <f>(Table143454[[#This Row],[USA]]-B18)/B18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35">
      <c r="A31" s="33">
        <f>IF(Data!A58="",#N/A,Data!A58)</f>
        <v>19603</v>
      </c>
      <c r="B31" s="34">
        <f>VLOOKUP(A31,Data!A:AX,MATCH($B$2,Data!$B$1:$AX$1,0),FALSE)</f>
        <v>0</v>
      </c>
      <c r="C31" s="35" t="e">
        <f t="shared" si="2"/>
        <v>#DIV/0!</v>
      </c>
      <c r="D31" s="35" t="e">
        <f>(Table143454[[#This Row],[USA]]-B19)/B19</f>
        <v>#DIV/0!</v>
      </c>
      <c r="E31" s="35" t="e">
        <f>(Table143454[[#This Row],[USA]]-B19)/B19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35">
      <c r="A32" s="33">
        <f>IF(Data!A59="",#N/A,Data!A59)</f>
        <v>19633</v>
      </c>
      <c r="B32" s="34">
        <f>VLOOKUP(A32,Data!A:AX,MATCH($B$2,Data!$B$1:$AX$1,0),FALSE)</f>
        <v>0</v>
      </c>
      <c r="C32" s="35" t="e">
        <f t="shared" si="2"/>
        <v>#DIV/0!</v>
      </c>
      <c r="D32" s="35" t="e">
        <f>(Table143454[[#This Row],[USA]]-B20)/B20</f>
        <v>#DIV/0!</v>
      </c>
      <c r="E32" s="35" t="e">
        <f>(Table143454[[#This Row],[USA]]-B20)/B20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35">
      <c r="A33" s="33">
        <f>IF(Data!A60="",#N/A,Data!A60)</f>
        <v>19664</v>
      </c>
      <c r="B33" s="34">
        <f>VLOOKUP(A33,Data!A:AX,MATCH($B$2,Data!$B$1:$AX$1,0),FALSE)</f>
        <v>0</v>
      </c>
      <c r="C33" s="35" t="e">
        <f t="shared" si="2"/>
        <v>#DIV/0!</v>
      </c>
      <c r="D33" s="35" t="e">
        <f>(Table143454[[#This Row],[USA]]-B21)/B21</f>
        <v>#DIV/0!</v>
      </c>
      <c r="E33" s="35" t="e">
        <f>(Table143454[[#This Row],[USA]]-B21)/B21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35">
      <c r="A34" s="33">
        <f>IF(Data!A61="",#N/A,Data!A61)</f>
        <v>19694</v>
      </c>
      <c r="B34" s="34">
        <f>VLOOKUP(A34,Data!A:AX,MATCH($B$2,Data!$B$1:$AX$1,0),FALSE)</f>
        <v>0</v>
      </c>
      <c r="C34" s="35" t="e">
        <f t="shared" si="2"/>
        <v>#DIV/0!</v>
      </c>
      <c r="D34" s="35" t="e">
        <f>(Table143454[[#This Row],[USA]]-B22)/B22</f>
        <v>#DIV/0!</v>
      </c>
      <c r="E34" s="35" t="e">
        <f>(Table143454[[#This Row],[USA]]-B22)/B22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35">
      <c r="A35" s="33">
        <f>IF(Data!A62="",#N/A,Data!A62)</f>
        <v>19725</v>
      </c>
      <c r="B35" s="34">
        <f>VLOOKUP(A35,Data!A:AX,MATCH($B$2,Data!$B$1:$AX$1,0),FALSE)</f>
        <v>0</v>
      </c>
      <c r="C35" s="35" t="e">
        <f t="shared" si="2"/>
        <v>#DIV/0!</v>
      </c>
      <c r="D35" s="35" t="e">
        <f>(Table143454[[#This Row],[USA]]-B23)/B23</f>
        <v>#DIV/0!</v>
      </c>
      <c r="E35" s="35" t="e">
        <f>(Table143454[[#This Row],[USA]]-B23)/B23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35">
      <c r="A36" s="33">
        <f>IF(Data!A63="",#N/A,Data!A63)</f>
        <v>19756</v>
      </c>
      <c r="B36" s="34">
        <f>VLOOKUP(A36,Data!A:AX,MATCH($B$2,Data!$B$1:$AX$1,0),FALSE)</f>
        <v>0</v>
      </c>
      <c r="C36" s="35" t="e">
        <f t="shared" si="2"/>
        <v>#DIV/0!</v>
      </c>
      <c r="D36" s="35" t="e">
        <f>(Table143454[[#This Row],[USA]]-B24)/B24</f>
        <v>#DIV/0!</v>
      </c>
      <c r="E36" s="35" t="e">
        <f>(Table143454[[#This Row],[USA]]-B24)/B24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35">
      <c r="A37" s="33">
        <f>IF(Data!A64="",#N/A,Data!A64)</f>
        <v>19784</v>
      </c>
      <c r="B37" s="34">
        <f>VLOOKUP(A37,Data!A:AX,MATCH($B$2,Data!$B$1:$AX$1,0),FALSE)</f>
        <v>0</v>
      </c>
      <c r="C37" s="35" t="e">
        <f t="shared" si="2"/>
        <v>#DIV/0!</v>
      </c>
      <c r="D37" s="35" t="e">
        <f>(Table143454[[#This Row],[USA]]-B25)/B25</f>
        <v>#DIV/0!</v>
      </c>
      <c r="E37" s="35" t="e">
        <f>(Table143454[[#This Row],[USA]]-B25)/B25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35">
      <c r="A38" s="33">
        <f>IF(Data!A65="",#N/A,Data!A65)</f>
        <v>19815</v>
      </c>
      <c r="B38" s="34">
        <f>VLOOKUP(A38,Data!A:AX,MATCH($B$2,Data!$B$1:$AX$1,0),FALSE)</f>
        <v>0</v>
      </c>
      <c r="C38" s="35" t="e">
        <f t="shared" si="2"/>
        <v>#DIV/0!</v>
      </c>
      <c r="D38" s="35" t="e">
        <f>(Table143454[[#This Row],[USA]]-B26)/B26</f>
        <v>#DIV/0!</v>
      </c>
      <c r="E38" s="35" t="e">
        <f>(Table143454[[#This Row],[USA]]-B26)/B26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35">
      <c r="A39" s="33">
        <f>IF(Data!A66="",#N/A,Data!A66)</f>
        <v>19845</v>
      </c>
      <c r="B39" s="34">
        <f>VLOOKUP(A39,Data!A:AX,MATCH($B$2,Data!$B$1:$AX$1,0),FALSE)</f>
        <v>0</v>
      </c>
      <c r="C39" s="35" t="e">
        <f t="shared" si="2"/>
        <v>#DIV/0!</v>
      </c>
      <c r="D39" s="35" t="e">
        <f>(Table143454[[#This Row],[USA]]-B27)/B27</f>
        <v>#DIV/0!</v>
      </c>
      <c r="E39" s="35" t="e">
        <f>(Table143454[[#This Row],[USA]]-B27)/B27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35">
      <c r="A40" s="33">
        <f>IF(Data!A67="",#N/A,Data!A67)</f>
        <v>19876</v>
      </c>
      <c r="B40" s="34">
        <f>VLOOKUP(A40,Data!A:AX,MATCH($B$2,Data!$B$1:$AX$1,0),FALSE)</f>
        <v>0</v>
      </c>
      <c r="C40" s="35" t="e">
        <f t="shared" si="2"/>
        <v>#DIV/0!</v>
      </c>
      <c r="D40" s="35" t="e">
        <f>(Table143454[[#This Row],[USA]]-B28)/B28</f>
        <v>#DIV/0!</v>
      </c>
      <c r="E40" s="35" t="e">
        <f>(Table143454[[#This Row],[USA]]-B28)/B28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35">
      <c r="A41" s="33">
        <f>IF(Data!A68="",#N/A,Data!A68)</f>
        <v>19906</v>
      </c>
      <c r="B41" s="34">
        <f>VLOOKUP(A41,Data!A:AX,MATCH($B$2,Data!$B$1:$AX$1,0),FALSE)</f>
        <v>0</v>
      </c>
      <c r="C41" s="35" t="e">
        <f t="shared" si="2"/>
        <v>#DIV/0!</v>
      </c>
      <c r="D41" s="35" t="e">
        <f>(Table143454[[#This Row],[USA]]-B29)/B29</f>
        <v>#DIV/0!</v>
      </c>
      <c r="E41" s="35" t="e">
        <f>(Table143454[[#This Row],[USA]]-B29)/B29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35">
      <c r="A42" s="33">
        <f>IF(Data!A69="",#N/A,Data!A69)</f>
        <v>19937</v>
      </c>
      <c r="B42" s="34">
        <f>VLOOKUP(A42,Data!A:AX,MATCH($B$2,Data!$B$1:$AX$1,0),FALSE)</f>
        <v>0</v>
      </c>
      <c r="C42" s="35" t="e">
        <f t="shared" si="2"/>
        <v>#DIV/0!</v>
      </c>
      <c r="D42" s="35" t="e">
        <f>(Table143454[[#This Row],[USA]]-B30)/B30</f>
        <v>#DIV/0!</v>
      </c>
      <c r="E42" s="35" t="e">
        <f>(Table143454[[#This Row],[USA]]-B30)/B30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35">
      <c r="A43" s="33">
        <f>IF(Data!A70="",#N/A,Data!A70)</f>
        <v>19968</v>
      </c>
      <c r="B43" s="34">
        <f>VLOOKUP(A43,Data!A:AX,MATCH($B$2,Data!$B$1:$AX$1,0),FALSE)</f>
        <v>0</v>
      </c>
      <c r="C43" s="35" t="e">
        <f t="shared" si="2"/>
        <v>#DIV/0!</v>
      </c>
      <c r="D43" s="35" t="e">
        <f>(Table143454[[#This Row],[USA]]-B31)/B31</f>
        <v>#DIV/0!</v>
      </c>
      <c r="E43" s="35" t="e">
        <f>(Table143454[[#This Row],[USA]]-B31)/B31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35">
      <c r="A44" s="33">
        <f>IF(Data!A71="",#N/A,Data!A71)</f>
        <v>19998</v>
      </c>
      <c r="B44" s="34">
        <f>VLOOKUP(A44,Data!A:AX,MATCH($B$2,Data!$B$1:$AX$1,0),FALSE)</f>
        <v>0</v>
      </c>
      <c r="C44" s="35" t="e">
        <f t="shared" si="2"/>
        <v>#DIV/0!</v>
      </c>
      <c r="D44" s="35" t="e">
        <f>(Table143454[[#This Row],[USA]]-B32)/B32</f>
        <v>#DIV/0!</v>
      </c>
      <c r="E44" s="35" t="e">
        <f>(Table143454[[#This Row],[USA]]-B32)/B32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35">
      <c r="A45" s="33">
        <f>IF(Data!A72="",#N/A,Data!A72)</f>
        <v>20029</v>
      </c>
      <c r="B45" s="34">
        <f>VLOOKUP(A45,Data!A:AX,MATCH($B$2,Data!$B$1:$AX$1,0),FALSE)</f>
        <v>0</v>
      </c>
      <c r="C45" s="35" t="e">
        <f t="shared" si="2"/>
        <v>#DIV/0!</v>
      </c>
      <c r="D45" s="35" t="e">
        <f>(Table143454[[#This Row],[USA]]-B33)/B33</f>
        <v>#DIV/0!</v>
      </c>
      <c r="E45" s="35" t="e">
        <f>(Table143454[[#This Row],[USA]]-B33)/B33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35">
      <c r="A46" s="33">
        <f>IF(Data!A73="",#N/A,Data!A73)</f>
        <v>20059</v>
      </c>
      <c r="B46" s="34">
        <f>VLOOKUP(A46,Data!A:AX,MATCH($B$2,Data!$B$1:$AX$1,0),FALSE)</f>
        <v>0</v>
      </c>
      <c r="C46" s="35" t="e">
        <f t="shared" si="2"/>
        <v>#DIV/0!</v>
      </c>
      <c r="D46" s="35" t="e">
        <f>(Table143454[[#This Row],[USA]]-B34)/B34</f>
        <v>#DIV/0!</v>
      </c>
      <c r="E46" s="35" t="e">
        <f>(Table143454[[#This Row],[USA]]-B34)/B34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35">
      <c r="A47" s="33">
        <f>IF(Data!A74="",#N/A,Data!A74)</f>
        <v>20090</v>
      </c>
      <c r="B47" s="34">
        <f>VLOOKUP(A47,Data!A:AX,MATCH($B$2,Data!$B$1:$AX$1,0),FALSE)</f>
        <v>1.8266000000000001E-5</v>
      </c>
      <c r="C47" s="35" t="e">
        <f t="shared" si="2"/>
        <v>#DIV/0!</v>
      </c>
      <c r="D47" s="35" t="e">
        <f>(Table143454[[#This Row],[USA]]-B35)/B35</f>
        <v>#DIV/0!</v>
      </c>
      <c r="E47" s="35" t="e">
        <f>(Table143454[[#This Row],[USA]]-B35)/B35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35">
      <c r="A48" s="33">
        <f>IF(Data!A75="",#N/A,Data!A75)</f>
        <v>20121</v>
      </c>
      <c r="B48" s="34">
        <f>VLOOKUP(A48,Data!A:AX,MATCH($B$2,Data!$B$1:$AX$1,0),FALSE)</f>
        <v>1.8266000000000001E-5</v>
      </c>
      <c r="C48" s="35">
        <f t="shared" si="2"/>
        <v>0</v>
      </c>
      <c r="D48" s="35" t="e">
        <f>(Table143454[[#This Row],[USA]]-B36)/B36</f>
        <v>#DIV/0!</v>
      </c>
      <c r="E48" s="35" t="e">
        <f>(Table143454[[#This Row],[USA]]-B36)/B36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35">
      <c r="A49" s="33">
        <f>IF(Data!A76="",#N/A,Data!A76)</f>
        <v>20149</v>
      </c>
      <c r="B49" s="34">
        <f>VLOOKUP(A49,Data!A:AX,MATCH($B$2,Data!$B$1:$AX$1,0),FALSE)</f>
        <v>1.8105E-5</v>
      </c>
      <c r="C49" s="35">
        <f t="shared" si="2"/>
        <v>-8.8141902989160581E-3</v>
      </c>
      <c r="D49" s="35" t="e">
        <f>(Table143454[[#This Row],[USA]]-B37)/B37</f>
        <v>#DIV/0!</v>
      </c>
      <c r="E49" s="35" t="e">
        <f>(Table143454[[#This Row],[USA]]-B37)/B37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35">
      <c r="A50" s="33">
        <f>IF(Data!A77="",#N/A,Data!A77)</f>
        <v>20180</v>
      </c>
      <c r="B50" s="34">
        <f>VLOOKUP(A50,Data!A:AX,MATCH($B$2,Data!$B$1:$AX$1,0),FALSE)</f>
        <v>1.8105E-5</v>
      </c>
      <c r="C50" s="35">
        <f t="shared" si="2"/>
        <v>0</v>
      </c>
      <c r="D50" s="35" t="e">
        <f>(Table143454[[#This Row],[USA]]-B38)/B38</f>
        <v>#DIV/0!</v>
      </c>
      <c r="E50" s="35" t="e">
        <f>(Table143454[[#This Row],[USA]]-B38)/B38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35">
      <c r="A51" s="33">
        <f>IF(Data!A78="",#N/A,Data!A78)</f>
        <v>20210</v>
      </c>
      <c r="B51" s="34">
        <f>VLOOKUP(A51,Data!A:AX,MATCH($B$2,Data!$B$1:$AX$1,0),FALSE)</f>
        <v>1.8266000000000001E-5</v>
      </c>
      <c r="C51" s="35">
        <f t="shared" si="2"/>
        <v>8.8925711129521634E-3</v>
      </c>
      <c r="D51" s="35" t="e">
        <f>(Table143454[[#This Row],[USA]]-B39)/B39</f>
        <v>#DIV/0!</v>
      </c>
      <c r="E51" s="35" t="e">
        <f>(Table143454[[#This Row],[USA]]-B39)/B39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35">
      <c r="A52" s="33">
        <f>IF(Data!A79="",#N/A,Data!A79)</f>
        <v>20241</v>
      </c>
      <c r="B52" s="34">
        <f>VLOOKUP(A52,Data!A:AX,MATCH($B$2,Data!$B$1:$AX$1,0),FALSE)</f>
        <v>1.8913E-5</v>
      </c>
      <c r="C52" s="35">
        <f t="shared" si="2"/>
        <v>3.5421000766451272E-2</v>
      </c>
      <c r="D52" s="35" t="e">
        <f>(Table143454[[#This Row],[USA]]-B40)/B40</f>
        <v>#DIV/0!</v>
      </c>
      <c r="E52" s="35" t="e">
        <f>(Table143454[[#This Row],[USA]]-B40)/B40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35">
      <c r="A53" s="33">
        <f>IF(Data!A80="",#N/A,Data!A80)</f>
        <v>20271</v>
      </c>
      <c r="B53" s="34">
        <f>VLOOKUP(A53,Data!A:AX,MATCH($B$2,Data!$B$1:$AX$1,0),FALSE)</f>
        <v>1.9398E-5</v>
      </c>
      <c r="C53" s="35">
        <f t="shared" si="2"/>
        <v>2.5643737112039267E-2</v>
      </c>
      <c r="D53" s="35" t="e">
        <f>(Table143454[[#This Row],[USA]]-B41)/B41</f>
        <v>#DIV/0!</v>
      </c>
      <c r="E53" s="35" t="e">
        <f>(Table143454[[#This Row],[USA]]-B41)/B41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35">
      <c r="A54" s="33">
        <f>IF(Data!A81="",#N/A,Data!A81)</f>
        <v>20302</v>
      </c>
      <c r="B54" s="34">
        <f>VLOOKUP(A54,Data!A:AX,MATCH($B$2,Data!$B$1:$AX$1,0),FALSE)</f>
        <v>1.9721E-5</v>
      </c>
      <c r="C54" s="35">
        <f t="shared" si="2"/>
        <v>1.6651201154758155E-2</v>
      </c>
      <c r="D54" s="35" t="e">
        <f>(Table143454[[#This Row],[USA]]-B42)/B42</f>
        <v>#DIV/0!</v>
      </c>
      <c r="E54" s="35" t="e">
        <f>(Table143454[[#This Row],[USA]]-B42)/B42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35">
      <c r="A55" s="33">
        <f>IF(Data!A82="",#N/A,Data!A82)</f>
        <v>20333</v>
      </c>
      <c r="B55" s="34">
        <f>VLOOKUP(A55,Data!A:AX,MATCH($B$2,Data!$B$1:$AX$1,0),FALSE)</f>
        <v>1.9721E-5</v>
      </c>
      <c r="C55" s="35">
        <f t="shared" si="2"/>
        <v>0</v>
      </c>
      <c r="D55" s="35" t="e">
        <f>(Table143454[[#This Row],[USA]]-B43)/B43</f>
        <v>#DIV/0!</v>
      </c>
      <c r="E55" s="35" t="e">
        <f>(Table143454[[#This Row],[USA]]-B43)/B43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35">
      <c r="A56" s="33">
        <f>IF(Data!A83="",#N/A,Data!A83)</f>
        <v>20363</v>
      </c>
      <c r="B56" s="34">
        <f>VLOOKUP(A56,Data!A:AX,MATCH($B$2,Data!$B$1:$AX$1,0),FALSE)</f>
        <v>2.0044E-5</v>
      </c>
      <c r="C56" s="35">
        <f t="shared" si="2"/>
        <v>1.6378479793113909E-2</v>
      </c>
      <c r="D56" s="35" t="e">
        <f>(Table143454[[#This Row],[USA]]-B44)/B44</f>
        <v>#DIV/0!</v>
      </c>
      <c r="E56" s="35" t="e">
        <f>(Table143454[[#This Row],[USA]]-B44)/B44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35">
      <c r="A57" s="33">
        <f>IF(Data!A84="",#N/A,Data!A84)</f>
        <v>20394</v>
      </c>
      <c r="B57" s="34">
        <f>VLOOKUP(A57,Data!A:AX,MATCH($B$2,Data!$B$1:$AX$1,0),FALSE)</f>
        <v>2.0690999999999999E-5</v>
      </c>
      <c r="C57" s="35">
        <f t="shared" si="2"/>
        <v>3.2278986230293238E-2</v>
      </c>
      <c r="D57" s="35" t="e">
        <f>(Table143454[[#This Row],[USA]]-B45)/B45</f>
        <v>#DIV/0!</v>
      </c>
      <c r="E57" s="35" t="e">
        <f>(Table143454[[#This Row],[USA]]-B45)/B45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35">
      <c r="A58" s="33">
        <f>IF(Data!A85="",#N/A,Data!A85)</f>
        <v>20424</v>
      </c>
      <c r="B58" s="34">
        <f>VLOOKUP(A58,Data!A:AX,MATCH($B$2,Data!$B$1:$AX$1,0),FALSE)</f>
        <v>2.1013999999999999E-5</v>
      </c>
      <c r="C58" s="35">
        <f t="shared" si="2"/>
        <v>1.5610651974288237E-2</v>
      </c>
      <c r="D58" s="35" t="e">
        <f>(Table143454[[#This Row],[USA]]-B46)/B46</f>
        <v>#DIV/0!</v>
      </c>
      <c r="E58" s="35" t="e">
        <f>(Table143454[[#This Row],[USA]]-B46)/B46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35">
      <c r="A59" s="33">
        <f>IF(Data!A86="",#N/A,Data!A86)</f>
        <v>20455</v>
      </c>
      <c r="B59" s="34">
        <f>VLOOKUP(A59,Data!A:AX,MATCH($B$2,Data!$B$1:$AX$1,0),FALSE)</f>
        <v>2.1498999999999999E-5</v>
      </c>
      <c r="C59" s="35">
        <f t="shared" si="2"/>
        <v>2.3079851527552986E-2</v>
      </c>
      <c r="D59" s="35">
        <f t="shared" ref="D59:D122" si="3">((1+C59)^12)-1</f>
        <v>0.31496556883188043</v>
      </c>
      <c r="E59" s="35">
        <f>(Table143454[[#This Row],[USA]]-B47)/B47</f>
        <v>0.17699551078506501</v>
      </c>
      <c r="F59" s="34">
        <f>VLOOKUP(Table143454[[#This Row],[Date]],'Data Core CPI'!$A:$AX,MATCH($B$2,'Data Core CPI'!$B$1:$AX$1,0),FALSE)</f>
        <v>0</v>
      </c>
      <c r="G59" s="35" t="e">
        <f t="shared" si="0"/>
        <v>#DIV/0!</v>
      </c>
      <c r="H59" s="35" t="e">
        <f t="shared" si="1"/>
        <v>#DIV/0!</v>
      </c>
      <c r="I59" s="35" t="e">
        <f>(Table143454[[#This Row],[Core CPI]]-F47)/F47</f>
        <v>#DIV/0!</v>
      </c>
    </row>
    <row r="60" spans="1:9" x14ac:dyDescent="0.35">
      <c r="A60" s="33">
        <f>IF(Data!A87="",#N/A,Data!A87)</f>
        <v>20486</v>
      </c>
      <c r="B60" s="34">
        <f>VLOOKUP(A60,Data!A:AX,MATCH($B$2,Data!$B$1:$AX$1,0),FALSE)</f>
        <v>2.2306999999999998E-5</v>
      </c>
      <c r="C60" s="35">
        <f t="shared" si="2"/>
        <v>3.7583143402018626E-2</v>
      </c>
      <c r="D60" s="35">
        <f t="shared" si="3"/>
        <v>0.55695080691955434</v>
      </c>
      <c r="E60" s="35">
        <f>(Table143454[[#This Row],[USA]]-B48)/B48</f>
        <v>0.22123070185043234</v>
      </c>
      <c r="F60" s="34">
        <f>VLOOKUP(Table143454[[#This Row],[Date]],'Data Core CPI'!$A:$AX,MATCH($B$2,'Data Core CPI'!$B$1:$AX$1,0),FALSE)</f>
        <v>0</v>
      </c>
      <c r="G60" s="35" t="e">
        <f t="shared" si="0"/>
        <v>#DIV/0!</v>
      </c>
      <c r="H60" s="35" t="e">
        <f t="shared" si="1"/>
        <v>#DIV/0!</v>
      </c>
      <c r="I60" s="35" t="e">
        <f>(Table143454[[#This Row],[Core CPI]]-F48)/F48</f>
        <v>#DIV/0!</v>
      </c>
    </row>
    <row r="61" spans="1:9" x14ac:dyDescent="0.35">
      <c r="A61" s="33">
        <f>IF(Data!A88="",#N/A,Data!A88)</f>
        <v>20515</v>
      </c>
      <c r="B61" s="34">
        <f>VLOOKUP(A61,Data!A:AX,MATCH($B$2,Data!$B$1:$AX$1,0),FALSE)</f>
        <v>2.2146000000000001E-5</v>
      </c>
      <c r="C61" s="35">
        <f t="shared" si="2"/>
        <v>-7.2174653696147617E-3</v>
      </c>
      <c r="D61" s="35">
        <f t="shared" si="3"/>
        <v>-8.3252910964521254E-2</v>
      </c>
      <c r="E61" s="35">
        <f>(Table143454[[#This Row],[USA]]-B49)/B49</f>
        <v>0.22319801159900585</v>
      </c>
      <c r="F61" s="34">
        <f>VLOOKUP(Table143454[[#This Row],[Date]],'Data Core CPI'!$A:$AX,MATCH($B$2,'Data Core CPI'!$B$1:$AX$1,0),FALSE)</f>
        <v>0</v>
      </c>
      <c r="G61" s="35" t="e">
        <f t="shared" si="0"/>
        <v>#DIV/0!</v>
      </c>
      <c r="H61" s="35" t="e">
        <f t="shared" si="1"/>
        <v>#DIV/0!</v>
      </c>
      <c r="I61" s="35" t="e">
        <f>(Table143454[[#This Row],[Core CPI]]-F49)/F49</f>
        <v>#DIV/0!</v>
      </c>
    </row>
    <row r="62" spans="1:9" x14ac:dyDescent="0.35">
      <c r="A62" s="33">
        <f>IF(Data!A89="",#N/A,Data!A89)</f>
        <v>20546</v>
      </c>
      <c r="B62" s="34">
        <f>VLOOKUP(A62,Data!A:AX,MATCH($B$2,Data!$B$1:$AX$1,0),FALSE)</f>
        <v>2.2306999999999998E-5</v>
      </c>
      <c r="C62" s="35">
        <f t="shared" si="2"/>
        <v>7.2699358800685232E-3</v>
      </c>
      <c r="D62" s="35">
        <f t="shared" si="3"/>
        <v>9.0813390039899966E-2</v>
      </c>
      <c r="E62" s="35">
        <f>(Table143454[[#This Row],[USA]]-B50)/B50</f>
        <v>0.2320905827119579</v>
      </c>
      <c r="F62" s="34">
        <f>VLOOKUP(Table143454[[#This Row],[Date]],'Data Core CPI'!$A:$AX,MATCH($B$2,'Data Core CPI'!$B$1:$AX$1,0),FALSE)</f>
        <v>0</v>
      </c>
      <c r="G62" s="35" t="e">
        <f t="shared" si="0"/>
        <v>#DIV/0!</v>
      </c>
      <c r="H62" s="35" t="e">
        <f t="shared" si="1"/>
        <v>#DIV/0!</v>
      </c>
      <c r="I62" s="35" t="e">
        <f>(Table143454[[#This Row],[Core CPI]]-F50)/F50</f>
        <v>#DIV/0!</v>
      </c>
    </row>
    <row r="63" spans="1:9" x14ac:dyDescent="0.35">
      <c r="A63" s="33">
        <f>IF(Data!A90="",#N/A,Data!A90)</f>
        <v>20576</v>
      </c>
      <c r="B63" s="34">
        <f>VLOOKUP(A63,Data!A:AX,MATCH($B$2,Data!$B$1:$AX$1,0),FALSE)</f>
        <v>2.2306999999999998E-5</v>
      </c>
      <c r="C63" s="35">
        <f t="shared" si="2"/>
        <v>0</v>
      </c>
      <c r="D63" s="35">
        <f t="shared" si="3"/>
        <v>0</v>
      </c>
      <c r="E63" s="35">
        <f>(Table143454[[#This Row],[USA]]-B51)/B51</f>
        <v>0.22123070185043234</v>
      </c>
      <c r="F63" s="34">
        <f>VLOOKUP(Table143454[[#This Row],[Date]],'Data Core CPI'!$A:$AX,MATCH($B$2,'Data Core CPI'!$B$1:$AX$1,0),FALSE)</f>
        <v>0</v>
      </c>
      <c r="G63" s="35" t="e">
        <f t="shared" si="0"/>
        <v>#DIV/0!</v>
      </c>
      <c r="H63" s="35" t="e">
        <f t="shared" si="1"/>
        <v>#DIV/0!</v>
      </c>
      <c r="I63" s="35" t="e">
        <f>(Table143454[[#This Row],[Core CPI]]-F51)/F51</f>
        <v>#DIV/0!</v>
      </c>
    </row>
    <row r="64" spans="1:9" x14ac:dyDescent="0.35">
      <c r="A64" s="33">
        <f>IF(Data!A91="",#N/A,Data!A91)</f>
        <v>20607</v>
      </c>
      <c r="B64" s="34">
        <f>VLOOKUP(A64,Data!A:AX,MATCH($B$2,Data!$B$1:$AX$1,0),FALSE)</f>
        <v>2.2306999999999998E-5</v>
      </c>
      <c r="C64" s="35">
        <f t="shared" si="2"/>
        <v>0</v>
      </c>
      <c r="D64" s="35">
        <f t="shared" si="3"/>
        <v>0</v>
      </c>
      <c r="E64" s="35">
        <f>(Table143454[[#This Row],[USA]]-B52)/B52</f>
        <v>0.1794532860995082</v>
      </c>
      <c r="F64" s="34">
        <f>VLOOKUP(Table143454[[#This Row],[Date]],'Data Core CPI'!$A:$AX,MATCH($B$2,'Data Core CPI'!$B$1:$AX$1,0),FALSE)</f>
        <v>0</v>
      </c>
      <c r="G64" s="35" t="e">
        <f t="shared" si="0"/>
        <v>#DIV/0!</v>
      </c>
      <c r="H64" s="35" t="e">
        <f t="shared" si="1"/>
        <v>#DIV/0!</v>
      </c>
      <c r="I64" s="35" t="e">
        <f>(Table143454[[#This Row],[Core CPI]]-F52)/F52</f>
        <v>#DIV/0!</v>
      </c>
    </row>
    <row r="65" spans="1:9" x14ac:dyDescent="0.35">
      <c r="A65" s="33">
        <f>IF(Data!A92="",#N/A,Data!A92)</f>
        <v>20637</v>
      </c>
      <c r="B65" s="34">
        <f>VLOOKUP(A65,Data!A:AX,MATCH($B$2,Data!$B$1:$AX$1,0),FALSE)</f>
        <v>2.2306999999999998E-5</v>
      </c>
      <c r="C65" s="35">
        <f t="shared" si="2"/>
        <v>0</v>
      </c>
      <c r="D65" s="35">
        <f t="shared" si="3"/>
        <v>0</v>
      </c>
      <c r="E65" s="35">
        <f>(Table143454[[#This Row],[USA]]-B53)/B53</f>
        <v>0.14996391380554691</v>
      </c>
      <c r="F65" s="34">
        <f>VLOOKUP(Table143454[[#This Row],[Date]],'Data Core CPI'!$A:$AX,MATCH($B$2,'Data Core CPI'!$B$1:$AX$1,0),FALSE)</f>
        <v>0</v>
      </c>
      <c r="G65" s="35" t="e">
        <f t="shared" si="0"/>
        <v>#DIV/0!</v>
      </c>
      <c r="H65" s="35" t="e">
        <f t="shared" si="1"/>
        <v>#DIV/0!</v>
      </c>
      <c r="I65" s="35" t="e">
        <f>(Table143454[[#This Row],[Core CPI]]-F53)/F53</f>
        <v>#DIV/0!</v>
      </c>
    </row>
    <row r="66" spans="1:9" x14ac:dyDescent="0.35">
      <c r="A66" s="33">
        <f>IF(Data!A93="",#N/A,Data!A93)</f>
        <v>20668</v>
      </c>
      <c r="B66" s="34">
        <f>VLOOKUP(A66,Data!A:AX,MATCH($B$2,Data!$B$1:$AX$1,0),FALSE)</f>
        <v>2.1338000000000001E-5</v>
      </c>
      <c r="C66" s="35">
        <f t="shared" si="2"/>
        <v>-4.343927915004242E-2</v>
      </c>
      <c r="D66" s="35">
        <f t="shared" si="3"/>
        <v>-0.41311836147007486</v>
      </c>
      <c r="E66" s="35">
        <f>(Table143454[[#This Row],[USA]]-B54)/B54</f>
        <v>8.199381370113086E-2</v>
      </c>
      <c r="F66" s="34">
        <f>VLOOKUP(Table143454[[#This Row],[Date]],'Data Core CPI'!$A:$AX,MATCH($B$2,'Data Core CPI'!$B$1:$AX$1,0),FALSE)</f>
        <v>0</v>
      </c>
      <c r="G66" s="35" t="e">
        <f t="shared" si="0"/>
        <v>#DIV/0!</v>
      </c>
      <c r="H66" s="35" t="e">
        <f t="shared" si="1"/>
        <v>#DIV/0!</v>
      </c>
      <c r="I66" s="35" t="e">
        <f>(Table143454[[#This Row],[Core CPI]]-F54)/F54</f>
        <v>#DIV/0!</v>
      </c>
    </row>
    <row r="67" spans="1:9" x14ac:dyDescent="0.35">
      <c r="A67" s="33">
        <f>IF(Data!A94="",#N/A,Data!A94)</f>
        <v>20699</v>
      </c>
      <c r="B67" s="34">
        <f>VLOOKUP(A67,Data!A:AX,MATCH($B$2,Data!$B$1:$AX$1,0),FALSE)</f>
        <v>2.1338000000000001E-5</v>
      </c>
      <c r="C67" s="35">
        <f t="shared" si="2"/>
        <v>0</v>
      </c>
      <c r="D67" s="35">
        <f t="shared" si="3"/>
        <v>0</v>
      </c>
      <c r="E67" s="35">
        <f>(Table143454[[#This Row],[USA]]-B55)/B55</f>
        <v>8.199381370113086E-2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35">
      <c r="A68" s="33">
        <f>IF(Data!A95="",#N/A,Data!A95)</f>
        <v>20729</v>
      </c>
      <c r="B68" s="34">
        <f>VLOOKUP(A68,Data!A:AX,MATCH($B$2,Data!$B$1:$AX$1,0),FALSE)</f>
        <v>2.1498999999999999E-5</v>
      </c>
      <c r="C68" s="35">
        <f t="shared" ref="C68:C131" si="6">(B68/B67)-1</f>
        <v>7.5452244821443415E-3</v>
      </c>
      <c r="D68" s="35">
        <f t="shared" si="3"/>
        <v>9.4396226483288936E-2</v>
      </c>
      <c r="E68" s="35">
        <f>(Table143454[[#This Row],[USA]]-B56)/B56</f>
        <v>7.2590301337058405E-2</v>
      </c>
      <c r="F68" s="34">
        <f>VLOOKUP(Table143454[[#This Row],[Date]],'Data Core CPI'!$A:$AX,MATCH($B$2,'Data Core CPI'!$B$1:$AX$1,0),FALSE)</f>
        <v>0</v>
      </c>
      <c r="G68" s="35" t="e">
        <f t="shared" si="4"/>
        <v>#DIV/0!</v>
      </c>
      <c r="H68" s="35" t="e">
        <f t="shared" si="5"/>
        <v>#DIV/0!</v>
      </c>
      <c r="I68" s="35" t="e">
        <f>(Table143454[[#This Row],[Core CPI]]-F56)/F56</f>
        <v>#DIV/0!</v>
      </c>
    </row>
    <row r="69" spans="1:9" x14ac:dyDescent="0.35">
      <c r="A69" s="33">
        <f>IF(Data!A96="",#N/A,Data!A96)</f>
        <v>20760</v>
      </c>
      <c r="B69" s="34">
        <f>VLOOKUP(A69,Data!A:AX,MATCH($B$2,Data!$B$1:$AX$1,0),FALSE)</f>
        <v>2.2146000000000001E-5</v>
      </c>
      <c r="C69" s="35">
        <f t="shared" si="6"/>
        <v>3.0094422996418624E-2</v>
      </c>
      <c r="D69" s="35">
        <f t="shared" si="3"/>
        <v>0.42733012001494397</v>
      </c>
      <c r="E69" s="35">
        <f>(Table143454[[#This Row],[USA]]-B57)/B57</f>
        <v>7.0320429172103918E-2</v>
      </c>
      <c r="F69" s="34">
        <f>VLOOKUP(Table143454[[#This Row],[Date]],'Data Core CPI'!$A:$AX,MATCH($B$2,'Data Core CPI'!$B$1:$AX$1,0),FALSE)</f>
        <v>0</v>
      </c>
      <c r="G69" s="35" t="e">
        <f t="shared" si="4"/>
        <v>#DIV/0!</v>
      </c>
      <c r="H69" s="35" t="e">
        <f t="shared" si="5"/>
        <v>#DIV/0!</v>
      </c>
      <c r="I69" s="35" t="e">
        <f>(Table143454[[#This Row],[Core CPI]]-F57)/F57</f>
        <v>#DIV/0!</v>
      </c>
    </row>
    <row r="70" spans="1:9" x14ac:dyDescent="0.35">
      <c r="A70" s="33">
        <f>IF(Data!A97="",#N/A,Data!A97)</f>
        <v>20790</v>
      </c>
      <c r="B70" s="34">
        <f>VLOOKUP(A70,Data!A:AX,MATCH($B$2,Data!$B$1:$AX$1,0),FALSE)</f>
        <v>2.2469000000000001E-5</v>
      </c>
      <c r="C70" s="35">
        <f t="shared" si="6"/>
        <v>1.4585026641379839E-2</v>
      </c>
      <c r="D70" s="35">
        <f t="shared" si="3"/>
        <v>0.18976553438048294</v>
      </c>
      <c r="E70" s="35">
        <f>(Table143454[[#This Row],[USA]]-B58)/B58</f>
        <v>6.9239554582659291E-2</v>
      </c>
      <c r="F70" s="34">
        <f>VLOOKUP(Table143454[[#This Row],[Date]],'Data Core CPI'!$A:$AX,MATCH($B$2,'Data Core CPI'!$B$1:$AX$1,0),FALSE)</f>
        <v>0</v>
      </c>
      <c r="G70" s="35" t="e">
        <f t="shared" si="4"/>
        <v>#DIV/0!</v>
      </c>
      <c r="H70" s="35" t="e">
        <f t="shared" si="5"/>
        <v>#DIV/0!</v>
      </c>
      <c r="I70" s="35" t="e">
        <f>(Table143454[[#This Row],[Core CPI]]-F58)/F58</f>
        <v>#DIV/0!</v>
      </c>
    </row>
    <row r="71" spans="1:9" x14ac:dyDescent="0.35">
      <c r="A71" s="33">
        <f>IF(Data!A98="",#N/A,Data!A98)</f>
        <v>20821</v>
      </c>
      <c r="B71" s="34">
        <f>VLOOKUP(A71,Data!A:AX,MATCH($B$2,Data!$B$1:$AX$1,0),FALSE)</f>
        <v>2.2631000000000001E-5</v>
      </c>
      <c r="C71" s="35">
        <f t="shared" si="6"/>
        <v>7.2099336864124286E-3</v>
      </c>
      <c r="D71" s="35">
        <f t="shared" si="3"/>
        <v>9.0033899803063422E-2</v>
      </c>
      <c r="E71" s="35">
        <f>(Table143454[[#This Row],[USA]]-B59)/B59</f>
        <v>5.265361179589758E-2</v>
      </c>
      <c r="F71" s="34">
        <f>VLOOKUP(Table143454[[#This Row],[Date]],'Data Core CPI'!$A:$AX,MATCH($B$2,'Data Core CPI'!$B$1:$AX$1,0),FALSE)</f>
        <v>0</v>
      </c>
      <c r="G71" s="35" t="e">
        <f t="shared" si="4"/>
        <v>#DIV/0!</v>
      </c>
      <c r="H71" s="35" t="e">
        <f t="shared" si="5"/>
        <v>#DIV/0!</v>
      </c>
      <c r="I71" s="35" t="e">
        <f>(Table143454[[#This Row],[Core CPI]]-F59)/F59</f>
        <v>#DIV/0!</v>
      </c>
    </row>
    <row r="72" spans="1:9" x14ac:dyDescent="0.35">
      <c r="A72" s="33">
        <f>IF(Data!A99="",#N/A,Data!A99)</f>
        <v>20852</v>
      </c>
      <c r="B72" s="34">
        <f>VLOOKUP(A72,Data!A:AX,MATCH($B$2,Data!$B$1:$AX$1,0),FALSE)</f>
        <v>2.3116E-5</v>
      </c>
      <c r="C72" s="35">
        <f t="shared" si="6"/>
        <v>2.1430780787415449E-2</v>
      </c>
      <c r="D72" s="35">
        <f t="shared" si="3"/>
        <v>0.28975521929404779</v>
      </c>
      <c r="E72" s="35">
        <f>(Table143454[[#This Row],[USA]]-B60)/B60</f>
        <v>3.6266642757878782E-2</v>
      </c>
      <c r="F72" s="34">
        <f>VLOOKUP(Table143454[[#This Row],[Date]],'Data Core CPI'!$A:$AX,MATCH($B$2,'Data Core CPI'!$B$1:$AX$1,0),FALSE)</f>
        <v>0</v>
      </c>
      <c r="G72" s="35" t="e">
        <f t="shared" si="4"/>
        <v>#DIV/0!</v>
      </c>
      <c r="H72" s="35" t="e">
        <f t="shared" si="5"/>
        <v>#DIV/0!</v>
      </c>
      <c r="I72" s="35" t="e">
        <f>(Table143454[[#This Row],[Core CPI]]-F60)/F60</f>
        <v>#DIV/0!</v>
      </c>
    </row>
    <row r="73" spans="1:9" x14ac:dyDescent="0.35">
      <c r="A73" s="33">
        <f>IF(Data!A100="",#N/A,Data!A100)</f>
        <v>20880</v>
      </c>
      <c r="B73" s="34">
        <f>VLOOKUP(A73,Data!A:AX,MATCH($B$2,Data!$B$1:$AX$1,0),FALSE)</f>
        <v>2.3277000000000001E-5</v>
      </c>
      <c r="C73" s="35">
        <f t="shared" si="6"/>
        <v>6.9648728153659523E-3</v>
      </c>
      <c r="D73" s="35">
        <f t="shared" si="3"/>
        <v>8.6855605286765281E-2</v>
      </c>
      <c r="E73" s="35">
        <f>(Table143454[[#This Row],[USA]]-B61)/B61</f>
        <v>5.107017068545109E-2</v>
      </c>
      <c r="F73" s="34">
        <f>VLOOKUP(Table143454[[#This Row],[Date]],'Data Core CPI'!$A:$AX,MATCH($B$2,'Data Core CPI'!$B$1:$AX$1,0),FALSE)</f>
        <v>0</v>
      </c>
      <c r="G73" s="35" t="e">
        <f t="shared" si="4"/>
        <v>#DIV/0!</v>
      </c>
      <c r="H73" s="35" t="e">
        <f t="shared" si="5"/>
        <v>#DIV/0!</v>
      </c>
      <c r="I73" s="35" t="e">
        <f>(Table143454[[#This Row],[Core CPI]]-F61)/F61</f>
        <v>#DIV/0!</v>
      </c>
    </row>
    <row r="74" spans="1:9" x14ac:dyDescent="0.35">
      <c r="A74" s="33">
        <f>IF(Data!A101="",#N/A,Data!A101)</f>
        <v>20911</v>
      </c>
      <c r="B74" s="34">
        <f>VLOOKUP(A74,Data!A:AX,MATCH($B$2,Data!$B$1:$AX$1,0),FALSE)</f>
        <v>2.3762000000000001E-5</v>
      </c>
      <c r="C74" s="35">
        <f t="shared" si="6"/>
        <v>2.0836018387249133E-2</v>
      </c>
      <c r="D74" s="35">
        <f t="shared" si="3"/>
        <v>0.28077198507816514</v>
      </c>
      <c r="E74" s="35">
        <f>(Table143454[[#This Row],[USA]]-B62)/B62</f>
        <v>6.5226162191240514E-2</v>
      </c>
      <c r="F74" s="34">
        <f>VLOOKUP(Table143454[[#This Row],[Date]],'Data Core CPI'!$A:$AX,MATCH($B$2,'Data Core CPI'!$B$1:$AX$1,0),FALSE)</f>
        <v>0</v>
      </c>
      <c r="G74" s="35" t="e">
        <f t="shared" si="4"/>
        <v>#DIV/0!</v>
      </c>
      <c r="H74" s="35" t="e">
        <f t="shared" si="5"/>
        <v>#DIV/0!</v>
      </c>
      <c r="I74" s="35" t="e">
        <f>(Table143454[[#This Row],[Core CPI]]-F62)/F62</f>
        <v>#DIV/0!</v>
      </c>
    </row>
    <row r="75" spans="1:9" x14ac:dyDescent="0.35">
      <c r="A75" s="33">
        <f>IF(Data!A102="",#N/A,Data!A102)</f>
        <v>20941</v>
      </c>
      <c r="B75" s="34">
        <f>VLOOKUP(A75,Data!A:AX,MATCH($B$2,Data!$B$1:$AX$1,0),FALSE)</f>
        <v>2.4085999999999999E-5</v>
      </c>
      <c r="C75" s="35">
        <f t="shared" si="6"/>
        <v>1.3635215890918317E-2</v>
      </c>
      <c r="D75" s="35">
        <f t="shared" si="3"/>
        <v>0.17646845191786276</v>
      </c>
      <c r="E75" s="35">
        <f>(Table143454[[#This Row],[USA]]-B63)/B63</f>
        <v>7.9750750885372354E-2</v>
      </c>
      <c r="F75" s="34">
        <f>VLOOKUP(Table143454[[#This Row],[Date]],'Data Core CPI'!$A:$AX,MATCH($B$2,'Data Core CPI'!$B$1:$AX$1,0),FALSE)</f>
        <v>0</v>
      </c>
      <c r="G75" s="35" t="e">
        <f t="shared" si="4"/>
        <v>#DIV/0!</v>
      </c>
      <c r="H75" s="35" t="e">
        <f t="shared" si="5"/>
        <v>#DIV/0!</v>
      </c>
      <c r="I75" s="35" t="e">
        <f>(Table143454[[#This Row],[Core CPI]]-F63)/F63</f>
        <v>#DIV/0!</v>
      </c>
    </row>
    <row r="76" spans="1:9" x14ac:dyDescent="0.35">
      <c r="A76" s="33">
        <f>IF(Data!A103="",#N/A,Data!A103)</f>
        <v>20972</v>
      </c>
      <c r="B76" s="34">
        <f>VLOOKUP(A76,Data!A:AX,MATCH($B$2,Data!$B$1:$AX$1,0),FALSE)</f>
        <v>2.457E-5</v>
      </c>
      <c r="C76" s="35">
        <f t="shared" si="6"/>
        <v>2.0094660798804398E-2</v>
      </c>
      <c r="D76" s="35">
        <f t="shared" si="3"/>
        <v>0.26965490136674242</v>
      </c>
      <c r="E76" s="35">
        <f>(Table143454[[#This Row],[USA]]-B64)/B64</f>
        <v>0.10144797597166817</v>
      </c>
      <c r="F76" s="34">
        <f>VLOOKUP(Table143454[[#This Row],[Date]],'Data Core CPI'!$A:$AX,MATCH($B$2,'Data Core CPI'!$B$1:$AX$1,0),FALSE)</f>
        <v>0</v>
      </c>
      <c r="G76" s="35" t="e">
        <f t="shared" si="4"/>
        <v>#DIV/0!</v>
      </c>
      <c r="H76" s="35" t="e">
        <f t="shared" si="5"/>
        <v>#DIV/0!</v>
      </c>
      <c r="I76" s="35" t="e">
        <f>(Table143454[[#This Row],[Core CPI]]-F64)/F64</f>
        <v>#DIV/0!</v>
      </c>
    </row>
    <row r="77" spans="1:9" x14ac:dyDescent="0.35">
      <c r="A77" s="33">
        <f>IF(Data!A104="",#N/A,Data!A104)</f>
        <v>21002</v>
      </c>
      <c r="B77" s="34">
        <f>VLOOKUP(A77,Data!A:AX,MATCH($B$2,Data!$B$1:$AX$1,0),FALSE)</f>
        <v>2.5055E-5</v>
      </c>
      <c r="C77" s="35">
        <f t="shared" si="6"/>
        <v>1.9739519739519817E-2</v>
      </c>
      <c r="D77" s="35">
        <f t="shared" si="3"/>
        <v>0.26436075512995583</v>
      </c>
      <c r="E77" s="35">
        <f>(Table143454[[#This Row],[USA]]-B65)/B65</f>
        <v>0.12319003003541497</v>
      </c>
      <c r="F77" s="34">
        <f>VLOOKUP(Table143454[[#This Row],[Date]],'Data Core CPI'!$A:$AX,MATCH($B$2,'Data Core CPI'!$B$1:$AX$1,0),FALSE)</f>
        <v>0</v>
      </c>
      <c r="G77" s="35" t="e">
        <f t="shared" si="4"/>
        <v>#DIV/0!</v>
      </c>
      <c r="H77" s="35" t="e">
        <f t="shared" si="5"/>
        <v>#DIV/0!</v>
      </c>
      <c r="I77" s="35" t="e">
        <f>(Table143454[[#This Row],[Core CPI]]-F65)/F65</f>
        <v>#DIV/0!</v>
      </c>
    </row>
    <row r="78" spans="1:9" x14ac:dyDescent="0.35">
      <c r="A78" s="33">
        <f>IF(Data!A105="",#N/A,Data!A105)</f>
        <v>21033</v>
      </c>
      <c r="B78" s="34">
        <f>VLOOKUP(A78,Data!A:AX,MATCH($B$2,Data!$B$1:$AX$1,0),FALSE)</f>
        <v>2.5378999999999999E-5</v>
      </c>
      <c r="C78" s="35">
        <f t="shared" si="6"/>
        <v>1.2931550588704877E-2</v>
      </c>
      <c r="D78" s="35">
        <f t="shared" si="3"/>
        <v>0.16670533544012067</v>
      </c>
      <c r="E78" s="35">
        <f>(Table143454[[#This Row],[USA]]-B66)/B66</f>
        <v>0.18938044802699397</v>
      </c>
      <c r="F78" s="34">
        <f>VLOOKUP(Table143454[[#This Row],[Date]],'Data Core CPI'!$A:$AX,MATCH($B$2,'Data Core CPI'!$B$1:$AX$1,0),FALSE)</f>
        <v>0</v>
      </c>
      <c r="G78" s="35" t="e">
        <f t="shared" si="4"/>
        <v>#DIV/0!</v>
      </c>
      <c r="H78" s="35" t="e">
        <f t="shared" si="5"/>
        <v>#DIV/0!</v>
      </c>
      <c r="I78" s="35" t="e">
        <f>(Table143454[[#This Row],[Core CPI]]-F66)/F66</f>
        <v>#DIV/0!</v>
      </c>
    </row>
    <row r="79" spans="1:9" x14ac:dyDescent="0.35">
      <c r="A79" s="33">
        <f>IF(Data!A106="",#N/A,Data!A106)</f>
        <v>21064</v>
      </c>
      <c r="B79" s="34">
        <f>VLOOKUP(A79,Data!A:AX,MATCH($B$2,Data!$B$1:$AX$1,0),FALSE)</f>
        <v>2.5701999999999999E-5</v>
      </c>
      <c r="C79" s="35">
        <f t="shared" si="6"/>
        <v>1.2727057803695985E-2</v>
      </c>
      <c r="D79" s="35">
        <f t="shared" si="3"/>
        <v>0.16388202809394792</v>
      </c>
      <c r="E79" s="35">
        <f>(Table143454[[#This Row],[USA]]-B67)/B67</f>
        <v>0.20451776173961933</v>
      </c>
      <c r="F79" s="34">
        <f>VLOOKUP(Table143454[[#This Row],[Date]],'Data Core CPI'!$A:$AX,MATCH($B$2,'Data Core CPI'!$B$1:$AX$1,0),FALSE)</f>
        <v>0</v>
      </c>
      <c r="G79" s="35" t="e">
        <f t="shared" si="4"/>
        <v>#DIV/0!</v>
      </c>
      <c r="H79" s="35" t="e">
        <f t="shared" si="5"/>
        <v>#DIV/0!</v>
      </c>
      <c r="I79" s="35" t="e">
        <f>(Table143454[[#This Row],[Core CPI]]-F67)/F67</f>
        <v>#DIV/0!</v>
      </c>
    </row>
    <row r="80" spans="1:9" x14ac:dyDescent="0.35">
      <c r="A80" s="33">
        <f>IF(Data!A107="",#N/A,Data!A107)</f>
        <v>21094</v>
      </c>
      <c r="B80" s="34">
        <f>VLOOKUP(A80,Data!A:AX,MATCH($B$2,Data!$B$1:$AX$1,0),FALSE)</f>
        <v>2.5863999999999998E-5</v>
      </c>
      <c r="C80" s="35">
        <f t="shared" si="6"/>
        <v>6.3030114387985225E-3</v>
      </c>
      <c r="D80" s="35">
        <f t="shared" si="3"/>
        <v>7.8314060640917615E-2</v>
      </c>
      <c r="E80" s="35">
        <f>(Table143454[[#This Row],[USA]]-B68)/B68</f>
        <v>0.20303269919531142</v>
      </c>
      <c r="F80" s="34">
        <f>VLOOKUP(Table143454[[#This Row],[Date]],'Data Core CPI'!$A:$AX,MATCH($B$2,'Data Core CPI'!$B$1:$AX$1,0),FALSE)</f>
        <v>0</v>
      </c>
      <c r="G80" s="35" t="e">
        <f t="shared" si="4"/>
        <v>#DIV/0!</v>
      </c>
      <c r="H80" s="35" t="e">
        <f t="shared" si="5"/>
        <v>#DIV/0!</v>
      </c>
      <c r="I80" s="35" t="e">
        <f>(Table143454[[#This Row],[Core CPI]]-F68)/F68</f>
        <v>#DIV/0!</v>
      </c>
    </row>
    <row r="81" spans="1:9" x14ac:dyDescent="0.35">
      <c r="A81" s="33">
        <f>IF(Data!A108="",#N/A,Data!A108)</f>
        <v>21125</v>
      </c>
      <c r="B81" s="34">
        <f>VLOOKUP(A81,Data!A:AX,MATCH($B$2,Data!$B$1:$AX$1,0),FALSE)</f>
        <v>2.5701999999999999E-5</v>
      </c>
      <c r="C81" s="35">
        <f t="shared" si="6"/>
        <v>-6.2635323229198736E-3</v>
      </c>
      <c r="D81" s="35">
        <f t="shared" si="3"/>
        <v>-7.2626392902982451E-2</v>
      </c>
      <c r="E81" s="35">
        <f>(Table143454[[#This Row],[USA]]-B69)/B69</f>
        <v>0.16057075769890714</v>
      </c>
      <c r="F81" s="34">
        <f>VLOOKUP(Table143454[[#This Row],[Date]],'Data Core CPI'!$A:$AX,MATCH($B$2,'Data Core CPI'!$B$1:$AX$1,0),FALSE)</f>
        <v>0</v>
      </c>
      <c r="G81" s="35" t="e">
        <f t="shared" si="4"/>
        <v>#DIV/0!</v>
      </c>
      <c r="H81" s="35" t="e">
        <f t="shared" si="5"/>
        <v>#DIV/0!</v>
      </c>
      <c r="I81" s="35" t="e">
        <f>(Table143454[[#This Row],[Core CPI]]-F69)/F69</f>
        <v>#DIV/0!</v>
      </c>
    </row>
    <row r="82" spans="1:9" x14ac:dyDescent="0.35">
      <c r="A82" s="33">
        <f>IF(Data!A109="",#N/A,Data!A109)</f>
        <v>21155</v>
      </c>
      <c r="B82" s="34">
        <f>VLOOKUP(A82,Data!A:AX,MATCH($B$2,Data!$B$1:$AX$1,0),FALSE)</f>
        <v>2.5539999999999999E-5</v>
      </c>
      <c r="C82" s="35">
        <f t="shared" si="6"/>
        <v>-6.3030114387985225E-3</v>
      </c>
      <c r="D82" s="35">
        <f t="shared" si="3"/>
        <v>-7.3068408175791077E-2</v>
      </c>
      <c r="E82" s="35">
        <f>(Table143454[[#This Row],[USA]]-B70)/B70</f>
        <v>0.13667719969736072</v>
      </c>
      <c r="F82" s="34">
        <f>VLOOKUP(Table143454[[#This Row],[Date]],'Data Core CPI'!$A:$AX,MATCH($B$2,'Data Core CPI'!$B$1:$AX$1,0),FALSE)</f>
        <v>0</v>
      </c>
      <c r="G82" s="35" t="e">
        <f t="shared" si="4"/>
        <v>#DIV/0!</v>
      </c>
      <c r="H82" s="35" t="e">
        <f t="shared" si="5"/>
        <v>#DIV/0!</v>
      </c>
      <c r="I82" s="35" t="e">
        <f>(Table143454[[#This Row],[Core CPI]]-F70)/F70</f>
        <v>#DIV/0!</v>
      </c>
    </row>
    <row r="83" spans="1:9" x14ac:dyDescent="0.35">
      <c r="A83" s="33">
        <f>IF(Data!A110="",#N/A,Data!A110)</f>
        <v>21186</v>
      </c>
      <c r="B83" s="34">
        <f>VLOOKUP(A83,Data!A:AX,MATCH($B$2,Data!$B$1:$AX$1,0),FALSE)</f>
        <v>2.5378999999999999E-5</v>
      </c>
      <c r="C83" s="35">
        <f t="shared" si="6"/>
        <v>-6.3038371182458919E-3</v>
      </c>
      <c r="D83" s="35">
        <f t="shared" si="3"/>
        <v>-7.3077650569103869E-2</v>
      </c>
      <c r="E83" s="35">
        <f>(Table143454[[#This Row],[USA]]-B71)/B71</f>
        <v>0.12142636206972728</v>
      </c>
      <c r="F83" s="34">
        <f>VLOOKUP(Table143454[[#This Row],[Date]],'Data Core CPI'!$A:$AX,MATCH($B$2,'Data Core CPI'!$B$1:$AX$1,0),FALSE)</f>
        <v>0</v>
      </c>
      <c r="G83" s="35" t="e">
        <f t="shared" si="4"/>
        <v>#DIV/0!</v>
      </c>
      <c r="H83" s="35" t="e">
        <f t="shared" si="5"/>
        <v>#DIV/0!</v>
      </c>
      <c r="I83" s="35" t="e">
        <f>(Table143454[[#This Row],[Core CPI]]-F71)/F71</f>
        <v>#DIV/0!</v>
      </c>
    </row>
    <row r="84" spans="1:9" x14ac:dyDescent="0.35">
      <c r="A84" s="33">
        <f>IF(Data!A111="",#N/A,Data!A111)</f>
        <v>21217</v>
      </c>
      <c r="B84" s="34">
        <f>VLOOKUP(A84,Data!A:AX,MATCH($B$2,Data!$B$1:$AX$1,0),FALSE)</f>
        <v>2.5863999999999998E-5</v>
      </c>
      <c r="C84" s="35">
        <f t="shared" si="6"/>
        <v>1.9110288033413525E-2</v>
      </c>
      <c r="D84" s="35">
        <f t="shared" si="3"/>
        <v>0.25503035582097278</v>
      </c>
      <c r="E84" s="35">
        <f>(Table143454[[#This Row],[USA]]-B72)/B72</f>
        <v>0.11887869873680559</v>
      </c>
      <c r="F84" s="34">
        <f>VLOOKUP(Table143454[[#This Row],[Date]],'Data Core CPI'!$A:$AX,MATCH($B$2,'Data Core CPI'!$B$1:$AX$1,0),FALSE)</f>
        <v>0</v>
      </c>
      <c r="G84" s="35" t="e">
        <f t="shared" si="4"/>
        <v>#DIV/0!</v>
      </c>
      <c r="H84" s="35" t="e">
        <f t="shared" si="5"/>
        <v>#DIV/0!</v>
      </c>
      <c r="I84" s="35" t="e">
        <f>(Table143454[[#This Row],[Core CPI]]-F72)/F72</f>
        <v>#DIV/0!</v>
      </c>
    </row>
    <row r="85" spans="1:9" x14ac:dyDescent="0.35">
      <c r="A85" s="33">
        <f>IF(Data!A112="",#N/A,Data!A112)</f>
        <v>21245</v>
      </c>
      <c r="B85" s="34">
        <f>VLOOKUP(A85,Data!A:AX,MATCH($B$2,Data!$B$1:$AX$1,0),FALSE)</f>
        <v>2.5863999999999998E-5</v>
      </c>
      <c r="C85" s="35">
        <f t="shared" si="6"/>
        <v>0</v>
      </c>
      <c r="D85" s="35">
        <f t="shared" si="3"/>
        <v>0</v>
      </c>
      <c r="E85" s="35">
        <f>(Table143454[[#This Row],[USA]]-B73)/B73</f>
        <v>0.11113975168621375</v>
      </c>
      <c r="F85" s="34">
        <f>VLOOKUP(Table143454[[#This Row],[Date]],'Data Core CPI'!$A:$AX,MATCH($B$2,'Data Core CPI'!$B$1:$AX$1,0),FALSE)</f>
        <v>0</v>
      </c>
      <c r="G85" s="35" t="e">
        <f t="shared" si="4"/>
        <v>#DIV/0!</v>
      </c>
      <c r="H85" s="35" t="e">
        <f t="shared" si="5"/>
        <v>#DIV/0!</v>
      </c>
      <c r="I85" s="35" t="e">
        <f>(Table143454[[#This Row],[Core CPI]]-F73)/F73</f>
        <v>#DIV/0!</v>
      </c>
    </row>
    <row r="86" spans="1:9" x14ac:dyDescent="0.35">
      <c r="A86" s="33">
        <f>IF(Data!A113="",#N/A,Data!A113)</f>
        <v>21276</v>
      </c>
      <c r="B86" s="34">
        <f>VLOOKUP(A86,Data!A:AX,MATCH($B$2,Data!$B$1:$AX$1,0),FALSE)</f>
        <v>2.5863999999999998E-5</v>
      </c>
      <c r="C86" s="35">
        <f t="shared" si="6"/>
        <v>0</v>
      </c>
      <c r="D86" s="35">
        <f t="shared" si="3"/>
        <v>0</v>
      </c>
      <c r="E86" s="35">
        <f>(Table143454[[#This Row],[USA]]-B74)/B74</f>
        <v>8.846056729231537E-2</v>
      </c>
      <c r="F86" s="34">
        <f>VLOOKUP(Table143454[[#This Row],[Date]],'Data Core CPI'!$A:$AX,MATCH($B$2,'Data Core CPI'!$B$1:$AX$1,0),FALSE)</f>
        <v>0</v>
      </c>
      <c r="G86" s="35" t="e">
        <f t="shared" si="4"/>
        <v>#DIV/0!</v>
      </c>
      <c r="H86" s="35" t="e">
        <f t="shared" si="5"/>
        <v>#DIV/0!</v>
      </c>
      <c r="I86" s="35" t="e">
        <f>(Table143454[[#This Row],[Core CPI]]-F74)/F74</f>
        <v>#DIV/0!</v>
      </c>
    </row>
    <row r="87" spans="1:9" x14ac:dyDescent="0.35">
      <c r="A87" s="33">
        <f>IF(Data!A114="",#N/A,Data!A114)</f>
        <v>21306</v>
      </c>
      <c r="B87" s="34">
        <f>VLOOKUP(A87,Data!A:AX,MATCH($B$2,Data!$B$1:$AX$1,0),FALSE)</f>
        <v>2.6024999999999999E-5</v>
      </c>
      <c r="C87" s="35">
        <f t="shared" si="6"/>
        <v>6.2248685431487427E-3</v>
      </c>
      <c r="D87" s="35">
        <f t="shared" si="3"/>
        <v>7.7309672060913881E-2</v>
      </c>
      <c r="E87" s="35">
        <f>(Table143454[[#This Row],[USA]]-B75)/B75</f>
        <v>8.0503196877854344E-2</v>
      </c>
      <c r="F87" s="34">
        <f>VLOOKUP(Table143454[[#This Row],[Date]],'Data Core CPI'!$A:$AX,MATCH($B$2,'Data Core CPI'!$B$1:$AX$1,0),FALSE)</f>
        <v>0</v>
      </c>
      <c r="G87" s="35" t="e">
        <f t="shared" si="4"/>
        <v>#DIV/0!</v>
      </c>
      <c r="H87" s="35" t="e">
        <f t="shared" si="5"/>
        <v>#DIV/0!</v>
      </c>
      <c r="I87" s="35" t="e">
        <f>(Table143454[[#This Row],[Core CPI]]-F75)/F75</f>
        <v>#DIV/0!</v>
      </c>
    </row>
    <row r="88" spans="1:9" x14ac:dyDescent="0.35">
      <c r="A88" s="33">
        <f>IF(Data!A115="",#N/A,Data!A115)</f>
        <v>21337</v>
      </c>
      <c r="B88" s="34">
        <f>VLOOKUP(A88,Data!A:AX,MATCH($B$2,Data!$B$1:$AX$1,0),FALSE)</f>
        <v>2.6672000000000001E-5</v>
      </c>
      <c r="C88" s="35">
        <f t="shared" si="6"/>
        <v>2.4860710854947232E-2</v>
      </c>
      <c r="D88" s="35">
        <f t="shared" si="3"/>
        <v>0.34269734950253361</v>
      </c>
      <c r="E88" s="35">
        <f>(Table143454[[#This Row],[USA]]-B76)/B76</f>
        <v>8.5551485551485604E-2</v>
      </c>
      <c r="F88" s="34">
        <f>VLOOKUP(Table143454[[#This Row],[Date]],'Data Core CPI'!$A:$AX,MATCH($B$2,'Data Core CPI'!$B$1:$AX$1,0),FALSE)</f>
        <v>0</v>
      </c>
      <c r="G88" s="35" t="e">
        <f t="shared" si="4"/>
        <v>#DIV/0!</v>
      </c>
      <c r="H88" s="35" t="e">
        <f t="shared" si="5"/>
        <v>#DIV/0!</v>
      </c>
      <c r="I88" s="35" t="e">
        <f>(Table143454[[#This Row],[Core CPI]]-F76)/F76</f>
        <v>#DIV/0!</v>
      </c>
    </row>
    <row r="89" spans="1:9" x14ac:dyDescent="0.35">
      <c r="A89" s="33">
        <f>IF(Data!A116="",#N/A,Data!A116)</f>
        <v>21367</v>
      </c>
      <c r="B89" s="34">
        <f>VLOOKUP(A89,Data!A:AX,MATCH($B$2,Data!$B$1:$AX$1,0),FALSE)</f>
        <v>2.7157000000000001E-5</v>
      </c>
      <c r="C89" s="35">
        <f t="shared" si="6"/>
        <v>1.8183863227354546E-2</v>
      </c>
      <c r="D89" s="35">
        <f t="shared" si="3"/>
        <v>0.24140793670884886</v>
      </c>
      <c r="E89" s="35">
        <f>(Table143454[[#This Row],[USA]]-B77)/B77</f>
        <v>8.3895430053881503E-2</v>
      </c>
      <c r="F89" s="34">
        <f>VLOOKUP(Table143454[[#This Row],[Date]],'Data Core CPI'!$A:$AX,MATCH($B$2,'Data Core CPI'!$B$1:$AX$1,0),FALSE)</f>
        <v>0</v>
      </c>
      <c r="G89" s="35" t="e">
        <f t="shared" si="4"/>
        <v>#DIV/0!</v>
      </c>
      <c r="H89" s="35" t="e">
        <f t="shared" si="5"/>
        <v>#DIV/0!</v>
      </c>
      <c r="I89" s="35" t="e">
        <f>(Table143454[[#This Row],[Core CPI]]-F77)/F77</f>
        <v>#DIV/0!</v>
      </c>
    </row>
    <row r="90" spans="1:9" x14ac:dyDescent="0.35">
      <c r="A90" s="33">
        <f>IF(Data!A117="",#N/A,Data!A117)</f>
        <v>21398</v>
      </c>
      <c r="B90" s="34">
        <f>VLOOKUP(A90,Data!A:AX,MATCH($B$2,Data!$B$1:$AX$1,0),FALSE)</f>
        <v>2.7965000000000001E-5</v>
      </c>
      <c r="C90" s="35">
        <f t="shared" si="6"/>
        <v>2.9752918216297886E-2</v>
      </c>
      <c r="D90" s="35">
        <f t="shared" si="3"/>
        <v>0.42166206982226395</v>
      </c>
      <c r="E90" s="35">
        <f>(Table143454[[#This Row],[USA]]-B78)/B78</f>
        <v>0.10189526774104583</v>
      </c>
      <c r="F90" s="34">
        <f>VLOOKUP(Table143454[[#This Row],[Date]],'Data Core CPI'!$A:$AX,MATCH($B$2,'Data Core CPI'!$B$1:$AX$1,0),FALSE)</f>
        <v>0</v>
      </c>
      <c r="G90" s="35" t="e">
        <f t="shared" si="4"/>
        <v>#DIV/0!</v>
      </c>
      <c r="H90" s="35" t="e">
        <f t="shared" si="5"/>
        <v>#DIV/0!</v>
      </c>
      <c r="I90" s="35" t="e">
        <f>(Table143454[[#This Row],[Core CPI]]-F78)/F78</f>
        <v>#DIV/0!</v>
      </c>
    </row>
    <row r="91" spans="1:9" x14ac:dyDescent="0.35">
      <c r="A91" s="33">
        <f>IF(Data!A118="",#N/A,Data!A118)</f>
        <v>21429</v>
      </c>
      <c r="B91" s="34">
        <f>VLOOKUP(A91,Data!A:AX,MATCH($B$2,Data!$B$1:$AX$1,0),FALSE)</f>
        <v>2.8935E-5</v>
      </c>
      <c r="C91" s="35">
        <f t="shared" si="6"/>
        <v>3.4686214911496593E-2</v>
      </c>
      <c r="D91" s="35">
        <f t="shared" si="3"/>
        <v>0.50558041404504128</v>
      </c>
      <c r="E91" s="35">
        <f>(Table143454[[#This Row],[USA]]-B79)/B79</f>
        <v>0.12578787642984987</v>
      </c>
      <c r="F91" s="34">
        <f>VLOOKUP(Table143454[[#This Row],[Date]],'Data Core CPI'!$A:$AX,MATCH($B$2,'Data Core CPI'!$B$1:$AX$1,0),FALSE)</f>
        <v>0</v>
      </c>
      <c r="G91" s="35" t="e">
        <f t="shared" si="4"/>
        <v>#DIV/0!</v>
      </c>
      <c r="H91" s="35" t="e">
        <f t="shared" si="5"/>
        <v>#DIV/0!</v>
      </c>
      <c r="I91" s="35" t="e">
        <f>(Table143454[[#This Row],[Core CPI]]-F79)/F79</f>
        <v>#DIV/0!</v>
      </c>
    </row>
    <row r="92" spans="1:9" x14ac:dyDescent="0.35">
      <c r="A92" s="33">
        <f>IF(Data!A119="",#N/A,Data!A119)</f>
        <v>21459</v>
      </c>
      <c r="B92" s="34">
        <f>VLOOKUP(A92,Data!A:AX,MATCH($B$2,Data!$B$1:$AX$1,0),FALSE)</f>
        <v>2.9096999999999999E-5</v>
      </c>
      <c r="C92" s="35">
        <f t="shared" si="6"/>
        <v>5.5987558320373942E-3</v>
      </c>
      <c r="D92" s="35">
        <f t="shared" si="3"/>
        <v>6.9293010932708787E-2</v>
      </c>
      <c r="E92" s="35">
        <f>(Table143454[[#This Row],[USA]]-B80)/B80</f>
        <v>0.12500000000000006</v>
      </c>
      <c r="F92" s="34">
        <f>VLOOKUP(Table143454[[#This Row],[Date]],'Data Core CPI'!$A:$AX,MATCH($B$2,'Data Core CPI'!$B$1:$AX$1,0),FALSE)</f>
        <v>0</v>
      </c>
      <c r="G92" s="35" t="e">
        <f t="shared" si="4"/>
        <v>#DIV/0!</v>
      </c>
      <c r="H92" s="35" t="e">
        <f t="shared" si="5"/>
        <v>#DIV/0!</v>
      </c>
      <c r="I92" s="35" t="e">
        <f>(Table143454[[#This Row],[Core CPI]]-F80)/F80</f>
        <v>#DIV/0!</v>
      </c>
    </row>
    <row r="93" spans="1:9" x14ac:dyDescent="0.35">
      <c r="A93" s="33">
        <f>IF(Data!A120="",#N/A,Data!A120)</f>
        <v>21490</v>
      </c>
      <c r="B93" s="34">
        <f>VLOOKUP(A93,Data!A:AX,MATCH($B$2,Data!$B$1:$AX$1,0),FALSE)</f>
        <v>3.0389999999999999E-5</v>
      </c>
      <c r="C93" s="35">
        <f t="shared" si="6"/>
        <v>4.4437570883596234E-2</v>
      </c>
      <c r="D93" s="35">
        <f t="shared" si="3"/>
        <v>0.68496091921347313</v>
      </c>
      <c r="E93" s="35">
        <f>(Table143454[[#This Row],[USA]]-B81)/B81</f>
        <v>0.18239825694498482</v>
      </c>
      <c r="F93" s="34">
        <f>VLOOKUP(Table143454[[#This Row],[Date]],'Data Core CPI'!$A:$AX,MATCH($B$2,'Data Core CPI'!$B$1:$AX$1,0),FALSE)</f>
        <v>0</v>
      </c>
      <c r="G93" s="35" t="e">
        <f t="shared" si="4"/>
        <v>#DIV/0!</v>
      </c>
      <c r="H93" s="35" t="e">
        <f t="shared" si="5"/>
        <v>#DIV/0!</v>
      </c>
      <c r="I93" s="35" t="e">
        <f>(Table143454[[#This Row],[Core CPI]]-F81)/F81</f>
        <v>#DIV/0!</v>
      </c>
    </row>
    <row r="94" spans="1:9" x14ac:dyDescent="0.35">
      <c r="A94" s="33">
        <f>IF(Data!A121="",#N/A,Data!A121)</f>
        <v>21520</v>
      </c>
      <c r="B94" s="34">
        <f>VLOOKUP(A94,Data!A:AX,MATCH($B$2,Data!$B$1:$AX$1,0),FALSE)</f>
        <v>3.2005999999999998E-5</v>
      </c>
      <c r="C94" s="35">
        <f t="shared" si="6"/>
        <v>5.3175386640342159E-2</v>
      </c>
      <c r="D94" s="35">
        <f t="shared" si="3"/>
        <v>0.86212319527316095</v>
      </c>
      <c r="E94" s="35">
        <f>(Table143454[[#This Row],[USA]]-B82)/B82</f>
        <v>0.25317149569303049</v>
      </c>
      <c r="F94" s="34">
        <f>VLOOKUP(Table143454[[#This Row],[Date]],'Data Core CPI'!$A:$AX,MATCH($B$2,'Data Core CPI'!$B$1:$AX$1,0),FALSE)</f>
        <v>0</v>
      </c>
      <c r="G94" s="35" t="e">
        <f t="shared" si="4"/>
        <v>#DIV/0!</v>
      </c>
      <c r="H94" s="35" t="e">
        <f t="shared" si="5"/>
        <v>#DIV/0!</v>
      </c>
      <c r="I94" s="35" t="e">
        <f>(Table143454[[#This Row],[Core CPI]]-F82)/F82</f>
        <v>#DIV/0!</v>
      </c>
    </row>
    <row r="95" spans="1:9" x14ac:dyDescent="0.35">
      <c r="A95" s="33">
        <f>IF(Data!A122="",#N/A,Data!A122)</f>
        <v>21551</v>
      </c>
      <c r="B95" s="34">
        <f>VLOOKUP(A95,Data!A:AX,MATCH($B$2,Data!$B$1:$AX$1,0),FALSE)</f>
        <v>3.2168000000000001E-5</v>
      </c>
      <c r="C95" s="35">
        <f t="shared" si="6"/>
        <v>5.061550959195138E-3</v>
      </c>
      <c r="D95" s="35">
        <f t="shared" si="3"/>
        <v>6.2458340869230522E-2</v>
      </c>
      <c r="E95" s="35">
        <f>(Table143454[[#This Row],[USA]]-B83)/B83</f>
        <v>0.26750462981204942</v>
      </c>
      <c r="F95" s="34">
        <f>VLOOKUP(Table143454[[#This Row],[Date]],'Data Core CPI'!$A:$AX,MATCH($B$2,'Data Core CPI'!$B$1:$AX$1,0),FALSE)</f>
        <v>0</v>
      </c>
      <c r="G95" s="35" t="e">
        <f t="shared" si="4"/>
        <v>#DIV/0!</v>
      </c>
      <c r="H95" s="35" t="e">
        <f t="shared" si="5"/>
        <v>#DIV/0!</v>
      </c>
      <c r="I95" s="35" t="e">
        <f>(Table143454[[#This Row],[Core CPI]]-F83)/F83</f>
        <v>#DIV/0!</v>
      </c>
    </row>
    <row r="96" spans="1:9" x14ac:dyDescent="0.35">
      <c r="A96" s="33">
        <f>IF(Data!A123="",#N/A,Data!A123)</f>
        <v>21582</v>
      </c>
      <c r="B96" s="34">
        <f>VLOOKUP(A96,Data!A:AX,MATCH($B$2,Data!$B$1:$AX$1,0),FALSE)</f>
        <v>3.3138E-5</v>
      </c>
      <c r="C96" s="35">
        <f t="shared" si="6"/>
        <v>3.0154190499875666E-2</v>
      </c>
      <c r="D96" s="35">
        <f t="shared" si="3"/>
        <v>0.42832422522916058</v>
      </c>
      <c r="E96" s="35">
        <f>(Table143454[[#This Row],[USA]]-B84)/B84</f>
        <v>0.28124033405505733</v>
      </c>
      <c r="F96" s="34">
        <f>VLOOKUP(Table143454[[#This Row],[Date]],'Data Core CPI'!$A:$AX,MATCH($B$2,'Data Core CPI'!$B$1:$AX$1,0),FALSE)</f>
        <v>0</v>
      </c>
      <c r="G96" s="35" t="e">
        <f t="shared" si="4"/>
        <v>#DIV/0!</v>
      </c>
      <c r="H96" s="35" t="e">
        <f t="shared" si="5"/>
        <v>#DIV/0!</v>
      </c>
      <c r="I96" s="35" t="e">
        <f>(Table143454[[#This Row],[Core CPI]]-F84)/F84</f>
        <v>#DIV/0!</v>
      </c>
    </row>
    <row r="97" spans="1:9" x14ac:dyDescent="0.35">
      <c r="A97" s="33">
        <f>IF(Data!A124="",#N/A,Data!A124)</f>
        <v>21610</v>
      </c>
      <c r="B97" s="34">
        <f>VLOOKUP(A97,Data!A:AX,MATCH($B$2,Data!$B$1:$AX$1,0),FALSE)</f>
        <v>3.3460999999999997E-5</v>
      </c>
      <c r="C97" s="35">
        <f t="shared" si="6"/>
        <v>9.747118112137132E-3</v>
      </c>
      <c r="D97" s="35">
        <f t="shared" si="3"/>
        <v>0.12344410065416378</v>
      </c>
      <c r="E97" s="35">
        <f>(Table143454[[#This Row],[USA]]-B85)/B85</f>
        <v>0.29372873492112583</v>
      </c>
      <c r="F97" s="34">
        <f>VLOOKUP(Table143454[[#This Row],[Date]],'Data Core CPI'!$A:$AX,MATCH($B$2,'Data Core CPI'!$B$1:$AX$1,0),FALSE)</f>
        <v>0</v>
      </c>
      <c r="G97" s="35" t="e">
        <f t="shared" si="4"/>
        <v>#DIV/0!</v>
      </c>
      <c r="H97" s="35" t="e">
        <f t="shared" si="5"/>
        <v>#DIV/0!</v>
      </c>
      <c r="I97" s="35" t="e">
        <f>(Table143454[[#This Row],[Core CPI]]-F85)/F85</f>
        <v>#DIV/0!</v>
      </c>
    </row>
    <row r="98" spans="1:9" x14ac:dyDescent="0.35">
      <c r="A98" s="33">
        <f>IF(Data!A125="",#N/A,Data!A125)</f>
        <v>21641</v>
      </c>
      <c r="B98" s="34">
        <f>VLOOKUP(A98,Data!A:AX,MATCH($B$2,Data!$B$1:$AX$1,0),FALSE)</f>
        <v>3.3460999999999997E-5</v>
      </c>
      <c r="C98" s="35">
        <f t="shared" si="6"/>
        <v>0</v>
      </c>
      <c r="D98" s="35">
        <f t="shared" si="3"/>
        <v>0</v>
      </c>
      <c r="E98" s="35">
        <f>(Table143454[[#This Row],[USA]]-B86)/B86</f>
        <v>0.29372873492112583</v>
      </c>
      <c r="F98" s="34">
        <f>VLOOKUP(Table143454[[#This Row],[Date]],'Data Core CPI'!$A:$AX,MATCH($B$2,'Data Core CPI'!$B$1:$AX$1,0),FALSE)</f>
        <v>0</v>
      </c>
      <c r="G98" s="35" t="e">
        <f t="shared" si="4"/>
        <v>#DIV/0!</v>
      </c>
      <c r="H98" s="35" t="e">
        <f t="shared" si="5"/>
        <v>#DIV/0!</v>
      </c>
      <c r="I98" s="35" t="e">
        <f>(Table143454[[#This Row],[Core CPI]]-F86)/F86</f>
        <v>#DIV/0!</v>
      </c>
    </row>
    <row r="99" spans="1:9" x14ac:dyDescent="0.35">
      <c r="A99" s="33">
        <f>IF(Data!A126="",#N/A,Data!A126)</f>
        <v>21671</v>
      </c>
      <c r="B99" s="34">
        <f>VLOOKUP(A99,Data!A:AX,MATCH($B$2,Data!$B$1:$AX$1,0),FALSE)</f>
        <v>3.3460999999999997E-5</v>
      </c>
      <c r="C99" s="35">
        <f t="shared" si="6"/>
        <v>0</v>
      </c>
      <c r="D99" s="35">
        <f t="shared" si="3"/>
        <v>0</v>
      </c>
      <c r="E99" s="35">
        <f>(Table143454[[#This Row],[USA]]-B87)/B87</f>
        <v>0.28572526416906813</v>
      </c>
      <c r="F99" s="34">
        <f>VLOOKUP(Table143454[[#This Row],[Date]],'Data Core CPI'!$A:$AX,MATCH($B$2,'Data Core CPI'!$B$1:$AX$1,0),FALSE)</f>
        <v>0</v>
      </c>
      <c r="G99" s="35" t="e">
        <f t="shared" si="4"/>
        <v>#DIV/0!</v>
      </c>
      <c r="H99" s="35" t="e">
        <f t="shared" si="5"/>
        <v>#DIV/0!</v>
      </c>
      <c r="I99" s="35" t="e">
        <f>(Table143454[[#This Row],[Core CPI]]-F87)/F87</f>
        <v>#DIV/0!</v>
      </c>
    </row>
    <row r="100" spans="1:9" x14ac:dyDescent="0.35">
      <c r="A100" s="33">
        <f>IF(Data!A127="",#N/A,Data!A127)</f>
        <v>21702</v>
      </c>
      <c r="B100" s="34">
        <f>VLOOKUP(A100,Data!A:AX,MATCH($B$2,Data!$B$1:$AX$1,0),FALSE)</f>
        <v>3.4754E-5</v>
      </c>
      <c r="C100" s="35">
        <f t="shared" si="6"/>
        <v>3.8642001135650528E-2</v>
      </c>
      <c r="D100" s="35">
        <f t="shared" si="3"/>
        <v>0.57612468172638032</v>
      </c>
      <c r="E100" s="35">
        <f>(Table143454[[#This Row],[USA]]-B88)/B88</f>
        <v>0.30301439712057582</v>
      </c>
      <c r="F100" s="34">
        <f>VLOOKUP(Table143454[[#This Row],[Date]],'Data Core CPI'!$A:$AX,MATCH($B$2,'Data Core CPI'!$B$1:$AX$1,0),FALSE)</f>
        <v>0</v>
      </c>
      <c r="G100" s="35" t="e">
        <f t="shared" si="4"/>
        <v>#DIV/0!</v>
      </c>
      <c r="H100" s="35" t="e">
        <f t="shared" si="5"/>
        <v>#DIV/0!</v>
      </c>
      <c r="I100" s="35" t="e">
        <f>(Table143454[[#This Row],[Core CPI]]-F88)/F88</f>
        <v>#DIV/0!</v>
      </c>
    </row>
    <row r="101" spans="1:9" x14ac:dyDescent="0.35">
      <c r="A101" s="33">
        <f>IF(Data!A128="",#N/A,Data!A128)</f>
        <v>21732</v>
      </c>
      <c r="B101" s="34">
        <f>VLOOKUP(A101,Data!A:AX,MATCH($B$2,Data!$B$1:$AX$1,0),FALSE)</f>
        <v>3.5886000000000002E-5</v>
      </c>
      <c r="C101" s="35">
        <f t="shared" si="6"/>
        <v>3.2571790297519776E-2</v>
      </c>
      <c r="D101" s="35">
        <f t="shared" si="3"/>
        <v>0.46907196909121618</v>
      </c>
      <c r="E101" s="35">
        <f>(Table143454[[#This Row],[USA]]-B89)/B89</f>
        <v>0.32142725632433627</v>
      </c>
      <c r="F101" s="34">
        <f>VLOOKUP(Table143454[[#This Row],[Date]],'Data Core CPI'!$A:$AX,MATCH($B$2,'Data Core CPI'!$B$1:$AX$1,0),FALSE)</f>
        <v>0</v>
      </c>
      <c r="G101" s="35" t="e">
        <f t="shared" si="4"/>
        <v>#DIV/0!</v>
      </c>
      <c r="H101" s="35" t="e">
        <f t="shared" si="5"/>
        <v>#DIV/0!</v>
      </c>
      <c r="I101" s="35" t="e">
        <f>(Table143454[[#This Row],[Core CPI]]-F89)/F89</f>
        <v>#DIV/0!</v>
      </c>
    </row>
    <row r="102" spans="1:9" x14ac:dyDescent="0.35">
      <c r="A102" s="33">
        <f>IF(Data!A129="",#N/A,Data!A129)</f>
        <v>21763</v>
      </c>
      <c r="B102" s="34">
        <f>VLOOKUP(A102,Data!A:AX,MATCH($B$2,Data!$B$1:$AX$1,0),FALSE)</f>
        <v>3.5886000000000002E-5</v>
      </c>
      <c r="C102" s="35">
        <f t="shared" si="6"/>
        <v>0</v>
      </c>
      <c r="D102" s="35">
        <f t="shared" si="3"/>
        <v>0</v>
      </c>
      <c r="E102" s="35">
        <f>(Table143454[[#This Row],[USA]]-B90)/B90</f>
        <v>0.28324691578759165</v>
      </c>
      <c r="F102" s="34">
        <f>VLOOKUP(Table143454[[#This Row],[Date]],'Data Core CPI'!$A:$AX,MATCH($B$2,'Data Core CPI'!$B$1:$AX$1,0),FALSE)</f>
        <v>0</v>
      </c>
      <c r="G102" s="35" t="e">
        <f t="shared" si="4"/>
        <v>#DIV/0!</v>
      </c>
      <c r="H102" s="35" t="e">
        <f t="shared" si="5"/>
        <v>#DIV/0!</v>
      </c>
      <c r="I102" s="35" t="e">
        <f>(Table143454[[#This Row],[Core CPI]]-F90)/F90</f>
        <v>#DIV/0!</v>
      </c>
    </row>
    <row r="103" spans="1:9" x14ac:dyDescent="0.35">
      <c r="A103" s="33">
        <f>IF(Data!A130="",#N/A,Data!A130)</f>
        <v>21794</v>
      </c>
      <c r="B103" s="34">
        <f>VLOOKUP(A103,Data!A:AX,MATCH($B$2,Data!$B$1:$AX$1,0),FALSE)</f>
        <v>3.5723999999999999E-5</v>
      </c>
      <c r="C103" s="35">
        <f t="shared" si="6"/>
        <v>-4.5142952683498994E-3</v>
      </c>
      <c r="D103" s="35">
        <f t="shared" si="3"/>
        <v>-5.2846573411747255E-2</v>
      </c>
      <c r="E103" s="35">
        <f>(Table143454[[#This Row],[USA]]-B91)/B91</f>
        <v>0.23462934162778637</v>
      </c>
      <c r="F103" s="34">
        <f>VLOOKUP(Table143454[[#This Row],[Date]],'Data Core CPI'!$A:$AX,MATCH($B$2,'Data Core CPI'!$B$1:$AX$1,0),FALSE)</f>
        <v>0</v>
      </c>
      <c r="G103" s="35" t="e">
        <f t="shared" si="4"/>
        <v>#DIV/0!</v>
      </c>
      <c r="H103" s="35" t="e">
        <f t="shared" si="5"/>
        <v>#DIV/0!</v>
      </c>
      <c r="I103" s="35" t="e">
        <f>(Table143454[[#This Row],[Core CPI]]-F91)/F91</f>
        <v>#DIV/0!</v>
      </c>
    </row>
    <row r="104" spans="1:9" x14ac:dyDescent="0.35">
      <c r="A104" s="33">
        <f>IF(Data!A131="",#N/A,Data!A131)</f>
        <v>21824</v>
      </c>
      <c r="B104" s="34">
        <f>VLOOKUP(A104,Data!A:AX,MATCH($B$2,Data!$B$1:$AX$1,0),FALSE)</f>
        <v>3.6693999999999998E-5</v>
      </c>
      <c r="C104" s="35">
        <f t="shared" si="6"/>
        <v>2.7152614488858973E-2</v>
      </c>
      <c r="D104" s="35">
        <f t="shared" si="3"/>
        <v>0.3791760637660444</v>
      </c>
      <c r="E104" s="35">
        <f>(Table143454[[#This Row],[USA]]-B92)/B92</f>
        <v>0.26109220881877854</v>
      </c>
      <c r="F104" s="34">
        <f>VLOOKUP(Table143454[[#This Row],[Date]],'Data Core CPI'!$A:$AX,MATCH($B$2,'Data Core CPI'!$B$1:$AX$1,0),FALSE)</f>
        <v>0</v>
      </c>
      <c r="G104" s="35" t="e">
        <f t="shared" si="4"/>
        <v>#DIV/0!</v>
      </c>
      <c r="H104" s="35" t="e">
        <f t="shared" si="5"/>
        <v>#DIV/0!</v>
      </c>
      <c r="I104" s="35" t="e">
        <f>(Table143454[[#This Row],[Core CPI]]-F92)/F92</f>
        <v>#DIV/0!</v>
      </c>
    </row>
    <row r="105" spans="1:9" x14ac:dyDescent="0.35">
      <c r="A105" s="33">
        <f>IF(Data!A132="",#N/A,Data!A132)</f>
        <v>21855</v>
      </c>
      <c r="B105" s="34">
        <f>VLOOKUP(A105,Data!A:AX,MATCH($B$2,Data!$B$1:$AX$1,0),FALSE)</f>
        <v>3.7341E-5</v>
      </c>
      <c r="C105" s="35">
        <f t="shared" si="6"/>
        <v>1.7632310459475775E-2</v>
      </c>
      <c r="D105" s="35">
        <f t="shared" si="3"/>
        <v>0.23336225013802081</v>
      </c>
      <c r="E105" s="35">
        <f>(Table143454[[#This Row],[USA]]-B93)/B93</f>
        <v>0.22872655478775919</v>
      </c>
      <c r="F105" s="34">
        <f>VLOOKUP(Table143454[[#This Row],[Date]],'Data Core CPI'!$A:$AX,MATCH($B$2,'Data Core CPI'!$B$1:$AX$1,0),FALSE)</f>
        <v>0</v>
      </c>
      <c r="G105" s="35" t="e">
        <f t="shared" si="4"/>
        <v>#DIV/0!</v>
      </c>
      <c r="H105" s="35" t="e">
        <f t="shared" si="5"/>
        <v>#DIV/0!</v>
      </c>
      <c r="I105" s="35" t="e">
        <f>(Table143454[[#This Row],[Core CPI]]-F93)/F93</f>
        <v>#DIV/0!</v>
      </c>
    </row>
    <row r="106" spans="1:9" x14ac:dyDescent="0.35">
      <c r="A106" s="33">
        <f>IF(Data!A133="",#N/A,Data!A133)</f>
        <v>21885</v>
      </c>
      <c r="B106" s="34">
        <f>VLOOKUP(A106,Data!A:AX,MATCH($B$2,Data!$B$1:$AX$1,0),FALSE)</f>
        <v>3.7502000000000001E-5</v>
      </c>
      <c r="C106" s="35">
        <f t="shared" si="6"/>
        <v>4.3116145791488591E-3</v>
      </c>
      <c r="D106" s="35">
        <f t="shared" si="3"/>
        <v>5.2984122201308326E-2</v>
      </c>
      <c r="E106" s="35">
        <f>(Table143454[[#This Row],[USA]]-B94)/B94</f>
        <v>0.1717178029119541</v>
      </c>
      <c r="F106" s="34">
        <f>VLOOKUP(Table143454[[#This Row],[Date]],'Data Core CPI'!$A:$AX,MATCH($B$2,'Data Core CPI'!$B$1:$AX$1,0),FALSE)</f>
        <v>0</v>
      </c>
      <c r="G106" s="35" t="e">
        <f t="shared" si="4"/>
        <v>#DIV/0!</v>
      </c>
      <c r="H106" s="35" t="e">
        <f t="shared" si="5"/>
        <v>#DIV/0!</v>
      </c>
      <c r="I106" s="35" t="e">
        <f>(Table143454[[#This Row],[Core CPI]]-F94)/F94</f>
        <v>#DIV/0!</v>
      </c>
    </row>
    <row r="107" spans="1:9" x14ac:dyDescent="0.35">
      <c r="A107" s="33">
        <f>IF(Data!A134="",#N/A,Data!A134)</f>
        <v>21916</v>
      </c>
      <c r="B107" s="34">
        <f>VLOOKUP(A107,Data!A:AX,MATCH($B$2,Data!$B$1:$AX$1,0),FALSE)</f>
        <v>3.7502000000000001E-5</v>
      </c>
      <c r="C107" s="35">
        <f t="shared" si="6"/>
        <v>0</v>
      </c>
      <c r="D107" s="35">
        <f t="shared" si="3"/>
        <v>0</v>
      </c>
      <c r="E107" s="35">
        <f>(Table143454[[#This Row],[USA]]-B95)/B95</f>
        <v>0.16581696095498633</v>
      </c>
      <c r="F107" s="34">
        <f>VLOOKUP(Table143454[[#This Row],[Date]],'Data Core CPI'!$A:$AX,MATCH($B$2,'Data Core CPI'!$B$1:$AX$1,0),FALSE)</f>
        <v>0</v>
      </c>
      <c r="G107" s="35" t="e">
        <f t="shared" si="4"/>
        <v>#DIV/0!</v>
      </c>
      <c r="H107" s="35" t="e">
        <f t="shared" si="5"/>
        <v>#DIV/0!</v>
      </c>
      <c r="I107" s="35" t="e">
        <f>(Table143454[[#This Row],[Core CPI]]-F95)/F95</f>
        <v>#DIV/0!</v>
      </c>
    </row>
    <row r="108" spans="1:9" x14ac:dyDescent="0.35">
      <c r="A108" s="33">
        <f>IF(Data!A135="",#N/A,Data!A135)</f>
        <v>21947</v>
      </c>
      <c r="B108" s="34">
        <f>VLOOKUP(A108,Data!A:AX,MATCH($B$2,Data!$B$1:$AX$1,0),FALSE)</f>
        <v>3.7663999999999997E-5</v>
      </c>
      <c r="C108" s="35">
        <f t="shared" si="6"/>
        <v>4.3197696122871942E-3</v>
      </c>
      <c r="D108" s="35">
        <f t="shared" si="3"/>
        <v>5.3086729843775382E-2</v>
      </c>
      <c r="E108" s="35">
        <f>(Table143454[[#This Row],[USA]]-B96)/B96</f>
        <v>0.13658036091496159</v>
      </c>
      <c r="F108" s="34">
        <f>VLOOKUP(Table143454[[#This Row],[Date]],'Data Core CPI'!$A:$AX,MATCH($B$2,'Data Core CPI'!$B$1:$AX$1,0),FALSE)</f>
        <v>0</v>
      </c>
      <c r="G108" s="35" t="e">
        <f t="shared" si="4"/>
        <v>#DIV/0!</v>
      </c>
      <c r="H108" s="35" t="e">
        <f t="shared" si="5"/>
        <v>#DIV/0!</v>
      </c>
      <c r="I108" s="35" t="e">
        <f>(Table143454[[#This Row],[Core CPI]]-F96)/F96</f>
        <v>#DIV/0!</v>
      </c>
    </row>
    <row r="109" spans="1:9" x14ac:dyDescent="0.35">
      <c r="A109" s="33">
        <f>IF(Data!A136="",#N/A,Data!A136)</f>
        <v>21976</v>
      </c>
      <c r="B109" s="34">
        <f>VLOOKUP(A109,Data!A:AX,MATCH($B$2,Data!$B$1:$AX$1,0),FALSE)</f>
        <v>3.7502000000000001E-5</v>
      </c>
      <c r="C109" s="35">
        <f t="shared" si="6"/>
        <v>-4.3011894647407845E-3</v>
      </c>
      <c r="D109" s="35">
        <f t="shared" si="3"/>
        <v>-5.0410596144965014E-2</v>
      </c>
      <c r="E109" s="35">
        <f>(Table143454[[#This Row],[USA]]-B97)/B97</f>
        <v>0.12076746062580331</v>
      </c>
      <c r="F109" s="34">
        <f>VLOOKUP(Table143454[[#This Row],[Date]],'Data Core CPI'!$A:$AX,MATCH($B$2,'Data Core CPI'!$B$1:$AX$1,0),FALSE)</f>
        <v>0</v>
      </c>
      <c r="G109" s="35" t="e">
        <f t="shared" si="4"/>
        <v>#DIV/0!</v>
      </c>
      <c r="H109" s="35" t="e">
        <f t="shared" si="5"/>
        <v>#DIV/0!</v>
      </c>
      <c r="I109" s="35" t="e">
        <f>(Table143454[[#This Row],[Core CPI]]-F97)/F97</f>
        <v>#DIV/0!</v>
      </c>
    </row>
    <row r="110" spans="1:9" x14ac:dyDescent="0.35">
      <c r="A110" s="33">
        <f>IF(Data!A137="",#N/A,Data!A137)</f>
        <v>22007</v>
      </c>
      <c r="B110" s="34">
        <f>VLOOKUP(A110,Data!A:AX,MATCH($B$2,Data!$B$1:$AX$1,0),FALSE)</f>
        <v>3.7502000000000001E-5</v>
      </c>
      <c r="C110" s="35">
        <f t="shared" si="6"/>
        <v>0</v>
      </c>
      <c r="D110" s="35">
        <f t="shared" si="3"/>
        <v>0</v>
      </c>
      <c r="E110" s="35">
        <f>(Table143454[[#This Row],[USA]]-B98)/B98</f>
        <v>0.12076746062580331</v>
      </c>
      <c r="F110" s="34">
        <f>VLOOKUP(Table143454[[#This Row],[Date]],'Data Core CPI'!$A:$AX,MATCH($B$2,'Data Core CPI'!$B$1:$AX$1,0),FALSE)</f>
        <v>0</v>
      </c>
      <c r="G110" s="35" t="e">
        <f t="shared" si="4"/>
        <v>#DIV/0!</v>
      </c>
      <c r="H110" s="35" t="e">
        <f t="shared" si="5"/>
        <v>#DIV/0!</v>
      </c>
      <c r="I110" s="35" t="e">
        <f>(Table143454[[#This Row],[Core CPI]]-F98)/F98</f>
        <v>#DIV/0!</v>
      </c>
    </row>
    <row r="111" spans="1:9" x14ac:dyDescent="0.35">
      <c r="A111" s="33">
        <f>IF(Data!A138="",#N/A,Data!A138)</f>
        <v>22037</v>
      </c>
      <c r="B111" s="34">
        <f>VLOOKUP(A111,Data!A:AX,MATCH($B$2,Data!$B$1:$AX$1,0),FALSE)</f>
        <v>3.7341E-5</v>
      </c>
      <c r="C111" s="35">
        <f t="shared" si="6"/>
        <v>-4.2931043677670866E-3</v>
      </c>
      <c r="D111" s="35">
        <f t="shared" si="3"/>
        <v>-5.0318063762009535E-2</v>
      </c>
      <c r="E111" s="35">
        <f>(Table143454[[#This Row],[USA]]-B99)/B99</f>
        <v>0.11595588894533947</v>
      </c>
      <c r="F111" s="34">
        <f>VLOOKUP(Table143454[[#This Row],[Date]],'Data Core CPI'!$A:$AX,MATCH($B$2,'Data Core CPI'!$B$1:$AX$1,0),FALSE)</f>
        <v>0</v>
      </c>
      <c r="G111" s="35" t="e">
        <f t="shared" si="4"/>
        <v>#DIV/0!</v>
      </c>
      <c r="H111" s="35" t="e">
        <f t="shared" si="5"/>
        <v>#DIV/0!</v>
      </c>
      <c r="I111" s="35" t="e">
        <f>(Table143454[[#This Row],[Core CPI]]-F99)/F99</f>
        <v>#DIV/0!</v>
      </c>
    </row>
    <row r="112" spans="1:9" x14ac:dyDescent="0.35">
      <c r="A112" s="33">
        <f>IF(Data!A139="",#N/A,Data!A139)</f>
        <v>22068</v>
      </c>
      <c r="B112" s="34">
        <f>VLOOKUP(A112,Data!A:AX,MATCH($B$2,Data!$B$1:$AX$1,0),FALSE)</f>
        <v>3.7017000000000002E-5</v>
      </c>
      <c r="C112" s="35">
        <f t="shared" si="6"/>
        <v>-8.6767895878524515E-3</v>
      </c>
      <c r="D112" s="35">
        <f t="shared" si="3"/>
        <v>-9.929350145927951E-2</v>
      </c>
      <c r="E112" s="35">
        <f>(Table143454[[#This Row],[USA]]-B100)/B100</f>
        <v>6.5114806928698907E-2</v>
      </c>
      <c r="F112" s="34">
        <f>VLOOKUP(Table143454[[#This Row],[Date]],'Data Core CPI'!$A:$AX,MATCH($B$2,'Data Core CPI'!$B$1:$AX$1,0),FALSE)</f>
        <v>0</v>
      </c>
      <c r="G112" s="35" t="e">
        <f t="shared" si="4"/>
        <v>#DIV/0!</v>
      </c>
      <c r="H112" s="35" t="e">
        <f t="shared" si="5"/>
        <v>#DIV/0!</v>
      </c>
      <c r="I112" s="35" t="e">
        <f>(Table143454[[#This Row],[Core CPI]]-F100)/F100</f>
        <v>#DIV/0!</v>
      </c>
    </row>
    <row r="113" spans="1:9" x14ac:dyDescent="0.35">
      <c r="A113" s="33">
        <f>IF(Data!A140="",#N/A,Data!A140)</f>
        <v>22098</v>
      </c>
      <c r="B113" s="34">
        <f>VLOOKUP(A113,Data!A:AX,MATCH($B$2,Data!$B$1:$AX$1,0),FALSE)</f>
        <v>3.6693999999999998E-5</v>
      </c>
      <c r="C113" s="35">
        <f t="shared" si="6"/>
        <v>-8.7257206148527722E-3</v>
      </c>
      <c r="D113" s="35">
        <f t="shared" si="3"/>
        <v>-9.9826855637278222E-2</v>
      </c>
      <c r="E113" s="35">
        <f>(Table143454[[#This Row],[USA]]-B101)/B101</f>
        <v>2.2515744301398771E-2</v>
      </c>
      <c r="F113" s="34">
        <f>VLOOKUP(Table143454[[#This Row],[Date]],'Data Core CPI'!$A:$AX,MATCH($B$2,'Data Core CPI'!$B$1:$AX$1,0),FALSE)</f>
        <v>0</v>
      </c>
      <c r="G113" s="35" t="e">
        <f t="shared" si="4"/>
        <v>#DIV/0!</v>
      </c>
      <c r="H113" s="35" t="e">
        <f t="shared" si="5"/>
        <v>#DIV/0!</v>
      </c>
      <c r="I113" s="35" t="e">
        <f>(Table143454[[#This Row],[Core CPI]]-F101)/F101</f>
        <v>#DIV/0!</v>
      </c>
    </row>
    <row r="114" spans="1:9" x14ac:dyDescent="0.35">
      <c r="A114" s="33">
        <f>IF(Data!A141="",#N/A,Data!A141)</f>
        <v>22129</v>
      </c>
      <c r="B114" s="34">
        <f>VLOOKUP(A114,Data!A:AX,MATCH($B$2,Data!$B$1:$AX$1,0),FALSE)</f>
        <v>3.6532000000000002E-5</v>
      </c>
      <c r="C114" s="35">
        <f t="shared" si="6"/>
        <v>-4.4148907178284125E-3</v>
      </c>
      <c r="D114" s="35">
        <f t="shared" si="3"/>
        <v>-5.1711010109401601E-2</v>
      </c>
      <c r="E114" s="35">
        <f>(Table143454[[#This Row],[USA]]-B102)/B102</f>
        <v>1.8001449033049108E-2</v>
      </c>
      <c r="F114" s="34">
        <f>VLOOKUP(Table143454[[#This Row],[Date]],'Data Core CPI'!$A:$AX,MATCH($B$2,'Data Core CPI'!$B$1:$AX$1,0),FALSE)</f>
        <v>0</v>
      </c>
      <c r="G114" s="35" t="e">
        <f t="shared" si="4"/>
        <v>#DIV/0!</v>
      </c>
      <c r="H114" s="35" t="e">
        <f t="shared" si="5"/>
        <v>#DIV/0!</v>
      </c>
      <c r="I114" s="35" t="e">
        <f>(Table143454[[#This Row],[Core CPI]]-F102)/F102</f>
        <v>#DIV/0!</v>
      </c>
    </row>
    <row r="115" spans="1:9" x14ac:dyDescent="0.35">
      <c r="A115" s="33">
        <f>IF(Data!A142="",#N/A,Data!A142)</f>
        <v>22160</v>
      </c>
      <c r="B115" s="34">
        <f>VLOOKUP(A115,Data!A:AX,MATCH($B$2,Data!$B$1:$AX$1,0),FALSE)</f>
        <v>3.6371000000000001E-5</v>
      </c>
      <c r="C115" s="35">
        <f t="shared" si="6"/>
        <v>-4.407095149458029E-3</v>
      </c>
      <c r="D115" s="35">
        <f t="shared" si="3"/>
        <v>-5.1621903473034858E-2</v>
      </c>
      <c r="E115" s="35">
        <f>(Table143454[[#This Row],[USA]]-B103)/B103</f>
        <v>1.8111073787929751E-2</v>
      </c>
      <c r="F115" s="34">
        <f>VLOOKUP(Table143454[[#This Row],[Date]],'Data Core CPI'!$A:$AX,MATCH($B$2,'Data Core CPI'!$B$1:$AX$1,0),FALSE)</f>
        <v>0</v>
      </c>
      <c r="G115" s="35" t="e">
        <f t="shared" si="4"/>
        <v>#DIV/0!</v>
      </c>
      <c r="H115" s="35" t="e">
        <f t="shared" si="5"/>
        <v>#DIV/0!</v>
      </c>
      <c r="I115" s="35" t="e">
        <f>(Table143454[[#This Row],[Core CPI]]-F103)/F103</f>
        <v>#DIV/0!</v>
      </c>
    </row>
    <row r="116" spans="1:9" x14ac:dyDescent="0.35">
      <c r="A116" s="33">
        <f>IF(Data!A143="",#N/A,Data!A143)</f>
        <v>22190</v>
      </c>
      <c r="B116" s="34">
        <f>VLOOKUP(A116,Data!A:AX,MATCH($B$2,Data!$B$1:$AX$1,0),FALSE)</f>
        <v>3.6371000000000001E-5</v>
      </c>
      <c r="C116" s="35">
        <f t="shared" si="6"/>
        <v>0</v>
      </c>
      <c r="D116" s="35">
        <f t="shared" si="3"/>
        <v>0</v>
      </c>
      <c r="E116" s="35">
        <f>(Table143454[[#This Row],[USA]]-B104)/B104</f>
        <v>-8.80252902381852E-3</v>
      </c>
      <c r="F116" s="34">
        <f>VLOOKUP(Table143454[[#This Row],[Date]],'Data Core CPI'!$A:$AX,MATCH($B$2,'Data Core CPI'!$B$1:$AX$1,0),FALSE)</f>
        <v>0</v>
      </c>
      <c r="G116" s="35" t="e">
        <f t="shared" si="4"/>
        <v>#DIV/0!</v>
      </c>
      <c r="H116" s="35" t="e">
        <f t="shared" si="5"/>
        <v>#DIV/0!</v>
      </c>
      <c r="I116" s="35" t="e">
        <f>(Table143454[[#This Row],[Core CPI]]-F104)/F104</f>
        <v>#DIV/0!</v>
      </c>
    </row>
    <row r="117" spans="1:9" x14ac:dyDescent="0.35">
      <c r="A117" s="33">
        <f>IF(Data!A144="",#N/A,Data!A144)</f>
        <v>22221</v>
      </c>
      <c r="B117" s="34">
        <f>VLOOKUP(A117,Data!A:AX,MATCH($B$2,Data!$B$1:$AX$1,0),FALSE)</f>
        <v>3.6208999999999998E-5</v>
      </c>
      <c r="C117" s="35">
        <f t="shared" si="6"/>
        <v>-4.45409804514596E-3</v>
      </c>
      <c r="D117" s="35">
        <f t="shared" si="3"/>
        <v>-5.215905005490562E-2</v>
      </c>
      <c r="E117" s="35">
        <f>(Table143454[[#This Row],[USA]]-B105)/B105</f>
        <v>-3.0315203127929142E-2</v>
      </c>
      <c r="F117" s="34">
        <f>VLOOKUP(Table143454[[#This Row],[Date]],'Data Core CPI'!$A:$AX,MATCH($B$2,'Data Core CPI'!$B$1:$AX$1,0),FALSE)</f>
        <v>0</v>
      </c>
      <c r="G117" s="35" t="e">
        <f t="shared" si="4"/>
        <v>#DIV/0!</v>
      </c>
      <c r="H117" s="35" t="e">
        <f t="shared" si="5"/>
        <v>#DIV/0!</v>
      </c>
      <c r="I117" s="35" t="e">
        <f>(Table143454[[#This Row],[Core CPI]]-F105)/F105</f>
        <v>#DIV/0!</v>
      </c>
    </row>
    <row r="118" spans="1:9" x14ac:dyDescent="0.35">
      <c r="A118" s="33">
        <f>IF(Data!A145="",#N/A,Data!A145)</f>
        <v>22251</v>
      </c>
      <c r="B118" s="34">
        <f>VLOOKUP(A118,Data!A:AX,MATCH($B$2,Data!$B$1:$AX$1,0),FALSE)</f>
        <v>3.6532000000000002E-5</v>
      </c>
      <c r="C118" s="35">
        <f t="shared" si="6"/>
        <v>8.9204341462068015E-3</v>
      </c>
      <c r="D118" s="35">
        <f t="shared" si="3"/>
        <v>0.11245644681820521</v>
      </c>
      <c r="E118" s="35">
        <f>(Table143454[[#This Row],[USA]]-B106)/B106</f>
        <v>-2.586528718468346E-2</v>
      </c>
      <c r="F118" s="34">
        <f>VLOOKUP(Table143454[[#This Row],[Date]],'Data Core CPI'!$A:$AX,MATCH($B$2,'Data Core CPI'!$B$1:$AX$1,0),FALSE)</f>
        <v>0</v>
      </c>
      <c r="G118" s="35" t="e">
        <f t="shared" si="4"/>
        <v>#DIV/0!</v>
      </c>
      <c r="H118" s="35" t="e">
        <f t="shared" si="5"/>
        <v>#DIV/0!</v>
      </c>
      <c r="I118" s="35" t="e">
        <f>(Table143454[[#This Row],[Core CPI]]-F106)/F106</f>
        <v>#DIV/0!</v>
      </c>
    </row>
    <row r="119" spans="1:9" x14ac:dyDescent="0.35">
      <c r="A119" s="33">
        <f>IF(Data!A146="",#N/A,Data!A146)</f>
        <v>22282</v>
      </c>
      <c r="B119" s="34">
        <f>VLOOKUP(A119,Data!A:AX,MATCH($B$2,Data!$B$1:$AX$1,0),FALSE)</f>
        <v>3.6856000000000001E-5</v>
      </c>
      <c r="C119" s="35">
        <f t="shared" si="6"/>
        <v>8.8689368225116638E-3</v>
      </c>
      <c r="D119" s="35">
        <f t="shared" si="3"/>
        <v>0.11177525395659549</v>
      </c>
      <c r="E119" s="35">
        <f>(Table143454[[#This Row],[USA]]-B107)/B107</f>
        <v>-1.7225747960108801E-2</v>
      </c>
      <c r="F119" s="34">
        <f>VLOOKUP(Table143454[[#This Row],[Date]],'Data Core CPI'!$A:$AX,MATCH($B$2,'Data Core CPI'!$B$1:$AX$1,0),FALSE)</f>
        <v>0</v>
      </c>
      <c r="G119" s="35" t="e">
        <f t="shared" si="4"/>
        <v>#DIV/0!</v>
      </c>
      <c r="H119" s="35" t="e">
        <f t="shared" si="5"/>
        <v>#DIV/0!</v>
      </c>
      <c r="I119" s="35" t="e">
        <f>(Table143454[[#This Row],[Core CPI]]-F107)/F107</f>
        <v>#DIV/0!</v>
      </c>
    </row>
    <row r="120" spans="1:9" x14ac:dyDescent="0.35">
      <c r="A120" s="33">
        <f>IF(Data!A147="",#N/A,Data!A147)</f>
        <v>22313</v>
      </c>
      <c r="B120" s="34">
        <f>VLOOKUP(A120,Data!A:AX,MATCH($B$2,Data!$B$1:$AX$1,0),FALSE)</f>
        <v>3.7341E-5</v>
      </c>
      <c r="C120" s="35">
        <f t="shared" si="6"/>
        <v>1.3159322769698223E-2</v>
      </c>
      <c r="D120" s="35">
        <f t="shared" si="3"/>
        <v>0.16985743696777478</v>
      </c>
      <c r="E120" s="35">
        <f>(Table143454[[#This Row],[USA]]-B108)/B108</f>
        <v>-8.5758283772301609E-3</v>
      </c>
      <c r="F120" s="34">
        <f>VLOOKUP(Table143454[[#This Row],[Date]],'Data Core CPI'!$A:$AX,MATCH($B$2,'Data Core CPI'!$B$1:$AX$1,0),FALSE)</f>
        <v>0</v>
      </c>
      <c r="G120" s="35" t="e">
        <f t="shared" si="4"/>
        <v>#DIV/0!</v>
      </c>
      <c r="H120" s="35" t="e">
        <f t="shared" si="5"/>
        <v>#DIV/0!</v>
      </c>
      <c r="I120" s="35" t="e">
        <f>(Table143454[[#This Row],[Core CPI]]-F108)/F108</f>
        <v>#DIV/0!</v>
      </c>
    </row>
    <row r="121" spans="1:9" x14ac:dyDescent="0.35">
      <c r="A121" s="33">
        <f>IF(Data!A148="",#N/A,Data!A148)</f>
        <v>22341</v>
      </c>
      <c r="B121" s="34">
        <f>VLOOKUP(A121,Data!A:AX,MATCH($B$2,Data!$B$1:$AX$1,0),FALSE)</f>
        <v>3.8311E-5</v>
      </c>
      <c r="C121" s="35">
        <f t="shared" si="6"/>
        <v>2.5976808334002843E-2</v>
      </c>
      <c r="D121" s="35">
        <f t="shared" si="3"/>
        <v>0.36034957935560441</v>
      </c>
      <c r="E121" s="35">
        <f>(Table143454[[#This Row],[USA]]-B109)/B109</f>
        <v>2.1572182816916391E-2</v>
      </c>
      <c r="F121" s="34">
        <f>VLOOKUP(Table143454[[#This Row],[Date]],'Data Core CPI'!$A:$AX,MATCH($B$2,'Data Core CPI'!$B$1:$AX$1,0),FALSE)</f>
        <v>0</v>
      </c>
      <c r="G121" s="35" t="e">
        <f t="shared" si="4"/>
        <v>#DIV/0!</v>
      </c>
      <c r="H121" s="35" t="e">
        <f t="shared" si="5"/>
        <v>#DIV/0!</v>
      </c>
      <c r="I121" s="35" t="e">
        <f>(Table143454[[#This Row],[Core CPI]]-F109)/F109</f>
        <v>#DIV/0!</v>
      </c>
    </row>
    <row r="122" spans="1:9" x14ac:dyDescent="0.35">
      <c r="A122" s="33">
        <f>IF(Data!A149="",#N/A,Data!A149)</f>
        <v>22372</v>
      </c>
      <c r="B122" s="34">
        <f>VLOOKUP(A122,Data!A:AX,MATCH($B$2,Data!$B$1:$AX$1,0),FALSE)</f>
        <v>3.7663999999999997E-5</v>
      </c>
      <c r="C122" s="35">
        <f t="shared" si="6"/>
        <v>-1.6888100023492059E-2</v>
      </c>
      <c r="D122" s="35">
        <f t="shared" si="3"/>
        <v>-0.18485393559523722</v>
      </c>
      <c r="E122" s="35">
        <f>(Table143454[[#This Row],[USA]]-B110)/B110</f>
        <v>4.3197696122872402E-3</v>
      </c>
      <c r="F122" s="34">
        <f>VLOOKUP(Table143454[[#This Row],[Date]],'Data Core CPI'!$A:$AX,MATCH($B$2,'Data Core CPI'!$B$1:$AX$1,0),FALSE)</f>
        <v>0</v>
      </c>
      <c r="G122" s="35" t="e">
        <f t="shared" si="4"/>
        <v>#DIV/0!</v>
      </c>
      <c r="H122" s="35" t="e">
        <f t="shared" si="5"/>
        <v>#DIV/0!</v>
      </c>
      <c r="I122" s="35" t="e">
        <f>(Table143454[[#This Row],[Core CPI]]-F110)/F110</f>
        <v>#DIV/0!</v>
      </c>
    </row>
    <row r="123" spans="1:9" x14ac:dyDescent="0.35">
      <c r="A123" s="33">
        <f>IF(Data!A150="",#N/A,Data!A150)</f>
        <v>22402</v>
      </c>
      <c r="B123" s="34">
        <f>VLOOKUP(A123,Data!A:AX,MATCH($B$2,Data!$B$1:$AX$1,0),FALSE)</f>
        <v>3.8311E-5</v>
      </c>
      <c r="C123" s="35">
        <f t="shared" si="6"/>
        <v>1.7178207306712157E-2</v>
      </c>
      <c r="D123" s="35">
        <f t="shared" ref="D123:D186" si="7">((1+C123)^12)-1</f>
        <v>0.22677400243626633</v>
      </c>
      <c r="E123" s="35">
        <f>(Table143454[[#This Row],[USA]]-B111)/B111</f>
        <v>2.5976808334002816E-2</v>
      </c>
      <c r="F123" s="34">
        <f>VLOOKUP(Table143454[[#This Row],[Date]],'Data Core CPI'!$A:$AX,MATCH($B$2,'Data Core CPI'!$B$1:$AX$1,0),FALSE)</f>
        <v>0</v>
      </c>
      <c r="G123" s="35" t="e">
        <f t="shared" si="4"/>
        <v>#DIV/0!</v>
      </c>
      <c r="H123" s="35" t="e">
        <f t="shared" si="5"/>
        <v>#DIV/0!</v>
      </c>
      <c r="I123" s="35" t="e">
        <f>(Table143454[[#This Row],[Core CPI]]-F111)/F111</f>
        <v>#DIV/0!</v>
      </c>
    </row>
    <row r="124" spans="1:9" x14ac:dyDescent="0.35">
      <c r="A124" s="33">
        <f>IF(Data!A151="",#N/A,Data!A151)</f>
        <v>22433</v>
      </c>
      <c r="B124" s="34">
        <f>VLOOKUP(A124,Data!A:AX,MATCH($B$2,Data!$B$1:$AX$1,0),FALSE)</f>
        <v>3.8148999999999997E-5</v>
      </c>
      <c r="C124" s="35">
        <f t="shared" si="6"/>
        <v>-4.2285505468404594E-3</v>
      </c>
      <c r="D124" s="35">
        <f t="shared" si="7"/>
        <v>-4.9578961167070057E-2</v>
      </c>
      <c r="E124" s="35">
        <f>(Table143454[[#This Row],[USA]]-B112)/B112</f>
        <v>3.0580544074344091E-2</v>
      </c>
      <c r="F124" s="34">
        <f>VLOOKUP(Table143454[[#This Row],[Date]],'Data Core CPI'!$A:$AX,MATCH($B$2,'Data Core CPI'!$B$1:$AX$1,0),FALSE)</f>
        <v>0</v>
      </c>
      <c r="G124" s="35" t="e">
        <f t="shared" si="4"/>
        <v>#DIV/0!</v>
      </c>
      <c r="H124" s="35" t="e">
        <f t="shared" si="5"/>
        <v>#DIV/0!</v>
      </c>
      <c r="I124" s="35" t="e">
        <f>(Table143454[[#This Row],[Core CPI]]-F112)/F112</f>
        <v>#DIV/0!</v>
      </c>
    </row>
    <row r="125" spans="1:9" x14ac:dyDescent="0.35">
      <c r="A125" s="33">
        <f>IF(Data!A152="",#N/A,Data!A152)</f>
        <v>22463</v>
      </c>
      <c r="B125" s="34">
        <f>VLOOKUP(A125,Data!A:AX,MATCH($B$2,Data!$B$1:$AX$1,0),FALSE)</f>
        <v>3.8472E-5</v>
      </c>
      <c r="C125" s="35">
        <f t="shared" si="6"/>
        <v>8.4668012267687942E-3</v>
      </c>
      <c r="D125" s="35">
        <f t="shared" si="7"/>
        <v>0.10646904763329634</v>
      </c>
      <c r="E125" s="35">
        <f>(Table143454[[#This Row],[USA]]-B113)/B113</f>
        <v>4.8454788248760081E-2</v>
      </c>
      <c r="F125" s="34">
        <f>VLOOKUP(Table143454[[#This Row],[Date]],'Data Core CPI'!$A:$AX,MATCH($B$2,'Data Core CPI'!$B$1:$AX$1,0),FALSE)</f>
        <v>0</v>
      </c>
      <c r="G125" s="35" t="e">
        <f t="shared" si="4"/>
        <v>#DIV/0!</v>
      </c>
      <c r="H125" s="35" t="e">
        <f t="shared" si="5"/>
        <v>#DIV/0!</v>
      </c>
      <c r="I125" s="35" t="e">
        <f>(Table143454[[#This Row],[Core CPI]]-F113)/F113</f>
        <v>#DIV/0!</v>
      </c>
    </row>
    <row r="126" spans="1:9" x14ac:dyDescent="0.35">
      <c r="A126" s="33">
        <f>IF(Data!A153="",#N/A,Data!A153)</f>
        <v>22494</v>
      </c>
      <c r="B126" s="34">
        <f>VLOOKUP(A126,Data!A:AX,MATCH($B$2,Data!$B$1:$AX$1,0),FALSE)</f>
        <v>3.7987000000000001E-5</v>
      </c>
      <c r="C126" s="35">
        <f t="shared" si="6"/>
        <v>-1.2606571012684586E-2</v>
      </c>
      <c r="D126" s="35">
        <f t="shared" si="7"/>
        <v>-0.14121827811338028</v>
      </c>
      <c r="E126" s="35">
        <f>(Table143454[[#This Row],[USA]]-B114)/B114</f>
        <v>3.9828095915909308E-2</v>
      </c>
      <c r="F126" s="34">
        <f>VLOOKUP(Table143454[[#This Row],[Date]],'Data Core CPI'!$A:$AX,MATCH($B$2,'Data Core CPI'!$B$1:$AX$1,0),FALSE)</f>
        <v>0</v>
      </c>
      <c r="G126" s="35" t="e">
        <f t="shared" si="4"/>
        <v>#DIV/0!</v>
      </c>
      <c r="H126" s="35" t="e">
        <f t="shared" si="5"/>
        <v>#DIV/0!</v>
      </c>
      <c r="I126" s="35" t="e">
        <f>(Table143454[[#This Row],[Core CPI]]-F114)/F114</f>
        <v>#DIV/0!</v>
      </c>
    </row>
    <row r="127" spans="1:9" x14ac:dyDescent="0.35">
      <c r="A127" s="33">
        <f>IF(Data!A154="",#N/A,Data!A154)</f>
        <v>22525</v>
      </c>
      <c r="B127" s="34">
        <f>VLOOKUP(A127,Data!A:AX,MATCH($B$2,Data!$B$1:$AX$1,0),FALSE)</f>
        <v>3.7987000000000001E-5</v>
      </c>
      <c r="C127" s="35">
        <f t="shared" si="6"/>
        <v>0</v>
      </c>
      <c r="D127" s="35">
        <f t="shared" si="7"/>
        <v>0</v>
      </c>
      <c r="E127" s="35">
        <f>(Table143454[[#This Row],[USA]]-B115)/B115</f>
        <v>4.443100272194879E-2</v>
      </c>
      <c r="F127" s="34">
        <f>VLOOKUP(Table143454[[#This Row],[Date]],'Data Core CPI'!$A:$AX,MATCH($B$2,'Data Core CPI'!$B$1:$AX$1,0),FALSE)</f>
        <v>0</v>
      </c>
      <c r="G127" s="35" t="e">
        <f t="shared" si="4"/>
        <v>#DIV/0!</v>
      </c>
      <c r="H127" s="35" t="e">
        <f t="shared" si="5"/>
        <v>#DIV/0!</v>
      </c>
      <c r="I127" s="35" t="e">
        <f>(Table143454[[#This Row],[Core CPI]]-F115)/F115</f>
        <v>#DIV/0!</v>
      </c>
    </row>
    <row r="128" spans="1:9" x14ac:dyDescent="0.35">
      <c r="A128" s="33">
        <f>IF(Data!A155="",#N/A,Data!A155)</f>
        <v>22555</v>
      </c>
      <c r="B128" s="34">
        <f>VLOOKUP(A128,Data!A:AX,MATCH($B$2,Data!$B$1:$AX$1,0),FALSE)</f>
        <v>3.8957E-5</v>
      </c>
      <c r="C128" s="35">
        <f t="shared" si="6"/>
        <v>2.5535051464974812E-2</v>
      </c>
      <c r="D128" s="35">
        <f t="shared" si="7"/>
        <v>0.35333745957937213</v>
      </c>
      <c r="E128" s="35">
        <f>(Table143454[[#This Row],[USA]]-B116)/B116</f>
        <v>7.1100602128069026E-2</v>
      </c>
      <c r="F128" s="34">
        <f>VLOOKUP(Table143454[[#This Row],[Date]],'Data Core CPI'!$A:$AX,MATCH($B$2,'Data Core CPI'!$B$1:$AX$1,0),FALSE)</f>
        <v>0</v>
      </c>
      <c r="G128" s="35" t="e">
        <f t="shared" si="4"/>
        <v>#DIV/0!</v>
      </c>
      <c r="H128" s="35" t="e">
        <f t="shared" si="5"/>
        <v>#DIV/0!</v>
      </c>
      <c r="I128" s="35" t="e">
        <f>(Table143454[[#This Row],[Core CPI]]-F116)/F116</f>
        <v>#DIV/0!</v>
      </c>
    </row>
    <row r="129" spans="1:9" x14ac:dyDescent="0.35">
      <c r="A129" s="33">
        <f>IF(Data!A156="",#N/A,Data!A156)</f>
        <v>22586</v>
      </c>
      <c r="B129" s="34">
        <f>VLOOKUP(A129,Data!A:AX,MATCH($B$2,Data!$B$1:$AX$1,0),FALSE)</f>
        <v>3.8472E-5</v>
      </c>
      <c r="C129" s="35">
        <f t="shared" si="6"/>
        <v>-1.2449623944348898E-2</v>
      </c>
      <c r="D129" s="35">
        <f t="shared" si="7"/>
        <v>-0.13957879585246225</v>
      </c>
      <c r="E129" s="35">
        <f>(Table143454[[#This Row],[USA]]-B117)/B117</f>
        <v>6.2498273909801484E-2</v>
      </c>
      <c r="F129" s="34">
        <f>VLOOKUP(Table143454[[#This Row],[Date]],'Data Core CPI'!$A:$AX,MATCH($B$2,'Data Core CPI'!$B$1:$AX$1,0),FALSE)</f>
        <v>0</v>
      </c>
      <c r="G129" s="35" t="e">
        <f t="shared" si="4"/>
        <v>#DIV/0!</v>
      </c>
      <c r="H129" s="35" t="e">
        <f t="shared" si="5"/>
        <v>#DIV/0!</v>
      </c>
      <c r="I129" s="35" t="e">
        <f>(Table143454[[#This Row],[Core CPI]]-F117)/F117</f>
        <v>#DIV/0!</v>
      </c>
    </row>
    <row r="130" spans="1:9" x14ac:dyDescent="0.35">
      <c r="A130" s="33">
        <f>IF(Data!A157="",#N/A,Data!A157)</f>
        <v>22616</v>
      </c>
      <c r="B130" s="34">
        <f>VLOOKUP(A130,Data!A:AX,MATCH($B$2,Data!$B$1:$AX$1,0),FALSE)</f>
        <v>3.8794999999999997E-5</v>
      </c>
      <c r="C130" s="35">
        <f t="shared" si="6"/>
        <v>8.3957163651486866E-3</v>
      </c>
      <c r="D130" s="35">
        <f t="shared" si="7"/>
        <v>0.10553349619704555</v>
      </c>
      <c r="E130" s="35">
        <f>(Table143454[[#This Row],[USA]]-B118)/B118</f>
        <v>6.1945691448592875E-2</v>
      </c>
      <c r="F130" s="34">
        <f>VLOOKUP(Table143454[[#This Row],[Date]],'Data Core CPI'!$A:$AX,MATCH($B$2,'Data Core CPI'!$B$1:$AX$1,0),FALSE)</f>
        <v>0</v>
      </c>
      <c r="G130" s="35" t="e">
        <f t="shared" si="4"/>
        <v>#DIV/0!</v>
      </c>
      <c r="H130" s="35" t="e">
        <f t="shared" si="5"/>
        <v>#DIV/0!</v>
      </c>
      <c r="I130" s="35" t="e">
        <f>(Table143454[[#This Row],[Core CPI]]-F118)/F118</f>
        <v>#DIV/0!</v>
      </c>
    </row>
    <row r="131" spans="1:9" x14ac:dyDescent="0.35">
      <c r="A131" s="33">
        <f>IF(Data!A158="",#N/A,Data!A158)</f>
        <v>22647</v>
      </c>
      <c r="B131" s="34">
        <f>VLOOKUP(A131,Data!A:AX,MATCH($B$2,Data!$B$1:$AX$1,0),FALSE)</f>
        <v>3.8794999999999997E-5</v>
      </c>
      <c r="C131" s="35">
        <f t="shared" si="6"/>
        <v>0</v>
      </c>
      <c r="D131" s="35">
        <f t="shared" si="7"/>
        <v>0</v>
      </c>
      <c r="E131" s="35">
        <f>(Table143454[[#This Row],[USA]]-B119)/B119</f>
        <v>5.2610158454525616E-2</v>
      </c>
      <c r="F131" s="34">
        <f>VLOOKUP(Table143454[[#This Row],[Date]],'Data Core CPI'!$A:$AX,MATCH($B$2,'Data Core CPI'!$B$1:$AX$1,0),FALSE)</f>
        <v>0</v>
      </c>
      <c r="G131" s="35" t="e">
        <f t="shared" ref="G131:G194" si="8">(F131/F130)-1</f>
        <v>#DIV/0!</v>
      </c>
      <c r="H131" s="35" t="e">
        <f t="shared" ref="H131:H194" si="9">((1+G131)^12)-1</f>
        <v>#DIV/0!</v>
      </c>
      <c r="I131" s="35" t="e">
        <f>(Table143454[[#This Row],[Core CPI]]-F119)/F119</f>
        <v>#DIV/0!</v>
      </c>
    </row>
    <row r="132" spans="1:9" x14ac:dyDescent="0.35">
      <c r="A132" s="33">
        <f>IF(Data!A159="",#N/A,Data!A159)</f>
        <v>22678</v>
      </c>
      <c r="B132" s="34">
        <f>VLOOKUP(A132,Data!A:AX,MATCH($B$2,Data!$B$1:$AX$1,0),FALSE)</f>
        <v>3.9765000000000003E-5</v>
      </c>
      <c r="C132" s="35">
        <f t="shared" ref="C132:C195" si="10">(B132/B131)-1</f>
        <v>2.5003222064699182E-2</v>
      </c>
      <c r="D132" s="35">
        <f t="shared" si="7"/>
        <v>0.34493955666064124</v>
      </c>
      <c r="E132" s="35">
        <f>(Table143454[[#This Row],[USA]]-B120)/B120</f>
        <v>6.4915240620229839E-2</v>
      </c>
      <c r="F132" s="34">
        <f>VLOOKUP(Table143454[[#This Row],[Date]],'Data Core CPI'!$A:$AX,MATCH($B$2,'Data Core CPI'!$B$1:$AX$1,0),FALSE)</f>
        <v>0</v>
      </c>
      <c r="G132" s="35" t="e">
        <f t="shared" si="8"/>
        <v>#DIV/0!</v>
      </c>
      <c r="H132" s="35" t="e">
        <f t="shared" si="9"/>
        <v>#DIV/0!</v>
      </c>
      <c r="I132" s="35" t="e">
        <f>(Table143454[[#This Row],[Core CPI]]-F120)/F120</f>
        <v>#DIV/0!</v>
      </c>
    </row>
    <row r="133" spans="1:9" x14ac:dyDescent="0.35">
      <c r="A133" s="33">
        <f>IF(Data!A160="",#N/A,Data!A160)</f>
        <v>22706</v>
      </c>
      <c r="B133" s="34">
        <f>VLOOKUP(A133,Data!A:AX,MATCH($B$2,Data!$B$1:$AX$1,0),FALSE)</f>
        <v>3.9926999999999999E-5</v>
      </c>
      <c r="C133" s="35">
        <f t="shared" si="10"/>
        <v>4.0739343643907411E-3</v>
      </c>
      <c r="D133" s="35">
        <f t="shared" si="7"/>
        <v>4.9997623004007341E-2</v>
      </c>
      <c r="E133" s="35">
        <f>(Table143454[[#This Row],[USA]]-B121)/B121</f>
        <v>4.2181096812925777E-2</v>
      </c>
      <c r="F133" s="34">
        <f>VLOOKUP(Table143454[[#This Row],[Date]],'Data Core CPI'!$A:$AX,MATCH($B$2,'Data Core CPI'!$B$1:$AX$1,0),FALSE)</f>
        <v>0</v>
      </c>
      <c r="G133" s="35" t="e">
        <f t="shared" si="8"/>
        <v>#DIV/0!</v>
      </c>
      <c r="H133" s="35" t="e">
        <f t="shared" si="9"/>
        <v>#DIV/0!</v>
      </c>
      <c r="I133" s="35" t="e">
        <f>(Table143454[[#This Row],[Core CPI]]-F121)/F121</f>
        <v>#DIV/0!</v>
      </c>
    </row>
    <row r="134" spans="1:9" x14ac:dyDescent="0.35">
      <c r="A134" s="33">
        <f>IF(Data!A161="",#N/A,Data!A161)</f>
        <v>22737</v>
      </c>
      <c r="B134" s="34">
        <f>VLOOKUP(A134,Data!A:AX,MATCH($B$2,Data!$B$1:$AX$1,0),FALSE)</f>
        <v>3.9280000000000003E-5</v>
      </c>
      <c r="C134" s="35">
        <f t="shared" si="10"/>
        <v>-1.6204573346356943E-2</v>
      </c>
      <c r="D134" s="35">
        <f t="shared" si="7"/>
        <v>-0.17802692458759928</v>
      </c>
      <c r="E134" s="35">
        <f>(Table143454[[#This Row],[USA]]-B122)/B122</f>
        <v>4.2905692438402886E-2</v>
      </c>
      <c r="F134" s="34">
        <f>VLOOKUP(Table143454[[#This Row],[Date]],'Data Core CPI'!$A:$AX,MATCH($B$2,'Data Core CPI'!$B$1:$AX$1,0),FALSE)</f>
        <v>0</v>
      </c>
      <c r="G134" s="35" t="e">
        <f t="shared" si="8"/>
        <v>#DIV/0!</v>
      </c>
      <c r="H134" s="35" t="e">
        <f t="shared" si="9"/>
        <v>#DIV/0!</v>
      </c>
      <c r="I134" s="35" t="e">
        <f>(Table143454[[#This Row],[Core CPI]]-F122)/F122</f>
        <v>#DIV/0!</v>
      </c>
    </row>
    <row r="135" spans="1:9" x14ac:dyDescent="0.35">
      <c r="A135" s="33">
        <f>IF(Data!A162="",#N/A,Data!A162)</f>
        <v>22767</v>
      </c>
      <c r="B135" s="34">
        <f>VLOOKUP(A135,Data!A:AX,MATCH($B$2,Data!$B$1:$AX$1,0),FALSE)</f>
        <v>3.9280000000000003E-5</v>
      </c>
      <c r="C135" s="35">
        <f t="shared" si="10"/>
        <v>0</v>
      </c>
      <c r="D135" s="35">
        <f t="shared" si="7"/>
        <v>0</v>
      </c>
      <c r="E135" s="35">
        <f>(Table143454[[#This Row],[USA]]-B123)/B123</f>
        <v>2.5292996789433943E-2</v>
      </c>
      <c r="F135" s="34">
        <f>VLOOKUP(Table143454[[#This Row],[Date]],'Data Core CPI'!$A:$AX,MATCH($B$2,'Data Core CPI'!$B$1:$AX$1,0),FALSE)</f>
        <v>0</v>
      </c>
      <c r="G135" s="35" t="e">
        <f t="shared" si="8"/>
        <v>#DIV/0!</v>
      </c>
      <c r="H135" s="35" t="e">
        <f t="shared" si="9"/>
        <v>#DIV/0!</v>
      </c>
      <c r="I135" s="35" t="e">
        <f>(Table143454[[#This Row],[Core CPI]]-F123)/F123</f>
        <v>#DIV/0!</v>
      </c>
    </row>
    <row r="136" spans="1:9" x14ac:dyDescent="0.35">
      <c r="A136" s="33">
        <f>IF(Data!A163="",#N/A,Data!A163)</f>
        <v>22798</v>
      </c>
      <c r="B136" s="34">
        <f>VLOOKUP(A136,Data!A:AX,MATCH($B$2,Data!$B$1:$AX$1,0),FALSE)</f>
        <v>3.9441999999999999E-5</v>
      </c>
      <c r="C136" s="35">
        <f t="shared" si="10"/>
        <v>4.1242362525457654E-3</v>
      </c>
      <c r="D136" s="35">
        <f t="shared" si="7"/>
        <v>5.0629027724275355E-2</v>
      </c>
      <c r="E136" s="35">
        <f>(Table143454[[#This Row],[USA]]-B124)/B124</f>
        <v>3.3893417913968986E-2</v>
      </c>
      <c r="F136" s="34">
        <f>VLOOKUP(Table143454[[#This Row],[Date]],'Data Core CPI'!$A:$AX,MATCH($B$2,'Data Core CPI'!$B$1:$AX$1,0),FALSE)</f>
        <v>0</v>
      </c>
      <c r="G136" s="35" t="e">
        <f t="shared" si="8"/>
        <v>#DIV/0!</v>
      </c>
      <c r="H136" s="35" t="e">
        <f t="shared" si="9"/>
        <v>#DIV/0!</v>
      </c>
      <c r="I136" s="35" t="e">
        <f>(Table143454[[#This Row],[Core CPI]]-F124)/F124</f>
        <v>#DIV/0!</v>
      </c>
    </row>
    <row r="137" spans="1:9" x14ac:dyDescent="0.35">
      <c r="A137" s="33">
        <f>IF(Data!A164="",#N/A,Data!A164)</f>
        <v>22828</v>
      </c>
      <c r="B137" s="34">
        <f>VLOOKUP(A137,Data!A:AX,MATCH($B$2,Data!$B$1:$AX$1,0),FALSE)</f>
        <v>3.9280000000000003E-5</v>
      </c>
      <c r="C137" s="35">
        <f t="shared" si="10"/>
        <v>-4.1072967902234803E-3</v>
      </c>
      <c r="D137" s="35">
        <f t="shared" si="7"/>
        <v>-4.8189252712673158E-2</v>
      </c>
      <c r="E137" s="35">
        <f>(Table143454[[#This Row],[USA]]-B125)/B125</f>
        <v>2.1002287377833311E-2</v>
      </c>
      <c r="F137" s="34">
        <f>VLOOKUP(Table143454[[#This Row],[Date]],'Data Core CPI'!$A:$AX,MATCH($B$2,'Data Core CPI'!$B$1:$AX$1,0),FALSE)</f>
        <v>0</v>
      </c>
      <c r="G137" s="35" t="e">
        <f t="shared" si="8"/>
        <v>#DIV/0!</v>
      </c>
      <c r="H137" s="35" t="e">
        <f t="shared" si="9"/>
        <v>#DIV/0!</v>
      </c>
      <c r="I137" s="35" t="e">
        <f>(Table143454[[#This Row],[Core CPI]]-F125)/F125</f>
        <v>#DIV/0!</v>
      </c>
    </row>
    <row r="138" spans="1:9" x14ac:dyDescent="0.35">
      <c r="A138" s="33">
        <f>IF(Data!A165="",#N/A,Data!A165)</f>
        <v>22859</v>
      </c>
      <c r="B138" s="34">
        <f>VLOOKUP(A138,Data!A:AX,MATCH($B$2,Data!$B$1:$AX$1,0),FALSE)</f>
        <v>3.9280000000000003E-5</v>
      </c>
      <c r="C138" s="35">
        <f t="shared" si="10"/>
        <v>0</v>
      </c>
      <c r="D138" s="35">
        <f t="shared" si="7"/>
        <v>0</v>
      </c>
      <c r="E138" s="35">
        <f>(Table143454[[#This Row],[USA]]-B126)/B126</f>
        <v>3.4037960354858308E-2</v>
      </c>
      <c r="F138" s="34">
        <f>VLOOKUP(Table143454[[#This Row],[Date]],'Data Core CPI'!$A:$AX,MATCH($B$2,'Data Core CPI'!$B$1:$AX$1,0),FALSE)</f>
        <v>0</v>
      </c>
      <c r="G138" s="35" t="e">
        <f t="shared" si="8"/>
        <v>#DIV/0!</v>
      </c>
      <c r="H138" s="35" t="e">
        <f t="shared" si="9"/>
        <v>#DIV/0!</v>
      </c>
      <c r="I138" s="35" t="e">
        <f>(Table143454[[#This Row],[Core CPI]]-F126)/F126</f>
        <v>#DIV/0!</v>
      </c>
    </row>
    <row r="139" spans="1:9" x14ac:dyDescent="0.35">
      <c r="A139" s="33">
        <f>IF(Data!A166="",#N/A,Data!A166)</f>
        <v>22890</v>
      </c>
      <c r="B139" s="34">
        <f>VLOOKUP(A139,Data!A:AX,MATCH($B$2,Data!$B$1:$AX$1,0),FALSE)</f>
        <v>3.9280000000000003E-5</v>
      </c>
      <c r="C139" s="35">
        <f t="shared" si="10"/>
        <v>0</v>
      </c>
      <c r="D139" s="35">
        <f t="shared" si="7"/>
        <v>0</v>
      </c>
      <c r="E139" s="35">
        <f>(Table143454[[#This Row],[USA]]-B127)/B127</f>
        <v>3.4037960354858308E-2</v>
      </c>
      <c r="F139" s="34">
        <f>VLOOKUP(Table143454[[#This Row],[Date]],'Data Core CPI'!$A:$AX,MATCH($B$2,'Data Core CPI'!$B$1:$AX$1,0),FALSE)</f>
        <v>0</v>
      </c>
      <c r="G139" s="35" t="e">
        <f t="shared" si="8"/>
        <v>#DIV/0!</v>
      </c>
      <c r="H139" s="35" t="e">
        <f t="shared" si="9"/>
        <v>#DIV/0!</v>
      </c>
      <c r="I139" s="35" t="e">
        <f>(Table143454[[#This Row],[Core CPI]]-F127)/F127</f>
        <v>#DIV/0!</v>
      </c>
    </row>
    <row r="140" spans="1:9" x14ac:dyDescent="0.35">
      <c r="A140" s="33">
        <f>IF(Data!A167="",#N/A,Data!A167)</f>
        <v>22920</v>
      </c>
      <c r="B140" s="34">
        <f>VLOOKUP(A140,Data!A:AX,MATCH($B$2,Data!$B$1:$AX$1,0),FALSE)</f>
        <v>3.9765000000000003E-5</v>
      </c>
      <c r="C140" s="35">
        <f t="shared" si="10"/>
        <v>1.2347250509164853E-2</v>
      </c>
      <c r="D140" s="35">
        <f t="shared" si="7"/>
        <v>0.15865487189277983</v>
      </c>
      <c r="E140" s="35">
        <f>(Table143454[[#This Row],[USA]]-B128)/B128</f>
        <v>2.0740816798008141E-2</v>
      </c>
      <c r="F140" s="34">
        <f>VLOOKUP(Table143454[[#This Row],[Date]],'Data Core CPI'!$A:$AX,MATCH($B$2,'Data Core CPI'!$B$1:$AX$1,0),FALSE)</f>
        <v>0</v>
      </c>
      <c r="G140" s="35" t="e">
        <f t="shared" si="8"/>
        <v>#DIV/0!</v>
      </c>
      <c r="H140" s="35" t="e">
        <f t="shared" si="9"/>
        <v>#DIV/0!</v>
      </c>
      <c r="I140" s="35" t="e">
        <f>(Table143454[[#This Row],[Core CPI]]-F128)/F128</f>
        <v>#DIV/0!</v>
      </c>
    </row>
    <row r="141" spans="1:9" x14ac:dyDescent="0.35">
      <c r="A141" s="33">
        <f>IF(Data!A168="",#N/A,Data!A168)</f>
        <v>22951</v>
      </c>
      <c r="B141" s="34">
        <f>VLOOKUP(A141,Data!A:AX,MATCH($B$2,Data!$B$1:$AX$1,0),FALSE)</f>
        <v>4.0250000000000003E-5</v>
      </c>
      <c r="C141" s="35">
        <f t="shared" si="10"/>
        <v>1.2196655350182217E-2</v>
      </c>
      <c r="D141" s="35">
        <f t="shared" si="7"/>
        <v>0.15658824752754641</v>
      </c>
      <c r="E141" s="35">
        <f>(Table143454[[#This Row],[USA]]-B129)/B129</f>
        <v>4.621542940320239E-2</v>
      </c>
      <c r="F141" s="34">
        <f>VLOOKUP(Table143454[[#This Row],[Date]],'Data Core CPI'!$A:$AX,MATCH($B$2,'Data Core CPI'!$B$1:$AX$1,0),FALSE)</f>
        <v>0</v>
      </c>
      <c r="G141" s="35" t="e">
        <f t="shared" si="8"/>
        <v>#DIV/0!</v>
      </c>
      <c r="H141" s="35" t="e">
        <f t="shared" si="9"/>
        <v>#DIV/0!</v>
      </c>
      <c r="I141" s="35" t="e">
        <f>(Table143454[[#This Row],[Core CPI]]-F129)/F129</f>
        <v>#DIV/0!</v>
      </c>
    </row>
    <row r="142" spans="1:9" x14ac:dyDescent="0.35">
      <c r="A142" s="33">
        <f>IF(Data!A169="",#N/A,Data!A169)</f>
        <v>22981</v>
      </c>
      <c r="B142" s="34">
        <f>VLOOKUP(A142,Data!A:AX,MATCH($B$2,Data!$B$1:$AX$1,0),FALSE)</f>
        <v>4.0735000000000002E-5</v>
      </c>
      <c r="C142" s="35">
        <f t="shared" si="10"/>
        <v>1.2049689440993827E-2</v>
      </c>
      <c r="D142" s="35">
        <f t="shared" si="7"/>
        <v>0.15457468582456357</v>
      </c>
      <c r="E142" s="35">
        <f>(Table143454[[#This Row],[USA]]-B130)/B130</f>
        <v>5.0006444129398253E-2</v>
      </c>
      <c r="F142" s="34">
        <f>VLOOKUP(Table143454[[#This Row],[Date]],'Data Core CPI'!$A:$AX,MATCH($B$2,'Data Core CPI'!$B$1:$AX$1,0),FALSE)</f>
        <v>0</v>
      </c>
      <c r="G142" s="35" t="e">
        <f t="shared" si="8"/>
        <v>#DIV/0!</v>
      </c>
      <c r="H142" s="35" t="e">
        <f t="shared" si="9"/>
        <v>#DIV/0!</v>
      </c>
      <c r="I142" s="35" t="e">
        <f>(Table143454[[#This Row],[Core CPI]]-F130)/F130</f>
        <v>#DIV/0!</v>
      </c>
    </row>
    <row r="143" spans="1:9" x14ac:dyDescent="0.35">
      <c r="A143" s="33">
        <f>IF(Data!A170="",#N/A,Data!A170)</f>
        <v>23012</v>
      </c>
      <c r="B143" s="34">
        <f>VLOOKUP(A143,Data!A:AX,MATCH($B$2,Data!$B$1:$AX$1,0),FALSE)</f>
        <v>4.1220000000000002E-5</v>
      </c>
      <c r="C143" s="35">
        <f t="shared" si="10"/>
        <v>1.1906223149625639E-2</v>
      </c>
      <c r="D143" s="35">
        <f t="shared" si="7"/>
        <v>0.1526121719537239</v>
      </c>
      <c r="E143" s="35">
        <f>(Table143454[[#This Row],[USA]]-B131)/B131</f>
        <v>6.2508055161747775E-2</v>
      </c>
      <c r="F143" s="34">
        <f>VLOOKUP(Table143454[[#This Row],[Date]],'Data Core CPI'!$A:$AX,MATCH($B$2,'Data Core CPI'!$B$1:$AX$1,0),FALSE)</f>
        <v>0</v>
      </c>
      <c r="G143" s="35" t="e">
        <f t="shared" si="8"/>
        <v>#DIV/0!</v>
      </c>
      <c r="H143" s="35" t="e">
        <f t="shared" si="9"/>
        <v>#DIV/0!</v>
      </c>
      <c r="I143" s="35" t="e">
        <f>(Table143454[[#This Row],[Core CPI]]-F131)/F131</f>
        <v>#DIV/0!</v>
      </c>
    </row>
    <row r="144" spans="1:9" x14ac:dyDescent="0.35">
      <c r="A144" s="33">
        <f>IF(Data!A171="",#N/A,Data!A171)</f>
        <v>23043</v>
      </c>
      <c r="B144" s="34">
        <f>VLOOKUP(A144,Data!A:AX,MATCH($B$2,Data!$B$1:$AX$1,0),FALSE)</f>
        <v>4.2027999999999998E-5</v>
      </c>
      <c r="C144" s="35">
        <f t="shared" si="10"/>
        <v>1.9602134885977618E-2</v>
      </c>
      <c r="D144" s="35">
        <f t="shared" si="7"/>
        <v>0.26231817042667016</v>
      </c>
      <c r="E144" s="35">
        <f>(Table143454[[#This Row],[USA]]-B132)/B132</f>
        <v>5.6909342386520685E-2</v>
      </c>
      <c r="F144" s="34">
        <f>VLOOKUP(Table143454[[#This Row],[Date]],'Data Core CPI'!$A:$AX,MATCH($B$2,'Data Core CPI'!$B$1:$AX$1,0),FALSE)</f>
        <v>0</v>
      </c>
      <c r="G144" s="35" t="e">
        <f t="shared" si="8"/>
        <v>#DIV/0!</v>
      </c>
      <c r="H144" s="35" t="e">
        <f t="shared" si="9"/>
        <v>#DIV/0!</v>
      </c>
      <c r="I144" s="35" t="e">
        <f>(Table143454[[#This Row],[Core CPI]]-F132)/F132</f>
        <v>#DIV/0!</v>
      </c>
    </row>
    <row r="145" spans="1:9" x14ac:dyDescent="0.35">
      <c r="A145" s="33">
        <f>IF(Data!A172="",#N/A,Data!A172)</f>
        <v>23071</v>
      </c>
      <c r="B145" s="34">
        <f>VLOOKUP(A145,Data!A:AX,MATCH($B$2,Data!$B$1:$AX$1,0),FALSE)</f>
        <v>4.2351999999999997E-5</v>
      </c>
      <c r="C145" s="35">
        <f t="shared" si="10"/>
        <v>7.7091462834300017E-3</v>
      </c>
      <c r="D145" s="35">
        <f t="shared" si="7"/>
        <v>9.6534762915533312E-2</v>
      </c>
      <c r="E145" s="35">
        <f>(Table143454[[#This Row],[USA]]-B133)/B133</f>
        <v>6.0735842913316754E-2</v>
      </c>
      <c r="F145" s="34">
        <f>VLOOKUP(Table143454[[#This Row],[Date]],'Data Core CPI'!$A:$AX,MATCH($B$2,'Data Core CPI'!$B$1:$AX$1,0),FALSE)</f>
        <v>0</v>
      </c>
      <c r="G145" s="35" t="e">
        <f t="shared" si="8"/>
        <v>#DIV/0!</v>
      </c>
      <c r="H145" s="35" t="e">
        <f t="shared" si="9"/>
        <v>#DIV/0!</v>
      </c>
      <c r="I145" s="35" t="e">
        <f>(Table143454[[#This Row],[Core CPI]]-F133)/F133</f>
        <v>#DIV/0!</v>
      </c>
    </row>
    <row r="146" spans="1:9" x14ac:dyDescent="0.35">
      <c r="A146" s="33">
        <f>IF(Data!A173="",#N/A,Data!A173)</f>
        <v>23102</v>
      </c>
      <c r="B146" s="34">
        <f>VLOOKUP(A146,Data!A:AX,MATCH($B$2,Data!$B$1:$AX$1,0),FALSE)</f>
        <v>4.2027999999999998E-5</v>
      </c>
      <c r="C146" s="35">
        <f t="shared" si="10"/>
        <v>-7.6501700037778786E-3</v>
      </c>
      <c r="D146" s="35">
        <f t="shared" si="7"/>
        <v>-8.8036208408808325E-2</v>
      </c>
      <c r="E146" s="35">
        <f>(Table143454[[#This Row],[USA]]-B134)/B134</f>
        <v>6.9959266802443854E-2</v>
      </c>
      <c r="F146" s="34">
        <f>VLOOKUP(Table143454[[#This Row],[Date]],'Data Core CPI'!$A:$AX,MATCH($B$2,'Data Core CPI'!$B$1:$AX$1,0),FALSE)</f>
        <v>0</v>
      </c>
      <c r="G146" s="35" t="e">
        <f t="shared" si="8"/>
        <v>#DIV/0!</v>
      </c>
      <c r="H146" s="35" t="e">
        <f t="shared" si="9"/>
        <v>#DIV/0!</v>
      </c>
      <c r="I146" s="35" t="e">
        <f>(Table143454[[#This Row],[Core CPI]]-F134)/F134</f>
        <v>#DIV/0!</v>
      </c>
    </row>
    <row r="147" spans="1:9" x14ac:dyDescent="0.35">
      <c r="A147" s="33">
        <f>IF(Data!A174="",#N/A,Data!A174)</f>
        <v>23132</v>
      </c>
      <c r="B147" s="34">
        <f>VLOOKUP(A147,Data!A:AX,MATCH($B$2,Data!$B$1:$AX$1,0),FALSE)</f>
        <v>4.2190000000000001E-5</v>
      </c>
      <c r="C147" s="35">
        <f t="shared" si="10"/>
        <v>3.8545731417152229E-3</v>
      </c>
      <c r="D147" s="35">
        <f t="shared" si="7"/>
        <v>4.7248197549851545E-2</v>
      </c>
      <c r="E147" s="35">
        <f>(Table143454[[#This Row],[USA]]-B135)/B135</f>
        <v>7.4083503054989744E-2</v>
      </c>
      <c r="F147" s="34">
        <f>VLOOKUP(Table143454[[#This Row],[Date]],'Data Core CPI'!$A:$AX,MATCH($B$2,'Data Core CPI'!$B$1:$AX$1,0),FALSE)</f>
        <v>0</v>
      </c>
      <c r="G147" s="35" t="e">
        <f t="shared" si="8"/>
        <v>#DIV/0!</v>
      </c>
      <c r="H147" s="35" t="e">
        <f t="shared" si="9"/>
        <v>#DIV/0!</v>
      </c>
      <c r="I147" s="35" t="e">
        <f>(Table143454[[#This Row],[Core CPI]]-F135)/F135</f>
        <v>#DIV/0!</v>
      </c>
    </row>
    <row r="148" spans="1:9" x14ac:dyDescent="0.35">
      <c r="A148" s="33">
        <f>IF(Data!A175="",#N/A,Data!A175)</f>
        <v>23163</v>
      </c>
      <c r="B148" s="34">
        <f>VLOOKUP(A148,Data!A:AX,MATCH($B$2,Data!$B$1:$AX$1,0),FALSE)</f>
        <v>4.2351999999999997E-5</v>
      </c>
      <c r="C148" s="35">
        <f t="shared" si="10"/>
        <v>3.8397724579284365E-3</v>
      </c>
      <c r="D148" s="35">
        <f t="shared" si="7"/>
        <v>4.706292689831959E-2</v>
      </c>
      <c r="E148" s="35">
        <f>(Table143454[[#This Row],[USA]]-B136)/B136</f>
        <v>7.377922012068347E-2</v>
      </c>
      <c r="F148" s="34">
        <f>VLOOKUP(Table143454[[#This Row],[Date]],'Data Core CPI'!$A:$AX,MATCH($B$2,'Data Core CPI'!$B$1:$AX$1,0),FALSE)</f>
        <v>0</v>
      </c>
      <c r="G148" s="35" t="e">
        <f t="shared" si="8"/>
        <v>#DIV/0!</v>
      </c>
      <c r="H148" s="35" t="e">
        <f t="shared" si="9"/>
        <v>#DIV/0!</v>
      </c>
      <c r="I148" s="35" t="e">
        <f>(Table143454[[#This Row],[Core CPI]]-F136)/F136</f>
        <v>#DIV/0!</v>
      </c>
    </row>
    <row r="149" spans="1:9" x14ac:dyDescent="0.35">
      <c r="A149" s="33">
        <f>IF(Data!A176="",#N/A,Data!A176)</f>
        <v>23193</v>
      </c>
      <c r="B149" s="34">
        <f>VLOOKUP(A149,Data!A:AX,MATCH($B$2,Data!$B$1:$AX$1,0),FALSE)</f>
        <v>4.2027999999999998E-5</v>
      </c>
      <c r="C149" s="35">
        <f t="shared" si="10"/>
        <v>-7.6501700037778786E-3</v>
      </c>
      <c r="D149" s="35">
        <f t="shared" si="7"/>
        <v>-8.8036208408808325E-2</v>
      </c>
      <c r="E149" s="35">
        <f>(Table143454[[#This Row],[USA]]-B137)/B137</f>
        <v>6.9959266802443854E-2</v>
      </c>
      <c r="F149" s="34">
        <f>VLOOKUP(Table143454[[#This Row],[Date]],'Data Core CPI'!$A:$AX,MATCH($B$2,'Data Core CPI'!$B$1:$AX$1,0),FALSE)</f>
        <v>0</v>
      </c>
      <c r="G149" s="35" t="e">
        <f t="shared" si="8"/>
        <v>#DIV/0!</v>
      </c>
      <c r="H149" s="35" t="e">
        <f t="shared" si="9"/>
        <v>#DIV/0!</v>
      </c>
      <c r="I149" s="35" t="e">
        <f>(Table143454[[#This Row],[Core CPI]]-F137)/F137</f>
        <v>#DIV/0!</v>
      </c>
    </row>
    <row r="150" spans="1:9" x14ac:dyDescent="0.35">
      <c r="A150" s="33">
        <f>IF(Data!A177="",#N/A,Data!A177)</f>
        <v>23224</v>
      </c>
      <c r="B150" s="34">
        <f>VLOOKUP(A150,Data!A:AX,MATCH($B$2,Data!$B$1:$AX$1,0),FALSE)</f>
        <v>4.1705000000000001E-5</v>
      </c>
      <c r="C150" s="35">
        <f t="shared" si="10"/>
        <v>-7.685352622061381E-3</v>
      </c>
      <c r="D150" s="35">
        <f t="shared" si="7"/>
        <v>-8.8424124249362523E-2</v>
      </c>
      <c r="E150" s="35">
        <f>(Table143454[[#This Row],[USA]]-B138)/B138</f>
        <v>6.1736252545824787E-2</v>
      </c>
      <c r="F150" s="34">
        <f>VLOOKUP(Table143454[[#This Row],[Date]],'Data Core CPI'!$A:$AX,MATCH($B$2,'Data Core CPI'!$B$1:$AX$1,0),FALSE)</f>
        <v>0</v>
      </c>
      <c r="G150" s="35" t="e">
        <f t="shared" si="8"/>
        <v>#DIV/0!</v>
      </c>
      <c r="H150" s="35" t="e">
        <f t="shared" si="9"/>
        <v>#DIV/0!</v>
      </c>
      <c r="I150" s="35" t="e">
        <f>(Table143454[[#This Row],[Core CPI]]-F138)/F138</f>
        <v>#DIV/0!</v>
      </c>
    </row>
    <row r="151" spans="1:9" x14ac:dyDescent="0.35">
      <c r="A151" s="33">
        <f>IF(Data!A178="",#N/A,Data!A178)</f>
        <v>23255</v>
      </c>
      <c r="B151" s="34">
        <f>VLOOKUP(A151,Data!A:AX,MATCH($B$2,Data!$B$1:$AX$1,0),FALSE)</f>
        <v>4.1866999999999997E-5</v>
      </c>
      <c r="C151" s="35">
        <f t="shared" si="10"/>
        <v>3.8844263277784119E-3</v>
      </c>
      <c r="D151" s="35">
        <f t="shared" si="7"/>
        <v>4.7621982480782643E-2</v>
      </c>
      <c r="E151" s="35">
        <f>(Table143454[[#This Row],[USA]]-B139)/B139</f>
        <v>6.5860488798370517E-2</v>
      </c>
      <c r="F151" s="34">
        <f>VLOOKUP(Table143454[[#This Row],[Date]],'Data Core CPI'!$A:$AX,MATCH($B$2,'Data Core CPI'!$B$1:$AX$1,0),FALSE)</f>
        <v>0</v>
      </c>
      <c r="G151" s="35" t="e">
        <f t="shared" si="8"/>
        <v>#DIV/0!</v>
      </c>
      <c r="H151" s="35" t="e">
        <f t="shared" si="9"/>
        <v>#DIV/0!</v>
      </c>
      <c r="I151" s="35" t="e">
        <f>(Table143454[[#This Row],[Core CPI]]-F139)/F139</f>
        <v>#DIV/0!</v>
      </c>
    </row>
    <row r="152" spans="1:9" x14ac:dyDescent="0.35">
      <c r="A152" s="33">
        <f>IF(Data!A179="",#N/A,Data!A179)</f>
        <v>23285</v>
      </c>
      <c r="B152" s="34">
        <f>VLOOKUP(A152,Data!A:AX,MATCH($B$2,Data!$B$1:$AX$1,0),FALSE)</f>
        <v>4.2512999999999998E-5</v>
      </c>
      <c r="C152" s="35">
        <f t="shared" si="10"/>
        <v>1.5429813456899311E-2</v>
      </c>
      <c r="D152" s="35">
        <f t="shared" si="7"/>
        <v>0.20170792137077975</v>
      </c>
      <c r="E152" s="35">
        <f>(Table143454[[#This Row],[USA]]-B140)/B140</f>
        <v>6.9105997736702993E-2</v>
      </c>
      <c r="F152" s="34">
        <f>VLOOKUP(Table143454[[#This Row],[Date]],'Data Core CPI'!$A:$AX,MATCH($B$2,'Data Core CPI'!$B$1:$AX$1,0),FALSE)</f>
        <v>0</v>
      </c>
      <c r="G152" s="35" t="e">
        <f t="shared" si="8"/>
        <v>#DIV/0!</v>
      </c>
      <c r="H152" s="35" t="e">
        <f t="shared" si="9"/>
        <v>#DIV/0!</v>
      </c>
      <c r="I152" s="35" t="e">
        <f>(Table143454[[#This Row],[Core CPI]]-F140)/F140</f>
        <v>#DIV/0!</v>
      </c>
    </row>
    <row r="153" spans="1:9" x14ac:dyDescent="0.35">
      <c r="A153" s="33">
        <f>IF(Data!A180="",#N/A,Data!A180)</f>
        <v>23316</v>
      </c>
      <c r="B153" s="34">
        <f>VLOOKUP(A153,Data!A:AX,MATCH($B$2,Data!$B$1:$AX$1,0),FALSE)</f>
        <v>4.2512999999999998E-5</v>
      </c>
      <c r="C153" s="35">
        <f t="shared" si="10"/>
        <v>0</v>
      </c>
      <c r="D153" s="35">
        <f t="shared" si="7"/>
        <v>0</v>
      </c>
      <c r="E153" s="35">
        <f>(Table143454[[#This Row],[USA]]-B141)/B141</f>
        <v>5.6223602484471925E-2</v>
      </c>
      <c r="F153" s="34">
        <f>VLOOKUP(Table143454[[#This Row],[Date]],'Data Core CPI'!$A:$AX,MATCH($B$2,'Data Core CPI'!$B$1:$AX$1,0),FALSE)</f>
        <v>0</v>
      </c>
      <c r="G153" s="35" t="e">
        <f t="shared" si="8"/>
        <v>#DIV/0!</v>
      </c>
      <c r="H153" s="35" t="e">
        <f t="shared" si="9"/>
        <v>#DIV/0!</v>
      </c>
      <c r="I153" s="35" t="e">
        <f>(Table143454[[#This Row],[Core CPI]]-F141)/F141</f>
        <v>#DIV/0!</v>
      </c>
    </row>
    <row r="154" spans="1:9" x14ac:dyDescent="0.35">
      <c r="A154" s="33">
        <f>IF(Data!A181="",#N/A,Data!A181)</f>
        <v>23346</v>
      </c>
      <c r="B154" s="34">
        <f>VLOOKUP(A154,Data!A:AX,MATCH($B$2,Data!$B$1:$AX$1,0),FALSE)</f>
        <v>4.2512999999999998E-5</v>
      </c>
      <c r="C154" s="35">
        <f t="shared" si="10"/>
        <v>0</v>
      </c>
      <c r="D154" s="35">
        <f t="shared" si="7"/>
        <v>0</v>
      </c>
      <c r="E154" s="35">
        <f>(Table143454[[#This Row],[USA]]-B142)/B142</f>
        <v>4.3647968577390339E-2</v>
      </c>
      <c r="F154" s="34">
        <f>VLOOKUP(Table143454[[#This Row],[Date]],'Data Core CPI'!$A:$AX,MATCH($B$2,'Data Core CPI'!$B$1:$AX$1,0),FALSE)</f>
        <v>0</v>
      </c>
      <c r="G154" s="35" t="e">
        <f t="shared" si="8"/>
        <v>#DIV/0!</v>
      </c>
      <c r="H154" s="35" t="e">
        <f t="shared" si="9"/>
        <v>#DIV/0!</v>
      </c>
      <c r="I154" s="35" t="e">
        <f>(Table143454[[#This Row],[Core CPI]]-F142)/F142</f>
        <v>#DIV/0!</v>
      </c>
    </row>
    <row r="155" spans="1:9" x14ac:dyDescent="0.35">
      <c r="A155" s="33">
        <f>IF(Data!A182="",#N/A,Data!A182)</f>
        <v>23377</v>
      </c>
      <c r="B155" s="34">
        <f>VLOOKUP(A155,Data!A:AX,MATCH($B$2,Data!$B$1:$AX$1,0),FALSE)</f>
        <v>4.2997999999999997E-5</v>
      </c>
      <c r="C155" s="35">
        <f t="shared" si="10"/>
        <v>1.1408275115846855E-2</v>
      </c>
      <c r="D155" s="35">
        <f t="shared" si="7"/>
        <v>0.14582430804393431</v>
      </c>
      <c r="E155" s="35">
        <f>(Table143454[[#This Row],[USA]]-B143)/B143</f>
        <v>4.3134400776322065E-2</v>
      </c>
      <c r="F155" s="34">
        <f>VLOOKUP(Table143454[[#This Row],[Date]],'Data Core CPI'!$A:$AX,MATCH($B$2,'Data Core CPI'!$B$1:$AX$1,0),FALSE)</f>
        <v>0</v>
      </c>
      <c r="G155" s="35" t="e">
        <f t="shared" si="8"/>
        <v>#DIV/0!</v>
      </c>
      <c r="H155" s="35" t="e">
        <f t="shared" si="9"/>
        <v>#DIV/0!</v>
      </c>
      <c r="I155" s="35" t="e">
        <f>(Table143454[[#This Row],[Core CPI]]-F143)/F143</f>
        <v>#DIV/0!</v>
      </c>
    </row>
    <row r="156" spans="1:9" x14ac:dyDescent="0.35">
      <c r="A156" s="33">
        <f>IF(Data!A183="",#N/A,Data!A183)</f>
        <v>23408</v>
      </c>
      <c r="B156" s="34">
        <f>VLOOKUP(A156,Data!A:AX,MATCH($B$2,Data!$B$1:$AX$1,0),FALSE)</f>
        <v>4.2837000000000003E-5</v>
      </c>
      <c r="C156" s="35">
        <f t="shared" si="10"/>
        <v>-3.7443602028000011E-3</v>
      </c>
      <c r="D156" s="35">
        <f t="shared" si="7"/>
        <v>-4.4018439610498228E-2</v>
      </c>
      <c r="E156" s="35">
        <f>(Table143454[[#This Row],[USA]]-B144)/B144</f>
        <v>1.9249072047206751E-2</v>
      </c>
      <c r="F156" s="34">
        <f>VLOOKUP(Table143454[[#This Row],[Date]],'Data Core CPI'!$A:$AX,MATCH($B$2,'Data Core CPI'!$B$1:$AX$1,0),FALSE)</f>
        <v>0</v>
      </c>
      <c r="G156" s="35" t="e">
        <f t="shared" si="8"/>
        <v>#DIV/0!</v>
      </c>
      <c r="H156" s="35" t="e">
        <f t="shared" si="9"/>
        <v>#DIV/0!</v>
      </c>
      <c r="I156" s="35" t="e">
        <f>(Table143454[[#This Row],[Core CPI]]-F144)/F144</f>
        <v>#DIV/0!</v>
      </c>
    </row>
    <row r="157" spans="1:9" x14ac:dyDescent="0.35">
      <c r="A157" s="33">
        <f>IF(Data!A184="",#N/A,Data!A184)</f>
        <v>23437</v>
      </c>
      <c r="B157" s="34">
        <f>VLOOKUP(A157,Data!A:AX,MATCH($B$2,Data!$B$1:$AX$1,0),FALSE)</f>
        <v>4.2351999999999997E-5</v>
      </c>
      <c r="C157" s="35">
        <f t="shared" si="10"/>
        <v>-1.132198800102735E-2</v>
      </c>
      <c r="D157" s="35">
        <f t="shared" si="7"/>
        <v>-0.12771479236877392</v>
      </c>
      <c r="E157" s="35">
        <f>(Table143454[[#This Row],[USA]]-B145)/B145</f>
        <v>0</v>
      </c>
      <c r="F157" s="34">
        <f>VLOOKUP(Table143454[[#This Row],[Date]],'Data Core CPI'!$A:$AX,MATCH($B$2,'Data Core CPI'!$B$1:$AX$1,0),FALSE)</f>
        <v>0</v>
      </c>
      <c r="G157" s="35" t="e">
        <f t="shared" si="8"/>
        <v>#DIV/0!</v>
      </c>
      <c r="H157" s="35" t="e">
        <f t="shared" si="9"/>
        <v>#DIV/0!</v>
      </c>
      <c r="I157" s="35" t="e">
        <f>(Table143454[[#This Row],[Core CPI]]-F145)/F145</f>
        <v>#DIV/0!</v>
      </c>
    </row>
    <row r="158" spans="1:9" x14ac:dyDescent="0.35">
      <c r="A158" s="33">
        <f>IF(Data!A185="",#N/A,Data!A185)</f>
        <v>23468</v>
      </c>
      <c r="B158" s="34">
        <f>VLOOKUP(A158,Data!A:AX,MATCH($B$2,Data!$B$1:$AX$1,0),FALSE)</f>
        <v>4.2027999999999998E-5</v>
      </c>
      <c r="C158" s="35">
        <f t="shared" si="10"/>
        <v>-7.6501700037778786E-3</v>
      </c>
      <c r="D158" s="35">
        <f t="shared" si="7"/>
        <v>-8.8036208408808325E-2</v>
      </c>
      <c r="E158" s="35">
        <f>(Table143454[[#This Row],[USA]]-B146)/B146</f>
        <v>0</v>
      </c>
      <c r="F158" s="34">
        <f>VLOOKUP(Table143454[[#This Row],[Date]],'Data Core CPI'!$A:$AX,MATCH($B$2,'Data Core CPI'!$B$1:$AX$1,0),FALSE)</f>
        <v>0</v>
      </c>
      <c r="G158" s="35" t="e">
        <f t="shared" si="8"/>
        <v>#DIV/0!</v>
      </c>
      <c r="H158" s="35" t="e">
        <f t="shared" si="9"/>
        <v>#DIV/0!</v>
      </c>
      <c r="I158" s="35" t="e">
        <f>(Table143454[[#This Row],[Core CPI]]-F146)/F146</f>
        <v>#DIV/0!</v>
      </c>
    </row>
    <row r="159" spans="1:9" x14ac:dyDescent="0.35">
      <c r="A159" s="33">
        <f>IF(Data!A186="",#N/A,Data!A186)</f>
        <v>23498</v>
      </c>
      <c r="B159" s="34">
        <f>VLOOKUP(A159,Data!A:AX,MATCH($B$2,Data!$B$1:$AX$1,0),FALSE)</f>
        <v>4.2675000000000001E-5</v>
      </c>
      <c r="C159" s="35">
        <f t="shared" si="10"/>
        <v>1.5394498905491716E-2</v>
      </c>
      <c r="D159" s="35">
        <f t="shared" si="7"/>
        <v>0.20120650225814596</v>
      </c>
      <c r="E159" s="35">
        <f>(Table143454[[#This Row],[USA]]-B147)/B147</f>
        <v>1.1495615074662232E-2</v>
      </c>
      <c r="F159" s="34">
        <f>VLOOKUP(Table143454[[#This Row],[Date]],'Data Core CPI'!$A:$AX,MATCH($B$2,'Data Core CPI'!$B$1:$AX$1,0),FALSE)</f>
        <v>0</v>
      </c>
      <c r="G159" s="35" t="e">
        <f t="shared" si="8"/>
        <v>#DIV/0!</v>
      </c>
      <c r="H159" s="35" t="e">
        <f t="shared" si="9"/>
        <v>#DIV/0!</v>
      </c>
      <c r="I159" s="35" t="e">
        <f>(Table143454[[#This Row],[Core CPI]]-F147)/F147</f>
        <v>#DIV/0!</v>
      </c>
    </row>
    <row r="160" spans="1:9" x14ac:dyDescent="0.35">
      <c r="A160" s="33">
        <f>IF(Data!A187="",#N/A,Data!A187)</f>
        <v>23529</v>
      </c>
      <c r="B160" s="34">
        <f>VLOOKUP(A160,Data!A:AX,MATCH($B$2,Data!$B$1:$AX$1,0),FALSE)</f>
        <v>4.2675000000000001E-5</v>
      </c>
      <c r="C160" s="35">
        <f t="shared" si="10"/>
        <v>0</v>
      </c>
      <c r="D160" s="35">
        <f t="shared" si="7"/>
        <v>0</v>
      </c>
      <c r="E160" s="35">
        <f>(Table143454[[#This Row],[USA]]-B148)/B148</f>
        <v>7.626558367963816E-3</v>
      </c>
      <c r="F160" s="34">
        <f>VLOOKUP(Table143454[[#This Row],[Date]],'Data Core CPI'!$A:$AX,MATCH($B$2,'Data Core CPI'!$B$1:$AX$1,0),FALSE)</f>
        <v>0</v>
      </c>
      <c r="G160" s="35" t="e">
        <f t="shared" si="8"/>
        <v>#DIV/0!</v>
      </c>
      <c r="H160" s="35" t="e">
        <f t="shared" si="9"/>
        <v>#DIV/0!</v>
      </c>
      <c r="I160" s="35" t="e">
        <f>(Table143454[[#This Row],[Core CPI]]-F148)/F148</f>
        <v>#DIV/0!</v>
      </c>
    </row>
    <row r="161" spans="1:9" x14ac:dyDescent="0.35">
      <c r="A161" s="33">
        <f>IF(Data!A188="",#N/A,Data!A188)</f>
        <v>23559</v>
      </c>
      <c r="B161" s="34">
        <f>VLOOKUP(A161,Data!A:AX,MATCH($B$2,Data!$B$1:$AX$1,0),FALSE)</f>
        <v>4.2027999999999998E-5</v>
      </c>
      <c r="C161" s="35">
        <f t="shared" si="10"/>
        <v>-1.5161101347393124E-2</v>
      </c>
      <c r="D161" s="35">
        <f t="shared" si="7"/>
        <v>-0.1675036739144331</v>
      </c>
      <c r="E161" s="35">
        <f>(Table143454[[#This Row],[USA]]-B149)/B149</f>
        <v>0</v>
      </c>
      <c r="F161" s="34">
        <f>VLOOKUP(Table143454[[#This Row],[Date]],'Data Core CPI'!$A:$AX,MATCH($B$2,'Data Core CPI'!$B$1:$AX$1,0),FALSE)</f>
        <v>0</v>
      </c>
      <c r="G161" s="35" t="e">
        <f t="shared" si="8"/>
        <v>#DIV/0!</v>
      </c>
      <c r="H161" s="35" t="e">
        <f t="shared" si="9"/>
        <v>#DIV/0!</v>
      </c>
      <c r="I161" s="35" t="e">
        <f>(Table143454[[#This Row],[Core CPI]]-F149)/F149</f>
        <v>#DIV/0!</v>
      </c>
    </row>
    <row r="162" spans="1:9" x14ac:dyDescent="0.35">
      <c r="A162" s="33">
        <f>IF(Data!A189="",#N/A,Data!A189)</f>
        <v>23590</v>
      </c>
      <c r="B162" s="34">
        <f>VLOOKUP(A162,Data!A:AX,MATCH($B$2,Data!$B$1:$AX$1,0),FALSE)</f>
        <v>4.2190000000000001E-5</v>
      </c>
      <c r="C162" s="35">
        <f t="shared" si="10"/>
        <v>3.8545731417152229E-3</v>
      </c>
      <c r="D162" s="35">
        <f t="shared" si="7"/>
        <v>4.7248197549851545E-2</v>
      </c>
      <c r="E162" s="35">
        <f>(Table143454[[#This Row],[USA]]-B150)/B150</f>
        <v>1.1629301043040392E-2</v>
      </c>
      <c r="F162" s="34">
        <f>VLOOKUP(Table143454[[#This Row],[Date]],'Data Core CPI'!$A:$AX,MATCH($B$2,'Data Core CPI'!$B$1:$AX$1,0),FALSE)</f>
        <v>0</v>
      </c>
      <c r="G162" s="35" t="e">
        <f t="shared" si="8"/>
        <v>#DIV/0!</v>
      </c>
      <c r="H162" s="35" t="e">
        <f t="shared" si="9"/>
        <v>#DIV/0!</v>
      </c>
      <c r="I162" s="35" t="e">
        <f>(Table143454[[#This Row],[Core CPI]]-F150)/F150</f>
        <v>#DIV/0!</v>
      </c>
    </row>
    <row r="163" spans="1:9" x14ac:dyDescent="0.35">
      <c r="A163" s="33">
        <f>IF(Data!A190="",#N/A,Data!A190)</f>
        <v>23621</v>
      </c>
      <c r="B163" s="34">
        <f>VLOOKUP(A163,Data!A:AX,MATCH($B$2,Data!$B$1:$AX$1,0),FALSE)</f>
        <v>4.2351999999999997E-5</v>
      </c>
      <c r="C163" s="35">
        <f t="shared" si="10"/>
        <v>3.8397724579284365E-3</v>
      </c>
      <c r="D163" s="35">
        <f t="shared" si="7"/>
        <v>4.706292689831959E-2</v>
      </c>
      <c r="E163" s="35">
        <f>(Table143454[[#This Row],[USA]]-B151)/B151</f>
        <v>1.1584302672749411E-2</v>
      </c>
      <c r="F163" s="34">
        <f>VLOOKUP(Table143454[[#This Row],[Date]],'Data Core CPI'!$A:$AX,MATCH($B$2,'Data Core CPI'!$B$1:$AX$1,0),FALSE)</f>
        <v>0</v>
      </c>
      <c r="G163" s="35" t="e">
        <f t="shared" si="8"/>
        <v>#DIV/0!</v>
      </c>
      <c r="H163" s="35" t="e">
        <f t="shared" si="9"/>
        <v>#DIV/0!</v>
      </c>
      <c r="I163" s="35" t="e">
        <f>(Table143454[[#This Row],[Core CPI]]-F151)/F151</f>
        <v>#DIV/0!</v>
      </c>
    </row>
    <row r="164" spans="1:9" x14ac:dyDescent="0.35">
      <c r="A164" s="33">
        <f>IF(Data!A191="",#N/A,Data!A191)</f>
        <v>23651</v>
      </c>
      <c r="B164" s="34">
        <f>VLOOKUP(A164,Data!A:AX,MATCH($B$2,Data!$B$1:$AX$1,0),FALSE)</f>
        <v>4.2675000000000001E-5</v>
      </c>
      <c r="C164" s="35">
        <f t="shared" si="10"/>
        <v>7.6265583679637761E-3</v>
      </c>
      <c r="D164" s="35">
        <f t="shared" si="7"/>
        <v>9.5456836283331459E-2</v>
      </c>
      <c r="E164" s="35">
        <f>(Table143454[[#This Row],[USA]]-B152)/B152</f>
        <v>3.810599110860275E-3</v>
      </c>
      <c r="F164" s="34">
        <f>VLOOKUP(Table143454[[#This Row],[Date]],'Data Core CPI'!$A:$AX,MATCH($B$2,'Data Core CPI'!$B$1:$AX$1,0),FALSE)</f>
        <v>0</v>
      </c>
      <c r="G164" s="35" t="e">
        <f t="shared" si="8"/>
        <v>#DIV/0!</v>
      </c>
      <c r="H164" s="35" t="e">
        <f t="shared" si="9"/>
        <v>#DIV/0!</v>
      </c>
      <c r="I164" s="35" t="e">
        <f>(Table143454[[#This Row],[Core CPI]]-F152)/F152</f>
        <v>#DIV/0!</v>
      </c>
    </row>
    <row r="165" spans="1:9" x14ac:dyDescent="0.35">
      <c r="A165" s="33">
        <f>IF(Data!A192="",#N/A,Data!A192)</f>
        <v>23682</v>
      </c>
      <c r="B165" s="34">
        <f>VLOOKUP(A165,Data!A:AX,MATCH($B$2,Data!$B$1:$AX$1,0),FALSE)</f>
        <v>4.2997999999999997E-5</v>
      </c>
      <c r="C165" s="35">
        <f t="shared" si="10"/>
        <v>7.5688342120678875E-3</v>
      </c>
      <c r="D165" s="35">
        <f t="shared" si="7"/>
        <v>9.470400498155862E-2</v>
      </c>
      <c r="E165" s="35">
        <f>(Table143454[[#This Row],[USA]]-B153)/B153</f>
        <v>1.1408275115846909E-2</v>
      </c>
      <c r="F165" s="34">
        <f>VLOOKUP(Table143454[[#This Row],[Date]],'Data Core CPI'!$A:$AX,MATCH($B$2,'Data Core CPI'!$B$1:$AX$1,0),FALSE)</f>
        <v>0</v>
      </c>
      <c r="G165" s="35" t="e">
        <f t="shared" si="8"/>
        <v>#DIV/0!</v>
      </c>
      <c r="H165" s="35" t="e">
        <f t="shared" si="9"/>
        <v>#DIV/0!</v>
      </c>
      <c r="I165" s="35" t="e">
        <f>(Table143454[[#This Row],[Core CPI]]-F153)/F153</f>
        <v>#DIV/0!</v>
      </c>
    </row>
    <row r="166" spans="1:9" x14ac:dyDescent="0.35">
      <c r="A166" s="33">
        <f>IF(Data!A193="",#N/A,Data!A193)</f>
        <v>23712</v>
      </c>
      <c r="B166" s="34">
        <f>VLOOKUP(A166,Data!A:AX,MATCH($B$2,Data!$B$1:$AX$1,0),FALSE)</f>
        <v>4.316E-5</v>
      </c>
      <c r="C166" s="35">
        <f t="shared" si="10"/>
        <v>3.7676170984697332E-3</v>
      </c>
      <c r="D166" s="35">
        <f t="shared" si="7"/>
        <v>4.616013731439339E-2</v>
      </c>
      <c r="E166" s="35">
        <f>(Table143454[[#This Row],[USA]]-B154)/B154</f>
        <v>1.5218874226707183E-2</v>
      </c>
      <c r="F166" s="34">
        <f>VLOOKUP(Table143454[[#This Row],[Date]],'Data Core CPI'!$A:$AX,MATCH($B$2,'Data Core CPI'!$B$1:$AX$1,0),FALSE)</f>
        <v>0</v>
      </c>
      <c r="G166" s="35" t="e">
        <f t="shared" si="8"/>
        <v>#DIV/0!</v>
      </c>
      <c r="H166" s="35" t="e">
        <f t="shared" si="9"/>
        <v>#DIV/0!</v>
      </c>
      <c r="I166" s="35" t="e">
        <f>(Table143454[[#This Row],[Core CPI]]-F154)/F154</f>
        <v>#DIV/0!</v>
      </c>
    </row>
    <row r="167" spans="1:9" x14ac:dyDescent="0.35">
      <c r="A167" s="33">
        <f>IF(Data!A194="",#N/A,Data!A194)</f>
        <v>23743</v>
      </c>
      <c r="B167" s="34">
        <f>VLOOKUP(A167,Data!A:AX,MATCH($B$2,Data!$B$1:$AX$1,0),FALSE)</f>
        <v>4.3482999999999997E-5</v>
      </c>
      <c r="C167" s="35">
        <f t="shared" si="10"/>
        <v>7.4837812789618763E-3</v>
      </c>
      <c r="D167" s="35">
        <f t="shared" si="7"/>
        <v>9.3595619318623369E-2</v>
      </c>
      <c r="E167" s="35">
        <f>(Table143454[[#This Row],[USA]]-B155)/B155</f>
        <v>1.1279594399739514E-2</v>
      </c>
      <c r="F167" s="34">
        <f>VLOOKUP(Table143454[[#This Row],[Date]],'Data Core CPI'!$A:$AX,MATCH($B$2,'Data Core CPI'!$B$1:$AX$1,0),FALSE)</f>
        <v>0</v>
      </c>
      <c r="G167" s="35" t="e">
        <f t="shared" si="8"/>
        <v>#DIV/0!</v>
      </c>
      <c r="H167" s="35" t="e">
        <f t="shared" si="9"/>
        <v>#DIV/0!</v>
      </c>
      <c r="I167" s="35" t="e">
        <f>(Table143454[[#This Row],[Core CPI]]-F155)/F155</f>
        <v>#DIV/0!</v>
      </c>
    </row>
    <row r="168" spans="1:9" x14ac:dyDescent="0.35">
      <c r="A168" s="33">
        <f>IF(Data!A195="",#N/A,Data!A195)</f>
        <v>23774</v>
      </c>
      <c r="B168" s="34">
        <f>VLOOKUP(A168,Data!A:AX,MATCH($B$2,Data!$B$1:$AX$1,0),FALSE)</f>
        <v>4.4129999999999999E-5</v>
      </c>
      <c r="C168" s="35">
        <f t="shared" si="10"/>
        <v>1.4879378147781841E-2</v>
      </c>
      <c r="D168" s="35">
        <f t="shared" si="7"/>
        <v>0.19391424886752562</v>
      </c>
      <c r="E168" s="35">
        <f>(Table143454[[#This Row],[USA]]-B156)/B156</f>
        <v>3.0184186567686715E-2</v>
      </c>
      <c r="F168" s="34">
        <f>VLOOKUP(Table143454[[#This Row],[Date]],'Data Core CPI'!$A:$AX,MATCH($B$2,'Data Core CPI'!$B$1:$AX$1,0),FALSE)</f>
        <v>0</v>
      </c>
      <c r="G168" s="35" t="e">
        <f t="shared" si="8"/>
        <v>#DIV/0!</v>
      </c>
      <c r="H168" s="35" t="e">
        <f t="shared" si="9"/>
        <v>#DIV/0!</v>
      </c>
      <c r="I168" s="35" t="e">
        <f>(Table143454[[#This Row],[Core CPI]]-F156)/F156</f>
        <v>#DIV/0!</v>
      </c>
    </row>
    <row r="169" spans="1:9" x14ac:dyDescent="0.35">
      <c r="A169" s="33">
        <f>IF(Data!A196="",#N/A,Data!A196)</f>
        <v>23802</v>
      </c>
      <c r="B169" s="34">
        <f>VLOOKUP(A169,Data!A:AX,MATCH($B$2,Data!$B$1:$AX$1,0),FALSE)</f>
        <v>4.3645E-5</v>
      </c>
      <c r="C169" s="35">
        <f t="shared" si="10"/>
        <v>-1.0990256061636061E-2</v>
      </c>
      <c r="D169" s="35">
        <f t="shared" si="7"/>
        <v>-0.12419616093531238</v>
      </c>
      <c r="E169" s="35">
        <f>(Table143454[[#This Row],[USA]]-B157)/B157</f>
        <v>3.0529845107669124E-2</v>
      </c>
      <c r="F169" s="34">
        <f>VLOOKUP(Table143454[[#This Row],[Date]],'Data Core CPI'!$A:$AX,MATCH($B$2,'Data Core CPI'!$B$1:$AX$1,0),FALSE)</f>
        <v>0</v>
      </c>
      <c r="G169" s="35" t="e">
        <f t="shared" si="8"/>
        <v>#DIV/0!</v>
      </c>
      <c r="H169" s="35" t="e">
        <f t="shared" si="9"/>
        <v>#DIV/0!</v>
      </c>
      <c r="I169" s="35" t="e">
        <f>(Table143454[[#This Row],[Core CPI]]-F157)/F157</f>
        <v>#DIV/0!</v>
      </c>
    </row>
    <row r="170" spans="1:9" x14ac:dyDescent="0.35">
      <c r="A170" s="33">
        <f>IF(Data!A197="",#N/A,Data!A197)</f>
        <v>23833</v>
      </c>
      <c r="B170" s="34">
        <f>VLOOKUP(A170,Data!A:AX,MATCH($B$2,Data!$B$1:$AX$1,0),FALSE)</f>
        <v>4.3807000000000003E-5</v>
      </c>
      <c r="C170" s="35">
        <f t="shared" si="10"/>
        <v>3.7117653797686945E-3</v>
      </c>
      <c r="D170" s="35">
        <f t="shared" si="7"/>
        <v>4.5461824725010258E-2</v>
      </c>
      <c r="E170" s="35">
        <f>(Table143454[[#This Row],[USA]]-B158)/B158</f>
        <v>4.2328923574759793E-2</v>
      </c>
      <c r="F170" s="34">
        <f>VLOOKUP(Table143454[[#This Row],[Date]],'Data Core CPI'!$A:$AX,MATCH($B$2,'Data Core CPI'!$B$1:$AX$1,0),FALSE)</f>
        <v>0</v>
      </c>
      <c r="G170" s="35" t="e">
        <f t="shared" si="8"/>
        <v>#DIV/0!</v>
      </c>
      <c r="H170" s="35" t="e">
        <f t="shared" si="9"/>
        <v>#DIV/0!</v>
      </c>
      <c r="I170" s="35" t="e">
        <f>(Table143454[[#This Row],[Core CPI]]-F158)/F158</f>
        <v>#DIV/0!</v>
      </c>
    </row>
    <row r="171" spans="1:9" x14ac:dyDescent="0.35">
      <c r="A171" s="33">
        <f>IF(Data!A198="",#N/A,Data!A198)</f>
        <v>23863</v>
      </c>
      <c r="B171" s="34">
        <f>VLOOKUP(A171,Data!A:AX,MATCH($B$2,Data!$B$1:$AX$1,0),FALSE)</f>
        <v>4.4129999999999999E-5</v>
      </c>
      <c r="C171" s="35">
        <f t="shared" si="10"/>
        <v>7.3732508503205896E-3</v>
      </c>
      <c r="D171" s="35">
        <f t="shared" si="7"/>
        <v>9.2156755270054624E-2</v>
      </c>
      <c r="E171" s="35">
        <f>(Table143454[[#This Row],[USA]]-B159)/B159</f>
        <v>3.4094903339191532E-2</v>
      </c>
      <c r="F171" s="34">
        <f>VLOOKUP(Table143454[[#This Row],[Date]],'Data Core CPI'!$A:$AX,MATCH($B$2,'Data Core CPI'!$B$1:$AX$1,0),FALSE)</f>
        <v>0</v>
      </c>
      <c r="G171" s="35" t="e">
        <f t="shared" si="8"/>
        <v>#DIV/0!</v>
      </c>
      <c r="H171" s="35" t="e">
        <f t="shared" si="9"/>
        <v>#DIV/0!</v>
      </c>
      <c r="I171" s="35" t="e">
        <f>(Table143454[[#This Row],[Core CPI]]-F159)/F159</f>
        <v>#DIV/0!</v>
      </c>
    </row>
    <row r="172" spans="1:9" x14ac:dyDescent="0.35">
      <c r="A172" s="33">
        <f>IF(Data!A199="",#N/A,Data!A199)</f>
        <v>23894</v>
      </c>
      <c r="B172" s="34">
        <f>VLOOKUP(A172,Data!A:AX,MATCH($B$2,Data!$B$1:$AX$1,0),FALSE)</f>
        <v>4.4453000000000003E-5</v>
      </c>
      <c r="C172" s="35">
        <f t="shared" si="10"/>
        <v>7.3192839338318549E-3</v>
      </c>
      <c r="D172" s="35">
        <f t="shared" si="7"/>
        <v>9.1454854929353901E-2</v>
      </c>
      <c r="E172" s="35">
        <f>(Table143454[[#This Row],[USA]]-B160)/B160</f>
        <v>4.1663737551259572E-2</v>
      </c>
      <c r="F172" s="34">
        <f>VLOOKUP(Table143454[[#This Row],[Date]],'Data Core CPI'!$A:$AX,MATCH($B$2,'Data Core CPI'!$B$1:$AX$1,0),FALSE)</f>
        <v>0</v>
      </c>
      <c r="G172" s="35" t="e">
        <f t="shared" si="8"/>
        <v>#DIV/0!</v>
      </c>
      <c r="H172" s="35" t="e">
        <f t="shared" si="9"/>
        <v>#DIV/0!</v>
      </c>
      <c r="I172" s="35" t="e">
        <f>(Table143454[[#This Row],[Core CPI]]-F160)/F160</f>
        <v>#DIV/0!</v>
      </c>
    </row>
    <row r="173" spans="1:9" x14ac:dyDescent="0.35">
      <c r="A173" s="33">
        <f>IF(Data!A200="",#N/A,Data!A200)</f>
        <v>23924</v>
      </c>
      <c r="B173" s="34">
        <f>VLOOKUP(A173,Data!A:AX,MATCH($B$2,Data!$B$1:$AX$1,0),FALSE)</f>
        <v>4.4453000000000003E-5</v>
      </c>
      <c r="C173" s="35">
        <f t="shared" si="10"/>
        <v>0</v>
      </c>
      <c r="D173" s="35">
        <f t="shared" si="7"/>
        <v>0</v>
      </c>
      <c r="E173" s="35">
        <f>(Table143454[[#This Row],[USA]]-B161)/B161</f>
        <v>5.7699628818882763E-2</v>
      </c>
      <c r="F173" s="34">
        <f>VLOOKUP(Table143454[[#This Row],[Date]],'Data Core CPI'!$A:$AX,MATCH($B$2,'Data Core CPI'!$B$1:$AX$1,0),FALSE)</f>
        <v>0</v>
      </c>
      <c r="G173" s="35" t="e">
        <f t="shared" si="8"/>
        <v>#DIV/0!</v>
      </c>
      <c r="H173" s="35" t="e">
        <f t="shared" si="9"/>
        <v>#DIV/0!</v>
      </c>
      <c r="I173" s="35" t="e">
        <f>(Table143454[[#This Row],[Core CPI]]-F161)/F161</f>
        <v>#DIV/0!</v>
      </c>
    </row>
    <row r="174" spans="1:9" x14ac:dyDescent="0.35">
      <c r="A174" s="33">
        <f>IF(Data!A201="",#N/A,Data!A201)</f>
        <v>23955</v>
      </c>
      <c r="B174" s="34">
        <f>VLOOKUP(A174,Data!A:AX,MATCH($B$2,Data!$B$1:$AX$1,0),FALSE)</f>
        <v>4.5260999999999999E-5</v>
      </c>
      <c r="C174" s="35">
        <f t="shared" si="10"/>
        <v>1.8176501023552838E-2</v>
      </c>
      <c r="D174" s="35">
        <f t="shared" si="7"/>
        <v>0.24130022569395293</v>
      </c>
      <c r="E174" s="35">
        <f>(Table143454[[#This Row],[USA]]-B162)/B162</f>
        <v>7.2789760606778817E-2</v>
      </c>
      <c r="F174" s="34">
        <f>VLOOKUP(Table143454[[#This Row],[Date]],'Data Core CPI'!$A:$AX,MATCH($B$2,'Data Core CPI'!$B$1:$AX$1,0),FALSE)</f>
        <v>0</v>
      </c>
      <c r="G174" s="35" t="e">
        <f t="shared" si="8"/>
        <v>#DIV/0!</v>
      </c>
      <c r="H174" s="35" t="e">
        <f t="shared" si="9"/>
        <v>#DIV/0!</v>
      </c>
      <c r="I174" s="35" t="e">
        <f>(Table143454[[#This Row],[Core CPI]]-F162)/F162</f>
        <v>#DIV/0!</v>
      </c>
    </row>
    <row r="175" spans="1:9" x14ac:dyDescent="0.35">
      <c r="A175" s="33">
        <f>IF(Data!A202="",#N/A,Data!A202)</f>
        <v>23986</v>
      </c>
      <c r="B175" s="34">
        <f>VLOOKUP(A175,Data!A:AX,MATCH($B$2,Data!$B$1:$AX$1,0),FALSE)</f>
        <v>4.5099999999999998E-5</v>
      </c>
      <c r="C175" s="35">
        <f t="shared" si="10"/>
        <v>-3.5571463290692273E-3</v>
      </c>
      <c r="D175" s="35">
        <f t="shared" si="7"/>
        <v>-4.1860462118156638E-2</v>
      </c>
      <c r="E175" s="35">
        <f>(Table143454[[#This Row],[USA]]-B163)/B163</f>
        <v>6.4884775217227089E-2</v>
      </c>
      <c r="F175" s="34">
        <f>VLOOKUP(Table143454[[#This Row],[Date]],'Data Core CPI'!$A:$AX,MATCH($B$2,'Data Core CPI'!$B$1:$AX$1,0),FALSE)</f>
        <v>0</v>
      </c>
      <c r="G175" s="35" t="e">
        <f t="shared" si="8"/>
        <v>#DIV/0!</v>
      </c>
      <c r="H175" s="35" t="e">
        <f t="shared" si="9"/>
        <v>#DIV/0!</v>
      </c>
      <c r="I175" s="35" t="e">
        <f>(Table143454[[#This Row],[Core CPI]]-F163)/F163</f>
        <v>#DIV/0!</v>
      </c>
    </row>
    <row r="176" spans="1:9" x14ac:dyDescent="0.35">
      <c r="A176" s="33">
        <f>IF(Data!A203="",#N/A,Data!A203)</f>
        <v>24016</v>
      </c>
      <c r="B176" s="34">
        <f>VLOOKUP(A176,Data!A:AX,MATCH($B$2,Data!$B$1:$AX$1,0),FALSE)</f>
        <v>4.5099999999999998E-5</v>
      </c>
      <c r="C176" s="35">
        <f t="shared" si="10"/>
        <v>0</v>
      </c>
      <c r="D176" s="35">
        <f t="shared" si="7"/>
        <v>0</v>
      </c>
      <c r="E176" s="35">
        <f>(Table143454[[#This Row],[USA]]-B164)/B164</f>
        <v>5.6824838898652558E-2</v>
      </c>
      <c r="F176" s="34">
        <f>VLOOKUP(Table143454[[#This Row],[Date]],'Data Core CPI'!$A:$AX,MATCH($B$2,'Data Core CPI'!$B$1:$AX$1,0),FALSE)</f>
        <v>0</v>
      </c>
      <c r="G176" s="35" t="e">
        <f t="shared" si="8"/>
        <v>#DIV/0!</v>
      </c>
      <c r="H176" s="35" t="e">
        <f t="shared" si="9"/>
        <v>#DIV/0!</v>
      </c>
      <c r="I176" s="35" t="e">
        <f>(Table143454[[#This Row],[Core CPI]]-F164)/F164</f>
        <v>#DIV/0!</v>
      </c>
    </row>
    <row r="177" spans="1:9" x14ac:dyDescent="0.35">
      <c r="A177" s="33">
        <f>IF(Data!A204="",#N/A,Data!A204)</f>
        <v>24047</v>
      </c>
      <c r="B177" s="34">
        <f>VLOOKUP(A177,Data!A:AX,MATCH($B$2,Data!$B$1:$AX$1,0),FALSE)</f>
        <v>4.5099999999999998E-5</v>
      </c>
      <c r="C177" s="35">
        <f t="shared" si="10"/>
        <v>0</v>
      </c>
      <c r="D177" s="35">
        <f t="shared" si="7"/>
        <v>0</v>
      </c>
      <c r="E177" s="35">
        <f>(Table143454[[#This Row],[USA]]-B165)/B165</f>
        <v>4.8885994697427819E-2</v>
      </c>
      <c r="F177" s="34">
        <f>VLOOKUP(Table143454[[#This Row],[Date]],'Data Core CPI'!$A:$AX,MATCH($B$2,'Data Core CPI'!$B$1:$AX$1,0),FALSE)</f>
        <v>0</v>
      </c>
      <c r="G177" s="35" t="e">
        <f t="shared" si="8"/>
        <v>#DIV/0!</v>
      </c>
      <c r="H177" s="35" t="e">
        <f t="shared" si="9"/>
        <v>#DIV/0!</v>
      </c>
      <c r="I177" s="35" t="e">
        <f>(Table143454[[#This Row],[Core CPI]]-F165)/F165</f>
        <v>#DIV/0!</v>
      </c>
    </row>
    <row r="178" spans="1:9" x14ac:dyDescent="0.35">
      <c r="A178" s="33">
        <f>IF(Data!A205="",#N/A,Data!A205)</f>
        <v>24077</v>
      </c>
      <c r="B178" s="34">
        <f>VLOOKUP(A178,Data!A:AX,MATCH($B$2,Data!$B$1:$AX$1,0),FALSE)</f>
        <v>4.5584999999999998E-5</v>
      </c>
      <c r="C178" s="35">
        <f t="shared" si="10"/>
        <v>1.0753880266075377E-2</v>
      </c>
      <c r="D178" s="35">
        <f t="shared" si="7"/>
        <v>0.13695953212772705</v>
      </c>
      <c r="E178" s="35">
        <f>(Table143454[[#This Row],[USA]]-B166)/B166</f>
        <v>5.61862835959221E-2</v>
      </c>
      <c r="F178" s="34">
        <f>VLOOKUP(Table143454[[#This Row],[Date]],'Data Core CPI'!$A:$AX,MATCH($B$2,'Data Core CPI'!$B$1:$AX$1,0),FALSE)</f>
        <v>0</v>
      </c>
      <c r="G178" s="35" t="e">
        <f t="shared" si="8"/>
        <v>#DIV/0!</v>
      </c>
      <c r="H178" s="35" t="e">
        <f t="shared" si="9"/>
        <v>#DIV/0!</v>
      </c>
      <c r="I178" s="35" t="e">
        <f>(Table143454[[#This Row],[Core CPI]]-F166)/F166</f>
        <v>#DIV/0!</v>
      </c>
    </row>
    <row r="179" spans="1:9" x14ac:dyDescent="0.35">
      <c r="A179" s="33">
        <f>IF(Data!A206="",#N/A,Data!A206)</f>
        <v>24108</v>
      </c>
      <c r="B179" s="34">
        <f>VLOOKUP(A179,Data!A:AX,MATCH($B$2,Data!$B$1:$AX$1,0),FALSE)</f>
        <v>4.7039999999999997E-5</v>
      </c>
      <c r="C179" s="35">
        <f t="shared" si="10"/>
        <v>3.1918394208621192E-2</v>
      </c>
      <c r="D179" s="35">
        <f t="shared" si="7"/>
        <v>0.4579554282443643</v>
      </c>
      <c r="E179" s="35">
        <f>(Table143454[[#This Row],[USA]]-B167)/B167</f>
        <v>8.1802083572890566E-2</v>
      </c>
      <c r="F179" s="34">
        <f>VLOOKUP(Table143454[[#This Row],[Date]],'Data Core CPI'!$A:$AX,MATCH($B$2,'Data Core CPI'!$B$1:$AX$1,0),FALSE)</f>
        <v>0</v>
      </c>
      <c r="G179" s="35" t="e">
        <f t="shared" si="8"/>
        <v>#DIV/0!</v>
      </c>
      <c r="H179" s="35" t="e">
        <f t="shared" si="9"/>
        <v>#DIV/0!</v>
      </c>
      <c r="I179" s="35" t="e">
        <f>(Table143454[[#This Row],[Core CPI]]-F167)/F167</f>
        <v>#DIV/0!</v>
      </c>
    </row>
    <row r="180" spans="1:9" x14ac:dyDescent="0.35">
      <c r="A180" s="33">
        <f>IF(Data!A207="",#N/A,Data!A207)</f>
        <v>24139</v>
      </c>
      <c r="B180" s="34">
        <f>VLOOKUP(A180,Data!A:AX,MATCH($B$2,Data!$B$1:$AX$1,0),FALSE)</f>
        <v>4.7848E-5</v>
      </c>
      <c r="C180" s="35">
        <f t="shared" si="10"/>
        <v>1.7176870748299322E-2</v>
      </c>
      <c r="D180" s="35">
        <f t="shared" si="7"/>
        <v>0.22675465900261105</v>
      </c>
      <c r="E180" s="35">
        <f>(Table143454[[#This Row],[USA]]-B168)/B168</f>
        <v>8.4251076365284408E-2</v>
      </c>
      <c r="F180" s="34">
        <f>VLOOKUP(Table143454[[#This Row],[Date]],'Data Core CPI'!$A:$AX,MATCH($B$2,'Data Core CPI'!$B$1:$AX$1,0),FALSE)</f>
        <v>0</v>
      </c>
      <c r="G180" s="35" t="e">
        <f t="shared" si="8"/>
        <v>#DIV/0!</v>
      </c>
      <c r="H180" s="35" t="e">
        <f t="shared" si="9"/>
        <v>#DIV/0!</v>
      </c>
      <c r="I180" s="35" t="e">
        <f>(Table143454[[#This Row],[Core CPI]]-F168)/F168</f>
        <v>#DIV/0!</v>
      </c>
    </row>
    <row r="181" spans="1:9" x14ac:dyDescent="0.35">
      <c r="A181" s="33">
        <f>IF(Data!A208="",#N/A,Data!A208)</f>
        <v>24167</v>
      </c>
      <c r="B181" s="34">
        <f>VLOOKUP(A181,Data!A:AX,MATCH($B$2,Data!$B$1:$AX$1,0),FALSE)</f>
        <v>4.9141000000000003E-5</v>
      </c>
      <c r="C181" s="35">
        <f t="shared" si="10"/>
        <v>2.7023073064704972E-2</v>
      </c>
      <c r="D181" s="35">
        <f t="shared" si="7"/>
        <v>0.37709026010618385</v>
      </c>
      <c r="E181" s="35">
        <f>(Table143454[[#This Row],[USA]]-B169)/B169</f>
        <v>0.12592507732844549</v>
      </c>
      <c r="F181" s="34">
        <f>VLOOKUP(Table143454[[#This Row],[Date]],'Data Core CPI'!$A:$AX,MATCH($B$2,'Data Core CPI'!$B$1:$AX$1,0),FALSE)</f>
        <v>0</v>
      </c>
      <c r="G181" s="35" t="e">
        <f t="shared" si="8"/>
        <v>#DIV/0!</v>
      </c>
      <c r="H181" s="35" t="e">
        <f t="shared" si="9"/>
        <v>#DIV/0!</v>
      </c>
      <c r="I181" s="35" t="e">
        <f>(Table143454[[#This Row],[Core CPI]]-F169)/F169</f>
        <v>#DIV/0!</v>
      </c>
    </row>
    <row r="182" spans="1:9" x14ac:dyDescent="0.35">
      <c r="A182" s="33">
        <f>IF(Data!A209="",#N/A,Data!A209)</f>
        <v>24198</v>
      </c>
      <c r="B182" s="34">
        <f>VLOOKUP(A182,Data!A:AX,MATCH($B$2,Data!$B$1:$AX$1,0),FALSE)</f>
        <v>4.9463999999999999E-5</v>
      </c>
      <c r="C182" s="35">
        <f t="shared" si="10"/>
        <v>6.5729228139435047E-3</v>
      </c>
      <c r="D182" s="35">
        <f t="shared" si="7"/>
        <v>8.1789900085547762E-2</v>
      </c>
      <c r="E182" s="35">
        <f>(Table143454[[#This Row],[USA]]-B170)/B170</f>
        <v>0.12913461318967281</v>
      </c>
      <c r="F182" s="34">
        <f>VLOOKUP(Table143454[[#This Row],[Date]],'Data Core CPI'!$A:$AX,MATCH($B$2,'Data Core CPI'!$B$1:$AX$1,0),FALSE)</f>
        <v>0</v>
      </c>
      <c r="G182" s="35" t="e">
        <f t="shared" si="8"/>
        <v>#DIV/0!</v>
      </c>
      <c r="H182" s="35" t="e">
        <f t="shared" si="9"/>
        <v>#DIV/0!</v>
      </c>
      <c r="I182" s="35" t="e">
        <f>(Table143454[[#This Row],[Core CPI]]-F170)/F170</f>
        <v>#DIV/0!</v>
      </c>
    </row>
    <row r="183" spans="1:9" x14ac:dyDescent="0.35">
      <c r="A183" s="33">
        <f>IF(Data!A210="",#N/A,Data!A210)</f>
        <v>24228</v>
      </c>
      <c r="B183" s="34">
        <f>VLOOKUP(A183,Data!A:AX,MATCH($B$2,Data!$B$1:$AX$1,0),FALSE)</f>
        <v>4.8817999999999999E-5</v>
      </c>
      <c r="C183" s="35">
        <f t="shared" si="10"/>
        <v>-1.306000323467571E-2</v>
      </c>
      <c r="D183" s="35">
        <f t="shared" si="7"/>
        <v>-0.1459387951935005</v>
      </c>
      <c r="E183" s="35">
        <f>(Table143454[[#This Row],[USA]]-B171)/B171</f>
        <v>0.10623158848855653</v>
      </c>
      <c r="F183" s="34">
        <f>VLOOKUP(Table143454[[#This Row],[Date]],'Data Core CPI'!$A:$AX,MATCH($B$2,'Data Core CPI'!$B$1:$AX$1,0),FALSE)</f>
        <v>0</v>
      </c>
      <c r="G183" s="35" t="e">
        <f t="shared" si="8"/>
        <v>#DIV/0!</v>
      </c>
      <c r="H183" s="35" t="e">
        <f t="shared" si="9"/>
        <v>#DIV/0!</v>
      </c>
      <c r="I183" s="35" t="e">
        <f>(Table143454[[#This Row],[Core CPI]]-F171)/F171</f>
        <v>#DIV/0!</v>
      </c>
    </row>
    <row r="184" spans="1:9" x14ac:dyDescent="0.35">
      <c r="A184" s="33">
        <f>IF(Data!A211="",#N/A,Data!A211)</f>
        <v>24259</v>
      </c>
      <c r="B184" s="34">
        <f>VLOOKUP(A184,Data!A:AX,MATCH($B$2,Data!$B$1:$AX$1,0),FALSE)</f>
        <v>4.7039999999999997E-5</v>
      </c>
      <c r="C184" s="35">
        <f t="shared" si="10"/>
        <v>-3.6420992256954499E-2</v>
      </c>
      <c r="D184" s="35">
        <f t="shared" si="7"/>
        <v>-0.35930997836583456</v>
      </c>
      <c r="E184" s="35">
        <f>(Table143454[[#This Row],[USA]]-B172)/B172</f>
        <v>5.8196297212786401E-2</v>
      </c>
      <c r="F184" s="34">
        <f>VLOOKUP(Table143454[[#This Row],[Date]],'Data Core CPI'!$A:$AX,MATCH($B$2,'Data Core CPI'!$B$1:$AX$1,0),FALSE)</f>
        <v>0</v>
      </c>
      <c r="G184" s="35" t="e">
        <f t="shared" si="8"/>
        <v>#DIV/0!</v>
      </c>
      <c r="H184" s="35" t="e">
        <f t="shared" si="9"/>
        <v>#DIV/0!</v>
      </c>
      <c r="I184" s="35" t="e">
        <f>(Table143454[[#This Row],[Core CPI]]-F172)/F172</f>
        <v>#DIV/0!</v>
      </c>
    </row>
    <row r="185" spans="1:9" x14ac:dyDescent="0.35">
      <c r="A185" s="33">
        <f>IF(Data!A212="",#N/A,Data!A212)</f>
        <v>24289</v>
      </c>
      <c r="B185" s="34">
        <f>VLOOKUP(A185,Data!A:AX,MATCH($B$2,Data!$B$1:$AX$1,0),FALSE)</f>
        <v>4.7200999999999998E-5</v>
      </c>
      <c r="C185" s="35">
        <f t="shared" si="10"/>
        <v>3.4226190476189799E-3</v>
      </c>
      <c r="D185" s="35">
        <f t="shared" si="7"/>
        <v>4.1853462671917141E-2</v>
      </c>
      <c r="E185" s="35">
        <f>(Table143454[[#This Row],[USA]]-B173)/B173</f>
        <v>6.1818100015746842E-2</v>
      </c>
      <c r="F185" s="34">
        <f>VLOOKUP(Table143454[[#This Row],[Date]],'Data Core CPI'!$A:$AX,MATCH($B$2,'Data Core CPI'!$B$1:$AX$1,0),FALSE)</f>
        <v>0</v>
      </c>
      <c r="G185" s="35" t="e">
        <f t="shared" si="8"/>
        <v>#DIV/0!</v>
      </c>
      <c r="H185" s="35" t="e">
        <f t="shared" si="9"/>
        <v>#DIV/0!</v>
      </c>
      <c r="I185" s="35" t="e">
        <f>(Table143454[[#This Row],[Core CPI]]-F173)/F173</f>
        <v>#DIV/0!</v>
      </c>
    </row>
    <row r="186" spans="1:9" x14ac:dyDescent="0.35">
      <c r="A186" s="33">
        <f>IF(Data!A213="",#N/A,Data!A213)</f>
        <v>24320</v>
      </c>
      <c r="B186" s="34">
        <f>VLOOKUP(A186,Data!A:AX,MATCH($B$2,Data!$B$1:$AX$1,0),FALSE)</f>
        <v>4.7524000000000001E-5</v>
      </c>
      <c r="C186" s="35">
        <f t="shared" si="10"/>
        <v>6.8430753585730919E-3</v>
      </c>
      <c r="D186" s="35">
        <f t="shared" si="7"/>
        <v>8.5279126614502987E-2</v>
      </c>
      <c r="E186" s="35">
        <f>(Table143454[[#This Row],[USA]]-B174)/B174</f>
        <v>4.9998895296171138E-2</v>
      </c>
      <c r="F186" s="34">
        <f>VLOOKUP(Table143454[[#This Row],[Date]],'Data Core CPI'!$A:$AX,MATCH($B$2,'Data Core CPI'!$B$1:$AX$1,0),FALSE)</f>
        <v>0</v>
      </c>
      <c r="G186" s="35" t="e">
        <f t="shared" si="8"/>
        <v>#DIV/0!</v>
      </c>
      <c r="H186" s="35" t="e">
        <f t="shared" si="9"/>
        <v>#DIV/0!</v>
      </c>
      <c r="I186" s="35" t="e">
        <f>(Table143454[[#This Row],[Core CPI]]-F174)/F174</f>
        <v>#DIV/0!</v>
      </c>
    </row>
    <row r="187" spans="1:9" x14ac:dyDescent="0.35">
      <c r="A187" s="33">
        <f>IF(Data!A214="",#N/A,Data!A214)</f>
        <v>24351</v>
      </c>
      <c r="B187" s="34">
        <f>VLOOKUP(A187,Data!A:AX,MATCH($B$2,Data!$B$1:$AX$1,0),FALSE)</f>
        <v>4.7848E-5</v>
      </c>
      <c r="C187" s="35">
        <f t="shared" si="10"/>
        <v>6.8176079454591587E-3</v>
      </c>
      <c r="D187" s="35">
        <f t="shared" ref="D187:D250" si="11">((1+C187)^12)-1</f>
        <v>8.4949755640337354E-2</v>
      </c>
      <c r="E187" s="35">
        <f>(Table143454[[#This Row],[USA]]-B175)/B175</f>
        <v>6.0931263858093158E-2</v>
      </c>
      <c r="F187" s="34">
        <f>VLOOKUP(Table143454[[#This Row],[Date]],'Data Core CPI'!$A:$AX,MATCH($B$2,'Data Core CPI'!$B$1:$AX$1,0),FALSE)</f>
        <v>0</v>
      </c>
      <c r="G187" s="35" t="e">
        <f t="shared" si="8"/>
        <v>#DIV/0!</v>
      </c>
      <c r="H187" s="35" t="e">
        <f t="shared" si="9"/>
        <v>#DIV/0!</v>
      </c>
      <c r="I187" s="35" t="e">
        <f>(Table143454[[#This Row],[Core CPI]]-F175)/F175</f>
        <v>#DIV/0!</v>
      </c>
    </row>
    <row r="188" spans="1:9" x14ac:dyDescent="0.35">
      <c r="A188" s="33">
        <f>IF(Data!A215="",#N/A,Data!A215)</f>
        <v>24381</v>
      </c>
      <c r="B188" s="34">
        <f>VLOOKUP(A188,Data!A:AX,MATCH($B$2,Data!$B$1:$AX$1,0),FALSE)</f>
        <v>4.8009000000000001E-5</v>
      </c>
      <c r="C188" s="35">
        <f t="shared" si="10"/>
        <v>3.3648219361310794E-3</v>
      </c>
      <c r="D188" s="35">
        <f t="shared" si="11"/>
        <v>4.1133562042225069E-2</v>
      </c>
      <c r="E188" s="35">
        <f>(Table143454[[#This Row],[USA]]-B176)/B176</f>
        <v>6.4501108647450164E-2</v>
      </c>
      <c r="F188" s="34">
        <f>VLOOKUP(Table143454[[#This Row],[Date]],'Data Core CPI'!$A:$AX,MATCH($B$2,'Data Core CPI'!$B$1:$AX$1,0),FALSE)</f>
        <v>0</v>
      </c>
      <c r="G188" s="35" t="e">
        <f t="shared" si="8"/>
        <v>#DIV/0!</v>
      </c>
      <c r="H188" s="35" t="e">
        <f t="shared" si="9"/>
        <v>#DIV/0!</v>
      </c>
      <c r="I188" s="35" t="e">
        <f>(Table143454[[#This Row],[Core CPI]]-F176)/F176</f>
        <v>#DIV/0!</v>
      </c>
    </row>
    <row r="189" spans="1:9" x14ac:dyDescent="0.35">
      <c r="A189" s="33">
        <f>IF(Data!A216="",#N/A,Data!A216)</f>
        <v>24412</v>
      </c>
      <c r="B189" s="34">
        <f>VLOOKUP(A189,Data!A:AX,MATCH($B$2,Data!$B$1:$AX$1,0),FALSE)</f>
        <v>4.8979E-5</v>
      </c>
      <c r="C189" s="35">
        <f t="shared" si="10"/>
        <v>2.020454498114943E-2</v>
      </c>
      <c r="D189" s="35">
        <f t="shared" si="11"/>
        <v>0.27129707457855368</v>
      </c>
      <c r="E189" s="35">
        <f>(Table143454[[#This Row],[USA]]-B177)/B177</f>
        <v>8.6008869179600919E-2</v>
      </c>
      <c r="F189" s="34">
        <f>VLOOKUP(Table143454[[#This Row],[Date]],'Data Core CPI'!$A:$AX,MATCH($B$2,'Data Core CPI'!$B$1:$AX$1,0),FALSE)</f>
        <v>0</v>
      </c>
      <c r="G189" s="35" t="e">
        <f t="shared" si="8"/>
        <v>#DIV/0!</v>
      </c>
      <c r="H189" s="35" t="e">
        <f t="shared" si="9"/>
        <v>#DIV/0!</v>
      </c>
      <c r="I189" s="35" t="e">
        <f>(Table143454[[#This Row],[Core CPI]]-F177)/F177</f>
        <v>#DIV/0!</v>
      </c>
    </row>
    <row r="190" spans="1:9" x14ac:dyDescent="0.35">
      <c r="A190" s="33">
        <f>IF(Data!A217="",#N/A,Data!A217)</f>
        <v>24442</v>
      </c>
      <c r="B190" s="34">
        <f>VLOOKUP(A190,Data!A:AX,MATCH($B$2,Data!$B$1:$AX$1,0),FALSE)</f>
        <v>5.0596000000000001E-5</v>
      </c>
      <c r="C190" s="35">
        <f t="shared" si="10"/>
        <v>3.3014148920966102E-2</v>
      </c>
      <c r="D190" s="35">
        <f t="shared" si="11"/>
        <v>0.47664207772186007</v>
      </c>
      <c r="E190" s="35">
        <f>(Table143454[[#This Row],[USA]]-B178)/B178</f>
        <v>0.10992651091367782</v>
      </c>
      <c r="F190" s="34">
        <f>VLOOKUP(Table143454[[#This Row],[Date]],'Data Core CPI'!$A:$AX,MATCH($B$2,'Data Core CPI'!$B$1:$AX$1,0),FALSE)</f>
        <v>0</v>
      </c>
      <c r="G190" s="35" t="e">
        <f t="shared" si="8"/>
        <v>#DIV/0!</v>
      </c>
      <c r="H190" s="35" t="e">
        <f t="shared" si="9"/>
        <v>#DIV/0!</v>
      </c>
      <c r="I190" s="35" t="e">
        <f>(Table143454[[#This Row],[Core CPI]]-F178)/F178</f>
        <v>#DIV/0!</v>
      </c>
    </row>
    <row r="191" spans="1:9" x14ac:dyDescent="0.35">
      <c r="A191" s="33">
        <f>IF(Data!A218="",#N/A,Data!A218)</f>
        <v>24473</v>
      </c>
      <c r="B191" s="34">
        <f>VLOOKUP(A191,Data!A:AX,MATCH($B$2,Data!$B$1:$AX$1,0),FALSE)</f>
        <v>5.2697E-5</v>
      </c>
      <c r="C191" s="35">
        <f t="shared" si="10"/>
        <v>4.1525021740849155E-2</v>
      </c>
      <c r="D191" s="35">
        <f t="shared" si="11"/>
        <v>0.62943295470586302</v>
      </c>
      <c r="E191" s="35">
        <f>(Table143454[[#This Row],[USA]]-B179)/B179</f>
        <v>0.12025935374149668</v>
      </c>
      <c r="F191" s="34">
        <f>VLOOKUP(Table143454[[#This Row],[Date]],'Data Core CPI'!$A:$AX,MATCH($B$2,'Data Core CPI'!$B$1:$AX$1,0),FALSE)</f>
        <v>0</v>
      </c>
      <c r="G191" s="35" t="e">
        <f t="shared" si="8"/>
        <v>#DIV/0!</v>
      </c>
      <c r="H191" s="35" t="e">
        <f t="shared" si="9"/>
        <v>#DIV/0!</v>
      </c>
      <c r="I191" s="35" t="e">
        <f>(Table143454[[#This Row],[Core CPI]]-F179)/F179</f>
        <v>#DIV/0!</v>
      </c>
    </row>
    <row r="192" spans="1:9" x14ac:dyDescent="0.35">
      <c r="A192" s="33">
        <f>IF(Data!A219="",#N/A,Data!A219)</f>
        <v>24504</v>
      </c>
      <c r="B192" s="34">
        <f>VLOOKUP(A192,Data!A:AX,MATCH($B$2,Data!$B$1:$AX$1,0),FALSE)</f>
        <v>5.3667E-5</v>
      </c>
      <c r="C192" s="35">
        <f t="shared" si="10"/>
        <v>1.8407119949902295E-2</v>
      </c>
      <c r="D192" s="35">
        <f t="shared" si="11"/>
        <v>0.24467831444333288</v>
      </c>
      <c r="E192" s="35">
        <f>(Table143454[[#This Row],[USA]]-B180)/B180</f>
        <v>0.12161427854873766</v>
      </c>
      <c r="F192" s="34">
        <f>VLOOKUP(Table143454[[#This Row],[Date]],'Data Core CPI'!$A:$AX,MATCH($B$2,'Data Core CPI'!$B$1:$AX$1,0),FALSE)</f>
        <v>0</v>
      </c>
      <c r="G192" s="35" t="e">
        <f t="shared" si="8"/>
        <v>#DIV/0!</v>
      </c>
      <c r="H192" s="35" t="e">
        <f t="shared" si="9"/>
        <v>#DIV/0!</v>
      </c>
      <c r="I192" s="35" t="e">
        <f>(Table143454[[#This Row],[Core CPI]]-F180)/F180</f>
        <v>#DIV/0!</v>
      </c>
    </row>
    <row r="193" spans="1:9" x14ac:dyDescent="0.35">
      <c r="A193" s="33">
        <f>IF(Data!A220="",#N/A,Data!A220)</f>
        <v>24532</v>
      </c>
      <c r="B193" s="34">
        <f>VLOOKUP(A193,Data!A:AX,MATCH($B$2,Data!$B$1:$AX$1,0),FALSE)</f>
        <v>5.4151999999999999E-5</v>
      </c>
      <c r="C193" s="35">
        <f t="shared" si="10"/>
        <v>9.0372109490002295E-3</v>
      </c>
      <c r="D193" s="35">
        <f t="shared" si="11"/>
        <v>0.11400255690511329</v>
      </c>
      <c r="E193" s="35">
        <f>(Table143454[[#This Row],[USA]]-B181)/B181</f>
        <v>0.10197187684418299</v>
      </c>
      <c r="F193" s="34">
        <f>VLOOKUP(Table143454[[#This Row],[Date]],'Data Core CPI'!$A:$AX,MATCH($B$2,'Data Core CPI'!$B$1:$AX$1,0),FALSE)</f>
        <v>0</v>
      </c>
      <c r="G193" s="35" t="e">
        <f t="shared" si="8"/>
        <v>#DIV/0!</v>
      </c>
      <c r="H193" s="35" t="e">
        <f t="shared" si="9"/>
        <v>#DIV/0!</v>
      </c>
      <c r="I193" s="35" t="e">
        <f>(Table143454[[#This Row],[Core CPI]]-F181)/F181</f>
        <v>#DIV/0!</v>
      </c>
    </row>
    <row r="194" spans="1:9" x14ac:dyDescent="0.35">
      <c r="A194" s="33">
        <f>IF(Data!A221="",#N/A,Data!A221)</f>
        <v>24563</v>
      </c>
      <c r="B194" s="34">
        <f>VLOOKUP(A194,Data!A:AX,MATCH($B$2,Data!$B$1:$AX$1,0),FALSE)</f>
        <v>5.4314000000000002E-5</v>
      </c>
      <c r="C194" s="35">
        <f t="shared" si="10"/>
        <v>2.9915792583838918E-3</v>
      </c>
      <c r="D194" s="35">
        <f t="shared" si="11"/>
        <v>3.6495551125129477E-2</v>
      </c>
      <c r="E194" s="35">
        <f>(Table143454[[#This Row],[USA]]-B182)/B182</f>
        <v>9.8051107876435437E-2</v>
      </c>
      <c r="F194" s="34">
        <f>VLOOKUP(Table143454[[#This Row],[Date]],'Data Core CPI'!$A:$AX,MATCH($B$2,'Data Core CPI'!$B$1:$AX$1,0),FALSE)</f>
        <v>0</v>
      </c>
      <c r="G194" s="35" t="e">
        <f t="shared" si="8"/>
        <v>#DIV/0!</v>
      </c>
      <c r="H194" s="35" t="e">
        <f t="shared" si="9"/>
        <v>#DIV/0!</v>
      </c>
      <c r="I194" s="35" t="e">
        <f>(Table143454[[#This Row],[Core CPI]]-F182)/F182</f>
        <v>#DIV/0!</v>
      </c>
    </row>
    <row r="195" spans="1:9" x14ac:dyDescent="0.35">
      <c r="A195" s="33">
        <f>IF(Data!A222="",#N/A,Data!A222)</f>
        <v>24593</v>
      </c>
      <c r="B195" s="34">
        <f>VLOOKUP(A195,Data!A:AX,MATCH($B$2,Data!$B$1:$AX$1,0),FALSE)</f>
        <v>5.5284000000000001E-5</v>
      </c>
      <c r="C195" s="35">
        <f t="shared" si="10"/>
        <v>1.7859115513495505E-2</v>
      </c>
      <c r="D195" s="35">
        <f t="shared" si="11"/>
        <v>0.23666492766623093</v>
      </c>
      <c r="E195" s="35">
        <f>(Table143454[[#This Row],[USA]]-B183)/B183</f>
        <v>0.13245114506944164</v>
      </c>
      <c r="F195" s="34">
        <f>VLOOKUP(Table143454[[#This Row],[Date]],'Data Core CPI'!$A:$AX,MATCH($B$2,'Data Core CPI'!$B$1:$AX$1,0),FALSE)</f>
        <v>0</v>
      </c>
      <c r="G195" s="35" t="e">
        <f t="shared" ref="G195:G258" si="12">(F195/F194)-1</f>
        <v>#DIV/0!</v>
      </c>
      <c r="H195" s="35" t="e">
        <f t="shared" ref="H195:H258" si="13">((1+G195)^12)-1</f>
        <v>#DIV/0!</v>
      </c>
      <c r="I195" s="35" t="e">
        <f>(Table143454[[#This Row],[Core CPI]]-F183)/F183</f>
        <v>#DIV/0!</v>
      </c>
    </row>
    <row r="196" spans="1:9" x14ac:dyDescent="0.35">
      <c r="A196" s="33">
        <f>IF(Data!A223="",#N/A,Data!A223)</f>
        <v>24624</v>
      </c>
      <c r="B196" s="34">
        <f>VLOOKUP(A196,Data!A:AX,MATCH($B$2,Data!$B$1:$AX$1,0),FALSE)</f>
        <v>5.5445000000000002E-5</v>
      </c>
      <c r="C196" s="35">
        <f t="shared" ref="C196:C259" si="14">(B196/B195)-1</f>
        <v>2.9122350047030565E-3</v>
      </c>
      <c r="D196" s="35">
        <f t="shared" si="11"/>
        <v>3.5512043046125541E-2</v>
      </c>
      <c r="E196" s="35">
        <f>(Table143454[[#This Row],[USA]]-B184)/B184</f>
        <v>0.17867772108843549</v>
      </c>
      <c r="F196" s="34">
        <f>VLOOKUP(Table143454[[#This Row],[Date]],'Data Core CPI'!$A:$AX,MATCH($B$2,'Data Core CPI'!$B$1:$AX$1,0),FALSE)</f>
        <v>0</v>
      </c>
      <c r="G196" s="35" t="e">
        <f t="shared" si="12"/>
        <v>#DIV/0!</v>
      </c>
      <c r="H196" s="35" t="e">
        <f t="shared" si="13"/>
        <v>#DIV/0!</v>
      </c>
      <c r="I196" s="35" t="e">
        <f>(Table143454[[#This Row],[Core CPI]]-F184)/F184</f>
        <v>#DIV/0!</v>
      </c>
    </row>
    <row r="197" spans="1:9" x14ac:dyDescent="0.35">
      <c r="A197" s="33">
        <f>IF(Data!A224="",#N/A,Data!A224)</f>
        <v>24654</v>
      </c>
      <c r="B197" s="34">
        <f>VLOOKUP(A197,Data!A:AX,MATCH($B$2,Data!$B$1:$AX$1,0),FALSE)</f>
        <v>5.5445000000000002E-5</v>
      </c>
      <c r="C197" s="35">
        <f t="shared" si="14"/>
        <v>0</v>
      </c>
      <c r="D197" s="35">
        <f t="shared" si="11"/>
        <v>0</v>
      </c>
      <c r="E197" s="35">
        <f>(Table143454[[#This Row],[USA]]-B185)/B185</f>
        <v>0.1746573165822759</v>
      </c>
      <c r="F197" s="34">
        <f>VLOOKUP(Table143454[[#This Row],[Date]],'Data Core CPI'!$A:$AX,MATCH($B$2,'Data Core CPI'!$B$1:$AX$1,0),FALSE)</f>
        <v>0</v>
      </c>
      <c r="G197" s="35" t="e">
        <f t="shared" si="12"/>
        <v>#DIV/0!</v>
      </c>
      <c r="H197" s="35" t="e">
        <f t="shared" si="13"/>
        <v>#DIV/0!</v>
      </c>
      <c r="I197" s="35" t="e">
        <f>(Table143454[[#This Row],[Core CPI]]-F185)/F185</f>
        <v>#DIV/0!</v>
      </c>
    </row>
    <row r="198" spans="1:9" x14ac:dyDescent="0.35">
      <c r="A198" s="33">
        <f>IF(Data!A225="",#N/A,Data!A225)</f>
        <v>24685</v>
      </c>
      <c r="B198" s="34">
        <f>VLOOKUP(A198,Data!A:AX,MATCH($B$2,Data!$B$1:$AX$1,0),FALSE)</f>
        <v>5.4960000000000002E-5</v>
      </c>
      <c r="C198" s="35">
        <f t="shared" si="14"/>
        <v>-8.747407340607749E-3</v>
      </c>
      <c r="D198" s="35">
        <f t="shared" si="11"/>
        <v>-0.10006315099599039</v>
      </c>
      <c r="E198" s="35">
        <f>(Table143454[[#This Row],[USA]]-B186)/B186</f>
        <v>0.15646831074825354</v>
      </c>
      <c r="F198" s="34">
        <f>VLOOKUP(Table143454[[#This Row],[Date]],'Data Core CPI'!$A:$AX,MATCH($B$2,'Data Core CPI'!$B$1:$AX$1,0),FALSE)</f>
        <v>0</v>
      </c>
      <c r="G198" s="35" t="e">
        <f t="shared" si="12"/>
        <v>#DIV/0!</v>
      </c>
      <c r="H198" s="35" t="e">
        <f t="shared" si="13"/>
        <v>#DIV/0!</v>
      </c>
      <c r="I198" s="35" t="e">
        <f>(Table143454[[#This Row],[Core CPI]]-F186)/F186</f>
        <v>#DIV/0!</v>
      </c>
    </row>
    <row r="199" spans="1:9" x14ac:dyDescent="0.35">
      <c r="A199" s="33">
        <f>IF(Data!A226="",#N/A,Data!A226)</f>
        <v>24716</v>
      </c>
      <c r="B199" s="34">
        <f>VLOOKUP(A199,Data!A:AX,MATCH($B$2,Data!$B$1:$AX$1,0),FALSE)</f>
        <v>5.5121999999999998E-5</v>
      </c>
      <c r="C199" s="35">
        <f t="shared" si="14"/>
        <v>2.9475982532749523E-3</v>
      </c>
      <c r="D199" s="35">
        <f t="shared" si="11"/>
        <v>3.5950280861756001E-2</v>
      </c>
      <c r="E199" s="35">
        <f>(Table143454[[#This Row],[USA]]-B187)/B187</f>
        <v>0.15202307306470486</v>
      </c>
      <c r="F199" s="34">
        <f>VLOOKUP(Table143454[[#This Row],[Date]],'Data Core CPI'!$A:$AX,MATCH($B$2,'Data Core CPI'!$B$1:$AX$1,0),FALSE)</f>
        <v>0</v>
      </c>
      <c r="G199" s="35" t="e">
        <f t="shared" si="12"/>
        <v>#DIV/0!</v>
      </c>
      <c r="H199" s="35" t="e">
        <f t="shared" si="13"/>
        <v>#DIV/0!</v>
      </c>
      <c r="I199" s="35" t="e">
        <f>(Table143454[[#This Row],[Core CPI]]-F187)/F187</f>
        <v>#DIV/0!</v>
      </c>
    </row>
    <row r="200" spans="1:9" x14ac:dyDescent="0.35">
      <c r="A200" s="33">
        <f>IF(Data!A227="",#N/A,Data!A227)</f>
        <v>24746</v>
      </c>
      <c r="B200" s="34">
        <f>VLOOKUP(A200,Data!A:AX,MATCH($B$2,Data!$B$1:$AX$1,0),FALSE)</f>
        <v>5.5767999999999999E-5</v>
      </c>
      <c r="C200" s="35">
        <f t="shared" si="14"/>
        <v>1.1719458655346404E-2</v>
      </c>
      <c r="D200" s="35">
        <f t="shared" si="11"/>
        <v>0.15006195173785453</v>
      </c>
      <c r="E200" s="35">
        <f>(Table143454[[#This Row],[USA]]-B188)/B188</f>
        <v>0.16161553042137927</v>
      </c>
      <c r="F200" s="34">
        <f>VLOOKUP(Table143454[[#This Row],[Date]],'Data Core CPI'!$A:$AX,MATCH($B$2,'Data Core CPI'!$B$1:$AX$1,0),FALSE)</f>
        <v>0</v>
      </c>
      <c r="G200" s="35" t="e">
        <f t="shared" si="12"/>
        <v>#DIV/0!</v>
      </c>
      <c r="H200" s="35" t="e">
        <f t="shared" si="13"/>
        <v>#DIV/0!</v>
      </c>
      <c r="I200" s="35" t="e">
        <f>(Table143454[[#This Row],[Core CPI]]-F188)/F188</f>
        <v>#DIV/0!</v>
      </c>
    </row>
    <row r="201" spans="1:9" x14ac:dyDescent="0.35">
      <c r="A201" s="33">
        <f>IF(Data!A228="",#N/A,Data!A228)</f>
        <v>24777</v>
      </c>
      <c r="B201" s="34">
        <f>VLOOKUP(A201,Data!A:AX,MATCH($B$2,Data!$B$1:$AX$1,0),FALSE)</f>
        <v>5.6737999999999998E-5</v>
      </c>
      <c r="C201" s="35">
        <f t="shared" si="14"/>
        <v>1.7393487304547373E-2</v>
      </c>
      <c r="D201" s="35">
        <f t="shared" si="11"/>
        <v>0.22989330888854687</v>
      </c>
      <c r="E201" s="35">
        <f>(Table143454[[#This Row],[USA]]-B189)/B189</f>
        <v>0.15841483084587268</v>
      </c>
      <c r="F201" s="34">
        <f>VLOOKUP(Table143454[[#This Row],[Date]],'Data Core CPI'!$A:$AX,MATCH($B$2,'Data Core CPI'!$B$1:$AX$1,0),FALSE)</f>
        <v>0</v>
      </c>
      <c r="G201" s="35" t="e">
        <f t="shared" si="12"/>
        <v>#DIV/0!</v>
      </c>
      <c r="H201" s="35" t="e">
        <f t="shared" si="13"/>
        <v>#DIV/0!</v>
      </c>
      <c r="I201" s="35" t="e">
        <f>(Table143454[[#This Row],[Core CPI]]-F189)/F189</f>
        <v>#DIV/0!</v>
      </c>
    </row>
    <row r="202" spans="1:9" x14ac:dyDescent="0.35">
      <c r="A202" s="33">
        <f>IF(Data!A229="",#N/A,Data!A229)</f>
        <v>24807</v>
      </c>
      <c r="B202" s="34">
        <f>VLOOKUP(A202,Data!A:AX,MATCH($B$2,Data!$B$1:$AX$1,0),FALSE)</f>
        <v>5.6900000000000001E-5</v>
      </c>
      <c r="C202" s="35">
        <f t="shared" si="14"/>
        <v>2.8552292995875916E-3</v>
      </c>
      <c r="D202" s="35">
        <f t="shared" si="11"/>
        <v>3.4805959603589676E-2</v>
      </c>
      <c r="E202" s="35">
        <f>(Table143454[[#This Row],[USA]]-B190)/B190</f>
        <v>0.12459482963080083</v>
      </c>
      <c r="F202" s="34">
        <f>VLOOKUP(Table143454[[#This Row],[Date]],'Data Core CPI'!$A:$AX,MATCH($B$2,'Data Core CPI'!$B$1:$AX$1,0),FALSE)</f>
        <v>0</v>
      </c>
      <c r="G202" s="35" t="e">
        <f t="shared" si="12"/>
        <v>#DIV/0!</v>
      </c>
      <c r="H202" s="35" t="e">
        <f t="shared" si="13"/>
        <v>#DIV/0!</v>
      </c>
      <c r="I202" s="35" t="e">
        <f>(Table143454[[#This Row],[Core CPI]]-F190)/F190</f>
        <v>#DIV/0!</v>
      </c>
    </row>
    <row r="203" spans="1:9" x14ac:dyDescent="0.35">
      <c r="A203" s="33">
        <f>IF(Data!A230="",#N/A,Data!A230)</f>
        <v>24838</v>
      </c>
      <c r="B203" s="34">
        <f>VLOOKUP(A203,Data!A:AX,MATCH($B$2,Data!$B$1:$AX$1,0),FALSE)</f>
        <v>5.7385E-5</v>
      </c>
      <c r="C203" s="35">
        <f t="shared" si="14"/>
        <v>8.5237258347978795E-3</v>
      </c>
      <c r="D203" s="35">
        <f t="shared" si="11"/>
        <v>0.10721875847736584</v>
      </c>
      <c r="E203" s="35">
        <f>(Table143454[[#This Row],[USA]]-B191)/B191</f>
        <v>8.8961420953754478E-2</v>
      </c>
      <c r="F203" s="34">
        <f>VLOOKUP(Table143454[[#This Row],[Date]],'Data Core CPI'!$A:$AX,MATCH($B$2,'Data Core CPI'!$B$1:$AX$1,0),FALSE)</f>
        <v>0</v>
      </c>
      <c r="G203" s="35" t="e">
        <f t="shared" si="12"/>
        <v>#DIV/0!</v>
      </c>
      <c r="H203" s="35" t="e">
        <f t="shared" si="13"/>
        <v>#DIV/0!</v>
      </c>
      <c r="I203" s="35" t="e">
        <f>(Table143454[[#This Row],[Core CPI]]-F191)/F191</f>
        <v>#DIV/0!</v>
      </c>
    </row>
    <row r="204" spans="1:9" x14ac:dyDescent="0.35">
      <c r="A204" s="33">
        <f>IF(Data!A231="",#N/A,Data!A231)</f>
        <v>24869</v>
      </c>
      <c r="B204" s="34">
        <f>VLOOKUP(A204,Data!A:AX,MATCH($B$2,Data!$B$1:$AX$1,0),FALSE)</f>
        <v>5.7512000000000001E-5</v>
      </c>
      <c r="C204" s="35">
        <f t="shared" si="14"/>
        <v>2.2131218959657861E-3</v>
      </c>
      <c r="D204" s="35">
        <f t="shared" si="11"/>
        <v>2.688312135838844E-2</v>
      </c>
      <c r="E204" s="35">
        <f>(Table143454[[#This Row],[USA]]-B192)/B192</f>
        <v>7.1645517729703567E-2</v>
      </c>
      <c r="F204" s="34">
        <f>VLOOKUP(Table143454[[#This Row],[Date]],'Data Core CPI'!$A:$AX,MATCH($B$2,'Data Core CPI'!$B$1:$AX$1,0),FALSE)</f>
        <v>0</v>
      </c>
      <c r="G204" s="35" t="e">
        <f t="shared" si="12"/>
        <v>#DIV/0!</v>
      </c>
      <c r="H204" s="35" t="e">
        <f t="shared" si="13"/>
        <v>#DIV/0!</v>
      </c>
      <c r="I204" s="35" t="e">
        <f>(Table143454[[#This Row],[Core CPI]]-F192)/F192</f>
        <v>#DIV/0!</v>
      </c>
    </row>
    <row r="205" spans="1:9" x14ac:dyDescent="0.35">
      <c r="A205" s="33">
        <f>IF(Data!A232="",#N/A,Data!A232)</f>
        <v>24898</v>
      </c>
      <c r="B205" s="34">
        <f>VLOOKUP(A205,Data!A:AX,MATCH($B$2,Data!$B$1:$AX$1,0),FALSE)</f>
        <v>5.7173000000000003E-5</v>
      </c>
      <c r="C205" s="35">
        <f t="shared" si="14"/>
        <v>-5.8944220336625275E-3</v>
      </c>
      <c r="D205" s="35">
        <f t="shared" si="11"/>
        <v>-6.8484409872826668E-2</v>
      </c>
      <c r="E205" s="35">
        <f>(Table143454[[#This Row],[USA]]-B193)/B193</f>
        <v>5.5787413207268502E-2</v>
      </c>
      <c r="F205" s="34">
        <f>VLOOKUP(Table143454[[#This Row],[Date]],'Data Core CPI'!$A:$AX,MATCH($B$2,'Data Core CPI'!$B$1:$AX$1,0),FALSE)</f>
        <v>0</v>
      </c>
      <c r="G205" s="35" t="e">
        <f t="shared" si="12"/>
        <v>#DIV/0!</v>
      </c>
      <c r="H205" s="35" t="e">
        <f t="shared" si="13"/>
        <v>#DIV/0!</v>
      </c>
      <c r="I205" s="35" t="e">
        <f>(Table143454[[#This Row],[Core CPI]]-F193)/F193</f>
        <v>#DIV/0!</v>
      </c>
    </row>
    <row r="206" spans="1:9" x14ac:dyDescent="0.35">
      <c r="A206" s="33">
        <f>IF(Data!A233="",#N/A,Data!A233)</f>
        <v>24929</v>
      </c>
      <c r="B206" s="34">
        <f>VLOOKUP(A206,Data!A:AX,MATCH($B$2,Data!$B$1:$AX$1,0),FALSE)</f>
        <v>5.7385E-5</v>
      </c>
      <c r="C206" s="35">
        <f t="shared" si="14"/>
        <v>3.7080440067864817E-3</v>
      </c>
      <c r="D206" s="35">
        <f t="shared" si="11"/>
        <v>4.5415311681868076E-2</v>
      </c>
      <c r="E206" s="35">
        <f>(Table143454[[#This Row],[USA]]-B194)/B194</f>
        <v>5.6541591486541191E-2</v>
      </c>
      <c r="F206" s="34">
        <f>VLOOKUP(Table143454[[#This Row],[Date]],'Data Core CPI'!$A:$AX,MATCH($B$2,'Data Core CPI'!$B$1:$AX$1,0),FALSE)</f>
        <v>0</v>
      </c>
      <c r="G206" s="35" t="e">
        <f t="shared" si="12"/>
        <v>#DIV/0!</v>
      </c>
      <c r="H206" s="35" t="e">
        <f t="shared" si="13"/>
        <v>#DIV/0!</v>
      </c>
      <c r="I206" s="35" t="e">
        <f>(Table143454[[#This Row],[Core CPI]]-F194)/F194</f>
        <v>#DIV/0!</v>
      </c>
    </row>
    <row r="207" spans="1:9" x14ac:dyDescent="0.35">
      <c r="A207" s="33">
        <f>IF(Data!A234="",#N/A,Data!A234)</f>
        <v>24959</v>
      </c>
      <c r="B207" s="34">
        <f>VLOOKUP(A207,Data!A:AX,MATCH($B$2,Data!$B$1:$AX$1,0),FALSE)</f>
        <v>5.7555E-5</v>
      </c>
      <c r="C207" s="35">
        <f t="shared" si="14"/>
        <v>2.9624466323951992E-3</v>
      </c>
      <c r="D207" s="35">
        <f t="shared" si="11"/>
        <v>3.6134339551793238E-2</v>
      </c>
      <c r="E207" s="35">
        <f>(Table143454[[#This Row],[USA]]-B195)/B195</f>
        <v>4.1078793140872566E-2</v>
      </c>
      <c r="F207" s="34">
        <f>VLOOKUP(Table143454[[#This Row],[Date]],'Data Core CPI'!$A:$AX,MATCH($B$2,'Data Core CPI'!$B$1:$AX$1,0),FALSE)</f>
        <v>0</v>
      </c>
      <c r="G207" s="35" t="e">
        <f t="shared" si="12"/>
        <v>#DIV/0!</v>
      </c>
      <c r="H207" s="35" t="e">
        <f t="shared" si="13"/>
        <v>#DIV/0!</v>
      </c>
      <c r="I207" s="35" t="e">
        <f>(Table143454[[#This Row],[Core CPI]]-F195)/F195</f>
        <v>#DIV/0!</v>
      </c>
    </row>
    <row r="208" spans="1:9" x14ac:dyDescent="0.35">
      <c r="A208" s="33">
        <f>IF(Data!A235="",#N/A,Data!A235)</f>
        <v>24990</v>
      </c>
      <c r="B208" s="34">
        <f>VLOOKUP(A208,Data!A:AX,MATCH($B$2,Data!$B$1:$AX$1,0),FALSE)</f>
        <v>5.7979999999999997E-5</v>
      </c>
      <c r="C208" s="35">
        <f t="shared" si="14"/>
        <v>7.3842411606288572E-3</v>
      </c>
      <c r="D208" s="35">
        <f t="shared" si="11"/>
        <v>9.2299747296912038E-2</v>
      </c>
      <c r="E208" s="35">
        <f>(Table143454[[#This Row],[USA]]-B196)/B196</f>
        <v>4.5720984759671658E-2</v>
      </c>
      <c r="F208" s="34">
        <f>VLOOKUP(Table143454[[#This Row],[Date]],'Data Core CPI'!$A:$AX,MATCH($B$2,'Data Core CPI'!$B$1:$AX$1,0),FALSE)</f>
        <v>0</v>
      </c>
      <c r="G208" s="35" t="e">
        <f t="shared" si="12"/>
        <v>#DIV/0!</v>
      </c>
      <c r="H208" s="35" t="e">
        <f t="shared" si="13"/>
        <v>#DIV/0!</v>
      </c>
      <c r="I208" s="35" t="e">
        <f>(Table143454[[#This Row],[Core CPI]]-F196)/F196</f>
        <v>#DIV/0!</v>
      </c>
    </row>
    <row r="209" spans="1:9" x14ac:dyDescent="0.35">
      <c r="A209" s="33">
        <f>IF(Data!A236="",#N/A,Data!A236)</f>
        <v>25020</v>
      </c>
      <c r="B209" s="34">
        <f>VLOOKUP(A209,Data!A:AX,MATCH($B$2,Data!$B$1:$AX$1,0),FALSE)</f>
        <v>5.8446999999999998E-5</v>
      </c>
      <c r="C209" s="35">
        <f t="shared" si="14"/>
        <v>8.0545015522595076E-3</v>
      </c>
      <c r="D209" s="35">
        <f t="shared" si="11"/>
        <v>0.1010528366200949</v>
      </c>
      <c r="E209" s="35">
        <f>(Table143454[[#This Row],[USA]]-B197)/B197</f>
        <v>5.4143746054648674E-2</v>
      </c>
      <c r="F209" s="34">
        <f>VLOOKUP(Table143454[[#This Row],[Date]],'Data Core CPI'!$A:$AX,MATCH($B$2,'Data Core CPI'!$B$1:$AX$1,0),FALSE)</f>
        <v>0</v>
      </c>
      <c r="G209" s="35" t="e">
        <f t="shared" si="12"/>
        <v>#DIV/0!</v>
      </c>
      <c r="H209" s="35" t="e">
        <f t="shared" si="13"/>
        <v>#DIV/0!</v>
      </c>
      <c r="I209" s="35" t="e">
        <f>(Table143454[[#This Row],[Core CPI]]-F197)/F197</f>
        <v>#DIV/0!</v>
      </c>
    </row>
    <row r="210" spans="1:9" x14ac:dyDescent="0.35">
      <c r="A210" s="33">
        <f>IF(Data!A237="",#N/A,Data!A237)</f>
        <v>25051</v>
      </c>
      <c r="B210" s="34">
        <f>VLOOKUP(A210,Data!A:AX,MATCH($B$2,Data!$B$1:$AX$1,0),FALSE)</f>
        <v>5.8786999999999998E-5</v>
      </c>
      <c r="C210" s="35">
        <f t="shared" si="14"/>
        <v>5.817236128458303E-3</v>
      </c>
      <c r="D210" s="35">
        <f t="shared" si="11"/>
        <v>7.2084169757799854E-2</v>
      </c>
      <c r="E210" s="35">
        <f>(Table143454[[#This Row],[USA]]-B198)/B198</f>
        <v>6.9632459970887836E-2</v>
      </c>
      <c r="F210" s="34">
        <f>VLOOKUP(Table143454[[#This Row],[Date]],'Data Core CPI'!$A:$AX,MATCH($B$2,'Data Core CPI'!$B$1:$AX$1,0),FALSE)</f>
        <v>0</v>
      </c>
      <c r="G210" s="35" t="e">
        <f t="shared" si="12"/>
        <v>#DIV/0!</v>
      </c>
      <c r="H210" s="35" t="e">
        <f t="shared" si="13"/>
        <v>#DIV/0!</v>
      </c>
      <c r="I210" s="35" t="e">
        <f>(Table143454[[#This Row],[Core CPI]]-F198)/F198</f>
        <v>#DIV/0!</v>
      </c>
    </row>
    <row r="211" spans="1:9" x14ac:dyDescent="0.35">
      <c r="A211" s="33">
        <f>IF(Data!A238="",#N/A,Data!A238)</f>
        <v>25082</v>
      </c>
      <c r="B211" s="34">
        <f>VLOOKUP(A211,Data!A:AX,MATCH($B$2,Data!$B$1:$AX$1,0),FALSE)</f>
        <v>5.8786999999999998E-5</v>
      </c>
      <c r="C211" s="35">
        <f t="shared" si="14"/>
        <v>0</v>
      </c>
      <c r="D211" s="35">
        <f t="shared" si="11"/>
        <v>0</v>
      </c>
      <c r="E211" s="35">
        <f>(Table143454[[#This Row],[USA]]-B199)/B199</f>
        <v>6.6488879213381216E-2</v>
      </c>
      <c r="F211" s="34">
        <f>VLOOKUP(Table143454[[#This Row],[Date]],'Data Core CPI'!$A:$AX,MATCH($B$2,'Data Core CPI'!$B$1:$AX$1,0),FALSE)</f>
        <v>0</v>
      </c>
      <c r="G211" s="35" t="e">
        <f t="shared" si="12"/>
        <v>#DIV/0!</v>
      </c>
      <c r="H211" s="35" t="e">
        <f t="shared" si="13"/>
        <v>#DIV/0!</v>
      </c>
      <c r="I211" s="35" t="e">
        <f>(Table143454[[#This Row],[Core CPI]]-F199)/F199</f>
        <v>#DIV/0!</v>
      </c>
    </row>
    <row r="212" spans="1:9" x14ac:dyDescent="0.35">
      <c r="A212" s="33">
        <f>IF(Data!A239="",#N/A,Data!A239)</f>
        <v>25112</v>
      </c>
      <c r="B212" s="34">
        <f>VLOOKUP(A212,Data!A:AX,MATCH($B$2,Data!$B$1:$AX$1,0),FALSE)</f>
        <v>5.9593999999999999E-5</v>
      </c>
      <c r="C212" s="35">
        <f t="shared" si="14"/>
        <v>1.3727524792896295E-2</v>
      </c>
      <c r="D212" s="35">
        <f t="shared" si="11"/>
        <v>0.17775474804690305</v>
      </c>
      <c r="E212" s="35">
        <f>(Table143454[[#This Row],[USA]]-B200)/B200</f>
        <v>6.8605651986802477E-2</v>
      </c>
      <c r="F212" s="34">
        <f>VLOOKUP(Table143454[[#This Row],[Date]],'Data Core CPI'!$A:$AX,MATCH($B$2,'Data Core CPI'!$B$1:$AX$1,0),FALSE)</f>
        <v>0</v>
      </c>
      <c r="G212" s="35" t="e">
        <f t="shared" si="12"/>
        <v>#DIV/0!</v>
      </c>
      <c r="H212" s="35" t="e">
        <f t="shared" si="13"/>
        <v>#DIV/0!</v>
      </c>
      <c r="I212" s="35" t="e">
        <f>(Table143454[[#This Row],[Core CPI]]-F200)/F200</f>
        <v>#DIV/0!</v>
      </c>
    </row>
    <row r="213" spans="1:9" x14ac:dyDescent="0.35">
      <c r="A213" s="33">
        <f>IF(Data!A240="",#N/A,Data!A240)</f>
        <v>25143</v>
      </c>
      <c r="B213" s="34">
        <f>VLOOKUP(A213,Data!A:AX,MATCH($B$2,Data!$B$1:$AX$1,0),FALSE)</f>
        <v>5.9763999999999999E-5</v>
      </c>
      <c r="C213" s="35">
        <f t="shared" si="14"/>
        <v>2.8526361714267257E-3</v>
      </c>
      <c r="D213" s="35">
        <f t="shared" si="11"/>
        <v>3.4773851124900057E-2</v>
      </c>
      <c r="E213" s="35">
        <f>(Table143454[[#This Row],[USA]]-B201)/B201</f>
        <v>5.3332863336740831E-2</v>
      </c>
      <c r="F213" s="34">
        <f>VLOOKUP(Table143454[[#This Row],[Date]],'Data Core CPI'!$A:$AX,MATCH($B$2,'Data Core CPI'!$B$1:$AX$1,0),FALSE)</f>
        <v>0</v>
      </c>
      <c r="G213" s="35" t="e">
        <f t="shared" si="12"/>
        <v>#DIV/0!</v>
      </c>
      <c r="H213" s="35" t="e">
        <f t="shared" si="13"/>
        <v>#DIV/0!</v>
      </c>
      <c r="I213" s="35" t="e">
        <f>(Table143454[[#This Row],[Core CPI]]-F201)/F201</f>
        <v>#DIV/0!</v>
      </c>
    </row>
    <row r="214" spans="1:9" x14ac:dyDescent="0.35">
      <c r="A214" s="33">
        <f>IF(Data!A241="",#N/A,Data!A241)</f>
        <v>25173</v>
      </c>
      <c r="B214" s="34">
        <f>VLOOKUP(A214,Data!A:AX,MATCH($B$2,Data!$B$1:$AX$1,0),FALSE)</f>
        <v>6.0061E-5</v>
      </c>
      <c r="C214" s="35">
        <f t="shared" si="14"/>
        <v>4.9695468844119794E-3</v>
      </c>
      <c r="D214" s="35">
        <f t="shared" si="11"/>
        <v>6.1291829663270958E-2</v>
      </c>
      <c r="E214" s="35">
        <f>(Table143454[[#This Row],[USA]]-B202)/B202</f>
        <v>5.5553602811950771E-2</v>
      </c>
      <c r="F214" s="34">
        <f>VLOOKUP(Table143454[[#This Row],[Date]],'Data Core CPI'!$A:$AX,MATCH($B$2,'Data Core CPI'!$B$1:$AX$1,0),FALSE)</f>
        <v>0</v>
      </c>
      <c r="G214" s="35" t="e">
        <f t="shared" si="12"/>
        <v>#DIV/0!</v>
      </c>
      <c r="H214" s="35" t="e">
        <f t="shared" si="13"/>
        <v>#DIV/0!</v>
      </c>
      <c r="I214" s="35" t="e">
        <f>(Table143454[[#This Row],[Core CPI]]-F202)/F202</f>
        <v>#DIV/0!</v>
      </c>
    </row>
    <row r="215" spans="1:9" x14ac:dyDescent="0.35">
      <c r="A215" s="33">
        <f>IF(Data!A242="",#N/A,Data!A242)</f>
        <v>25204</v>
      </c>
      <c r="B215" s="34">
        <f>VLOOKUP(A215,Data!A:AX,MATCH($B$2,Data!$B$1:$AX$1,0),FALSE)</f>
        <v>6.0231E-5</v>
      </c>
      <c r="C215" s="35">
        <f t="shared" si="14"/>
        <v>2.830455703368262E-3</v>
      </c>
      <c r="D215" s="35">
        <f t="shared" si="11"/>
        <v>3.4499246752334845E-2</v>
      </c>
      <c r="E215" s="35">
        <f>(Table143454[[#This Row],[USA]]-B203)/B203</f>
        <v>4.9594841857628288E-2</v>
      </c>
      <c r="F215" s="34">
        <f>VLOOKUP(Table143454[[#This Row],[Date]],'Data Core CPI'!$A:$AX,MATCH($B$2,'Data Core CPI'!$B$1:$AX$1,0),FALSE)</f>
        <v>0</v>
      </c>
      <c r="G215" s="35" t="e">
        <f t="shared" si="12"/>
        <v>#DIV/0!</v>
      </c>
      <c r="H215" s="35" t="e">
        <f t="shared" si="13"/>
        <v>#DIV/0!</v>
      </c>
      <c r="I215" s="35" t="e">
        <f>(Table143454[[#This Row],[Core CPI]]-F203)/F203</f>
        <v>#DIV/0!</v>
      </c>
    </row>
    <row r="216" spans="1:9" x14ac:dyDescent="0.35">
      <c r="A216" s="33">
        <f>IF(Data!A243="",#N/A,Data!A243)</f>
        <v>25235</v>
      </c>
      <c r="B216" s="34">
        <f>VLOOKUP(A216,Data!A:AX,MATCH($B$2,Data!$B$1:$AX$1,0),FALSE)</f>
        <v>6.0401E-5</v>
      </c>
      <c r="C216" s="35">
        <f t="shared" si="14"/>
        <v>2.8224668360146143E-3</v>
      </c>
      <c r="D216" s="35">
        <f t="shared" si="11"/>
        <v>3.4400357272666993E-2</v>
      </c>
      <c r="E216" s="35">
        <f>(Table143454[[#This Row],[USA]]-B204)/B204</f>
        <v>5.0232994853247996E-2</v>
      </c>
      <c r="F216" s="34">
        <f>VLOOKUP(Table143454[[#This Row],[Date]],'Data Core CPI'!$A:$AX,MATCH($B$2,'Data Core CPI'!$B$1:$AX$1,0),FALSE)</f>
        <v>0</v>
      </c>
      <c r="G216" s="35" t="e">
        <f t="shared" si="12"/>
        <v>#DIV/0!</v>
      </c>
      <c r="H216" s="35" t="e">
        <f t="shared" si="13"/>
        <v>#DIV/0!</v>
      </c>
      <c r="I216" s="35" t="e">
        <f>(Table143454[[#This Row],[Core CPI]]-F204)/F204</f>
        <v>#DIV/0!</v>
      </c>
    </row>
    <row r="217" spans="1:9" x14ac:dyDescent="0.35">
      <c r="A217" s="33">
        <f>IF(Data!A244="",#N/A,Data!A244)</f>
        <v>25263</v>
      </c>
      <c r="B217" s="34">
        <f>VLOOKUP(A217,Data!A:AX,MATCH($B$2,Data!$B$1:$AX$1,0),FALSE)</f>
        <v>6.0401E-5</v>
      </c>
      <c r="C217" s="35">
        <f t="shared" si="14"/>
        <v>0</v>
      </c>
      <c r="D217" s="35">
        <f t="shared" si="11"/>
        <v>0</v>
      </c>
      <c r="E217" s="35">
        <f>(Table143454[[#This Row],[USA]]-B205)/B205</f>
        <v>5.6460217235408262E-2</v>
      </c>
      <c r="F217" s="34">
        <f>VLOOKUP(Table143454[[#This Row],[Date]],'Data Core CPI'!$A:$AX,MATCH($B$2,'Data Core CPI'!$B$1:$AX$1,0),FALSE)</f>
        <v>0</v>
      </c>
      <c r="G217" s="35" t="e">
        <f t="shared" si="12"/>
        <v>#DIV/0!</v>
      </c>
      <c r="H217" s="35" t="e">
        <f t="shared" si="13"/>
        <v>#DIV/0!</v>
      </c>
      <c r="I217" s="35" t="e">
        <f>(Table143454[[#This Row],[Core CPI]]-F205)/F205</f>
        <v>#DIV/0!</v>
      </c>
    </row>
    <row r="218" spans="1:9" x14ac:dyDescent="0.35">
      <c r="A218" s="33">
        <f>IF(Data!A245="",#N/A,Data!A245)</f>
        <v>25294</v>
      </c>
      <c r="B218" s="34">
        <f>VLOOKUP(A218,Data!A:AX,MATCH($B$2,Data!$B$1:$AX$1,0),FALSE)</f>
        <v>6.0571E-5</v>
      </c>
      <c r="C218" s="35">
        <f t="shared" si="14"/>
        <v>2.8145229383620407E-3</v>
      </c>
      <c r="D218" s="35">
        <f t="shared" si="11"/>
        <v>3.430203303871715E-2</v>
      </c>
      <c r="E218" s="35">
        <f>(Table143454[[#This Row],[USA]]-B206)/B206</f>
        <v>5.5519735122418742E-2</v>
      </c>
      <c r="F218" s="34">
        <f>VLOOKUP(Table143454[[#This Row],[Date]],'Data Core CPI'!$A:$AX,MATCH($B$2,'Data Core CPI'!$B$1:$AX$1,0),FALSE)</f>
        <v>0</v>
      </c>
      <c r="G218" s="35" t="e">
        <f t="shared" si="12"/>
        <v>#DIV/0!</v>
      </c>
      <c r="H218" s="35" t="e">
        <f t="shared" si="13"/>
        <v>#DIV/0!</v>
      </c>
      <c r="I218" s="35" t="e">
        <f>(Table143454[[#This Row],[Core CPI]]-F206)/F206</f>
        <v>#DIV/0!</v>
      </c>
    </row>
    <row r="219" spans="1:9" x14ac:dyDescent="0.35">
      <c r="A219" s="33">
        <f>IF(Data!A246="",#N/A,Data!A246)</f>
        <v>25324</v>
      </c>
      <c r="B219" s="34">
        <f>VLOOKUP(A219,Data!A:AX,MATCH($B$2,Data!$B$1:$AX$1,0),FALSE)</f>
        <v>6.1037999999999994E-5</v>
      </c>
      <c r="C219" s="35">
        <f t="shared" si="14"/>
        <v>7.7099602119825583E-3</v>
      </c>
      <c r="D219" s="35">
        <f t="shared" si="11"/>
        <v>9.6545391040767647E-2</v>
      </c>
      <c r="E219" s="35">
        <f>(Table143454[[#This Row],[USA]]-B207)/B207</f>
        <v>6.0516028146989725E-2</v>
      </c>
      <c r="F219" s="34">
        <f>VLOOKUP(Table143454[[#This Row],[Date]],'Data Core CPI'!$A:$AX,MATCH($B$2,'Data Core CPI'!$B$1:$AX$1,0),FALSE)</f>
        <v>0</v>
      </c>
      <c r="G219" s="35" t="e">
        <f t="shared" si="12"/>
        <v>#DIV/0!</v>
      </c>
      <c r="H219" s="35" t="e">
        <f t="shared" si="13"/>
        <v>#DIV/0!</v>
      </c>
      <c r="I219" s="35" t="e">
        <f>(Table143454[[#This Row],[Core CPI]]-F207)/F207</f>
        <v>#DIV/0!</v>
      </c>
    </row>
    <row r="220" spans="1:9" x14ac:dyDescent="0.35">
      <c r="A220" s="33">
        <f>IF(Data!A247="",#N/A,Data!A247)</f>
        <v>25355</v>
      </c>
      <c r="B220" s="34">
        <f>VLOOKUP(A220,Data!A:AX,MATCH($B$2,Data!$B$1:$AX$1,0),FALSE)</f>
        <v>6.1037999999999994E-5</v>
      </c>
      <c r="C220" s="35">
        <f t="shared" si="14"/>
        <v>0</v>
      </c>
      <c r="D220" s="35">
        <f t="shared" si="11"/>
        <v>0</v>
      </c>
      <c r="E220" s="35">
        <f>(Table143454[[#This Row],[USA]]-B208)/B208</f>
        <v>5.2742324939634301E-2</v>
      </c>
      <c r="F220" s="34">
        <f>VLOOKUP(Table143454[[#This Row],[Date]],'Data Core CPI'!$A:$AX,MATCH($B$2,'Data Core CPI'!$B$1:$AX$1,0),FALSE)</f>
        <v>0</v>
      </c>
      <c r="G220" s="35" t="e">
        <f t="shared" si="12"/>
        <v>#DIV/0!</v>
      </c>
      <c r="H220" s="35" t="e">
        <f t="shared" si="13"/>
        <v>#DIV/0!</v>
      </c>
      <c r="I220" s="35" t="e">
        <f>(Table143454[[#This Row],[Core CPI]]-F208)/F208</f>
        <v>#DIV/0!</v>
      </c>
    </row>
    <row r="221" spans="1:9" x14ac:dyDescent="0.35">
      <c r="A221" s="33">
        <f>IF(Data!A248="",#N/A,Data!A248)</f>
        <v>25385</v>
      </c>
      <c r="B221" s="34">
        <f>VLOOKUP(A221,Data!A:AX,MATCH($B$2,Data!$B$1:$AX$1,0),FALSE)</f>
        <v>6.0868000000000001E-5</v>
      </c>
      <c r="C221" s="35">
        <f t="shared" si="14"/>
        <v>-2.7851502342801648E-3</v>
      </c>
      <c r="D221" s="35">
        <f t="shared" si="11"/>
        <v>-3.2914560086066191E-2</v>
      </c>
      <c r="E221" s="35">
        <f>(Table143454[[#This Row],[USA]]-B209)/B209</f>
        <v>4.1422143138227847E-2</v>
      </c>
      <c r="F221" s="34">
        <f>VLOOKUP(Table143454[[#This Row],[Date]],'Data Core CPI'!$A:$AX,MATCH($B$2,'Data Core CPI'!$B$1:$AX$1,0),FALSE)</f>
        <v>0</v>
      </c>
      <c r="G221" s="35" t="e">
        <f t="shared" si="12"/>
        <v>#DIV/0!</v>
      </c>
      <c r="H221" s="35" t="e">
        <f t="shared" si="13"/>
        <v>#DIV/0!</v>
      </c>
      <c r="I221" s="35" t="e">
        <f>(Table143454[[#This Row],[Core CPI]]-F209)/F209</f>
        <v>#DIV/0!</v>
      </c>
    </row>
    <row r="222" spans="1:9" x14ac:dyDescent="0.35">
      <c r="A222" s="33">
        <f>IF(Data!A249="",#N/A,Data!A249)</f>
        <v>25416</v>
      </c>
      <c r="B222" s="34">
        <f>VLOOKUP(A222,Data!A:AX,MATCH($B$2,Data!$B$1:$AX$1,0),FALSE)</f>
        <v>6.1208000000000001E-5</v>
      </c>
      <c r="C222" s="35">
        <f t="shared" si="14"/>
        <v>5.5858579220608995E-3</v>
      </c>
      <c r="D222" s="35">
        <f t="shared" si="11"/>
        <v>6.912844423597897E-2</v>
      </c>
      <c r="E222" s="35">
        <f>(Table143454[[#This Row],[USA]]-B210)/B210</f>
        <v>4.1182574378689212E-2</v>
      </c>
      <c r="F222" s="34">
        <f>VLOOKUP(Table143454[[#This Row],[Date]],'Data Core CPI'!$A:$AX,MATCH($B$2,'Data Core CPI'!$B$1:$AX$1,0),FALSE)</f>
        <v>0</v>
      </c>
      <c r="G222" s="35" t="e">
        <f t="shared" si="12"/>
        <v>#DIV/0!</v>
      </c>
      <c r="H222" s="35" t="e">
        <f t="shared" si="13"/>
        <v>#DIV/0!</v>
      </c>
      <c r="I222" s="35" t="e">
        <f>(Table143454[[#This Row],[Core CPI]]-F210)/F210</f>
        <v>#DIV/0!</v>
      </c>
    </row>
    <row r="223" spans="1:9" x14ac:dyDescent="0.35">
      <c r="A223" s="33">
        <f>IF(Data!A250="",#N/A,Data!A250)</f>
        <v>25447</v>
      </c>
      <c r="B223" s="34">
        <f>VLOOKUP(A223,Data!A:AX,MATCH($B$2,Data!$B$1:$AX$1,0),FALSE)</f>
        <v>6.1037999999999994E-5</v>
      </c>
      <c r="C223" s="35">
        <f t="shared" si="14"/>
        <v>-2.7774147170305241E-3</v>
      </c>
      <c r="D223" s="35">
        <f t="shared" si="11"/>
        <v>-3.2824534648370096E-2</v>
      </c>
      <c r="E223" s="35">
        <f>(Table143454[[#This Row],[USA]]-B211)/B211</f>
        <v>3.8290778573494069E-2</v>
      </c>
      <c r="F223" s="34">
        <f>VLOOKUP(Table143454[[#This Row],[Date]],'Data Core CPI'!$A:$AX,MATCH($B$2,'Data Core CPI'!$B$1:$AX$1,0),FALSE)</f>
        <v>0</v>
      </c>
      <c r="G223" s="35" t="e">
        <f t="shared" si="12"/>
        <v>#DIV/0!</v>
      </c>
      <c r="H223" s="35" t="e">
        <f t="shared" si="13"/>
        <v>#DIV/0!</v>
      </c>
      <c r="I223" s="35" t="e">
        <f>(Table143454[[#This Row],[Core CPI]]-F211)/F211</f>
        <v>#DIV/0!</v>
      </c>
    </row>
    <row r="224" spans="1:9" x14ac:dyDescent="0.35">
      <c r="A224" s="33">
        <f>IF(Data!A251="",#N/A,Data!A251)</f>
        <v>25477</v>
      </c>
      <c r="B224" s="34">
        <f>VLOOKUP(A224,Data!A:AX,MATCH($B$2,Data!$B$1:$AX$1,0),FALSE)</f>
        <v>6.2014999999999995E-5</v>
      </c>
      <c r="C224" s="35">
        <f t="shared" si="14"/>
        <v>1.6006422228775463E-2</v>
      </c>
      <c r="D224" s="35">
        <f t="shared" si="11"/>
        <v>0.20992217908129773</v>
      </c>
      <c r="E224" s="35">
        <f>(Table143454[[#This Row],[USA]]-B212)/B212</f>
        <v>4.0624895123670103E-2</v>
      </c>
      <c r="F224" s="34">
        <f>VLOOKUP(Table143454[[#This Row],[Date]],'Data Core CPI'!$A:$AX,MATCH($B$2,'Data Core CPI'!$B$1:$AX$1,0),FALSE)</f>
        <v>0</v>
      </c>
      <c r="G224" s="35" t="e">
        <f t="shared" si="12"/>
        <v>#DIV/0!</v>
      </c>
      <c r="H224" s="35" t="e">
        <f t="shared" si="13"/>
        <v>#DIV/0!</v>
      </c>
      <c r="I224" s="35" t="e">
        <f>(Table143454[[#This Row],[Core CPI]]-F212)/F212</f>
        <v>#DIV/0!</v>
      </c>
    </row>
    <row r="225" spans="1:9" x14ac:dyDescent="0.35">
      <c r="A225" s="33">
        <f>IF(Data!A252="",#N/A,Data!A252)</f>
        <v>25508</v>
      </c>
      <c r="B225" s="34">
        <f>VLOOKUP(A225,Data!A:AX,MATCH($B$2,Data!$B$1:$AX$1,0),FALSE)</f>
        <v>6.2482000000000002E-5</v>
      </c>
      <c r="C225" s="35">
        <f t="shared" si="14"/>
        <v>7.5304361847940982E-3</v>
      </c>
      <c r="D225" s="35">
        <f t="shared" si="11"/>
        <v>9.4203485353804073E-2</v>
      </c>
      <c r="E225" s="35">
        <f>(Table143454[[#This Row],[USA]]-B213)/B213</f>
        <v>4.5478883608861584E-2</v>
      </c>
      <c r="F225" s="34">
        <f>VLOOKUP(Table143454[[#This Row],[Date]],'Data Core CPI'!$A:$AX,MATCH($B$2,'Data Core CPI'!$B$1:$AX$1,0),FALSE)</f>
        <v>0</v>
      </c>
      <c r="G225" s="35" t="e">
        <f t="shared" si="12"/>
        <v>#DIV/0!</v>
      </c>
      <c r="H225" s="35" t="e">
        <f t="shared" si="13"/>
        <v>#DIV/0!</v>
      </c>
      <c r="I225" s="35" t="e">
        <f>(Table143454[[#This Row],[Core CPI]]-F213)/F213</f>
        <v>#DIV/0!</v>
      </c>
    </row>
    <row r="226" spans="1:9" x14ac:dyDescent="0.35">
      <c r="A226" s="33">
        <f>IF(Data!A253="",#N/A,Data!A253)</f>
        <v>25538</v>
      </c>
      <c r="B226" s="34">
        <f>VLOOKUP(A226,Data!A:AX,MATCH($B$2,Data!$B$1:$AX$1,0),FALSE)</f>
        <v>6.3628999999999997E-5</v>
      </c>
      <c r="C226" s="35">
        <f t="shared" si="14"/>
        <v>1.8357286898626812E-2</v>
      </c>
      <c r="D226" s="35">
        <f t="shared" si="11"/>
        <v>0.2439476507217635</v>
      </c>
      <c r="E226" s="35">
        <f>(Table143454[[#This Row],[USA]]-B214)/B214</f>
        <v>5.940627029186988E-2</v>
      </c>
      <c r="F226" s="34">
        <f>VLOOKUP(Table143454[[#This Row],[Date]],'Data Core CPI'!$A:$AX,MATCH($B$2,'Data Core CPI'!$B$1:$AX$1,0),FALSE)</f>
        <v>0</v>
      </c>
      <c r="G226" s="35" t="e">
        <f t="shared" si="12"/>
        <v>#DIV/0!</v>
      </c>
      <c r="H226" s="35" t="e">
        <f t="shared" si="13"/>
        <v>#DIV/0!</v>
      </c>
      <c r="I226" s="35" t="e">
        <f>(Table143454[[#This Row],[Core CPI]]-F214)/F214</f>
        <v>#DIV/0!</v>
      </c>
    </row>
    <row r="227" spans="1:9" x14ac:dyDescent="0.35">
      <c r="A227" s="33">
        <f>IF(Data!A254="",#N/A,Data!A254)</f>
        <v>25569</v>
      </c>
      <c r="B227" s="34">
        <f>VLOOKUP(A227,Data!A:AX,MATCH($B$2,Data!$B$1:$AX$1,0),FALSE)</f>
        <v>6.4139000000000004E-5</v>
      </c>
      <c r="C227" s="35">
        <f t="shared" si="14"/>
        <v>8.0152131889548173E-3</v>
      </c>
      <c r="D227" s="35">
        <f t="shared" si="11"/>
        <v>0.1005379919312106</v>
      </c>
      <c r="E227" s="35">
        <f>(Table143454[[#This Row],[USA]]-B215)/B215</f>
        <v>6.4883531736149219E-2</v>
      </c>
      <c r="F227" s="34">
        <f>VLOOKUP(Table143454[[#This Row],[Date]],'Data Core CPI'!$A:$AX,MATCH($B$2,'Data Core CPI'!$B$1:$AX$1,0),FALSE)</f>
        <v>0</v>
      </c>
      <c r="G227" s="35" t="e">
        <f t="shared" si="12"/>
        <v>#DIV/0!</v>
      </c>
      <c r="H227" s="35" t="e">
        <f t="shared" si="13"/>
        <v>#DIV/0!</v>
      </c>
      <c r="I227" s="35" t="e">
        <f>(Table143454[[#This Row],[Core CPI]]-F215)/F215</f>
        <v>#DIV/0!</v>
      </c>
    </row>
    <row r="228" spans="1:9" x14ac:dyDescent="0.35">
      <c r="A228" s="33">
        <f>IF(Data!A255="",#N/A,Data!A255)</f>
        <v>25600</v>
      </c>
      <c r="B228" s="34">
        <f>VLOOKUP(A228,Data!A:AX,MATCH($B$2,Data!$B$1:$AX$1,0),FALSE)</f>
        <v>6.4478000000000002E-5</v>
      </c>
      <c r="C228" s="35">
        <f t="shared" si="14"/>
        <v>5.2853957810379271E-3</v>
      </c>
      <c r="D228" s="35">
        <f t="shared" si="11"/>
        <v>6.5301358848035118E-2</v>
      </c>
      <c r="E228" s="35">
        <f>(Table143454[[#This Row],[USA]]-B216)/B216</f>
        <v>6.7498882468833329E-2</v>
      </c>
      <c r="F228" s="34">
        <f>VLOOKUP(Table143454[[#This Row],[Date]],'Data Core CPI'!$A:$AX,MATCH($B$2,'Data Core CPI'!$B$1:$AX$1,0),FALSE)</f>
        <v>0</v>
      </c>
      <c r="G228" s="35" t="e">
        <f t="shared" si="12"/>
        <v>#DIV/0!</v>
      </c>
      <c r="H228" s="35" t="e">
        <f t="shared" si="13"/>
        <v>#DIV/0!</v>
      </c>
      <c r="I228" s="35" t="e">
        <f>(Table143454[[#This Row],[Core CPI]]-F216)/F216</f>
        <v>#DIV/0!</v>
      </c>
    </row>
    <row r="229" spans="1:9" x14ac:dyDescent="0.35">
      <c r="A229" s="33">
        <f>IF(Data!A256="",#N/A,Data!A256)</f>
        <v>25628</v>
      </c>
      <c r="B229" s="34">
        <f>VLOOKUP(A229,Data!A:AX,MATCH($B$2,Data!$B$1:$AX$1,0),FALSE)</f>
        <v>6.4562999999999998E-5</v>
      </c>
      <c r="C229" s="35">
        <f t="shared" si="14"/>
        <v>1.3182791029497931E-3</v>
      </c>
      <c r="D229" s="35">
        <f t="shared" si="11"/>
        <v>1.5934553496423476E-2</v>
      </c>
      <c r="E229" s="35">
        <f>(Table143454[[#This Row],[USA]]-B217)/B217</f>
        <v>6.8906143938014239E-2</v>
      </c>
      <c r="F229" s="34">
        <f>VLOOKUP(Table143454[[#This Row],[Date]],'Data Core CPI'!$A:$AX,MATCH($B$2,'Data Core CPI'!$B$1:$AX$1,0),FALSE)</f>
        <v>0</v>
      </c>
      <c r="G229" s="35" t="e">
        <f t="shared" si="12"/>
        <v>#DIV/0!</v>
      </c>
      <c r="H229" s="35" t="e">
        <f t="shared" si="13"/>
        <v>#DIV/0!</v>
      </c>
      <c r="I229" s="35" t="e">
        <f>(Table143454[[#This Row],[Core CPI]]-F217)/F217</f>
        <v>#DIV/0!</v>
      </c>
    </row>
    <row r="230" spans="1:9" x14ac:dyDescent="0.35">
      <c r="A230" s="33">
        <f>IF(Data!A257="",#N/A,Data!A257)</f>
        <v>25659</v>
      </c>
      <c r="B230" s="34">
        <f>VLOOKUP(A230,Data!A:AX,MATCH($B$2,Data!$B$1:$AX$1,0),FALSE)</f>
        <v>6.4690999999999994E-5</v>
      </c>
      <c r="C230" s="35">
        <f t="shared" si="14"/>
        <v>1.9825596703992865E-3</v>
      </c>
      <c r="D230" s="35">
        <f t="shared" si="11"/>
        <v>2.4051853902186338E-2</v>
      </c>
      <c r="E230" s="35">
        <f>(Table143454[[#This Row],[USA]]-B218)/B218</f>
        <v>6.8019349193508355E-2</v>
      </c>
      <c r="F230" s="34">
        <f>VLOOKUP(Table143454[[#This Row],[Date]],'Data Core CPI'!$A:$AX,MATCH($B$2,'Data Core CPI'!$B$1:$AX$1,0),FALSE)</f>
        <v>0</v>
      </c>
      <c r="G230" s="35" t="e">
        <f t="shared" si="12"/>
        <v>#DIV/0!</v>
      </c>
      <c r="H230" s="35" t="e">
        <f t="shared" si="13"/>
        <v>#DIV/0!</v>
      </c>
      <c r="I230" s="35" t="e">
        <f>(Table143454[[#This Row],[Core CPI]]-F218)/F218</f>
        <v>#DIV/0!</v>
      </c>
    </row>
    <row r="231" spans="1:9" x14ac:dyDescent="0.35">
      <c r="A231" s="33">
        <f>IF(Data!A258="",#N/A,Data!A258)</f>
        <v>25689</v>
      </c>
      <c r="B231" s="34">
        <f>VLOOKUP(A231,Data!A:AX,MATCH($B$2,Data!$B$1:$AX$1,0),FALSE)</f>
        <v>6.5073000000000005E-5</v>
      </c>
      <c r="C231" s="35">
        <f t="shared" si="14"/>
        <v>5.9049945123743619E-3</v>
      </c>
      <c r="D231" s="35">
        <f t="shared" si="11"/>
        <v>7.3207191313747977E-2</v>
      </c>
      <c r="E231" s="35">
        <f>(Table143454[[#This Row],[USA]]-B219)/B219</f>
        <v>6.6106359972476353E-2</v>
      </c>
      <c r="F231" s="34">
        <f>VLOOKUP(Table143454[[#This Row],[Date]],'Data Core CPI'!$A:$AX,MATCH($B$2,'Data Core CPI'!$B$1:$AX$1,0),FALSE)</f>
        <v>0</v>
      </c>
      <c r="G231" s="35" t="e">
        <f t="shared" si="12"/>
        <v>#DIV/0!</v>
      </c>
      <c r="H231" s="35" t="e">
        <f t="shared" si="13"/>
        <v>#DIV/0!</v>
      </c>
      <c r="I231" s="35" t="e">
        <f>(Table143454[[#This Row],[Core CPI]]-F219)/F219</f>
        <v>#DIV/0!</v>
      </c>
    </row>
    <row r="232" spans="1:9" x14ac:dyDescent="0.35">
      <c r="A232" s="33">
        <f>IF(Data!A259="",#N/A,Data!A259)</f>
        <v>25720</v>
      </c>
      <c r="B232" s="34">
        <f>VLOOKUP(A232,Data!A:AX,MATCH($B$2,Data!$B$1:$AX$1,0),FALSE)</f>
        <v>6.5753000000000006E-5</v>
      </c>
      <c r="C232" s="35">
        <f t="shared" si="14"/>
        <v>1.0449802529466812E-2</v>
      </c>
      <c r="D232" s="35">
        <f t="shared" si="11"/>
        <v>0.13286176770385216</v>
      </c>
      <c r="E232" s="35">
        <f>(Table143454[[#This Row],[USA]]-B220)/B220</f>
        <v>7.7246960909597498E-2</v>
      </c>
      <c r="F232" s="34">
        <f>VLOOKUP(Table143454[[#This Row],[Date]],'Data Core CPI'!$A:$AX,MATCH($B$2,'Data Core CPI'!$B$1:$AX$1,0),FALSE)</f>
        <v>0</v>
      </c>
      <c r="G232" s="35" t="e">
        <f t="shared" si="12"/>
        <v>#DIV/0!</v>
      </c>
      <c r="H232" s="35" t="e">
        <f t="shared" si="13"/>
        <v>#DIV/0!</v>
      </c>
      <c r="I232" s="35" t="e">
        <f>(Table143454[[#This Row],[Core CPI]]-F220)/F220</f>
        <v>#DIV/0!</v>
      </c>
    </row>
    <row r="233" spans="1:9" x14ac:dyDescent="0.35">
      <c r="A233" s="33">
        <f>IF(Data!A260="",#N/A,Data!A260)</f>
        <v>25750</v>
      </c>
      <c r="B233" s="34">
        <f>VLOOKUP(A233,Data!A:AX,MATCH($B$2,Data!$B$1:$AX$1,0),FALSE)</f>
        <v>6.5498000000000002E-5</v>
      </c>
      <c r="C233" s="35">
        <f t="shared" si="14"/>
        <v>-3.8781500463858087E-3</v>
      </c>
      <c r="D233" s="35">
        <f t="shared" si="11"/>
        <v>-4.5557878187784895E-2</v>
      </c>
      <c r="E233" s="35">
        <f>(Table143454[[#This Row],[USA]]-B221)/B221</f>
        <v>7.6066241703358115E-2</v>
      </c>
      <c r="F233" s="34">
        <f>VLOOKUP(Table143454[[#This Row],[Date]],'Data Core CPI'!$A:$AX,MATCH($B$2,'Data Core CPI'!$B$1:$AX$1,0),FALSE)</f>
        <v>0</v>
      </c>
      <c r="G233" s="35" t="e">
        <f t="shared" si="12"/>
        <v>#DIV/0!</v>
      </c>
      <c r="H233" s="35" t="e">
        <f t="shared" si="13"/>
        <v>#DIV/0!</v>
      </c>
      <c r="I233" s="35" t="e">
        <f>(Table143454[[#This Row],[Core CPI]]-F221)/F221</f>
        <v>#DIV/0!</v>
      </c>
    </row>
    <row r="234" spans="1:9" x14ac:dyDescent="0.35">
      <c r="A234" s="33">
        <f>IF(Data!A261="",#N/A,Data!A261)</f>
        <v>25781</v>
      </c>
      <c r="B234" s="34">
        <f>VLOOKUP(A234,Data!A:AX,MATCH($B$2,Data!$B$1:$AX$1,0),FALSE)</f>
        <v>6.6007999999999995E-5</v>
      </c>
      <c r="C234" s="35">
        <f t="shared" si="14"/>
        <v>7.7864972976273705E-3</v>
      </c>
      <c r="D234" s="35">
        <f t="shared" si="11"/>
        <v>9.7545219874987765E-2</v>
      </c>
      <c r="E234" s="35">
        <f>(Table143454[[#This Row],[USA]]-B222)/B222</f>
        <v>7.842112142203625E-2</v>
      </c>
      <c r="F234" s="34">
        <f>VLOOKUP(Table143454[[#This Row],[Date]],'Data Core CPI'!$A:$AX,MATCH($B$2,'Data Core CPI'!$B$1:$AX$1,0),FALSE)</f>
        <v>0</v>
      </c>
      <c r="G234" s="35" t="e">
        <f t="shared" si="12"/>
        <v>#DIV/0!</v>
      </c>
      <c r="H234" s="35" t="e">
        <f t="shared" si="13"/>
        <v>#DIV/0!</v>
      </c>
      <c r="I234" s="35" t="e">
        <f>(Table143454[[#This Row],[Core CPI]]-F222)/F222</f>
        <v>#DIV/0!</v>
      </c>
    </row>
    <row r="235" spans="1:9" x14ac:dyDescent="0.35">
      <c r="A235" s="33">
        <f>IF(Data!A262="",#N/A,Data!A262)</f>
        <v>25812</v>
      </c>
      <c r="B235" s="34">
        <f>VLOOKUP(A235,Data!A:AX,MATCH($B$2,Data!$B$1:$AX$1,0),FALSE)</f>
        <v>6.6644999999999996E-5</v>
      </c>
      <c r="C235" s="35">
        <f t="shared" si="14"/>
        <v>9.6503454126772859E-3</v>
      </c>
      <c r="D235" s="35">
        <f t="shared" si="11"/>
        <v>0.12215275044114615</v>
      </c>
      <c r="E235" s="35">
        <f>(Table143454[[#This Row],[USA]]-B223)/B223</f>
        <v>9.1860808021232726E-2</v>
      </c>
      <c r="F235" s="34">
        <f>VLOOKUP(Table143454[[#This Row],[Date]],'Data Core CPI'!$A:$AX,MATCH($B$2,'Data Core CPI'!$B$1:$AX$1,0),FALSE)</f>
        <v>0</v>
      </c>
      <c r="G235" s="35" t="e">
        <f t="shared" si="12"/>
        <v>#DIV/0!</v>
      </c>
      <c r="H235" s="35" t="e">
        <f t="shared" si="13"/>
        <v>#DIV/0!</v>
      </c>
      <c r="I235" s="35" t="e">
        <f>(Table143454[[#This Row],[Core CPI]]-F223)/F223</f>
        <v>#DIV/0!</v>
      </c>
    </row>
    <row r="236" spans="1:9" x14ac:dyDescent="0.35">
      <c r="A236" s="33">
        <f>IF(Data!A263="",#N/A,Data!A263)</f>
        <v>25842</v>
      </c>
      <c r="B236" s="34">
        <f>VLOOKUP(A236,Data!A:AX,MATCH($B$2,Data!$B$1:$AX$1,0),FALSE)</f>
        <v>6.7918999999999998E-5</v>
      </c>
      <c r="C236" s="35">
        <f t="shared" si="14"/>
        <v>1.9116212769149987E-2</v>
      </c>
      <c r="D236" s="35">
        <f t="shared" si="11"/>
        <v>0.25511791408879092</v>
      </c>
      <c r="E236" s="35">
        <f>(Table143454[[#This Row],[USA]]-B224)/B224</f>
        <v>9.5202773522534923E-2</v>
      </c>
      <c r="F236" s="34">
        <f>VLOOKUP(Table143454[[#This Row],[Date]],'Data Core CPI'!$A:$AX,MATCH($B$2,'Data Core CPI'!$B$1:$AX$1,0),FALSE)</f>
        <v>0</v>
      </c>
      <c r="G236" s="35" t="e">
        <f t="shared" si="12"/>
        <v>#DIV/0!</v>
      </c>
      <c r="H236" s="35" t="e">
        <f t="shared" si="13"/>
        <v>#DIV/0!</v>
      </c>
      <c r="I236" s="35" t="e">
        <f>(Table143454[[#This Row],[Core CPI]]-F224)/F224</f>
        <v>#DIV/0!</v>
      </c>
    </row>
    <row r="237" spans="1:9" x14ac:dyDescent="0.35">
      <c r="A237" s="33">
        <f>IF(Data!A264="",#N/A,Data!A264)</f>
        <v>25873</v>
      </c>
      <c r="B237" s="34">
        <f>VLOOKUP(A237,Data!A:AX,MATCH($B$2,Data!$B$1:$AX$1,0),FALSE)</f>
        <v>6.8853E-5</v>
      </c>
      <c r="C237" s="35">
        <f t="shared" si="14"/>
        <v>1.375167478908712E-2</v>
      </c>
      <c r="D237" s="35">
        <f t="shared" si="11"/>
        <v>0.17809148349934922</v>
      </c>
      <c r="E237" s="35">
        <f>(Table143454[[#This Row],[USA]]-B225)/B225</f>
        <v>0.10196536602541527</v>
      </c>
      <c r="F237" s="34">
        <f>VLOOKUP(Table143454[[#This Row],[Date]],'Data Core CPI'!$A:$AX,MATCH($B$2,'Data Core CPI'!$B$1:$AX$1,0),FALSE)</f>
        <v>0</v>
      </c>
      <c r="G237" s="35" t="e">
        <f t="shared" si="12"/>
        <v>#DIV/0!</v>
      </c>
      <c r="H237" s="35" t="e">
        <f t="shared" si="13"/>
        <v>#DIV/0!</v>
      </c>
      <c r="I237" s="35" t="e">
        <f>(Table143454[[#This Row],[Core CPI]]-F225)/F225</f>
        <v>#DIV/0!</v>
      </c>
    </row>
    <row r="238" spans="1:9" x14ac:dyDescent="0.35">
      <c r="A238" s="33">
        <f>IF(Data!A265="",#N/A,Data!A265)</f>
        <v>25903</v>
      </c>
      <c r="B238" s="34">
        <f>VLOOKUP(A238,Data!A:AX,MATCH($B$2,Data!$B$1:$AX$1,0),FALSE)</f>
        <v>6.9533E-5</v>
      </c>
      <c r="C238" s="35">
        <f t="shared" si="14"/>
        <v>9.8761128781608143E-3</v>
      </c>
      <c r="D238" s="35">
        <f t="shared" si="11"/>
        <v>0.12516754533809449</v>
      </c>
      <c r="E238" s="35">
        <f>(Table143454[[#This Row],[USA]]-B226)/B226</f>
        <v>9.2787879740370005E-2</v>
      </c>
      <c r="F238" s="34">
        <f>VLOOKUP(Table143454[[#This Row],[Date]],'Data Core CPI'!$A:$AX,MATCH($B$2,'Data Core CPI'!$B$1:$AX$1,0),FALSE)</f>
        <v>0</v>
      </c>
      <c r="G238" s="35" t="e">
        <f t="shared" si="12"/>
        <v>#DIV/0!</v>
      </c>
      <c r="H238" s="35" t="e">
        <f t="shared" si="13"/>
        <v>#DIV/0!</v>
      </c>
      <c r="I238" s="35" t="e">
        <f>(Table143454[[#This Row],[Core CPI]]-F226)/F226</f>
        <v>#DIV/0!</v>
      </c>
    </row>
    <row r="239" spans="1:9" x14ac:dyDescent="0.35">
      <c r="A239" s="33">
        <f>IF(Data!A266="",#N/A,Data!A266)</f>
        <v>25934</v>
      </c>
      <c r="B239" s="34">
        <f>VLOOKUP(A239,Data!A:AX,MATCH($B$2,Data!$B$1:$AX$1,0),FALSE)</f>
        <v>7.0297999999999997E-5</v>
      </c>
      <c r="C239" s="35">
        <f t="shared" si="14"/>
        <v>1.1001970287489282E-2</v>
      </c>
      <c r="D239" s="35">
        <f t="shared" si="11"/>
        <v>0.14031286374862462</v>
      </c>
      <c r="E239" s="35">
        <f>(Table143454[[#This Row],[USA]]-B227)/B227</f>
        <v>9.6025818924523193E-2</v>
      </c>
      <c r="F239" s="34">
        <f>VLOOKUP(Table143454[[#This Row],[Date]],'Data Core CPI'!$A:$AX,MATCH($B$2,'Data Core CPI'!$B$1:$AX$1,0),FALSE)</f>
        <v>0</v>
      </c>
      <c r="G239" s="35" t="e">
        <f t="shared" si="12"/>
        <v>#DIV/0!</v>
      </c>
      <c r="H239" s="35" t="e">
        <f t="shared" si="13"/>
        <v>#DIV/0!</v>
      </c>
      <c r="I239" s="35" t="e">
        <f>(Table143454[[#This Row],[Core CPI]]-F227)/F227</f>
        <v>#DIV/0!</v>
      </c>
    </row>
    <row r="240" spans="1:9" x14ac:dyDescent="0.35">
      <c r="A240" s="33">
        <f>IF(Data!A267="",#N/A,Data!A267)</f>
        <v>25965</v>
      </c>
      <c r="B240" s="34">
        <f>VLOOKUP(A240,Data!A:AX,MATCH($B$2,Data!$B$1:$AX$1,0),FALSE)</f>
        <v>7.1996999999999995E-5</v>
      </c>
      <c r="C240" s="35">
        <f t="shared" si="14"/>
        <v>2.4168539645509135E-2</v>
      </c>
      <c r="D240" s="35">
        <f t="shared" si="11"/>
        <v>0.33185569725882091</v>
      </c>
      <c r="E240" s="35">
        <f>(Table143454[[#This Row],[USA]]-B228)/B228</f>
        <v>0.11661341853035133</v>
      </c>
      <c r="F240" s="34">
        <f>VLOOKUP(Table143454[[#This Row],[Date]],'Data Core CPI'!$A:$AX,MATCH($B$2,'Data Core CPI'!$B$1:$AX$1,0),FALSE)</f>
        <v>0</v>
      </c>
      <c r="G240" s="35" t="e">
        <f t="shared" si="12"/>
        <v>#DIV/0!</v>
      </c>
      <c r="H240" s="35" t="e">
        <f t="shared" si="13"/>
        <v>#DIV/0!</v>
      </c>
      <c r="I240" s="35" t="e">
        <f>(Table143454[[#This Row],[Core CPI]]-F228)/F228</f>
        <v>#DIV/0!</v>
      </c>
    </row>
    <row r="241" spans="1:9" x14ac:dyDescent="0.35">
      <c r="A241" s="33">
        <f>IF(Data!A268="",#N/A,Data!A268)</f>
        <v>25993</v>
      </c>
      <c r="B241" s="34">
        <f>VLOOKUP(A241,Data!A:AX,MATCH($B$2,Data!$B$1:$AX$1,0),FALSE)</f>
        <v>7.2675999999999993E-5</v>
      </c>
      <c r="C241" s="35">
        <f t="shared" si="14"/>
        <v>9.43094851174342E-3</v>
      </c>
      <c r="D241" s="35">
        <f t="shared" si="11"/>
        <v>0.11923012114111331</v>
      </c>
      <c r="E241" s="35">
        <f>(Table143454[[#This Row],[USA]]-B229)/B229</f>
        <v>0.12566020785899037</v>
      </c>
      <c r="F241" s="34">
        <f>VLOOKUP(Table143454[[#This Row],[Date]],'Data Core CPI'!$A:$AX,MATCH($B$2,'Data Core CPI'!$B$1:$AX$1,0),FALSE)</f>
        <v>0</v>
      </c>
      <c r="G241" s="35" t="e">
        <f t="shared" si="12"/>
        <v>#DIV/0!</v>
      </c>
      <c r="H241" s="35" t="e">
        <f t="shared" si="13"/>
        <v>#DIV/0!</v>
      </c>
      <c r="I241" s="35" t="e">
        <f>(Table143454[[#This Row],[Core CPI]]-F229)/F229</f>
        <v>#DIV/0!</v>
      </c>
    </row>
    <row r="242" spans="1:9" x14ac:dyDescent="0.35">
      <c r="A242" s="33">
        <f>IF(Data!A269="",#N/A,Data!A269)</f>
        <v>26024</v>
      </c>
      <c r="B242" s="34">
        <f>VLOOKUP(A242,Data!A:AX,MATCH($B$2,Data!$B$1:$AX$1,0),FALSE)</f>
        <v>7.4289999999999995E-5</v>
      </c>
      <c r="C242" s="35">
        <f t="shared" si="14"/>
        <v>2.2208156750509245E-2</v>
      </c>
      <c r="D242" s="35">
        <f t="shared" si="11"/>
        <v>0.30158371208719537</v>
      </c>
      <c r="E242" s="35">
        <f>(Table143454[[#This Row],[USA]]-B230)/B230</f>
        <v>0.14838230974942421</v>
      </c>
      <c r="F242" s="34">
        <f>VLOOKUP(Table143454[[#This Row],[Date]],'Data Core CPI'!$A:$AX,MATCH($B$2,'Data Core CPI'!$B$1:$AX$1,0),FALSE)</f>
        <v>0</v>
      </c>
      <c r="G242" s="35" t="e">
        <f t="shared" si="12"/>
        <v>#DIV/0!</v>
      </c>
      <c r="H242" s="35" t="e">
        <f t="shared" si="13"/>
        <v>#DIV/0!</v>
      </c>
      <c r="I242" s="35" t="e">
        <f>(Table143454[[#This Row],[Core CPI]]-F230)/F230</f>
        <v>#DIV/0!</v>
      </c>
    </row>
    <row r="243" spans="1:9" x14ac:dyDescent="0.35">
      <c r="A243" s="33">
        <f>IF(Data!A270="",#N/A,Data!A270)</f>
        <v>26054</v>
      </c>
      <c r="B243" s="34">
        <f>VLOOKUP(A243,Data!A:AX,MATCH($B$2,Data!$B$1:$AX$1,0),FALSE)</f>
        <v>7.4969999999999995E-5</v>
      </c>
      <c r="C243" s="35">
        <f t="shared" si="14"/>
        <v>9.1533180778031742E-3</v>
      </c>
      <c r="D243" s="35">
        <f t="shared" si="11"/>
        <v>0.11554175319300497</v>
      </c>
      <c r="E243" s="35">
        <f>(Table143454[[#This Row],[USA]]-B231)/B231</f>
        <v>0.15209072887372627</v>
      </c>
      <c r="F243" s="34">
        <f>VLOOKUP(Table143454[[#This Row],[Date]],'Data Core CPI'!$A:$AX,MATCH($B$2,'Data Core CPI'!$B$1:$AX$1,0),FALSE)</f>
        <v>0</v>
      </c>
      <c r="G243" s="35" t="e">
        <f t="shared" si="12"/>
        <v>#DIV/0!</v>
      </c>
      <c r="H243" s="35" t="e">
        <f t="shared" si="13"/>
        <v>#DIV/0!</v>
      </c>
      <c r="I243" s="35" t="e">
        <f>(Table143454[[#This Row],[Core CPI]]-F231)/F231</f>
        <v>#DIV/0!</v>
      </c>
    </row>
    <row r="244" spans="1:9" x14ac:dyDescent="0.35">
      <c r="A244" s="33">
        <f>IF(Data!A271="",#N/A,Data!A271)</f>
        <v>26085</v>
      </c>
      <c r="B244" s="34">
        <f>VLOOKUP(A244,Data!A:AX,MATCH($B$2,Data!$B$1:$AX$1,0),FALSE)</f>
        <v>7.6286999999999997E-5</v>
      </c>
      <c r="C244" s="35">
        <f t="shared" si="14"/>
        <v>1.7567026810724196E-2</v>
      </c>
      <c r="D244" s="35">
        <f t="shared" si="11"/>
        <v>0.23241310593536868</v>
      </c>
      <c r="E244" s="35">
        <f>(Table143454[[#This Row],[USA]]-B232)/B232</f>
        <v>0.16020561799461605</v>
      </c>
      <c r="F244" s="34">
        <f>VLOOKUP(Table143454[[#This Row],[Date]],'Data Core CPI'!$A:$AX,MATCH($B$2,'Data Core CPI'!$B$1:$AX$1,0),FALSE)</f>
        <v>0</v>
      </c>
      <c r="G244" s="35" t="e">
        <f t="shared" si="12"/>
        <v>#DIV/0!</v>
      </c>
      <c r="H244" s="35" t="e">
        <f t="shared" si="13"/>
        <v>#DIV/0!</v>
      </c>
      <c r="I244" s="35" t="e">
        <f>(Table143454[[#This Row],[Core CPI]]-F232)/F232</f>
        <v>#DIV/0!</v>
      </c>
    </row>
    <row r="245" spans="1:9" x14ac:dyDescent="0.35">
      <c r="A245" s="33">
        <f>IF(Data!A272="",#N/A,Data!A272)</f>
        <v>26115</v>
      </c>
      <c r="B245" s="34">
        <f>VLOOKUP(A245,Data!A:AX,MATCH($B$2,Data!$B$1:$AX$1,0),FALSE)</f>
        <v>8.0492000000000001E-5</v>
      </c>
      <c r="C245" s="35">
        <f t="shared" si="14"/>
        <v>5.5120793844298577E-2</v>
      </c>
      <c r="D245" s="35">
        <f t="shared" si="11"/>
        <v>0.90382131138806421</v>
      </c>
      <c r="E245" s="35">
        <f>(Table143454[[#This Row],[USA]]-B233)/B233</f>
        <v>0.2289230205502458</v>
      </c>
      <c r="F245" s="34">
        <f>VLOOKUP(Table143454[[#This Row],[Date]],'Data Core CPI'!$A:$AX,MATCH($B$2,'Data Core CPI'!$B$1:$AX$1,0),FALSE)</f>
        <v>0</v>
      </c>
      <c r="G245" s="35" t="e">
        <f t="shared" si="12"/>
        <v>#DIV/0!</v>
      </c>
      <c r="H245" s="35" t="e">
        <f t="shared" si="13"/>
        <v>#DIV/0!</v>
      </c>
      <c r="I245" s="35" t="e">
        <f>(Table143454[[#This Row],[Core CPI]]-F233)/F233</f>
        <v>#DIV/0!</v>
      </c>
    </row>
    <row r="246" spans="1:9" x14ac:dyDescent="0.35">
      <c r="A246" s="33">
        <f>IF(Data!A273="",#N/A,Data!A273)</f>
        <v>26146</v>
      </c>
      <c r="B246" s="34">
        <f>VLOOKUP(A246,Data!A:AX,MATCH($B$2,Data!$B$1:$AX$1,0),FALSE)</f>
        <v>8.2572999999999997E-5</v>
      </c>
      <c r="C246" s="35">
        <f t="shared" si="14"/>
        <v>2.5853500969040377E-2</v>
      </c>
      <c r="D246" s="35">
        <f t="shared" si="11"/>
        <v>0.35838894689319201</v>
      </c>
      <c r="E246" s="35">
        <f>(Table143454[[#This Row],[USA]]-B234)/B234</f>
        <v>0.250954429766089</v>
      </c>
      <c r="F246" s="34">
        <f>VLOOKUP(Table143454[[#This Row],[Date]],'Data Core CPI'!$A:$AX,MATCH($B$2,'Data Core CPI'!$B$1:$AX$1,0),FALSE)</f>
        <v>0</v>
      </c>
      <c r="G246" s="35" t="e">
        <f t="shared" si="12"/>
        <v>#DIV/0!</v>
      </c>
      <c r="H246" s="35" t="e">
        <f t="shared" si="13"/>
        <v>#DIV/0!</v>
      </c>
      <c r="I246" s="35" t="e">
        <f>(Table143454[[#This Row],[Core CPI]]-F234)/F234</f>
        <v>#DIV/0!</v>
      </c>
    </row>
    <row r="247" spans="1:9" x14ac:dyDescent="0.35">
      <c r="A247" s="33">
        <f>IF(Data!A274="",#N/A,Data!A274)</f>
        <v>26177</v>
      </c>
      <c r="B247" s="34">
        <f>VLOOKUP(A247,Data!A:AX,MATCH($B$2,Data!$B$1:$AX$1,0),FALSE)</f>
        <v>8.3549999999999998E-5</v>
      </c>
      <c r="C247" s="35">
        <f t="shared" si="14"/>
        <v>1.1831954755186391E-2</v>
      </c>
      <c r="D247" s="35">
        <f t="shared" si="11"/>
        <v>0.15159743631880573</v>
      </c>
      <c r="E247" s="35">
        <f>(Table143454[[#This Row],[USA]]-B235)/B235</f>
        <v>0.25365743866756701</v>
      </c>
      <c r="F247" s="34">
        <f>VLOOKUP(Table143454[[#This Row],[Date]],'Data Core CPI'!$A:$AX,MATCH($B$2,'Data Core CPI'!$B$1:$AX$1,0),FALSE)</f>
        <v>0</v>
      </c>
      <c r="G247" s="35" t="e">
        <f t="shared" si="12"/>
        <v>#DIV/0!</v>
      </c>
      <c r="H247" s="35" t="e">
        <f t="shared" si="13"/>
        <v>#DIV/0!</v>
      </c>
      <c r="I247" s="35" t="e">
        <f>(Table143454[[#This Row],[Core CPI]]-F235)/F235</f>
        <v>#DIV/0!</v>
      </c>
    </row>
    <row r="248" spans="1:9" x14ac:dyDescent="0.35">
      <c r="A248" s="33">
        <f>IF(Data!A275="",#N/A,Data!A275)</f>
        <v>26207</v>
      </c>
      <c r="B248" s="34">
        <f>VLOOKUP(A248,Data!A:AX,MATCH($B$2,Data!$B$1:$AX$1,0),FALSE)</f>
        <v>8.5079000000000003E-5</v>
      </c>
      <c r="C248" s="35">
        <f t="shared" si="14"/>
        <v>1.8300418910832006E-2</v>
      </c>
      <c r="D248" s="35">
        <f t="shared" si="11"/>
        <v>0.243114319500078</v>
      </c>
      <c r="E248" s="35">
        <f>(Table143454[[#This Row],[USA]]-B236)/B236</f>
        <v>0.25265389655324733</v>
      </c>
      <c r="F248" s="34">
        <f>VLOOKUP(Table143454[[#This Row],[Date]],'Data Core CPI'!$A:$AX,MATCH($B$2,'Data Core CPI'!$B$1:$AX$1,0),FALSE)</f>
        <v>0</v>
      </c>
      <c r="G248" s="35" t="e">
        <f t="shared" si="12"/>
        <v>#DIV/0!</v>
      </c>
      <c r="H248" s="35" t="e">
        <f t="shared" si="13"/>
        <v>#DIV/0!</v>
      </c>
      <c r="I248" s="35" t="e">
        <f>(Table143454[[#This Row],[Core CPI]]-F236)/F236</f>
        <v>#DIV/0!</v>
      </c>
    </row>
    <row r="249" spans="1:9" x14ac:dyDescent="0.35">
      <c r="A249" s="33">
        <f>IF(Data!A276="",#N/A,Data!A276)</f>
        <v>26238</v>
      </c>
      <c r="B249" s="34">
        <f>VLOOKUP(A249,Data!A:AX,MATCH($B$2,Data!$B$1:$AX$1,0),FALSE)</f>
        <v>8.5928999999999997E-5</v>
      </c>
      <c r="C249" s="35">
        <f t="shared" si="14"/>
        <v>9.9907145123943053E-3</v>
      </c>
      <c r="D249" s="35">
        <f t="shared" si="11"/>
        <v>0.12670072212241124</v>
      </c>
      <c r="E249" s="35">
        <f>(Table143454[[#This Row],[USA]]-B237)/B237</f>
        <v>0.24800662280510649</v>
      </c>
      <c r="F249" s="34">
        <f>VLOOKUP(Table143454[[#This Row],[Date]],'Data Core CPI'!$A:$AX,MATCH($B$2,'Data Core CPI'!$B$1:$AX$1,0),FALSE)</f>
        <v>0</v>
      </c>
      <c r="G249" s="35" t="e">
        <f t="shared" si="12"/>
        <v>#DIV/0!</v>
      </c>
      <c r="H249" s="35" t="e">
        <f t="shared" si="13"/>
        <v>#DIV/0!</v>
      </c>
      <c r="I249" s="35" t="e">
        <f>(Table143454[[#This Row],[Core CPI]]-F237)/F237</f>
        <v>#DIV/0!</v>
      </c>
    </row>
    <row r="250" spans="1:9" x14ac:dyDescent="0.35">
      <c r="A250" s="33">
        <f>IF(Data!A277="",#N/A,Data!A277)</f>
        <v>26268</v>
      </c>
      <c r="B250" s="34">
        <f>VLOOKUP(A250,Data!A:AX,MATCH($B$2,Data!$B$1:$AX$1,0),FALSE)</f>
        <v>8.5801000000000001E-5</v>
      </c>
      <c r="C250" s="35">
        <f t="shared" si="14"/>
        <v>-1.4896018806223044E-3</v>
      </c>
      <c r="D250" s="35">
        <f t="shared" si="11"/>
        <v>-1.7729498993338311E-2</v>
      </c>
      <c r="E250" s="35">
        <f>(Table143454[[#This Row],[USA]]-B238)/B238</f>
        <v>0.23396085312010126</v>
      </c>
      <c r="F250" s="34">
        <f>VLOOKUP(Table143454[[#This Row],[Date]],'Data Core CPI'!$A:$AX,MATCH($B$2,'Data Core CPI'!$B$1:$AX$1,0),FALSE)</f>
        <v>0</v>
      </c>
      <c r="G250" s="35" t="e">
        <f t="shared" si="12"/>
        <v>#DIV/0!</v>
      </c>
      <c r="H250" s="35" t="e">
        <f t="shared" si="13"/>
        <v>#DIV/0!</v>
      </c>
      <c r="I250" s="35" t="e">
        <f>(Table143454[[#This Row],[Core CPI]]-F238)/F238</f>
        <v>#DIV/0!</v>
      </c>
    </row>
    <row r="251" spans="1:9" x14ac:dyDescent="0.35">
      <c r="A251" s="33">
        <f>IF(Data!A278="",#N/A,Data!A278)</f>
        <v>26299</v>
      </c>
      <c r="B251" s="34">
        <f>VLOOKUP(A251,Data!A:AX,MATCH($B$2,Data!$B$1:$AX$1,0),FALSE)</f>
        <v>8.5716000000000004E-5</v>
      </c>
      <c r="C251" s="35">
        <f t="shared" si="14"/>
        <v>-9.9066444447026836E-4</v>
      </c>
      <c r="D251" s="35">
        <f t="shared" ref="D251:D314" si="15">((1+C251)^12)-1</f>
        <v>-1.1823413294758778E-2</v>
      </c>
      <c r="E251" s="35">
        <f>(Table143454[[#This Row],[USA]]-B239)/B239</f>
        <v>0.21932345159179503</v>
      </c>
      <c r="F251" s="34">
        <f>VLOOKUP(Table143454[[#This Row],[Date]],'Data Core CPI'!$A:$AX,MATCH($B$2,'Data Core CPI'!$B$1:$AX$1,0),FALSE)</f>
        <v>0</v>
      </c>
      <c r="G251" s="35" t="e">
        <f t="shared" si="12"/>
        <v>#DIV/0!</v>
      </c>
      <c r="H251" s="35" t="e">
        <f t="shared" si="13"/>
        <v>#DIV/0!</v>
      </c>
      <c r="I251" s="35" t="e">
        <f>(Table143454[[#This Row],[Core CPI]]-F239)/F239</f>
        <v>#DIV/0!</v>
      </c>
    </row>
    <row r="252" spans="1:9" x14ac:dyDescent="0.35">
      <c r="A252" s="33">
        <f>IF(Data!A279="",#N/A,Data!A279)</f>
        <v>26330</v>
      </c>
      <c r="B252" s="34">
        <f>VLOOKUP(A252,Data!A:AX,MATCH($B$2,Data!$B$1:$AX$1,0),FALSE)</f>
        <v>8.6862999999999998E-5</v>
      </c>
      <c r="C252" s="35">
        <f t="shared" si="14"/>
        <v>1.3381399038685737E-2</v>
      </c>
      <c r="D252" s="35">
        <f t="shared" si="15"/>
        <v>0.17293822789493674</v>
      </c>
      <c r="E252" s="35">
        <f>(Table143454[[#This Row],[USA]]-B240)/B240</f>
        <v>0.2064808255899552</v>
      </c>
      <c r="F252" s="34">
        <f>VLOOKUP(Table143454[[#This Row],[Date]],'Data Core CPI'!$A:$AX,MATCH($B$2,'Data Core CPI'!$B$1:$AX$1,0),FALSE)</f>
        <v>0</v>
      </c>
      <c r="G252" s="35" t="e">
        <f t="shared" si="12"/>
        <v>#DIV/0!</v>
      </c>
      <c r="H252" s="35" t="e">
        <f t="shared" si="13"/>
        <v>#DIV/0!</v>
      </c>
      <c r="I252" s="35" t="e">
        <f>(Table143454[[#This Row],[Core CPI]]-F240)/F240</f>
        <v>#DIV/0!</v>
      </c>
    </row>
    <row r="253" spans="1:9" x14ac:dyDescent="0.35">
      <c r="A253" s="33">
        <f>IF(Data!A280="",#N/A,Data!A280)</f>
        <v>26359</v>
      </c>
      <c r="B253" s="34">
        <f>VLOOKUP(A253,Data!A:AX,MATCH($B$2,Data!$B$1:$AX$1,0),FALSE)</f>
        <v>8.6947999999999995E-5</v>
      </c>
      <c r="C253" s="35">
        <f t="shared" si="14"/>
        <v>9.7855243314182161E-4</v>
      </c>
      <c r="D253" s="35">
        <f t="shared" si="15"/>
        <v>1.1806035079379384E-2</v>
      </c>
      <c r="E253" s="35">
        <f>(Table143454[[#This Row],[USA]]-B241)/B241</f>
        <v>0.19637844680499755</v>
      </c>
      <c r="F253" s="34">
        <f>VLOOKUP(Table143454[[#This Row],[Date]],'Data Core CPI'!$A:$AX,MATCH($B$2,'Data Core CPI'!$B$1:$AX$1,0),FALSE)</f>
        <v>0</v>
      </c>
      <c r="G253" s="35" t="e">
        <f t="shared" si="12"/>
        <v>#DIV/0!</v>
      </c>
      <c r="H253" s="35" t="e">
        <f t="shared" si="13"/>
        <v>#DIV/0!</v>
      </c>
      <c r="I253" s="35" t="e">
        <f>(Table143454[[#This Row],[Core CPI]]-F241)/F241</f>
        <v>#DIV/0!</v>
      </c>
    </row>
    <row r="254" spans="1:9" x14ac:dyDescent="0.35">
      <c r="A254" s="33">
        <f>IF(Data!A281="",#N/A,Data!A281)</f>
        <v>26390</v>
      </c>
      <c r="B254" s="34">
        <f>VLOOKUP(A254,Data!A:AX,MATCH($B$2,Data!$B$1:$AX$1,0),FALSE)</f>
        <v>8.7202999999999998E-5</v>
      </c>
      <c r="C254" s="35">
        <f t="shared" si="14"/>
        <v>2.9327874131666043E-3</v>
      </c>
      <c r="D254" s="35">
        <f t="shared" si="15"/>
        <v>3.5766717359068112E-2</v>
      </c>
      <c r="E254" s="35">
        <f>(Table143454[[#This Row],[USA]]-B242)/B242</f>
        <v>0.17381881814510708</v>
      </c>
      <c r="F254" s="34">
        <f>VLOOKUP(Table143454[[#This Row],[Date]],'Data Core CPI'!$A:$AX,MATCH($B$2,'Data Core CPI'!$B$1:$AX$1,0),FALSE)</f>
        <v>0</v>
      </c>
      <c r="G254" s="35" t="e">
        <f t="shared" si="12"/>
        <v>#DIV/0!</v>
      </c>
      <c r="H254" s="35" t="e">
        <f t="shared" si="13"/>
        <v>#DIV/0!</v>
      </c>
      <c r="I254" s="35" t="e">
        <f>(Table143454[[#This Row],[Core CPI]]-F242)/F242</f>
        <v>#DIV/0!</v>
      </c>
    </row>
    <row r="255" spans="1:9" x14ac:dyDescent="0.35">
      <c r="A255" s="33">
        <f>IF(Data!A282="",#N/A,Data!A282)</f>
        <v>26420</v>
      </c>
      <c r="B255" s="34">
        <f>VLOOKUP(A255,Data!A:AX,MATCH($B$2,Data!$B$1:$AX$1,0),FALSE)</f>
        <v>8.8350000000000006E-5</v>
      </c>
      <c r="C255" s="35">
        <f t="shared" si="14"/>
        <v>1.3153217205830181E-2</v>
      </c>
      <c r="D255" s="35">
        <f t="shared" si="15"/>
        <v>0.16977284135794357</v>
      </c>
      <c r="E255" s="35">
        <f>(Table143454[[#This Row],[USA]]-B243)/B243</f>
        <v>0.17847138855542233</v>
      </c>
      <c r="F255" s="34">
        <f>VLOOKUP(Table143454[[#This Row],[Date]],'Data Core CPI'!$A:$AX,MATCH($B$2,'Data Core CPI'!$B$1:$AX$1,0),FALSE)</f>
        <v>0</v>
      </c>
      <c r="G255" s="35" t="e">
        <f t="shared" si="12"/>
        <v>#DIV/0!</v>
      </c>
      <c r="H255" s="35" t="e">
        <f t="shared" si="13"/>
        <v>#DIV/0!</v>
      </c>
      <c r="I255" s="35" t="e">
        <f>(Table143454[[#This Row],[Core CPI]]-F243)/F243</f>
        <v>#DIV/0!</v>
      </c>
    </row>
    <row r="256" spans="1:9" x14ac:dyDescent="0.35">
      <c r="A256" s="33">
        <f>IF(Data!A283="",#N/A,Data!A283)</f>
        <v>26451</v>
      </c>
      <c r="B256" s="34">
        <f>VLOOKUP(A256,Data!A:AX,MATCH($B$2,Data!$B$1:$AX$1,0),FALSE)</f>
        <v>9.1237999999999996E-5</v>
      </c>
      <c r="C256" s="35">
        <f t="shared" si="14"/>
        <v>3.2688172043010555E-2</v>
      </c>
      <c r="D256" s="35">
        <f t="shared" si="15"/>
        <v>0.47106016039098875</v>
      </c>
      <c r="E256" s="35">
        <f>(Table143454[[#This Row],[USA]]-B244)/B244</f>
        <v>0.19598358829158311</v>
      </c>
      <c r="F256" s="34">
        <f>VLOOKUP(Table143454[[#This Row],[Date]],'Data Core CPI'!$A:$AX,MATCH($B$2,'Data Core CPI'!$B$1:$AX$1,0),FALSE)</f>
        <v>0</v>
      </c>
      <c r="G256" s="35" t="e">
        <f t="shared" si="12"/>
        <v>#DIV/0!</v>
      </c>
      <c r="H256" s="35" t="e">
        <f t="shared" si="13"/>
        <v>#DIV/0!</v>
      </c>
      <c r="I256" s="35" t="e">
        <f>(Table143454[[#This Row],[Core CPI]]-F244)/F244</f>
        <v>#DIV/0!</v>
      </c>
    </row>
    <row r="257" spans="1:9" x14ac:dyDescent="0.35">
      <c r="A257" s="33">
        <f>IF(Data!A284="",#N/A,Data!A284)</f>
        <v>26481</v>
      </c>
      <c r="B257" s="34">
        <f>VLOOKUP(A257,Data!A:AX,MATCH($B$2,Data!$B$1:$AX$1,0),FALSE)</f>
        <v>9.2385000000000004E-5</v>
      </c>
      <c r="C257" s="35">
        <f t="shared" si="14"/>
        <v>1.2571516254192394E-2</v>
      </c>
      <c r="D257" s="35">
        <f t="shared" si="15"/>
        <v>0.16173875561141959</v>
      </c>
      <c r="E257" s="35">
        <f>(Table143454[[#This Row],[USA]]-B245)/B245</f>
        <v>0.14775381404363169</v>
      </c>
      <c r="F257" s="34">
        <f>VLOOKUP(Table143454[[#This Row],[Date]],'Data Core CPI'!$A:$AX,MATCH($B$2,'Data Core CPI'!$B$1:$AX$1,0),FALSE)</f>
        <v>0</v>
      </c>
      <c r="G257" s="35" t="e">
        <f t="shared" si="12"/>
        <v>#DIV/0!</v>
      </c>
      <c r="H257" s="35" t="e">
        <f t="shared" si="13"/>
        <v>#DIV/0!</v>
      </c>
      <c r="I257" s="35" t="e">
        <f>(Table143454[[#This Row],[Core CPI]]-F245)/F245</f>
        <v>#DIV/0!</v>
      </c>
    </row>
    <row r="258" spans="1:9" x14ac:dyDescent="0.35">
      <c r="A258" s="33">
        <f>IF(Data!A285="",#N/A,Data!A285)</f>
        <v>26512</v>
      </c>
      <c r="B258" s="34">
        <f>VLOOKUP(A258,Data!A:AX,MATCH($B$2,Data!$B$1:$AX$1,0),FALSE)</f>
        <v>9.2597999999999997E-5</v>
      </c>
      <c r="C258" s="35">
        <f t="shared" si="14"/>
        <v>2.3055690858904132E-3</v>
      </c>
      <c r="D258" s="35">
        <f t="shared" si="15"/>
        <v>2.8020372121672743E-2</v>
      </c>
      <c r="E258" s="35">
        <f>(Table143454[[#This Row],[USA]]-B246)/B246</f>
        <v>0.12140772407445533</v>
      </c>
      <c r="F258" s="34">
        <f>VLOOKUP(Table143454[[#This Row],[Date]],'Data Core CPI'!$A:$AX,MATCH($B$2,'Data Core CPI'!$B$1:$AX$1,0),FALSE)</f>
        <v>0</v>
      </c>
      <c r="G258" s="35" t="e">
        <f t="shared" si="12"/>
        <v>#DIV/0!</v>
      </c>
      <c r="H258" s="35" t="e">
        <f t="shared" si="13"/>
        <v>#DIV/0!</v>
      </c>
      <c r="I258" s="35" t="e">
        <f>(Table143454[[#This Row],[Core CPI]]-F246)/F246</f>
        <v>#DIV/0!</v>
      </c>
    </row>
    <row r="259" spans="1:9" x14ac:dyDescent="0.35">
      <c r="A259" s="33">
        <f>IF(Data!A286="",#N/A,Data!A286)</f>
        <v>26543</v>
      </c>
      <c r="B259" s="34">
        <f>VLOOKUP(A259,Data!A:AX,MATCH($B$2,Data!$B$1:$AX$1,0),FALSE)</f>
        <v>9.3573999999999996E-5</v>
      </c>
      <c r="C259" s="35">
        <f t="shared" si="14"/>
        <v>1.0540184453228019E-2</v>
      </c>
      <c r="D259" s="35">
        <f t="shared" si="15"/>
        <v>0.13407834209538305</v>
      </c>
      <c r="E259" s="35">
        <f>(Table143454[[#This Row],[USA]]-B247)/B247</f>
        <v>0.11997606223818071</v>
      </c>
      <c r="F259" s="34">
        <f>VLOOKUP(Table143454[[#This Row],[Date]],'Data Core CPI'!$A:$AX,MATCH($B$2,'Data Core CPI'!$B$1:$AX$1,0),FALSE)</f>
        <v>0</v>
      </c>
      <c r="G259" s="35" t="e">
        <f t="shared" ref="G259:G322" si="16">(F259/F258)-1</f>
        <v>#DIV/0!</v>
      </c>
      <c r="H259" s="35" t="e">
        <f t="shared" ref="H259:H322" si="17">((1+G259)^12)-1</f>
        <v>#DIV/0!</v>
      </c>
      <c r="I259" s="35" t="e">
        <f>(Table143454[[#This Row],[Core CPI]]-F247)/F247</f>
        <v>#DIV/0!</v>
      </c>
    </row>
    <row r="260" spans="1:9" x14ac:dyDescent="0.35">
      <c r="A260" s="33">
        <f>IF(Data!A287="",#N/A,Data!A287)</f>
        <v>26573</v>
      </c>
      <c r="B260" s="34">
        <f>VLOOKUP(A260,Data!A:AX,MATCH($B$2,Data!$B$1:$AX$1,0),FALSE)</f>
        <v>9.4424000000000003E-5</v>
      </c>
      <c r="C260" s="35">
        <f t="shared" ref="C260:C323" si="18">(B260/B259)-1</f>
        <v>9.0837198367068606E-3</v>
      </c>
      <c r="D260" s="35">
        <f t="shared" si="15"/>
        <v>0.11461887696683104</v>
      </c>
      <c r="E260" s="35">
        <f>(Table143454[[#This Row],[USA]]-B248)/B248</f>
        <v>0.10983909072744154</v>
      </c>
      <c r="F260" s="34">
        <f>VLOOKUP(Table143454[[#This Row],[Date]],'Data Core CPI'!$A:$AX,MATCH($B$2,'Data Core CPI'!$B$1:$AX$1,0),FALSE)</f>
        <v>0</v>
      </c>
      <c r="G260" s="35" t="e">
        <f t="shared" si="16"/>
        <v>#DIV/0!</v>
      </c>
      <c r="H260" s="35" t="e">
        <f t="shared" si="17"/>
        <v>#DIV/0!</v>
      </c>
      <c r="I260" s="35" t="e">
        <f>(Table143454[[#This Row],[Core CPI]]-F248)/F248</f>
        <v>#DIV/0!</v>
      </c>
    </row>
    <row r="261" spans="1:9" x14ac:dyDescent="0.35">
      <c r="A261" s="33">
        <f>IF(Data!A288="",#N/A,Data!A288)</f>
        <v>26604</v>
      </c>
      <c r="B261" s="34">
        <f>VLOOKUP(A261,Data!A:AX,MATCH($B$2,Data!$B$1:$AX$1,0),FALSE)</f>
        <v>9.4933999999999996E-5</v>
      </c>
      <c r="C261" s="35">
        <f t="shared" si="18"/>
        <v>5.4011691942725815E-3</v>
      </c>
      <c r="D261" s="35">
        <f t="shared" si="15"/>
        <v>6.6774513339382446E-2</v>
      </c>
      <c r="E261" s="35">
        <f>(Table143454[[#This Row],[USA]]-B249)/B249</f>
        <v>0.1047958198047225</v>
      </c>
      <c r="F261" s="34">
        <f>VLOOKUP(Table143454[[#This Row],[Date]],'Data Core CPI'!$A:$AX,MATCH($B$2,'Data Core CPI'!$B$1:$AX$1,0),FALSE)</f>
        <v>0</v>
      </c>
      <c r="G261" s="35" t="e">
        <f t="shared" si="16"/>
        <v>#DIV/0!</v>
      </c>
      <c r="H261" s="35" t="e">
        <f t="shared" si="17"/>
        <v>#DIV/0!</v>
      </c>
      <c r="I261" s="35" t="e">
        <f>(Table143454[[#This Row],[Core CPI]]-F249)/F249</f>
        <v>#DIV/0!</v>
      </c>
    </row>
    <row r="262" spans="1:9" x14ac:dyDescent="0.35">
      <c r="A262" s="33">
        <f>IF(Data!A289="",#N/A,Data!A289)</f>
        <v>26634</v>
      </c>
      <c r="B262" s="34">
        <f>VLOOKUP(A262,Data!A:AX,MATCH($B$2,Data!$B$1:$AX$1,0),FALSE)</f>
        <v>9.5230999999999997E-5</v>
      </c>
      <c r="C262" s="35">
        <f t="shared" si="18"/>
        <v>3.128489266227108E-3</v>
      </c>
      <c r="D262" s="35">
        <f t="shared" si="15"/>
        <v>3.8194626608605287E-2</v>
      </c>
      <c r="E262" s="35">
        <f>(Table143454[[#This Row],[USA]]-B250)/B250</f>
        <v>0.10990547895712166</v>
      </c>
      <c r="F262" s="34">
        <f>VLOOKUP(Table143454[[#This Row],[Date]],'Data Core CPI'!$A:$AX,MATCH($B$2,'Data Core CPI'!$B$1:$AX$1,0),FALSE)</f>
        <v>0</v>
      </c>
      <c r="G262" s="35" t="e">
        <f t="shared" si="16"/>
        <v>#DIV/0!</v>
      </c>
      <c r="H262" s="35" t="e">
        <f t="shared" si="17"/>
        <v>#DIV/0!</v>
      </c>
      <c r="I262" s="35" t="e">
        <f>(Table143454[[#This Row],[Core CPI]]-F250)/F250</f>
        <v>#DIV/0!</v>
      </c>
    </row>
    <row r="263" spans="1:9" x14ac:dyDescent="0.35">
      <c r="A263" s="33">
        <f>IF(Data!A290="",#N/A,Data!A290)</f>
        <v>26665</v>
      </c>
      <c r="B263" s="34">
        <f>VLOOKUP(A263,Data!A:AX,MATCH($B$2,Data!$B$1:$AX$1,0),FALSE)</f>
        <v>9.6207999999999998E-5</v>
      </c>
      <c r="C263" s="35">
        <f t="shared" si="18"/>
        <v>1.025926431519153E-2</v>
      </c>
      <c r="D263" s="35">
        <f t="shared" si="15"/>
        <v>0.13030097073737701</v>
      </c>
      <c r="E263" s="35">
        <f>(Table143454[[#This Row],[USA]]-B251)/B251</f>
        <v>0.12240421858229494</v>
      </c>
      <c r="F263" s="34">
        <f>VLOOKUP(Table143454[[#This Row],[Date]],'Data Core CPI'!$A:$AX,MATCH($B$2,'Data Core CPI'!$B$1:$AX$1,0),FALSE)</f>
        <v>0</v>
      </c>
      <c r="G263" s="35" t="e">
        <f t="shared" si="16"/>
        <v>#DIV/0!</v>
      </c>
      <c r="H263" s="35" t="e">
        <f t="shared" si="17"/>
        <v>#DIV/0!</v>
      </c>
      <c r="I263" s="35" t="e">
        <f>(Table143454[[#This Row],[Core CPI]]-F251)/F251</f>
        <v>#DIV/0!</v>
      </c>
    </row>
    <row r="264" spans="1:9" x14ac:dyDescent="0.35">
      <c r="A264" s="33">
        <f>IF(Data!A291="",#N/A,Data!A291)</f>
        <v>26696</v>
      </c>
      <c r="B264" s="34">
        <f>VLOOKUP(A264,Data!A:AX,MATCH($B$2,Data!$B$1:$AX$1,0),FALSE)</f>
        <v>9.6675000000000005E-5</v>
      </c>
      <c r="C264" s="35">
        <f t="shared" si="18"/>
        <v>4.8540661899219018E-3</v>
      </c>
      <c r="D264" s="35">
        <f t="shared" si="15"/>
        <v>5.9829322186062184E-2</v>
      </c>
      <c r="E264" s="35">
        <f>(Table143454[[#This Row],[USA]]-B252)/B252</f>
        <v>0.11295948792926801</v>
      </c>
      <c r="F264" s="34">
        <f>VLOOKUP(Table143454[[#This Row],[Date]],'Data Core CPI'!$A:$AX,MATCH($B$2,'Data Core CPI'!$B$1:$AX$1,0),FALSE)</f>
        <v>0</v>
      </c>
      <c r="G264" s="35" t="e">
        <f t="shared" si="16"/>
        <v>#DIV/0!</v>
      </c>
      <c r="H264" s="35" t="e">
        <f t="shared" si="17"/>
        <v>#DIV/0!</v>
      </c>
      <c r="I264" s="35" t="e">
        <f>(Table143454[[#This Row],[Core CPI]]-F252)/F252</f>
        <v>#DIV/0!</v>
      </c>
    </row>
    <row r="265" spans="1:9" x14ac:dyDescent="0.35">
      <c r="A265" s="33">
        <f>IF(Data!A292="",#N/A,Data!A292)</f>
        <v>26724</v>
      </c>
      <c r="B265" s="34">
        <f>VLOOKUP(A265,Data!A:AX,MATCH($B$2,Data!$B$1:$AX$1,0),FALSE)</f>
        <v>9.6844999999999999E-5</v>
      </c>
      <c r="C265" s="35">
        <f t="shared" si="18"/>
        <v>1.7584690974914441E-3</v>
      </c>
      <c r="D265" s="35">
        <f t="shared" si="15"/>
        <v>2.1306916275375842E-2</v>
      </c>
      <c r="E265" s="35">
        <f>(Table143454[[#This Row],[USA]]-B253)/B253</f>
        <v>0.11382665501219125</v>
      </c>
      <c r="F265" s="34">
        <f>VLOOKUP(Table143454[[#This Row],[Date]],'Data Core CPI'!$A:$AX,MATCH($B$2,'Data Core CPI'!$B$1:$AX$1,0),FALSE)</f>
        <v>0</v>
      </c>
      <c r="G265" s="35" t="e">
        <f t="shared" si="16"/>
        <v>#DIV/0!</v>
      </c>
      <c r="H265" s="35" t="e">
        <f t="shared" si="17"/>
        <v>#DIV/0!</v>
      </c>
      <c r="I265" s="35" t="e">
        <f>(Table143454[[#This Row],[Core CPI]]-F253)/F253</f>
        <v>#DIV/0!</v>
      </c>
    </row>
    <row r="266" spans="1:9" x14ac:dyDescent="0.35">
      <c r="A266" s="33">
        <f>IF(Data!A293="",#N/A,Data!A293)</f>
        <v>26755</v>
      </c>
      <c r="B266" s="34">
        <f>VLOOKUP(A266,Data!A:AX,MATCH($B$2,Data!$B$1:$AX$1,0),FALSE)</f>
        <v>9.7822E-5</v>
      </c>
      <c r="C266" s="35">
        <f t="shared" si="18"/>
        <v>1.0088285404512343E-2</v>
      </c>
      <c r="D266" s="35">
        <f t="shared" si="15"/>
        <v>0.12800756531784963</v>
      </c>
      <c r="E266" s="35">
        <f>(Table143454[[#This Row],[USA]]-B254)/B254</f>
        <v>0.12177333348623329</v>
      </c>
      <c r="F266" s="34">
        <f>VLOOKUP(Table143454[[#This Row],[Date]],'Data Core CPI'!$A:$AX,MATCH($B$2,'Data Core CPI'!$B$1:$AX$1,0),FALSE)</f>
        <v>0</v>
      </c>
      <c r="G266" s="35" t="e">
        <f t="shared" si="16"/>
        <v>#DIV/0!</v>
      </c>
      <c r="H266" s="35" t="e">
        <f t="shared" si="17"/>
        <v>#DIV/0!</v>
      </c>
      <c r="I266" s="35" t="e">
        <f>(Table143454[[#This Row],[Core CPI]]-F254)/F254</f>
        <v>#DIV/0!</v>
      </c>
    </row>
    <row r="267" spans="1:9" x14ac:dyDescent="0.35">
      <c r="A267" s="33">
        <f>IF(Data!A294="",#N/A,Data!A294)</f>
        <v>26785</v>
      </c>
      <c r="B267" s="34">
        <f>VLOOKUP(A267,Data!A:AX,MATCH($B$2,Data!$B$1:$AX$1,0),FALSE)</f>
        <v>9.9479000000000001E-5</v>
      </c>
      <c r="C267" s="35">
        <f t="shared" si="18"/>
        <v>1.6938929893071109E-2</v>
      </c>
      <c r="D267" s="35">
        <f t="shared" si="15"/>
        <v>0.22331549546526985</v>
      </c>
      <c r="E267" s="35">
        <f>(Table143454[[#This Row],[USA]]-B255)/B255</f>
        <v>0.1259649122807017</v>
      </c>
      <c r="F267" s="34">
        <f>VLOOKUP(Table143454[[#This Row],[Date]],'Data Core CPI'!$A:$AX,MATCH($B$2,'Data Core CPI'!$B$1:$AX$1,0),FALSE)</f>
        <v>0</v>
      </c>
      <c r="G267" s="35" t="e">
        <f t="shared" si="16"/>
        <v>#DIV/0!</v>
      </c>
      <c r="H267" s="35" t="e">
        <f t="shared" si="17"/>
        <v>#DIV/0!</v>
      </c>
      <c r="I267" s="35" t="e">
        <f>(Table143454[[#This Row],[Core CPI]]-F255)/F255</f>
        <v>#DIV/0!</v>
      </c>
    </row>
    <row r="268" spans="1:9" x14ac:dyDescent="0.35">
      <c r="A268" s="33">
        <f>IF(Data!A295="",#N/A,Data!A295)</f>
        <v>26816</v>
      </c>
      <c r="B268" s="34">
        <f>VLOOKUP(A268,Data!A:AX,MATCH($B$2,Data!$B$1:$AX$1,0),FALSE)</f>
        <v>1.0224E-4</v>
      </c>
      <c r="C268" s="35">
        <f t="shared" si="18"/>
        <v>2.7754601473677809E-2</v>
      </c>
      <c r="D268" s="35">
        <f t="shared" si="15"/>
        <v>0.38890697404033836</v>
      </c>
      <c r="E268" s="35">
        <f>(Table143454[[#This Row],[USA]]-B256)/B256</f>
        <v>0.12058572086192158</v>
      </c>
      <c r="F268" s="34">
        <f>VLOOKUP(Table143454[[#This Row],[Date]],'Data Core CPI'!$A:$AX,MATCH($B$2,'Data Core CPI'!$B$1:$AX$1,0),FALSE)</f>
        <v>0</v>
      </c>
      <c r="G268" s="35" t="e">
        <f t="shared" si="16"/>
        <v>#DIV/0!</v>
      </c>
      <c r="H268" s="35" t="e">
        <f t="shared" si="17"/>
        <v>#DIV/0!</v>
      </c>
      <c r="I268" s="35" t="e">
        <f>(Table143454[[#This Row],[Core CPI]]-F256)/F256</f>
        <v>#DIV/0!</v>
      </c>
    </row>
    <row r="269" spans="1:9" x14ac:dyDescent="0.35">
      <c r="A269" s="33">
        <f>IF(Data!A296="",#N/A,Data!A296)</f>
        <v>26846</v>
      </c>
      <c r="B269" s="34">
        <f>VLOOKUP(A269,Data!A:AX,MATCH($B$2,Data!$B$1:$AX$1,0),FALSE)</f>
        <v>1.02537E-4</v>
      </c>
      <c r="C269" s="35">
        <f t="shared" si="18"/>
        <v>2.9049295774647987E-3</v>
      </c>
      <c r="D269" s="35">
        <f t="shared" si="15"/>
        <v>3.5421531977788412E-2</v>
      </c>
      <c r="E269" s="35">
        <f>(Table143454[[#This Row],[USA]]-B257)/B257</f>
        <v>0.10988796882610806</v>
      </c>
      <c r="F269" s="34">
        <f>VLOOKUP(Table143454[[#This Row],[Date]],'Data Core CPI'!$A:$AX,MATCH($B$2,'Data Core CPI'!$B$1:$AX$1,0),FALSE)</f>
        <v>0</v>
      </c>
      <c r="G269" s="35" t="e">
        <f t="shared" si="16"/>
        <v>#DIV/0!</v>
      </c>
      <c r="H269" s="35" t="e">
        <f t="shared" si="17"/>
        <v>#DIV/0!</v>
      </c>
      <c r="I269" s="35" t="e">
        <f>(Table143454[[#This Row],[Core CPI]]-F257)/F257</f>
        <v>#DIV/0!</v>
      </c>
    </row>
    <row r="270" spans="1:9" x14ac:dyDescent="0.35">
      <c r="A270" s="33">
        <f>IF(Data!A297="",#N/A,Data!A297)</f>
        <v>26877</v>
      </c>
      <c r="B270" s="34">
        <f>VLOOKUP(A270,Data!A:AX,MATCH($B$2,Data!$B$1:$AX$1,0),FALSE)</f>
        <v>1.0368400000000001E-4</v>
      </c>
      <c r="C270" s="35">
        <f t="shared" si="18"/>
        <v>1.11862059549237E-2</v>
      </c>
      <c r="D270" s="35">
        <f t="shared" si="15"/>
        <v>0.14280896562034973</v>
      </c>
      <c r="E270" s="35">
        <f>(Table143454[[#This Row],[USA]]-B258)/B258</f>
        <v>0.11972180824639851</v>
      </c>
      <c r="F270" s="34">
        <f>VLOOKUP(Table143454[[#This Row],[Date]],'Data Core CPI'!$A:$AX,MATCH($B$2,'Data Core CPI'!$B$1:$AX$1,0),FALSE)</f>
        <v>0</v>
      </c>
      <c r="G270" s="35" t="e">
        <f t="shared" si="16"/>
        <v>#DIV/0!</v>
      </c>
      <c r="H270" s="35" t="e">
        <f t="shared" si="17"/>
        <v>#DIV/0!</v>
      </c>
      <c r="I270" s="35" t="e">
        <f>(Table143454[[#This Row],[Core CPI]]-F258)/F258</f>
        <v>#DIV/0!</v>
      </c>
    </row>
    <row r="271" spans="1:9" x14ac:dyDescent="0.35">
      <c r="A271" s="33">
        <f>IF(Data!A298="",#N/A,Data!A298)</f>
        <v>26908</v>
      </c>
      <c r="B271" s="34">
        <f>VLOOKUP(A271,Data!A:AX,MATCH($B$2,Data!$B$1:$AX$1,0),FALSE)</f>
        <v>1.08399E-4</v>
      </c>
      <c r="C271" s="35">
        <f t="shared" si="18"/>
        <v>4.5474711623779918E-2</v>
      </c>
      <c r="D271" s="35">
        <f t="shared" si="15"/>
        <v>0.7051492118174536</v>
      </c>
      <c r="E271" s="35">
        <f>(Table143454[[#This Row],[USA]]-B259)/B259</f>
        <v>0.15843076068138595</v>
      </c>
      <c r="F271" s="34">
        <f>VLOOKUP(Table143454[[#This Row],[Date]],'Data Core CPI'!$A:$AX,MATCH($B$2,'Data Core CPI'!$B$1:$AX$1,0),FALSE)</f>
        <v>0</v>
      </c>
      <c r="G271" s="35" t="e">
        <f t="shared" si="16"/>
        <v>#DIV/0!</v>
      </c>
      <c r="H271" s="35" t="e">
        <f t="shared" si="17"/>
        <v>#DIV/0!</v>
      </c>
      <c r="I271" s="35" t="e">
        <f>(Table143454[[#This Row],[Core CPI]]-F259)/F259</f>
        <v>#DIV/0!</v>
      </c>
    </row>
    <row r="272" spans="1:9" x14ac:dyDescent="0.35">
      <c r="A272" s="33">
        <f>IF(Data!A299="",#N/A,Data!A299)</f>
        <v>26938</v>
      </c>
      <c r="B272" s="34">
        <f>VLOOKUP(A272,Data!A:AX,MATCH($B$2,Data!$B$1:$AX$1,0),FALSE)</f>
        <v>1.11075E-4</v>
      </c>
      <c r="C272" s="35">
        <f t="shared" si="18"/>
        <v>2.4686574599396716E-2</v>
      </c>
      <c r="D272" s="35">
        <f t="shared" si="15"/>
        <v>0.33996221983817865</v>
      </c>
      <c r="E272" s="35">
        <f>(Table143454[[#This Row],[USA]]-B260)/B260</f>
        <v>0.17634287892908582</v>
      </c>
      <c r="F272" s="34">
        <f>VLOOKUP(Table143454[[#This Row],[Date]],'Data Core CPI'!$A:$AX,MATCH($B$2,'Data Core CPI'!$B$1:$AX$1,0),FALSE)</f>
        <v>0</v>
      </c>
      <c r="G272" s="35" t="e">
        <f t="shared" si="16"/>
        <v>#DIV/0!</v>
      </c>
      <c r="H272" s="35" t="e">
        <f t="shared" si="17"/>
        <v>#DIV/0!</v>
      </c>
      <c r="I272" s="35" t="e">
        <f>(Table143454[[#This Row],[Core CPI]]-F260)/F260</f>
        <v>#DIV/0!</v>
      </c>
    </row>
    <row r="273" spans="1:9" x14ac:dyDescent="0.35">
      <c r="A273" s="33">
        <f>IF(Data!A300="",#N/A,Data!A300)</f>
        <v>26969</v>
      </c>
      <c r="B273" s="34">
        <f>VLOOKUP(A273,Data!A:AX,MATCH($B$2,Data!$B$1:$AX$1,0),FALSE)</f>
        <v>1.1230600000000001E-4</v>
      </c>
      <c r="C273" s="35">
        <f t="shared" si="18"/>
        <v>1.1082601845599838E-2</v>
      </c>
      <c r="D273" s="35">
        <f t="shared" si="15"/>
        <v>0.14140467818110891</v>
      </c>
      <c r="E273" s="35">
        <f>(Table143454[[#This Row],[USA]]-B261)/B261</f>
        <v>0.18299028798955075</v>
      </c>
      <c r="F273" s="34">
        <f>VLOOKUP(Table143454[[#This Row],[Date]],'Data Core CPI'!$A:$AX,MATCH($B$2,'Data Core CPI'!$B$1:$AX$1,0),FALSE)</f>
        <v>0</v>
      </c>
      <c r="G273" s="35" t="e">
        <f t="shared" si="16"/>
        <v>#DIV/0!</v>
      </c>
      <c r="H273" s="35" t="e">
        <f t="shared" si="17"/>
        <v>#DIV/0!</v>
      </c>
      <c r="I273" s="35" t="e">
        <f>(Table143454[[#This Row],[Core CPI]]-F261)/F261</f>
        <v>#DIV/0!</v>
      </c>
    </row>
    <row r="274" spans="1:9" x14ac:dyDescent="0.35">
      <c r="A274" s="33">
        <f>IF(Data!A301="",#N/A,Data!A301)</f>
        <v>26999</v>
      </c>
      <c r="B274" s="34">
        <f>VLOOKUP(A274,Data!A:AX,MATCH($B$2,Data!$B$1:$AX$1,0),FALSE)</f>
        <v>1.14048E-4</v>
      </c>
      <c r="C274" s="35">
        <f t="shared" si="18"/>
        <v>1.5511192634409587E-2</v>
      </c>
      <c r="D274" s="35">
        <f t="shared" si="15"/>
        <v>0.2028641267749498</v>
      </c>
      <c r="E274" s="35">
        <f>(Table143454[[#This Row],[USA]]-B262)/B262</f>
        <v>0.19759322069494184</v>
      </c>
      <c r="F274" s="34">
        <f>VLOOKUP(Table143454[[#This Row],[Date]],'Data Core CPI'!$A:$AX,MATCH($B$2,'Data Core CPI'!$B$1:$AX$1,0),FALSE)</f>
        <v>0</v>
      </c>
      <c r="G274" s="35" t="e">
        <f t="shared" si="16"/>
        <v>#DIV/0!</v>
      </c>
      <c r="H274" s="35" t="e">
        <f t="shared" si="17"/>
        <v>#DIV/0!</v>
      </c>
      <c r="I274" s="35" t="e">
        <f>(Table143454[[#This Row],[Core CPI]]-F262)/F262</f>
        <v>#DIV/0!</v>
      </c>
    </row>
    <row r="275" spans="1:9" x14ac:dyDescent="0.35">
      <c r="A275" s="33">
        <f>IF(Data!A302="",#N/A,Data!A302)</f>
        <v>27030</v>
      </c>
      <c r="B275" s="34">
        <f>VLOOKUP(A275,Data!A:AX,MATCH($B$2,Data!$B$1:$AX$1,0),FALSE)</f>
        <v>1.15152E-4</v>
      </c>
      <c r="C275" s="35">
        <f t="shared" si="18"/>
        <v>9.6801346801347332E-3</v>
      </c>
      <c r="D275" s="35">
        <f t="shared" si="15"/>
        <v>0.12255011810778083</v>
      </c>
      <c r="E275" s="35">
        <f>(Table143454[[#This Row],[USA]]-B263)/B263</f>
        <v>0.19690670214535175</v>
      </c>
      <c r="F275" s="34">
        <f>VLOOKUP(Table143454[[#This Row],[Date]],'Data Core CPI'!$A:$AX,MATCH($B$2,'Data Core CPI'!$B$1:$AX$1,0),FALSE)</f>
        <v>0</v>
      </c>
      <c r="G275" s="35" t="e">
        <f t="shared" si="16"/>
        <v>#DIV/0!</v>
      </c>
      <c r="H275" s="35" t="e">
        <f t="shared" si="17"/>
        <v>#DIV/0!</v>
      </c>
      <c r="I275" s="35" t="e">
        <f>(Table143454[[#This Row],[Core CPI]]-F263)/F263</f>
        <v>#DIV/0!</v>
      </c>
    </row>
    <row r="276" spans="1:9" x14ac:dyDescent="0.35">
      <c r="A276" s="33">
        <f>IF(Data!A303="",#N/A,Data!A303)</f>
        <v>27061</v>
      </c>
      <c r="B276" s="34">
        <f>VLOOKUP(A276,Data!A:AX,MATCH($B$2,Data!$B$1:$AX$1,0),FALSE)</f>
        <v>1.15067E-4</v>
      </c>
      <c r="C276" s="35">
        <f t="shared" si="18"/>
        <v>-7.3815478671668266E-4</v>
      </c>
      <c r="D276" s="35">
        <f t="shared" si="15"/>
        <v>-8.8219841935831544E-3</v>
      </c>
      <c r="E276" s="35">
        <f>(Table143454[[#This Row],[USA]]-B264)/B264</f>
        <v>0.1902456684768554</v>
      </c>
      <c r="F276" s="34">
        <f>VLOOKUP(Table143454[[#This Row],[Date]],'Data Core CPI'!$A:$AX,MATCH($B$2,'Data Core CPI'!$B$1:$AX$1,0),FALSE)</f>
        <v>0</v>
      </c>
      <c r="G276" s="35" t="e">
        <f t="shared" si="16"/>
        <v>#DIV/0!</v>
      </c>
      <c r="H276" s="35" t="e">
        <f t="shared" si="17"/>
        <v>#DIV/0!</v>
      </c>
      <c r="I276" s="35" t="e">
        <f>(Table143454[[#This Row],[Core CPI]]-F264)/F264</f>
        <v>#DIV/0!</v>
      </c>
    </row>
    <row r="277" spans="1:9" x14ac:dyDescent="0.35">
      <c r="A277" s="33">
        <f>IF(Data!A304="",#N/A,Data!A304)</f>
        <v>27089</v>
      </c>
      <c r="B277" s="34">
        <f>VLOOKUP(A277,Data!A:AX,MATCH($B$2,Data!$B$1:$AX$1,0),FALSE)</f>
        <v>1.21481E-4</v>
      </c>
      <c r="C277" s="35">
        <f t="shared" si="18"/>
        <v>5.5741437597225829E-2</v>
      </c>
      <c r="D277" s="35">
        <f t="shared" si="15"/>
        <v>0.91730327508499565</v>
      </c>
      <c r="E277" s="35">
        <f>(Table143454[[#This Row],[USA]]-B265)/B265</f>
        <v>0.25438587433527804</v>
      </c>
      <c r="F277" s="34">
        <f>VLOOKUP(Table143454[[#This Row],[Date]],'Data Core CPI'!$A:$AX,MATCH($B$2,'Data Core CPI'!$B$1:$AX$1,0),FALSE)</f>
        <v>0</v>
      </c>
      <c r="G277" s="35" t="e">
        <f t="shared" si="16"/>
        <v>#DIV/0!</v>
      </c>
      <c r="H277" s="35" t="e">
        <f t="shared" si="17"/>
        <v>#DIV/0!</v>
      </c>
      <c r="I277" s="35" t="e">
        <f>(Table143454[[#This Row],[Core CPI]]-F265)/F265</f>
        <v>#DIV/0!</v>
      </c>
    </row>
    <row r="278" spans="1:9" x14ac:dyDescent="0.35">
      <c r="A278" s="33">
        <f>IF(Data!A305="",#N/A,Data!A305)</f>
        <v>27120</v>
      </c>
      <c r="B278" s="34">
        <f>VLOOKUP(A278,Data!A:AX,MATCH($B$2,Data!$B$1:$AX$1,0),FALSE)</f>
        <v>1.2334999999999999E-4</v>
      </c>
      <c r="C278" s="35">
        <f t="shared" si="18"/>
        <v>1.5385121953227276E-2</v>
      </c>
      <c r="D278" s="35">
        <f t="shared" si="15"/>
        <v>0.20107339437979821</v>
      </c>
      <c r="E278" s="35">
        <f>(Table143454[[#This Row],[USA]]-B266)/B266</f>
        <v>0.26096379137617293</v>
      </c>
      <c r="F278" s="34">
        <f>VLOOKUP(Table143454[[#This Row],[Date]],'Data Core CPI'!$A:$AX,MATCH($B$2,'Data Core CPI'!$B$1:$AX$1,0),FALSE)</f>
        <v>0</v>
      </c>
      <c r="G278" s="35" t="e">
        <f t="shared" si="16"/>
        <v>#DIV/0!</v>
      </c>
      <c r="H278" s="35" t="e">
        <f t="shared" si="17"/>
        <v>#DIV/0!</v>
      </c>
      <c r="I278" s="35" t="e">
        <f>(Table143454[[#This Row],[Core CPI]]-F266)/F266</f>
        <v>#DIV/0!</v>
      </c>
    </row>
    <row r="279" spans="1:9" x14ac:dyDescent="0.35">
      <c r="A279" s="33">
        <f>IF(Data!A306="",#N/A,Data!A306)</f>
        <v>27150</v>
      </c>
      <c r="B279" s="34">
        <f>VLOOKUP(A279,Data!A:AX,MATCH($B$2,Data!$B$1:$AX$1,0),FALSE)</f>
        <v>1.2543100000000001E-4</v>
      </c>
      <c r="C279" s="35">
        <f t="shared" si="18"/>
        <v>1.6870693149574567E-2</v>
      </c>
      <c r="D279" s="35">
        <f t="shared" si="15"/>
        <v>0.22233084322810037</v>
      </c>
      <c r="E279" s="35">
        <f>(Table143454[[#This Row],[USA]]-B267)/B267</f>
        <v>0.26087918053056436</v>
      </c>
      <c r="F279" s="34">
        <f>VLOOKUP(Table143454[[#This Row],[Date]],'Data Core CPI'!$A:$AX,MATCH($B$2,'Data Core CPI'!$B$1:$AX$1,0),FALSE)</f>
        <v>0</v>
      </c>
      <c r="G279" s="35" t="e">
        <f t="shared" si="16"/>
        <v>#DIV/0!</v>
      </c>
      <c r="H279" s="35" t="e">
        <f t="shared" si="17"/>
        <v>#DIV/0!</v>
      </c>
      <c r="I279" s="35" t="e">
        <f>(Table143454[[#This Row],[Core CPI]]-F267)/F267</f>
        <v>#DIV/0!</v>
      </c>
    </row>
    <row r="280" spans="1:9" x14ac:dyDescent="0.35">
      <c r="A280" s="33">
        <f>IF(Data!A307="",#N/A,Data!A307)</f>
        <v>27181</v>
      </c>
      <c r="B280" s="34">
        <f>VLOOKUP(A280,Data!A:AX,MATCH($B$2,Data!$B$1:$AX$1,0),FALSE)</f>
        <v>1.27513E-4</v>
      </c>
      <c r="C280" s="35">
        <f t="shared" si="18"/>
        <v>1.6598767449832907E-2</v>
      </c>
      <c r="D280" s="35">
        <f t="shared" si="15"/>
        <v>0.21841418307876204</v>
      </c>
      <c r="E280" s="35">
        <f>(Table143454[[#This Row],[USA]]-B268)/B268</f>
        <v>0.24719287949921753</v>
      </c>
      <c r="F280" s="34">
        <f>VLOOKUP(Table143454[[#This Row],[Date]],'Data Core CPI'!$A:$AX,MATCH($B$2,'Data Core CPI'!$B$1:$AX$1,0),FALSE)</f>
        <v>0</v>
      </c>
      <c r="G280" s="35" t="e">
        <f t="shared" si="16"/>
        <v>#DIV/0!</v>
      </c>
      <c r="H280" s="35" t="e">
        <f t="shared" si="17"/>
        <v>#DIV/0!</v>
      </c>
      <c r="I280" s="35" t="e">
        <f>(Table143454[[#This Row],[Core CPI]]-F268)/F268</f>
        <v>#DIV/0!</v>
      </c>
    </row>
    <row r="281" spans="1:9" x14ac:dyDescent="0.35">
      <c r="A281" s="33">
        <f>IF(Data!A308="",#N/A,Data!A308)</f>
        <v>27211</v>
      </c>
      <c r="B281" s="34">
        <f>VLOOKUP(A281,Data!A:AX,MATCH($B$2,Data!$B$1:$AX$1,0),FALSE)</f>
        <v>1.2908400000000001E-4</v>
      </c>
      <c r="C281" s="35">
        <f t="shared" si="18"/>
        <v>1.2320312438731884E-2</v>
      </c>
      <c r="D281" s="35">
        <f t="shared" si="15"/>
        <v>0.15828495108944729</v>
      </c>
      <c r="E281" s="35">
        <f>(Table143454[[#This Row],[USA]]-B269)/B269</f>
        <v>0.25890166476491427</v>
      </c>
      <c r="F281" s="34">
        <f>VLOOKUP(Table143454[[#This Row],[Date]],'Data Core CPI'!$A:$AX,MATCH($B$2,'Data Core CPI'!$B$1:$AX$1,0),FALSE)</f>
        <v>0</v>
      </c>
      <c r="G281" s="35" t="e">
        <f t="shared" si="16"/>
        <v>#DIV/0!</v>
      </c>
      <c r="H281" s="35" t="e">
        <f t="shared" si="17"/>
        <v>#DIV/0!</v>
      </c>
      <c r="I281" s="35" t="e">
        <f>(Table143454[[#This Row],[Core CPI]]-F269)/F269</f>
        <v>#DIV/0!</v>
      </c>
    </row>
    <row r="282" spans="1:9" x14ac:dyDescent="0.35">
      <c r="A282" s="33">
        <f>IF(Data!A309="",#N/A,Data!A309)</f>
        <v>27242</v>
      </c>
      <c r="B282" s="34">
        <f>VLOOKUP(A282,Data!A:AX,MATCH($B$2,Data!$B$1:$AX$1,0),FALSE)</f>
        <v>1.3014600000000001E-4</v>
      </c>
      <c r="C282" s="35">
        <f t="shared" si="18"/>
        <v>8.2272008924422213E-3</v>
      </c>
      <c r="D282" s="35">
        <f t="shared" si="15"/>
        <v>0.10331855187637928</v>
      </c>
      <c r="E282" s="35">
        <f>(Table143454[[#This Row],[USA]]-B270)/B270</f>
        <v>0.25521777709193322</v>
      </c>
      <c r="F282" s="34">
        <f>VLOOKUP(Table143454[[#This Row],[Date]],'Data Core CPI'!$A:$AX,MATCH($B$2,'Data Core CPI'!$B$1:$AX$1,0),FALSE)</f>
        <v>0</v>
      </c>
      <c r="G282" s="35" t="e">
        <f t="shared" si="16"/>
        <v>#DIV/0!</v>
      </c>
      <c r="H282" s="35" t="e">
        <f t="shared" si="17"/>
        <v>#DIV/0!</v>
      </c>
      <c r="I282" s="35" t="e">
        <f>(Table143454[[#This Row],[Core CPI]]-F270)/F270</f>
        <v>#DIV/0!</v>
      </c>
    </row>
    <row r="283" spans="1:9" x14ac:dyDescent="0.35">
      <c r="A283" s="33">
        <f>IF(Data!A310="",#N/A,Data!A310)</f>
        <v>27273</v>
      </c>
      <c r="B283" s="34">
        <f>VLOOKUP(A283,Data!A:AX,MATCH($B$2,Data!$B$1:$AX$1,0),FALSE)</f>
        <v>1.3341699999999999E-4</v>
      </c>
      <c r="C283" s="35">
        <f t="shared" si="18"/>
        <v>2.5133311819033777E-2</v>
      </c>
      <c r="D283" s="35">
        <f t="shared" si="15"/>
        <v>0.34698932628760737</v>
      </c>
      <c r="E283" s="35">
        <f>(Table143454[[#This Row],[USA]]-B271)/B271</f>
        <v>0.23079548704323824</v>
      </c>
      <c r="F283" s="34">
        <f>VLOOKUP(Table143454[[#This Row],[Date]],'Data Core CPI'!$A:$AX,MATCH($B$2,'Data Core CPI'!$B$1:$AX$1,0),FALSE)</f>
        <v>0</v>
      </c>
      <c r="G283" s="35" t="e">
        <f t="shared" si="16"/>
        <v>#DIV/0!</v>
      </c>
      <c r="H283" s="35" t="e">
        <f t="shared" si="17"/>
        <v>#DIV/0!</v>
      </c>
      <c r="I283" s="35" t="e">
        <f>(Table143454[[#This Row],[Core CPI]]-F271)/F271</f>
        <v>#DIV/0!</v>
      </c>
    </row>
    <row r="284" spans="1:9" x14ac:dyDescent="0.35">
      <c r="A284" s="33">
        <f>IF(Data!A311="",#N/A,Data!A311)</f>
        <v>27303</v>
      </c>
      <c r="B284" s="34">
        <f>VLOOKUP(A284,Data!A:AX,MATCH($B$2,Data!$B$1:$AX$1,0),FALSE)</f>
        <v>1.3613500000000001E-4</v>
      </c>
      <c r="C284" s="35">
        <f t="shared" si="18"/>
        <v>2.037221643418774E-2</v>
      </c>
      <c r="D284" s="35">
        <f t="shared" si="15"/>
        <v>0.27380660680368618</v>
      </c>
      <c r="E284" s="35">
        <f>(Table143454[[#This Row],[USA]]-B272)/B272</f>
        <v>0.22561332433040746</v>
      </c>
      <c r="F284" s="34">
        <f>VLOOKUP(Table143454[[#This Row],[Date]],'Data Core CPI'!$A:$AX,MATCH($B$2,'Data Core CPI'!$B$1:$AX$1,0),FALSE)</f>
        <v>0</v>
      </c>
      <c r="G284" s="35" t="e">
        <f t="shared" si="16"/>
        <v>#DIV/0!</v>
      </c>
      <c r="H284" s="35" t="e">
        <f t="shared" si="17"/>
        <v>#DIV/0!</v>
      </c>
      <c r="I284" s="35" t="e">
        <f>(Table143454[[#This Row],[Core CPI]]-F272)/F272</f>
        <v>#DIV/0!</v>
      </c>
    </row>
    <row r="285" spans="1:9" x14ac:dyDescent="0.35">
      <c r="A285" s="33">
        <f>IF(Data!A312="",#N/A,Data!A312)</f>
        <v>27334</v>
      </c>
      <c r="B285" s="34">
        <f>VLOOKUP(A285,Data!A:AX,MATCH($B$2,Data!$B$1:$AX$1,0),FALSE)</f>
        <v>1.39066E-4</v>
      </c>
      <c r="C285" s="35">
        <f t="shared" si="18"/>
        <v>2.1530098798986153E-2</v>
      </c>
      <c r="D285" s="35">
        <f t="shared" si="15"/>
        <v>0.29126092426310435</v>
      </c>
      <c r="E285" s="35">
        <f>(Table143454[[#This Row],[USA]]-B273)/B273</f>
        <v>0.238277563086567</v>
      </c>
      <c r="F285" s="34">
        <f>VLOOKUP(Table143454[[#This Row],[Date]],'Data Core CPI'!$A:$AX,MATCH($B$2,'Data Core CPI'!$B$1:$AX$1,0),FALSE)</f>
        <v>0</v>
      </c>
      <c r="G285" s="35" t="e">
        <f t="shared" si="16"/>
        <v>#DIV/0!</v>
      </c>
      <c r="H285" s="35" t="e">
        <f t="shared" si="17"/>
        <v>#DIV/0!</v>
      </c>
      <c r="I285" s="35" t="e">
        <f>(Table143454[[#This Row],[Core CPI]]-F273)/F273</f>
        <v>#DIV/0!</v>
      </c>
    </row>
    <row r="286" spans="1:9" x14ac:dyDescent="0.35">
      <c r="A286" s="33">
        <f>IF(Data!A313="",#N/A,Data!A313)</f>
        <v>27364</v>
      </c>
      <c r="B286" s="34">
        <f>VLOOKUP(A286,Data!A:AX,MATCH($B$2,Data!$B$1:$AX$1,0),FALSE)</f>
        <v>1.4212400000000001E-4</v>
      </c>
      <c r="C286" s="35">
        <f t="shared" si="18"/>
        <v>2.1989558914472296E-2</v>
      </c>
      <c r="D286" s="35">
        <f t="shared" si="15"/>
        <v>0.29824753474689958</v>
      </c>
      <c r="E286" s="35">
        <f>(Table143454[[#This Row],[USA]]-B274)/B274</f>
        <v>0.24617704826038164</v>
      </c>
      <c r="F286" s="34">
        <f>VLOOKUP(Table143454[[#This Row],[Date]],'Data Core CPI'!$A:$AX,MATCH($B$2,'Data Core CPI'!$B$1:$AX$1,0),FALSE)</f>
        <v>0</v>
      </c>
      <c r="G286" s="35" t="e">
        <f t="shared" si="16"/>
        <v>#DIV/0!</v>
      </c>
      <c r="H286" s="35" t="e">
        <f t="shared" si="17"/>
        <v>#DIV/0!</v>
      </c>
      <c r="I286" s="35" t="e">
        <f>(Table143454[[#This Row],[Core CPI]]-F274)/F274</f>
        <v>#DIV/0!</v>
      </c>
    </row>
    <row r="287" spans="1:9" x14ac:dyDescent="0.35">
      <c r="A287" s="33">
        <f>IF(Data!A314="",#N/A,Data!A314)</f>
        <v>27395</v>
      </c>
      <c r="B287" s="34">
        <f>VLOOKUP(A287,Data!A:AX,MATCH($B$2,Data!$B$1:$AX$1,0),FALSE)</f>
        <v>1.43399E-4</v>
      </c>
      <c r="C287" s="35">
        <f t="shared" si="18"/>
        <v>8.9710393740676242E-3</v>
      </c>
      <c r="D287" s="35">
        <f t="shared" si="15"/>
        <v>0.11312621196071548</v>
      </c>
      <c r="E287" s="35">
        <f>(Table143454[[#This Row],[USA]]-B275)/B275</f>
        <v>0.24530186188689734</v>
      </c>
      <c r="F287" s="34">
        <f>VLOOKUP(Table143454[[#This Row],[Date]],'Data Core CPI'!$A:$AX,MATCH($B$2,'Data Core CPI'!$B$1:$AX$1,0),FALSE)</f>
        <v>0</v>
      </c>
      <c r="G287" s="35" t="e">
        <f t="shared" si="16"/>
        <v>#DIV/0!</v>
      </c>
      <c r="H287" s="35" t="e">
        <f t="shared" si="17"/>
        <v>#DIV/0!</v>
      </c>
      <c r="I287" s="35" t="e">
        <f>(Table143454[[#This Row],[Core CPI]]-F275)/F275</f>
        <v>#DIV/0!</v>
      </c>
    </row>
    <row r="288" spans="1:9" x14ac:dyDescent="0.35">
      <c r="A288" s="33">
        <f>IF(Data!A315="",#N/A,Data!A315)</f>
        <v>27426</v>
      </c>
      <c r="B288" s="34">
        <f>VLOOKUP(A288,Data!A:AX,MATCH($B$2,Data!$B$1:$AX$1,0),FALSE)</f>
        <v>1.49813E-4</v>
      </c>
      <c r="C288" s="35">
        <f t="shared" si="18"/>
        <v>4.4728345385951052E-2</v>
      </c>
      <c r="D288" s="35">
        <f t="shared" si="15"/>
        <v>0.6905987238209792</v>
      </c>
      <c r="E288" s="35">
        <f>(Table143454[[#This Row],[USA]]-B276)/B276</f>
        <v>0.3019632040463382</v>
      </c>
      <c r="F288" s="34">
        <f>VLOOKUP(Table143454[[#This Row],[Date]],'Data Core CPI'!$A:$AX,MATCH($B$2,'Data Core CPI'!$B$1:$AX$1,0),FALSE)</f>
        <v>0</v>
      </c>
      <c r="G288" s="35" t="e">
        <f t="shared" si="16"/>
        <v>#DIV/0!</v>
      </c>
      <c r="H288" s="35" t="e">
        <f t="shared" si="17"/>
        <v>#DIV/0!</v>
      </c>
      <c r="I288" s="35" t="e">
        <f>(Table143454[[#This Row],[Core CPI]]-F276)/F276</f>
        <v>#DIV/0!</v>
      </c>
    </row>
    <row r="289" spans="1:9" x14ac:dyDescent="0.35">
      <c r="A289" s="33">
        <f>IF(Data!A316="",#N/A,Data!A316)</f>
        <v>27454</v>
      </c>
      <c r="B289" s="34">
        <f>VLOOKUP(A289,Data!A:AX,MATCH($B$2,Data!$B$1:$AX$1,0),FALSE)</f>
        <v>1.5291299999999999E-4</v>
      </c>
      <c r="C289" s="35">
        <f t="shared" si="18"/>
        <v>2.0692463270877592E-2</v>
      </c>
      <c r="D289" s="35">
        <f t="shared" si="15"/>
        <v>0.2786123524316475</v>
      </c>
      <c r="E289" s="35">
        <f>(Table143454[[#This Row],[USA]]-B277)/B277</f>
        <v>0.25874004988434401</v>
      </c>
      <c r="F289" s="34">
        <f>VLOOKUP(Table143454[[#This Row],[Date]],'Data Core CPI'!$A:$AX,MATCH($B$2,'Data Core CPI'!$B$1:$AX$1,0),FALSE)</f>
        <v>0</v>
      </c>
      <c r="G289" s="35" t="e">
        <f t="shared" si="16"/>
        <v>#DIV/0!</v>
      </c>
      <c r="H289" s="35" t="e">
        <f t="shared" si="17"/>
        <v>#DIV/0!</v>
      </c>
      <c r="I289" s="35" t="e">
        <f>(Table143454[[#This Row],[Core CPI]]-F277)/F277</f>
        <v>#DIV/0!</v>
      </c>
    </row>
    <row r="290" spans="1:9" x14ac:dyDescent="0.35">
      <c r="A290" s="33">
        <f>IF(Data!A317="",#N/A,Data!A317)</f>
        <v>27485</v>
      </c>
      <c r="B290" s="34">
        <f>VLOOKUP(A290,Data!A:AX,MATCH($B$2,Data!$B$1:$AX$1,0),FALSE)</f>
        <v>1.5350800000000001E-4</v>
      </c>
      <c r="C290" s="35">
        <f t="shared" si="18"/>
        <v>3.8911014760028007E-3</v>
      </c>
      <c r="D290" s="35">
        <f t="shared" si="15"/>
        <v>4.7705577216380135E-2</v>
      </c>
      <c r="E290" s="35">
        <f>(Table143454[[#This Row],[USA]]-B278)/B278</f>
        <v>0.24449128496149186</v>
      </c>
      <c r="F290" s="34">
        <f>VLOOKUP(Table143454[[#This Row],[Date]],'Data Core CPI'!$A:$AX,MATCH($B$2,'Data Core CPI'!$B$1:$AX$1,0),FALSE)</f>
        <v>0</v>
      </c>
      <c r="G290" s="35" t="e">
        <f t="shared" si="16"/>
        <v>#DIV/0!</v>
      </c>
      <c r="H290" s="35" t="e">
        <f t="shared" si="17"/>
        <v>#DIV/0!</v>
      </c>
      <c r="I290" s="35" t="e">
        <f>(Table143454[[#This Row],[Core CPI]]-F278)/F278</f>
        <v>#DIV/0!</v>
      </c>
    </row>
    <row r="291" spans="1:9" x14ac:dyDescent="0.35">
      <c r="A291" s="33">
        <f>IF(Data!A318="",#N/A,Data!A318)</f>
        <v>27515</v>
      </c>
      <c r="B291" s="34">
        <f>VLOOKUP(A291,Data!A:AX,MATCH($B$2,Data!$B$1:$AX$1,0),FALSE)</f>
        <v>1.5465499999999999E-4</v>
      </c>
      <c r="C291" s="35">
        <f t="shared" si="18"/>
        <v>7.4719232873854402E-3</v>
      </c>
      <c r="D291" s="35">
        <f t="shared" si="15"/>
        <v>9.3441171076989571E-2</v>
      </c>
      <c r="E291" s="35">
        <f>(Table143454[[#This Row],[USA]]-B279)/B279</f>
        <v>0.23298865511715583</v>
      </c>
      <c r="F291" s="34">
        <f>VLOOKUP(Table143454[[#This Row],[Date]],'Data Core CPI'!$A:$AX,MATCH($B$2,'Data Core CPI'!$B$1:$AX$1,0),FALSE)</f>
        <v>0</v>
      </c>
      <c r="G291" s="35" t="e">
        <f t="shared" si="16"/>
        <v>#DIV/0!</v>
      </c>
      <c r="H291" s="35" t="e">
        <f t="shared" si="17"/>
        <v>#DIV/0!</v>
      </c>
      <c r="I291" s="35" t="e">
        <f>(Table143454[[#This Row],[Core CPI]]-F279)/F279</f>
        <v>#DIV/0!</v>
      </c>
    </row>
    <row r="292" spans="1:9" x14ac:dyDescent="0.35">
      <c r="A292" s="33">
        <f>IF(Data!A319="",#N/A,Data!A319)</f>
        <v>27546</v>
      </c>
      <c r="B292" s="34">
        <f>VLOOKUP(A292,Data!A:AX,MATCH($B$2,Data!$B$1:$AX$1,0),FALSE)</f>
        <v>1.5440000000000001E-4</v>
      </c>
      <c r="C292" s="35">
        <f t="shared" si="18"/>
        <v>-1.6488312695999152E-3</v>
      </c>
      <c r="D292" s="35">
        <f t="shared" si="15"/>
        <v>-1.960752721455683E-2</v>
      </c>
      <c r="E292" s="35">
        <f>(Table143454[[#This Row],[USA]]-B280)/B280</f>
        <v>0.21085693223436056</v>
      </c>
      <c r="F292" s="34">
        <f>VLOOKUP(Table143454[[#This Row],[Date]],'Data Core CPI'!$A:$AX,MATCH($B$2,'Data Core CPI'!$B$1:$AX$1,0),FALSE)</f>
        <v>0</v>
      </c>
      <c r="G292" s="35" t="e">
        <f t="shared" si="16"/>
        <v>#DIV/0!</v>
      </c>
      <c r="H292" s="35" t="e">
        <f t="shared" si="17"/>
        <v>#DIV/0!</v>
      </c>
      <c r="I292" s="35" t="e">
        <f>(Table143454[[#This Row],[Core CPI]]-F280)/F280</f>
        <v>#DIV/0!</v>
      </c>
    </row>
    <row r="293" spans="1:9" x14ac:dyDescent="0.35">
      <c r="A293" s="33">
        <f>IF(Data!A320="",#N/A,Data!A320)</f>
        <v>27576</v>
      </c>
      <c r="B293" s="34">
        <f>VLOOKUP(A293,Data!A:AX,MATCH($B$2,Data!$B$1:$AX$1,0),FALSE)</f>
        <v>1.5457000000000001E-4</v>
      </c>
      <c r="C293" s="35">
        <f t="shared" si="18"/>
        <v>1.1010362694299225E-3</v>
      </c>
      <c r="D293" s="35">
        <f t="shared" si="15"/>
        <v>1.3292740147446525E-2</v>
      </c>
      <c r="E293" s="35">
        <f>(Table143454[[#This Row],[USA]]-B281)/B281</f>
        <v>0.19743732763161964</v>
      </c>
      <c r="F293" s="34">
        <f>VLOOKUP(Table143454[[#This Row],[Date]],'Data Core CPI'!$A:$AX,MATCH($B$2,'Data Core CPI'!$B$1:$AX$1,0),FALSE)</f>
        <v>0</v>
      </c>
      <c r="G293" s="35" t="e">
        <f t="shared" si="16"/>
        <v>#DIV/0!</v>
      </c>
      <c r="H293" s="35" t="e">
        <f t="shared" si="17"/>
        <v>#DIV/0!</v>
      </c>
      <c r="I293" s="35" t="e">
        <f>(Table143454[[#This Row],[Core CPI]]-F281)/F281</f>
        <v>#DIV/0!</v>
      </c>
    </row>
    <row r="294" spans="1:9" x14ac:dyDescent="0.35">
      <c r="A294" s="33">
        <f>IF(Data!A321="",#N/A,Data!A321)</f>
        <v>27607</v>
      </c>
      <c r="B294" s="34">
        <f>VLOOKUP(A294,Data!A:AX,MATCH($B$2,Data!$B$1:$AX$1,0),FALSE)</f>
        <v>1.5508000000000001E-4</v>
      </c>
      <c r="C294" s="35">
        <f t="shared" si="18"/>
        <v>3.2994759655819994E-3</v>
      </c>
      <c r="D294" s="35">
        <f t="shared" si="15"/>
        <v>4.0320184686581273E-2</v>
      </c>
      <c r="E294" s="35">
        <f>(Table143454[[#This Row],[USA]]-B282)/B282</f>
        <v>0.19158483549244695</v>
      </c>
      <c r="F294" s="34">
        <f>VLOOKUP(Table143454[[#This Row],[Date]],'Data Core CPI'!$A:$AX,MATCH($B$2,'Data Core CPI'!$B$1:$AX$1,0),FALSE)</f>
        <v>0</v>
      </c>
      <c r="G294" s="35" t="e">
        <f t="shared" si="16"/>
        <v>#DIV/0!</v>
      </c>
      <c r="H294" s="35" t="e">
        <f t="shared" si="17"/>
        <v>#DIV/0!</v>
      </c>
      <c r="I294" s="35" t="e">
        <f>(Table143454[[#This Row],[Core CPI]]-F282)/F282</f>
        <v>#DIV/0!</v>
      </c>
    </row>
    <row r="295" spans="1:9" x14ac:dyDescent="0.35">
      <c r="A295" s="33">
        <f>IF(Data!A322="",#N/A,Data!A322)</f>
        <v>27638</v>
      </c>
      <c r="B295" s="34">
        <f>VLOOKUP(A295,Data!A:AX,MATCH($B$2,Data!$B$1:$AX$1,0),FALSE)</f>
        <v>1.57076E-4</v>
      </c>
      <c r="C295" s="35">
        <f t="shared" si="18"/>
        <v>1.2870776373484549E-2</v>
      </c>
      <c r="D295" s="35">
        <f t="shared" si="15"/>
        <v>0.16586560792735905</v>
      </c>
      <c r="E295" s="35">
        <f>(Table143454[[#This Row],[USA]]-B283)/B283</f>
        <v>0.17733122465652815</v>
      </c>
      <c r="F295" s="34">
        <f>VLOOKUP(Table143454[[#This Row],[Date]],'Data Core CPI'!$A:$AX,MATCH($B$2,'Data Core CPI'!$B$1:$AX$1,0),FALSE)</f>
        <v>0</v>
      </c>
      <c r="G295" s="35" t="e">
        <f t="shared" si="16"/>
        <v>#DIV/0!</v>
      </c>
      <c r="H295" s="35" t="e">
        <f t="shared" si="17"/>
        <v>#DIV/0!</v>
      </c>
      <c r="I295" s="35" t="e">
        <f>(Table143454[[#This Row],[Core CPI]]-F283)/F283</f>
        <v>#DIV/0!</v>
      </c>
    </row>
    <row r="296" spans="1:9" x14ac:dyDescent="0.35">
      <c r="A296" s="33">
        <f>IF(Data!A323="",#N/A,Data!A323)</f>
        <v>27668</v>
      </c>
      <c r="B296" s="34">
        <f>VLOOKUP(A296,Data!A:AX,MATCH($B$2,Data!$B$1:$AX$1,0),FALSE)</f>
        <v>1.6081400000000001E-4</v>
      </c>
      <c r="C296" s="35">
        <f t="shared" si="18"/>
        <v>2.3797397438182877E-2</v>
      </c>
      <c r="D296" s="35">
        <f t="shared" si="15"/>
        <v>0.3260755098467647</v>
      </c>
      <c r="E296" s="35">
        <f>(Table143454[[#This Row],[USA]]-B284)/B284</f>
        <v>0.18128328497447385</v>
      </c>
      <c r="F296" s="34">
        <f>VLOOKUP(Table143454[[#This Row],[Date]],'Data Core CPI'!$A:$AX,MATCH($B$2,'Data Core CPI'!$B$1:$AX$1,0),FALSE)</f>
        <v>0</v>
      </c>
      <c r="G296" s="35" t="e">
        <f t="shared" si="16"/>
        <v>#DIV/0!</v>
      </c>
      <c r="H296" s="35" t="e">
        <f t="shared" si="17"/>
        <v>#DIV/0!</v>
      </c>
      <c r="I296" s="35" t="e">
        <f>(Table143454[[#This Row],[Core CPI]]-F284)/F284</f>
        <v>#DIV/0!</v>
      </c>
    </row>
    <row r="297" spans="1:9" x14ac:dyDescent="0.35">
      <c r="A297" s="33">
        <f>IF(Data!A324="",#N/A,Data!A324)</f>
        <v>27699</v>
      </c>
      <c r="B297" s="34">
        <f>VLOOKUP(A297,Data!A:AX,MATCH($B$2,Data!$B$1:$AX$1,0),FALSE)</f>
        <v>1.6297999999999999E-4</v>
      </c>
      <c r="C297" s="35">
        <f t="shared" si="18"/>
        <v>1.3468976581640701E-2</v>
      </c>
      <c r="D297" s="35">
        <f t="shared" si="15"/>
        <v>0.1741552056857687</v>
      </c>
      <c r="E297" s="35">
        <f>(Table143454[[#This Row],[USA]]-B285)/B285</f>
        <v>0.17196151467648446</v>
      </c>
      <c r="F297" s="34">
        <f>VLOOKUP(Table143454[[#This Row],[Date]],'Data Core CPI'!$A:$AX,MATCH($B$2,'Data Core CPI'!$B$1:$AX$1,0),FALSE)</f>
        <v>0</v>
      </c>
      <c r="G297" s="35" t="e">
        <f t="shared" si="16"/>
        <v>#DIV/0!</v>
      </c>
      <c r="H297" s="35" t="e">
        <f t="shared" si="17"/>
        <v>#DIV/0!</v>
      </c>
      <c r="I297" s="35" t="e">
        <f>(Table143454[[#This Row],[Core CPI]]-F285)/F285</f>
        <v>#DIV/0!</v>
      </c>
    </row>
    <row r="298" spans="1:9" x14ac:dyDescent="0.35">
      <c r="A298" s="33">
        <f>IF(Data!A325="",#N/A,Data!A325)</f>
        <v>27729</v>
      </c>
      <c r="B298" s="34">
        <f>VLOOKUP(A298,Data!A:AX,MATCH($B$2,Data!$B$1:$AX$1,0),FALSE)</f>
        <v>1.65231E-4</v>
      </c>
      <c r="C298" s="35">
        <f t="shared" si="18"/>
        <v>1.3811510614799571E-2</v>
      </c>
      <c r="D298" s="35">
        <f t="shared" si="15"/>
        <v>0.17892618454470433</v>
      </c>
      <c r="E298" s="35">
        <f>(Table143454[[#This Row],[USA]]-B286)/B286</f>
        <v>0.16258337789535893</v>
      </c>
      <c r="F298" s="34">
        <f>VLOOKUP(Table143454[[#This Row],[Date]],'Data Core CPI'!$A:$AX,MATCH($B$2,'Data Core CPI'!$B$1:$AX$1,0),FALSE)</f>
        <v>0</v>
      </c>
      <c r="G298" s="35" t="e">
        <f t="shared" si="16"/>
        <v>#DIV/0!</v>
      </c>
      <c r="H298" s="35" t="e">
        <f t="shared" si="17"/>
        <v>#DIV/0!</v>
      </c>
      <c r="I298" s="35" t="e">
        <f>(Table143454[[#This Row],[Core CPI]]-F286)/F286</f>
        <v>#DIV/0!</v>
      </c>
    </row>
    <row r="299" spans="1:9" x14ac:dyDescent="0.35">
      <c r="A299" s="33">
        <f>IF(Data!A326="",#N/A,Data!A326)</f>
        <v>27760</v>
      </c>
      <c r="B299" s="34">
        <f>VLOOKUP(A299,Data!A:AX,MATCH($B$2,Data!$B$1:$AX$1,0),FALSE)</f>
        <v>1.7113600000000001E-4</v>
      </c>
      <c r="C299" s="35">
        <f t="shared" si="18"/>
        <v>3.573784580375361E-2</v>
      </c>
      <c r="D299" s="35">
        <f t="shared" si="15"/>
        <v>0.52404625324412457</v>
      </c>
      <c r="E299" s="35">
        <f>(Table143454[[#This Row],[USA]]-B287)/B287</f>
        <v>0.19342533769412623</v>
      </c>
      <c r="F299" s="34">
        <f>VLOOKUP(Table143454[[#This Row],[Date]],'Data Core CPI'!$A:$AX,MATCH($B$2,'Data Core CPI'!$B$1:$AX$1,0),FALSE)</f>
        <v>0</v>
      </c>
      <c r="G299" s="35" t="e">
        <f t="shared" si="16"/>
        <v>#DIV/0!</v>
      </c>
      <c r="H299" s="35" t="e">
        <f t="shared" si="17"/>
        <v>#DIV/0!</v>
      </c>
      <c r="I299" s="35" t="e">
        <f>(Table143454[[#This Row],[Core CPI]]-F287)/F287</f>
        <v>#DIV/0!</v>
      </c>
    </row>
    <row r="300" spans="1:9" x14ac:dyDescent="0.35">
      <c r="A300" s="33">
        <f>IF(Data!A327="",#N/A,Data!A327)</f>
        <v>27791</v>
      </c>
      <c r="B300" s="34">
        <f>VLOOKUP(A300,Data!A:AX,MATCH($B$2,Data!$B$1:$AX$1,0),FALSE)</f>
        <v>1.74916E-4</v>
      </c>
      <c r="C300" s="35">
        <f t="shared" si="18"/>
        <v>2.2087696335078455E-2</v>
      </c>
      <c r="D300" s="35">
        <f t="shared" si="15"/>
        <v>0.29974430903742166</v>
      </c>
      <c r="E300" s="35">
        <f>(Table143454[[#This Row],[USA]]-B288)/B288</f>
        <v>0.16756222757704611</v>
      </c>
      <c r="F300" s="34">
        <f>VLOOKUP(Table143454[[#This Row],[Date]],'Data Core CPI'!$A:$AX,MATCH($B$2,'Data Core CPI'!$B$1:$AX$1,0),FALSE)</f>
        <v>0</v>
      </c>
      <c r="G300" s="35" t="e">
        <f t="shared" si="16"/>
        <v>#DIV/0!</v>
      </c>
      <c r="H300" s="35" t="e">
        <f t="shared" si="17"/>
        <v>#DIV/0!</v>
      </c>
      <c r="I300" s="35" t="e">
        <f>(Table143454[[#This Row],[Core CPI]]-F288)/F288</f>
        <v>#DIV/0!</v>
      </c>
    </row>
    <row r="301" spans="1:9" x14ac:dyDescent="0.35">
      <c r="A301" s="33">
        <f>IF(Data!A328="",#N/A,Data!A328)</f>
        <v>27820</v>
      </c>
      <c r="B301" s="34">
        <f>VLOOKUP(A301,Data!A:AX,MATCH($B$2,Data!$B$1:$AX$1,0),FALSE)</f>
        <v>1.76785E-4</v>
      </c>
      <c r="C301" s="35">
        <f t="shared" si="18"/>
        <v>1.0685128861853688E-2</v>
      </c>
      <c r="D301" s="35">
        <f t="shared" si="15"/>
        <v>0.13603184839427285</v>
      </c>
      <c r="E301" s="35">
        <f>(Table143454[[#This Row],[USA]]-B289)/B289</f>
        <v>0.15611491501703587</v>
      </c>
      <c r="F301" s="34">
        <f>VLOOKUP(Table143454[[#This Row],[Date]],'Data Core CPI'!$A:$AX,MATCH($B$2,'Data Core CPI'!$B$1:$AX$1,0),FALSE)</f>
        <v>0</v>
      </c>
      <c r="G301" s="35" t="e">
        <f t="shared" si="16"/>
        <v>#DIV/0!</v>
      </c>
      <c r="H301" s="35" t="e">
        <f t="shared" si="17"/>
        <v>#DIV/0!</v>
      </c>
      <c r="I301" s="35" t="e">
        <f>(Table143454[[#This Row],[Core CPI]]-F289)/F289</f>
        <v>#DIV/0!</v>
      </c>
    </row>
    <row r="302" spans="1:9" x14ac:dyDescent="0.35">
      <c r="A302" s="33">
        <f>IF(Data!A329="",#N/A,Data!A329)</f>
        <v>27851</v>
      </c>
      <c r="B302" s="34">
        <f>VLOOKUP(A302,Data!A:AX,MATCH($B$2,Data!$B$1:$AX$1,0),FALSE)</f>
        <v>1.7708200000000001E-4</v>
      </c>
      <c r="C302" s="35">
        <f t="shared" si="18"/>
        <v>1.6800067879063629E-3</v>
      </c>
      <c r="D302" s="35">
        <f t="shared" si="15"/>
        <v>2.0347408485675622E-2</v>
      </c>
      <c r="E302" s="35">
        <f>(Table143454[[#This Row],[USA]]-B290)/B290</f>
        <v>0.15356854365896241</v>
      </c>
      <c r="F302" s="34">
        <f>VLOOKUP(Table143454[[#This Row],[Date]],'Data Core CPI'!$A:$AX,MATCH($B$2,'Data Core CPI'!$B$1:$AX$1,0),FALSE)</f>
        <v>0</v>
      </c>
      <c r="G302" s="35" t="e">
        <f t="shared" si="16"/>
        <v>#DIV/0!</v>
      </c>
      <c r="H302" s="35" t="e">
        <f t="shared" si="17"/>
        <v>#DIV/0!</v>
      </c>
      <c r="I302" s="35" t="e">
        <f>(Table143454[[#This Row],[Core CPI]]-F290)/F290</f>
        <v>#DIV/0!</v>
      </c>
    </row>
    <row r="303" spans="1:9" x14ac:dyDescent="0.35">
      <c r="A303" s="33">
        <f>IF(Data!A330="",#N/A,Data!A330)</f>
        <v>27881</v>
      </c>
      <c r="B303" s="34">
        <f>VLOOKUP(A303,Data!A:AX,MATCH($B$2,Data!$B$1:$AX$1,0),FALSE)</f>
        <v>1.7784699999999999E-4</v>
      </c>
      <c r="C303" s="35">
        <f t="shared" si="18"/>
        <v>4.3200325273036189E-3</v>
      </c>
      <c r="D303" s="35">
        <f t="shared" si="15"/>
        <v>5.3090038025754183E-2</v>
      </c>
      <c r="E303" s="35">
        <f>(Table143454[[#This Row],[USA]]-B291)/B291</f>
        <v>0.14995958746888238</v>
      </c>
      <c r="F303" s="34">
        <f>VLOOKUP(Table143454[[#This Row],[Date]],'Data Core CPI'!$A:$AX,MATCH($B$2,'Data Core CPI'!$B$1:$AX$1,0),FALSE)</f>
        <v>0</v>
      </c>
      <c r="G303" s="35" t="e">
        <f t="shared" si="16"/>
        <v>#DIV/0!</v>
      </c>
      <c r="H303" s="35" t="e">
        <f t="shared" si="17"/>
        <v>#DIV/0!</v>
      </c>
      <c r="I303" s="35" t="e">
        <f>(Table143454[[#This Row],[Core CPI]]-F291)/F291</f>
        <v>#DIV/0!</v>
      </c>
    </row>
    <row r="304" spans="1:9" x14ac:dyDescent="0.35">
      <c r="A304" s="33">
        <f>IF(Data!A331="",#N/A,Data!A331)</f>
        <v>27912</v>
      </c>
      <c r="B304" s="34">
        <f>VLOOKUP(A304,Data!A:AX,MATCH($B$2,Data!$B$1:$AX$1,0),FALSE)</f>
        <v>1.8018299999999999E-4</v>
      </c>
      <c r="C304" s="35">
        <f t="shared" si="18"/>
        <v>1.3134885603917956E-2</v>
      </c>
      <c r="D304" s="35">
        <f t="shared" si="15"/>
        <v>0.16951888163091899</v>
      </c>
      <c r="E304" s="35">
        <f>(Table143454[[#This Row],[USA]]-B292)/B292</f>
        <v>0.16698834196891177</v>
      </c>
      <c r="F304" s="34">
        <f>VLOOKUP(Table143454[[#This Row],[Date]],'Data Core CPI'!$A:$AX,MATCH($B$2,'Data Core CPI'!$B$1:$AX$1,0),FALSE)</f>
        <v>0</v>
      </c>
      <c r="G304" s="35" t="e">
        <f t="shared" si="16"/>
        <v>#DIV/0!</v>
      </c>
      <c r="H304" s="35" t="e">
        <f t="shared" si="17"/>
        <v>#DIV/0!</v>
      </c>
      <c r="I304" s="35" t="e">
        <f>(Table143454[[#This Row],[Core CPI]]-F292)/F292</f>
        <v>#DIV/0!</v>
      </c>
    </row>
    <row r="305" spans="1:9" x14ac:dyDescent="0.35">
      <c r="A305" s="33">
        <f>IF(Data!A332="",#N/A,Data!A332)</f>
        <v>27942</v>
      </c>
      <c r="B305" s="34">
        <f>VLOOKUP(A305,Data!A:AX,MATCH($B$2,Data!$B$1:$AX$1,0),FALSE)</f>
        <v>1.81585E-4</v>
      </c>
      <c r="C305" s="35">
        <f t="shared" si="18"/>
        <v>7.7809782276907491E-3</v>
      </c>
      <c r="D305" s="35">
        <f t="shared" si="15"/>
        <v>9.74730945223099E-2</v>
      </c>
      <c r="E305" s="35">
        <f>(Table143454[[#This Row],[USA]]-B293)/B293</f>
        <v>0.17477518276509024</v>
      </c>
      <c r="F305" s="34">
        <f>VLOOKUP(Table143454[[#This Row],[Date]],'Data Core CPI'!$A:$AX,MATCH($B$2,'Data Core CPI'!$B$1:$AX$1,0),FALSE)</f>
        <v>0</v>
      </c>
      <c r="G305" s="35" t="e">
        <f t="shared" si="16"/>
        <v>#DIV/0!</v>
      </c>
      <c r="H305" s="35" t="e">
        <f t="shared" si="17"/>
        <v>#DIV/0!</v>
      </c>
      <c r="I305" s="35" t="e">
        <f>(Table143454[[#This Row],[Core CPI]]-F293)/F293</f>
        <v>#DIV/0!</v>
      </c>
    </row>
    <row r="306" spans="1:9" x14ac:dyDescent="0.35">
      <c r="A306" s="33">
        <f>IF(Data!A333="",#N/A,Data!A333)</f>
        <v>27973</v>
      </c>
      <c r="B306" s="34">
        <f>VLOOKUP(A306,Data!A:AX,MATCH($B$2,Data!$B$1:$AX$1,0),FALSE)</f>
        <v>1.8413300000000001E-4</v>
      </c>
      <c r="C306" s="35">
        <f t="shared" si="18"/>
        <v>1.4031996034914895E-2</v>
      </c>
      <c r="D306" s="35">
        <f t="shared" si="15"/>
        <v>0.1820066054728029</v>
      </c>
      <c r="E306" s="35">
        <f>(Table143454[[#This Row],[USA]]-B294)/B294</f>
        <v>0.1873420170234717</v>
      </c>
      <c r="F306" s="34">
        <f>VLOOKUP(Table143454[[#This Row],[Date]],'Data Core CPI'!$A:$AX,MATCH($B$2,'Data Core CPI'!$B$1:$AX$1,0),FALSE)</f>
        <v>0</v>
      </c>
      <c r="G306" s="35" t="e">
        <f t="shared" si="16"/>
        <v>#DIV/0!</v>
      </c>
      <c r="H306" s="35" t="e">
        <f t="shared" si="17"/>
        <v>#DIV/0!</v>
      </c>
      <c r="I306" s="35" t="e">
        <f>(Table143454[[#This Row],[Core CPI]]-F294)/F294</f>
        <v>#DIV/0!</v>
      </c>
    </row>
    <row r="307" spans="1:9" x14ac:dyDescent="0.35">
      <c r="A307" s="33">
        <f>IF(Data!A334="",#N/A,Data!A334)</f>
        <v>28004</v>
      </c>
      <c r="B307" s="34">
        <f>VLOOKUP(A307,Data!A:AX,MATCH($B$2,Data!$B$1:$AX$1,0),FALSE)</f>
        <v>1.8744599999999999E-4</v>
      </c>
      <c r="C307" s="35">
        <f t="shared" si="18"/>
        <v>1.7992429385281117E-2</v>
      </c>
      <c r="D307" s="35">
        <f t="shared" si="15"/>
        <v>0.23860999139097161</v>
      </c>
      <c r="E307" s="35">
        <f>(Table143454[[#This Row],[USA]]-B295)/B295</f>
        <v>0.19334589625404261</v>
      </c>
      <c r="F307" s="34">
        <f>VLOOKUP(Table143454[[#This Row],[Date]],'Data Core CPI'!$A:$AX,MATCH($B$2,'Data Core CPI'!$B$1:$AX$1,0),FALSE)</f>
        <v>0</v>
      </c>
      <c r="G307" s="35" t="e">
        <f t="shared" si="16"/>
        <v>#DIV/0!</v>
      </c>
      <c r="H307" s="35" t="e">
        <f t="shared" si="17"/>
        <v>#DIV/0!</v>
      </c>
      <c r="I307" s="35" t="e">
        <f>(Table143454[[#This Row],[Core CPI]]-F295)/F295</f>
        <v>#DIV/0!</v>
      </c>
    </row>
    <row r="308" spans="1:9" x14ac:dyDescent="0.35">
      <c r="A308" s="33">
        <f>IF(Data!A335="",#N/A,Data!A335)</f>
        <v>28034</v>
      </c>
      <c r="B308" s="34">
        <f>VLOOKUP(A308,Data!A:AX,MATCH($B$2,Data!$B$1:$AX$1,0),FALSE)</f>
        <v>1.90292E-4</v>
      </c>
      <c r="C308" s="35">
        <f t="shared" si="18"/>
        <v>1.5183039382008712E-2</v>
      </c>
      <c r="D308" s="35">
        <f t="shared" si="15"/>
        <v>0.19820807176859412</v>
      </c>
      <c r="E308" s="35">
        <f>(Table143454[[#This Row],[USA]]-B296)/B296</f>
        <v>0.1833049361374009</v>
      </c>
      <c r="F308" s="34">
        <f>VLOOKUP(Table143454[[#This Row],[Date]],'Data Core CPI'!$A:$AX,MATCH($B$2,'Data Core CPI'!$B$1:$AX$1,0),FALSE)</f>
        <v>0</v>
      </c>
      <c r="G308" s="35" t="e">
        <f t="shared" si="16"/>
        <v>#DIV/0!</v>
      </c>
      <c r="H308" s="35" t="e">
        <f t="shared" si="17"/>
        <v>#DIV/0!</v>
      </c>
      <c r="I308" s="35" t="e">
        <f>(Table143454[[#This Row],[Core CPI]]-F296)/F296</f>
        <v>#DIV/0!</v>
      </c>
    </row>
    <row r="309" spans="1:9" x14ac:dyDescent="0.35">
      <c r="A309" s="33">
        <f>IF(Data!A336="",#N/A,Data!A336)</f>
        <v>28065</v>
      </c>
      <c r="B309" s="34">
        <f>VLOOKUP(A309,Data!A:AX,MATCH($B$2,Data!$B$1:$AX$1,0),FALSE)</f>
        <v>1.9131199999999999E-4</v>
      </c>
      <c r="C309" s="35">
        <f t="shared" si="18"/>
        <v>5.3601832972482999E-3</v>
      </c>
      <c r="D309" s="35">
        <f t="shared" si="15"/>
        <v>6.6252776426096061E-2</v>
      </c>
      <c r="E309" s="35">
        <f>(Table143454[[#This Row],[USA]]-B297)/B297</f>
        <v>0.17383728064793227</v>
      </c>
      <c r="F309" s="34">
        <f>VLOOKUP(Table143454[[#This Row],[Date]],'Data Core CPI'!$A:$AX,MATCH($B$2,'Data Core CPI'!$B$1:$AX$1,0),FALSE)</f>
        <v>0</v>
      </c>
      <c r="G309" s="35" t="e">
        <f t="shared" si="16"/>
        <v>#DIV/0!</v>
      </c>
      <c r="H309" s="35" t="e">
        <f t="shared" si="17"/>
        <v>#DIV/0!</v>
      </c>
      <c r="I309" s="35" t="e">
        <f>(Table143454[[#This Row],[Core CPI]]-F297)/F297</f>
        <v>#DIV/0!</v>
      </c>
    </row>
    <row r="310" spans="1:9" x14ac:dyDescent="0.35">
      <c r="A310" s="33">
        <f>IF(Data!A337="",#N/A,Data!A337)</f>
        <v>28095</v>
      </c>
      <c r="B310" s="34">
        <f>VLOOKUP(A310,Data!A:AX,MATCH($B$2,Data!$B$1:$AX$1,0),FALSE)</f>
        <v>1.97173E-4</v>
      </c>
      <c r="C310" s="35">
        <f t="shared" si="18"/>
        <v>3.0635820021744697E-2</v>
      </c>
      <c r="D310" s="35">
        <f t="shared" si="15"/>
        <v>0.43635830192755187</v>
      </c>
      <c r="E310" s="35">
        <f>(Table143454[[#This Row],[USA]]-B298)/B298</f>
        <v>0.19331723465935569</v>
      </c>
      <c r="F310" s="34">
        <f>VLOOKUP(Table143454[[#This Row],[Date]],'Data Core CPI'!$A:$AX,MATCH($B$2,'Data Core CPI'!$B$1:$AX$1,0),FALSE)</f>
        <v>0</v>
      </c>
      <c r="G310" s="35" t="e">
        <f t="shared" si="16"/>
        <v>#DIV/0!</v>
      </c>
      <c r="H310" s="35" t="e">
        <f t="shared" si="17"/>
        <v>#DIV/0!</v>
      </c>
      <c r="I310" s="35" t="e">
        <f>(Table143454[[#This Row],[Core CPI]]-F298)/F298</f>
        <v>#DIV/0!</v>
      </c>
    </row>
    <row r="311" spans="1:9" x14ac:dyDescent="0.35">
      <c r="A311" s="33">
        <f>IF(Data!A338="",#N/A,Data!A338)</f>
        <v>28126</v>
      </c>
      <c r="B311" s="34">
        <f>VLOOKUP(A311,Data!A:AX,MATCH($B$2,Data!$B$1:$AX$1,0),FALSE)</f>
        <v>1.9849000000000001E-4</v>
      </c>
      <c r="C311" s="35">
        <f t="shared" si="18"/>
        <v>6.6794135099632612E-3</v>
      </c>
      <c r="D311" s="35">
        <f t="shared" si="15"/>
        <v>8.316407909641943E-2</v>
      </c>
      <c r="E311" s="35">
        <f>(Table143454[[#This Row],[USA]]-B299)/B299</f>
        <v>0.15983778982797303</v>
      </c>
      <c r="F311" s="34">
        <f>VLOOKUP(Table143454[[#This Row],[Date]],'Data Core CPI'!$A:$AX,MATCH($B$2,'Data Core CPI'!$B$1:$AX$1,0),FALSE)</f>
        <v>0</v>
      </c>
      <c r="G311" s="35" t="e">
        <f t="shared" si="16"/>
        <v>#DIV/0!</v>
      </c>
      <c r="H311" s="35" t="e">
        <f t="shared" si="17"/>
        <v>#DIV/0!</v>
      </c>
      <c r="I311" s="35" t="e">
        <f>(Table143454[[#This Row],[Core CPI]]-F299)/F299</f>
        <v>#DIV/0!</v>
      </c>
    </row>
    <row r="312" spans="1:9" x14ac:dyDescent="0.35">
      <c r="A312" s="33">
        <f>IF(Data!A339="",#N/A,Data!A339)</f>
        <v>28157</v>
      </c>
      <c r="B312" s="34">
        <f>VLOOKUP(A312,Data!A:AX,MATCH($B$2,Data!$B$1:$AX$1,0),FALSE)</f>
        <v>2.0159099999999999E-4</v>
      </c>
      <c r="C312" s="35">
        <f t="shared" si="18"/>
        <v>1.562295329739527E-2</v>
      </c>
      <c r="D312" s="35">
        <f t="shared" si="15"/>
        <v>0.20445364300663593</v>
      </c>
      <c r="E312" s="35">
        <f>(Table143454[[#This Row],[USA]]-B300)/B300</f>
        <v>0.1525017722792654</v>
      </c>
      <c r="F312" s="34">
        <f>VLOOKUP(Table143454[[#This Row],[Date]],'Data Core CPI'!$A:$AX,MATCH($B$2,'Data Core CPI'!$B$1:$AX$1,0),FALSE)</f>
        <v>0</v>
      </c>
      <c r="G312" s="35" t="e">
        <f t="shared" si="16"/>
        <v>#DIV/0!</v>
      </c>
      <c r="H312" s="35" t="e">
        <f t="shared" si="17"/>
        <v>#DIV/0!</v>
      </c>
      <c r="I312" s="35" t="e">
        <f>(Table143454[[#This Row],[Core CPI]]-F300)/F300</f>
        <v>#DIV/0!</v>
      </c>
    </row>
    <row r="313" spans="1:9" x14ac:dyDescent="0.35">
      <c r="A313" s="33">
        <f>IF(Data!A340="",#N/A,Data!A340)</f>
        <v>28185</v>
      </c>
      <c r="B313" s="34">
        <f>VLOOKUP(A313,Data!A:AX,MATCH($B$2,Data!$B$1:$AX$1,0),FALSE)</f>
        <v>2.0664500000000001E-4</v>
      </c>
      <c r="C313" s="35">
        <f t="shared" si="18"/>
        <v>2.5070563666036882E-2</v>
      </c>
      <c r="D313" s="35">
        <f t="shared" si="15"/>
        <v>0.34600027275285372</v>
      </c>
      <c r="E313" s="35">
        <f>(Table143454[[#This Row],[USA]]-B301)/B301</f>
        <v>0.16890573295245648</v>
      </c>
      <c r="F313" s="34">
        <f>VLOOKUP(Table143454[[#This Row],[Date]],'Data Core CPI'!$A:$AX,MATCH($B$2,'Data Core CPI'!$B$1:$AX$1,0),FALSE)</f>
        <v>0</v>
      </c>
      <c r="G313" s="35" t="e">
        <f t="shared" si="16"/>
        <v>#DIV/0!</v>
      </c>
      <c r="H313" s="35" t="e">
        <f t="shared" si="17"/>
        <v>#DIV/0!</v>
      </c>
      <c r="I313" s="35" t="e">
        <f>(Table143454[[#This Row],[Core CPI]]-F301)/F301</f>
        <v>#DIV/0!</v>
      </c>
    </row>
    <row r="314" spans="1:9" x14ac:dyDescent="0.35">
      <c r="A314" s="33">
        <f>IF(Data!A341="",#N/A,Data!A341)</f>
        <v>28216</v>
      </c>
      <c r="B314" s="34">
        <f>VLOOKUP(A314,Data!A:AX,MATCH($B$2,Data!$B$1:$AX$1,0),FALSE)</f>
        <v>2.0915199999999999E-4</v>
      </c>
      <c r="C314" s="35">
        <f t="shared" si="18"/>
        <v>1.2131917055820285E-2</v>
      </c>
      <c r="D314" s="35">
        <f t="shared" si="15"/>
        <v>0.15570087984077552</v>
      </c>
      <c r="E314" s="35">
        <f>(Table143454[[#This Row],[USA]]-B302)/B302</f>
        <v>0.18110254006618393</v>
      </c>
      <c r="F314" s="34">
        <f>VLOOKUP(Table143454[[#This Row],[Date]],'Data Core CPI'!$A:$AX,MATCH($B$2,'Data Core CPI'!$B$1:$AX$1,0),FALSE)</f>
        <v>0</v>
      </c>
      <c r="G314" s="35" t="e">
        <f t="shared" si="16"/>
        <v>#DIV/0!</v>
      </c>
      <c r="H314" s="35" t="e">
        <f t="shared" si="17"/>
        <v>#DIV/0!</v>
      </c>
      <c r="I314" s="35" t="e">
        <f>(Table143454[[#This Row],[Core CPI]]-F302)/F302</f>
        <v>#DIV/0!</v>
      </c>
    </row>
    <row r="315" spans="1:9" x14ac:dyDescent="0.35">
      <c r="A315" s="33">
        <f>IF(Data!A342="",#N/A,Data!A342)</f>
        <v>28246</v>
      </c>
      <c r="B315" s="34">
        <f>VLOOKUP(A315,Data!A:AX,MATCH($B$2,Data!$B$1:$AX$1,0),FALSE)</f>
        <v>2.1250699999999999E-4</v>
      </c>
      <c r="C315" s="35">
        <f t="shared" si="18"/>
        <v>1.6040965422276621E-2</v>
      </c>
      <c r="D315" s="35">
        <f t="shared" ref="D315:D378" si="19">((1+C315)^12)-1</f>
        <v>0.21041590500206087</v>
      </c>
      <c r="E315" s="35">
        <f>(Table143454[[#This Row],[USA]]-B303)/B303</f>
        <v>0.19488661602388568</v>
      </c>
      <c r="F315" s="34">
        <f>VLOOKUP(Table143454[[#This Row],[Date]],'Data Core CPI'!$A:$AX,MATCH($B$2,'Data Core CPI'!$B$1:$AX$1,0),FALSE)</f>
        <v>0</v>
      </c>
      <c r="G315" s="35" t="e">
        <f t="shared" si="16"/>
        <v>#DIV/0!</v>
      </c>
      <c r="H315" s="35" t="e">
        <f t="shared" si="17"/>
        <v>#DIV/0!</v>
      </c>
      <c r="I315" s="35" t="e">
        <f>(Table143454[[#This Row],[Core CPI]]-F303)/F303</f>
        <v>#DIV/0!</v>
      </c>
    </row>
    <row r="316" spans="1:9" x14ac:dyDescent="0.35">
      <c r="A316" s="33">
        <f>IF(Data!A343="",#N/A,Data!A343)</f>
        <v>28277</v>
      </c>
      <c r="B316" s="34">
        <f>VLOOKUP(A316,Data!A:AX,MATCH($B$2,Data!$B$1:$AX$1,0),FALSE)</f>
        <v>2.13909E-4</v>
      </c>
      <c r="C316" s="35">
        <f t="shared" si="18"/>
        <v>6.5974297317266117E-3</v>
      </c>
      <c r="D316" s="35">
        <f t="shared" si="19"/>
        <v>8.2106001016586383E-2</v>
      </c>
      <c r="E316" s="35">
        <f>(Table143454[[#This Row],[USA]]-B304)/B304</f>
        <v>0.18717637068979875</v>
      </c>
      <c r="F316" s="34">
        <f>VLOOKUP(Table143454[[#This Row],[Date]],'Data Core CPI'!$A:$AX,MATCH($B$2,'Data Core CPI'!$B$1:$AX$1,0),FALSE)</f>
        <v>0</v>
      </c>
      <c r="G316" s="35" t="e">
        <f t="shared" si="16"/>
        <v>#DIV/0!</v>
      </c>
      <c r="H316" s="35" t="e">
        <f t="shared" si="17"/>
        <v>#DIV/0!</v>
      </c>
      <c r="I316" s="35" t="e">
        <f>(Table143454[[#This Row],[Core CPI]]-F304)/F304</f>
        <v>#DIV/0!</v>
      </c>
    </row>
    <row r="317" spans="1:9" x14ac:dyDescent="0.35">
      <c r="A317" s="33">
        <f>IF(Data!A344="",#N/A,Data!A344)</f>
        <v>28307</v>
      </c>
      <c r="B317" s="34">
        <f>VLOOKUP(A317,Data!A:AX,MATCH($B$2,Data!$B$1:$AX$1,0),FALSE)</f>
        <v>2.2163900000000001E-4</v>
      </c>
      <c r="C317" s="35">
        <f t="shared" si="18"/>
        <v>3.6136861936618025E-2</v>
      </c>
      <c r="D317" s="35">
        <f t="shared" si="19"/>
        <v>0.53110683394654101</v>
      </c>
      <c r="E317" s="35">
        <f>(Table143454[[#This Row],[USA]]-B305)/B305</f>
        <v>0.22057989371368783</v>
      </c>
      <c r="F317" s="34">
        <f>VLOOKUP(Table143454[[#This Row],[Date]],'Data Core CPI'!$A:$AX,MATCH($B$2,'Data Core CPI'!$B$1:$AX$1,0),FALSE)</f>
        <v>0</v>
      </c>
      <c r="G317" s="35" t="e">
        <f t="shared" si="16"/>
        <v>#DIV/0!</v>
      </c>
      <c r="H317" s="35" t="e">
        <f t="shared" si="17"/>
        <v>#DIV/0!</v>
      </c>
      <c r="I317" s="35" t="e">
        <f>(Table143454[[#This Row],[Core CPI]]-F305)/F305</f>
        <v>#DIV/0!</v>
      </c>
    </row>
    <row r="318" spans="1:9" x14ac:dyDescent="0.35">
      <c r="A318" s="33">
        <f>IF(Data!A345="",#N/A,Data!A345)</f>
        <v>28338</v>
      </c>
      <c r="B318" s="34">
        <f>VLOOKUP(A318,Data!A:AX,MATCH($B$2,Data!$B$1:$AX$1,0),FALSE)</f>
        <v>2.2592900000000001E-4</v>
      </c>
      <c r="C318" s="35">
        <f t="shared" si="18"/>
        <v>1.9355799295250442E-2</v>
      </c>
      <c r="D318" s="35">
        <f t="shared" si="19"/>
        <v>0.25866332092296052</v>
      </c>
      <c r="E318" s="35">
        <f>(Table143454[[#This Row],[USA]]-B306)/B306</f>
        <v>0.22698810099221758</v>
      </c>
      <c r="F318" s="34">
        <f>VLOOKUP(Table143454[[#This Row],[Date]],'Data Core CPI'!$A:$AX,MATCH($B$2,'Data Core CPI'!$B$1:$AX$1,0),FALSE)</f>
        <v>0</v>
      </c>
      <c r="G318" s="35" t="e">
        <f t="shared" si="16"/>
        <v>#DIV/0!</v>
      </c>
      <c r="H318" s="35" t="e">
        <f t="shared" si="17"/>
        <v>#DIV/0!</v>
      </c>
      <c r="I318" s="35" t="e">
        <f>(Table143454[[#This Row],[Core CPI]]-F306)/F306</f>
        <v>#DIV/0!</v>
      </c>
    </row>
    <row r="319" spans="1:9" x14ac:dyDescent="0.35">
      <c r="A319" s="33">
        <f>IF(Data!A346="",#N/A,Data!A346)</f>
        <v>28369</v>
      </c>
      <c r="B319" s="34">
        <f>VLOOKUP(A319,Data!A:AX,MATCH($B$2,Data!$B$1:$AX$1,0),FALSE)</f>
        <v>2.42453E-4</v>
      </c>
      <c r="C319" s="35">
        <f t="shared" si="18"/>
        <v>7.3138021236760276E-2</v>
      </c>
      <c r="D319" s="35">
        <f t="shared" si="19"/>
        <v>1.3327434900658628</v>
      </c>
      <c r="E319" s="35">
        <f>(Table143454[[#This Row],[USA]]-B307)/B307</f>
        <v>0.29345518175901331</v>
      </c>
      <c r="F319" s="34">
        <f>VLOOKUP(Table143454[[#This Row],[Date]],'Data Core CPI'!$A:$AX,MATCH($B$2,'Data Core CPI'!$B$1:$AX$1,0),FALSE)</f>
        <v>0</v>
      </c>
      <c r="G319" s="35" t="e">
        <f t="shared" si="16"/>
        <v>#DIV/0!</v>
      </c>
      <c r="H319" s="35" t="e">
        <f t="shared" si="17"/>
        <v>#DIV/0!</v>
      </c>
      <c r="I319" s="35" t="e">
        <f>(Table143454[[#This Row],[Core CPI]]-F307)/F307</f>
        <v>#DIV/0!</v>
      </c>
    </row>
    <row r="320" spans="1:9" x14ac:dyDescent="0.35">
      <c r="A320" s="33">
        <f>IF(Data!A347="",#N/A,Data!A347)</f>
        <v>28399</v>
      </c>
      <c r="B320" s="34">
        <f>VLOOKUP(A320,Data!A:AX,MATCH($B$2,Data!$B$1:$AX$1,0),FALSE)</f>
        <v>2.59953E-4</v>
      </c>
      <c r="C320" s="35">
        <f t="shared" si="18"/>
        <v>7.217893777350648E-2</v>
      </c>
      <c r="D320" s="35">
        <f t="shared" si="19"/>
        <v>1.3078483019025917</v>
      </c>
      <c r="E320" s="35">
        <f>(Table143454[[#This Row],[USA]]-B308)/B308</f>
        <v>0.36607424379374853</v>
      </c>
      <c r="F320" s="34">
        <f>VLOOKUP(Table143454[[#This Row],[Date]],'Data Core CPI'!$A:$AX,MATCH($B$2,'Data Core CPI'!$B$1:$AX$1,0),FALSE)</f>
        <v>0</v>
      </c>
      <c r="G320" s="35" t="e">
        <f t="shared" si="16"/>
        <v>#DIV/0!</v>
      </c>
      <c r="H320" s="35" t="e">
        <f t="shared" si="17"/>
        <v>#DIV/0!</v>
      </c>
      <c r="I320" s="35" t="e">
        <f>(Table143454[[#This Row],[Core CPI]]-F308)/F308</f>
        <v>#DIV/0!</v>
      </c>
    </row>
    <row r="321" spans="1:9" x14ac:dyDescent="0.35">
      <c r="A321" s="33">
        <f>IF(Data!A348="",#N/A,Data!A348)</f>
        <v>28430</v>
      </c>
      <c r="B321" s="34">
        <f>VLOOKUP(A321,Data!A:AX,MATCH($B$2,Data!$B$1:$AX$1,0),FALSE)</f>
        <v>2.7728300000000002E-4</v>
      </c>
      <c r="C321" s="35">
        <f t="shared" si="18"/>
        <v>6.6665897296819043E-2</v>
      </c>
      <c r="D321" s="35">
        <f t="shared" si="19"/>
        <v>1.1694064357797167</v>
      </c>
      <c r="E321" s="35">
        <f>(Table143454[[#This Row],[USA]]-B309)/B309</f>
        <v>0.44937588860081984</v>
      </c>
      <c r="F321" s="34">
        <f>VLOOKUP(Table143454[[#This Row],[Date]],'Data Core CPI'!$A:$AX,MATCH($B$2,'Data Core CPI'!$B$1:$AX$1,0),FALSE)</f>
        <v>0</v>
      </c>
      <c r="G321" s="35" t="e">
        <f t="shared" si="16"/>
        <v>#DIV/0!</v>
      </c>
      <c r="H321" s="35" t="e">
        <f t="shared" si="17"/>
        <v>#DIV/0!</v>
      </c>
      <c r="I321" s="35" t="e">
        <f>(Table143454[[#This Row],[Core CPI]]-F309)/F309</f>
        <v>#DIV/0!</v>
      </c>
    </row>
    <row r="322" spans="1:9" x14ac:dyDescent="0.35">
      <c r="A322" s="33">
        <f>IF(Data!A349="",#N/A,Data!A349)</f>
        <v>28460</v>
      </c>
      <c r="B322" s="34">
        <f>VLOOKUP(A322,Data!A:AX,MATCH($B$2,Data!$B$1:$AX$1,0),FALSE)</f>
        <v>2.8938899999999998E-4</v>
      </c>
      <c r="C322" s="35">
        <f t="shared" si="18"/>
        <v>4.3659366062831051E-2</v>
      </c>
      <c r="D322" s="35">
        <f t="shared" si="19"/>
        <v>0.66995704081072449</v>
      </c>
      <c r="E322" s="35">
        <f>(Table143454[[#This Row],[USA]]-B310)/B310</f>
        <v>0.46769080959360548</v>
      </c>
      <c r="F322" s="34">
        <f>VLOOKUP(Table143454[[#This Row],[Date]],'Data Core CPI'!$A:$AX,MATCH($B$2,'Data Core CPI'!$B$1:$AX$1,0),FALSE)</f>
        <v>0</v>
      </c>
      <c r="G322" s="35" t="e">
        <f t="shared" si="16"/>
        <v>#DIV/0!</v>
      </c>
      <c r="H322" s="35" t="e">
        <f t="shared" si="17"/>
        <v>#DIV/0!</v>
      </c>
      <c r="I322" s="35" t="e">
        <f>(Table143454[[#This Row],[Core CPI]]-F310)/F310</f>
        <v>#DIV/0!</v>
      </c>
    </row>
    <row r="323" spans="1:9" x14ac:dyDescent="0.35">
      <c r="A323" s="33">
        <f>IF(Data!A350="",#N/A,Data!A350)</f>
        <v>28491</v>
      </c>
      <c r="B323" s="34">
        <f>VLOOKUP(A323,Data!A:AX,MATCH($B$2,Data!$B$1:$AX$1,0),FALSE)</f>
        <v>3.0094200000000001E-4</v>
      </c>
      <c r="C323" s="35">
        <f t="shared" si="18"/>
        <v>3.9922042648476763E-2</v>
      </c>
      <c r="D323" s="35">
        <f t="shared" si="19"/>
        <v>0.5995926710204893</v>
      </c>
      <c r="E323" s="35">
        <f>(Table143454[[#This Row],[USA]]-B311)/B311</f>
        <v>0.51615698523855102</v>
      </c>
      <c r="F323" s="34">
        <f>VLOOKUP(Table143454[[#This Row],[Date]],'Data Core CPI'!$A:$AX,MATCH($B$2,'Data Core CPI'!$B$1:$AX$1,0),FALSE)</f>
        <v>0</v>
      </c>
      <c r="G323" s="35" t="e">
        <f t="shared" ref="G323:G386" si="20">(F323/F322)-1</f>
        <v>#DIV/0!</v>
      </c>
      <c r="H323" s="35" t="e">
        <f t="shared" ref="H323:H386" si="21">((1+G323)^12)-1</f>
        <v>#DIV/0!</v>
      </c>
      <c r="I323" s="35" t="e">
        <f>(Table143454[[#This Row],[Core CPI]]-F311)/F311</f>
        <v>#DIV/0!</v>
      </c>
    </row>
    <row r="324" spans="1:9" x14ac:dyDescent="0.35">
      <c r="A324" s="33">
        <f>IF(Data!A351="",#N/A,Data!A351)</f>
        <v>28522</v>
      </c>
      <c r="B324" s="34">
        <f>VLOOKUP(A324,Data!A:AX,MATCH($B$2,Data!$B$1:$AX$1,0),FALSE)</f>
        <v>3.16955E-4</v>
      </c>
      <c r="C324" s="35">
        <f t="shared" ref="C324:C387" si="22">(B324/B323)-1</f>
        <v>5.3209588558592591E-2</v>
      </c>
      <c r="D324" s="35">
        <f t="shared" si="19"/>
        <v>0.8628489953196683</v>
      </c>
      <c r="E324" s="35">
        <f>(Table143454[[#This Row],[USA]]-B312)/B312</f>
        <v>0.57226761115327585</v>
      </c>
      <c r="F324" s="34">
        <f>VLOOKUP(Table143454[[#This Row],[Date]],'Data Core CPI'!$A:$AX,MATCH($B$2,'Data Core CPI'!$B$1:$AX$1,0),FALSE)</f>
        <v>0</v>
      </c>
      <c r="G324" s="35" t="e">
        <f t="shared" si="20"/>
        <v>#DIV/0!</v>
      </c>
      <c r="H324" s="35" t="e">
        <f t="shared" si="21"/>
        <v>#DIV/0!</v>
      </c>
      <c r="I324" s="35" t="e">
        <f>(Table143454[[#This Row],[Core CPI]]-F312)/F312</f>
        <v>#DIV/0!</v>
      </c>
    </row>
    <row r="325" spans="1:9" x14ac:dyDescent="0.35">
      <c r="A325" s="33">
        <f>IF(Data!A352="",#N/A,Data!A352)</f>
        <v>28550</v>
      </c>
      <c r="B325" s="34">
        <f>VLOOKUP(A325,Data!A:AX,MATCH($B$2,Data!$B$1:$AX$1,0),FALSE)</f>
        <v>3.2286000000000001E-4</v>
      </c>
      <c r="C325" s="35">
        <f t="shared" si="22"/>
        <v>1.8630404947074464E-2</v>
      </c>
      <c r="D325" s="35">
        <f t="shared" si="19"/>
        <v>0.24795700368339268</v>
      </c>
      <c r="E325" s="35">
        <f>(Table143454[[#This Row],[USA]]-B313)/B313</f>
        <v>0.56238960536185245</v>
      </c>
      <c r="F325" s="34">
        <f>VLOOKUP(Table143454[[#This Row],[Date]],'Data Core CPI'!$A:$AX,MATCH($B$2,'Data Core CPI'!$B$1:$AX$1,0),FALSE)</f>
        <v>0</v>
      </c>
      <c r="G325" s="35" t="e">
        <f t="shared" si="20"/>
        <v>#DIV/0!</v>
      </c>
      <c r="H325" s="35" t="e">
        <f t="shared" si="21"/>
        <v>#DIV/0!</v>
      </c>
      <c r="I325" s="35" t="e">
        <f>(Table143454[[#This Row],[Core CPI]]-F313)/F313</f>
        <v>#DIV/0!</v>
      </c>
    </row>
    <row r="326" spans="1:9" x14ac:dyDescent="0.35">
      <c r="A326" s="33">
        <f>IF(Data!A353="",#N/A,Data!A353)</f>
        <v>28581</v>
      </c>
      <c r="B326" s="34">
        <f>VLOOKUP(A326,Data!A:AX,MATCH($B$2,Data!$B$1:$AX$1,0),FALSE)</f>
        <v>3.3250199999999998E-4</v>
      </c>
      <c r="C326" s="35">
        <f t="shared" si="22"/>
        <v>2.9864337483739067E-2</v>
      </c>
      <c r="D326" s="35">
        <f t="shared" si="19"/>
        <v>0.42350905476481793</v>
      </c>
      <c r="E326" s="35">
        <f>(Table143454[[#This Row],[USA]]-B314)/B314</f>
        <v>0.58976246940024479</v>
      </c>
      <c r="F326" s="34">
        <f>VLOOKUP(Table143454[[#This Row],[Date]],'Data Core CPI'!$A:$AX,MATCH($B$2,'Data Core CPI'!$B$1:$AX$1,0),FALSE)</f>
        <v>0</v>
      </c>
      <c r="G326" s="35" t="e">
        <f t="shared" si="20"/>
        <v>#DIV/0!</v>
      </c>
      <c r="H326" s="35" t="e">
        <f t="shared" si="21"/>
        <v>#DIV/0!</v>
      </c>
      <c r="I326" s="35" t="e">
        <f>(Table143454[[#This Row],[Core CPI]]-F314)/F314</f>
        <v>#DIV/0!</v>
      </c>
    </row>
    <row r="327" spans="1:9" x14ac:dyDescent="0.35">
      <c r="A327" s="33">
        <f>IF(Data!A354="",#N/A,Data!A354)</f>
        <v>28611</v>
      </c>
      <c r="B327" s="34">
        <f>VLOOKUP(A327,Data!A:AX,MATCH($B$2,Data!$B$1:$AX$1,0),FALSE)</f>
        <v>3.49704E-4</v>
      </c>
      <c r="C327" s="35">
        <f t="shared" si="22"/>
        <v>5.1735027157731484E-2</v>
      </c>
      <c r="D327" s="35">
        <f t="shared" si="19"/>
        <v>0.83179156858152759</v>
      </c>
      <c r="E327" s="35">
        <f>(Table143454[[#This Row],[USA]]-B315)/B315</f>
        <v>0.64561167396838703</v>
      </c>
      <c r="F327" s="34">
        <f>VLOOKUP(Table143454[[#This Row],[Date]],'Data Core CPI'!$A:$AX,MATCH($B$2,'Data Core CPI'!$B$1:$AX$1,0),FALSE)</f>
        <v>0</v>
      </c>
      <c r="G327" s="35" t="e">
        <f t="shared" si="20"/>
        <v>#DIV/0!</v>
      </c>
      <c r="H327" s="35" t="e">
        <f t="shared" si="21"/>
        <v>#DIV/0!</v>
      </c>
      <c r="I327" s="35" t="e">
        <f>(Table143454[[#This Row],[Core CPI]]-F315)/F315</f>
        <v>#DIV/0!</v>
      </c>
    </row>
    <row r="328" spans="1:9" x14ac:dyDescent="0.35">
      <c r="A328" s="33">
        <f>IF(Data!A355="",#N/A,Data!A355)</f>
        <v>28642</v>
      </c>
      <c r="B328" s="34">
        <f>VLOOKUP(A328,Data!A:AX,MATCH($B$2,Data!$B$1:$AX$1,0),FALSE)</f>
        <v>3.64061E-4</v>
      </c>
      <c r="C328" s="35">
        <f t="shared" si="22"/>
        <v>4.105472056367665E-2</v>
      </c>
      <c r="D328" s="35">
        <f t="shared" si="19"/>
        <v>0.62062559363626324</v>
      </c>
      <c r="E328" s="35">
        <f>(Table143454[[#This Row],[USA]]-B316)/B316</f>
        <v>0.70194334974218009</v>
      </c>
      <c r="F328" s="34">
        <f>VLOOKUP(Table143454[[#This Row],[Date]],'Data Core CPI'!$A:$AX,MATCH($B$2,'Data Core CPI'!$B$1:$AX$1,0),FALSE)</f>
        <v>0</v>
      </c>
      <c r="G328" s="35" t="e">
        <f t="shared" si="20"/>
        <v>#DIV/0!</v>
      </c>
      <c r="H328" s="35" t="e">
        <f t="shared" si="21"/>
        <v>#DIV/0!</v>
      </c>
      <c r="I328" s="35" t="e">
        <f>(Table143454[[#This Row],[Core CPI]]-F316)/F316</f>
        <v>#DIV/0!</v>
      </c>
    </row>
    <row r="329" spans="1:9" x14ac:dyDescent="0.35">
      <c r="A329" s="33">
        <f>IF(Data!A356="",#N/A,Data!A356)</f>
        <v>28672</v>
      </c>
      <c r="B329" s="34">
        <f>VLOOKUP(A329,Data!A:AX,MATCH($B$2,Data!$B$1:$AX$1,0),FALSE)</f>
        <v>3.7786599999999998E-4</v>
      </c>
      <c r="C329" s="35">
        <f t="shared" si="22"/>
        <v>3.7919469539445361E-2</v>
      </c>
      <c r="D329" s="35">
        <f t="shared" si="19"/>
        <v>0.563017726686458</v>
      </c>
      <c r="E329" s="35">
        <f>(Table143454[[#This Row],[USA]]-B317)/B317</f>
        <v>0.70487143508137085</v>
      </c>
      <c r="F329" s="34">
        <f>VLOOKUP(Table143454[[#This Row],[Date]],'Data Core CPI'!$A:$AX,MATCH($B$2,'Data Core CPI'!$B$1:$AX$1,0),FALSE)</f>
        <v>0</v>
      </c>
      <c r="G329" s="35" t="e">
        <f t="shared" si="20"/>
        <v>#DIV/0!</v>
      </c>
      <c r="H329" s="35" t="e">
        <f t="shared" si="21"/>
        <v>#DIV/0!</v>
      </c>
      <c r="I329" s="35" t="e">
        <f>(Table143454[[#This Row],[Core CPI]]-F317)/F317</f>
        <v>#DIV/0!</v>
      </c>
    </row>
    <row r="330" spans="1:9" x14ac:dyDescent="0.35">
      <c r="A330" s="33">
        <f>IF(Data!A357="",#N/A,Data!A357)</f>
        <v>28703</v>
      </c>
      <c r="B330" s="34">
        <f>VLOOKUP(A330,Data!A:AX,MATCH($B$2,Data!$B$1:$AX$1,0),FALSE)</f>
        <v>3.8784799999999999E-4</v>
      </c>
      <c r="C330" s="35">
        <f t="shared" si="22"/>
        <v>2.6416772083225348E-2</v>
      </c>
      <c r="D330" s="35">
        <f t="shared" si="19"/>
        <v>0.36736632408782288</v>
      </c>
      <c r="E330" s="35">
        <f>(Table143454[[#This Row],[USA]]-B318)/B318</f>
        <v>0.71668090417786101</v>
      </c>
      <c r="F330" s="34">
        <f>VLOOKUP(Table143454[[#This Row],[Date]],'Data Core CPI'!$A:$AX,MATCH($B$2,'Data Core CPI'!$B$1:$AX$1,0),FALSE)</f>
        <v>0</v>
      </c>
      <c r="G330" s="35" t="e">
        <f t="shared" si="20"/>
        <v>#DIV/0!</v>
      </c>
      <c r="H330" s="35" t="e">
        <f t="shared" si="21"/>
        <v>#DIV/0!</v>
      </c>
      <c r="I330" s="35" t="e">
        <f>(Table143454[[#This Row],[Core CPI]]-F318)/F318</f>
        <v>#DIV/0!</v>
      </c>
    </row>
    <row r="331" spans="1:9" x14ac:dyDescent="0.35">
      <c r="A331" s="33">
        <f>IF(Data!A358="",#N/A,Data!A358)</f>
        <v>28734</v>
      </c>
      <c r="B331" s="34">
        <f>VLOOKUP(A331,Data!A:AX,MATCH($B$2,Data!$B$1:$AX$1,0),FALSE)</f>
        <v>4.05263E-4</v>
      </c>
      <c r="C331" s="35">
        <f t="shared" si="22"/>
        <v>4.4901610940368375E-2</v>
      </c>
      <c r="D331" s="35">
        <f t="shared" si="19"/>
        <v>0.69396637283830986</v>
      </c>
      <c r="E331" s="35">
        <f>(Table143454[[#This Row],[USA]]-B319)/B319</f>
        <v>0.67151159193740639</v>
      </c>
      <c r="F331" s="34">
        <f>VLOOKUP(Table143454[[#This Row],[Date]],'Data Core CPI'!$A:$AX,MATCH($B$2,'Data Core CPI'!$B$1:$AX$1,0),FALSE)</f>
        <v>0</v>
      </c>
      <c r="G331" s="35" t="e">
        <f t="shared" si="20"/>
        <v>#DIV/0!</v>
      </c>
      <c r="H331" s="35" t="e">
        <f t="shared" si="21"/>
        <v>#DIV/0!</v>
      </c>
      <c r="I331" s="35" t="e">
        <f>(Table143454[[#This Row],[Core CPI]]-F319)/F319</f>
        <v>#DIV/0!</v>
      </c>
    </row>
    <row r="332" spans="1:9" x14ac:dyDescent="0.35">
      <c r="A332" s="33">
        <f>IF(Data!A359="",#N/A,Data!A359)</f>
        <v>28764</v>
      </c>
      <c r="B332" s="34">
        <f>VLOOKUP(A332,Data!A:AX,MATCH($B$2,Data!$B$1:$AX$1,0),FALSE)</f>
        <v>4.2484400000000001E-4</v>
      </c>
      <c r="C332" s="35">
        <f t="shared" si="22"/>
        <v>4.8316772071469671E-2</v>
      </c>
      <c r="D332" s="35">
        <f t="shared" si="19"/>
        <v>0.76161260756086024</v>
      </c>
      <c r="E332" s="35">
        <f>(Table143454[[#This Row],[USA]]-B320)/B320</f>
        <v>0.63431081772474263</v>
      </c>
      <c r="F332" s="34">
        <f>VLOOKUP(Table143454[[#This Row],[Date]],'Data Core CPI'!$A:$AX,MATCH($B$2,'Data Core CPI'!$B$1:$AX$1,0),FALSE)</f>
        <v>0</v>
      </c>
      <c r="G332" s="35" t="e">
        <f t="shared" si="20"/>
        <v>#DIV/0!</v>
      </c>
      <c r="H332" s="35" t="e">
        <f t="shared" si="21"/>
        <v>#DIV/0!</v>
      </c>
      <c r="I332" s="35" t="e">
        <f>(Table143454[[#This Row],[Core CPI]]-F320)/F320</f>
        <v>#DIV/0!</v>
      </c>
    </row>
    <row r="333" spans="1:9" x14ac:dyDescent="0.35">
      <c r="A333" s="33">
        <f>IF(Data!A360="",#N/A,Data!A360)</f>
        <v>28795</v>
      </c>
      <c r="B333" s="34">
        <f>VLOOKUP(A333,Data!A:AX,MATCH($B$2,Data!$B$1:$AX$1,0),FALSE)</f>
        <v>4.3822400000000002E-4</v>
      </c>
      <c r="C333" s="35">
        <f t="shared" si="22"/>
        <v>3.1493913059852607E-2</v>
      </c>
      <c r="D333" s="35">
        <f t="shared" si="19"/>
        <v>0.45077490287460931</v>
      </c>
      <c r="E333" s="35">
        <f>(Table143454[[#This Row],[USA]]-B321)/B321</f>
        <v>0.58042144668082785</v>
      </c>
      <c r="F333" s="34">
        <f>VLOOKUP(Table143454[[#This Row],[Date]],'Data Core CPI'!$A:$AX,MATCH($B$2,'Data Core CPI'!$B$1:$AX$1,0),FALSE)</f>
        <v>0</v>
      </c>
      <c r="G333" s="35" t="e">
        <f t="shared" si="20"/>
        <v>#DIV/0!</v>
      </c>
      <c r="H333" s="35" t="e">
        <f t="shared" si="21"/>
        <v>#DIV/0!</v>
      </c>
      <c r="I333" s="35" t="e">
        <f>(Table143454[[#This Row],[Core CPI]]-F321)/F321</f>
        <v>#DIV/0!</v>
      </c>
    </row>
    <row r="334" spans="1:9" x14ac:dyDescent="0.35">
      <c r="A334" s="33">
        <f>IF(Data!A361="",#N/A,Data!A361)</f>
        <v>28825</v>
      </c>
      <c r="B334" s="34">
        <f>VLOOKUP(A334,Data!A:AX,MATCH($B$2,Data!$B$1:$AX$1,0),FALSE)</f>
        <v>4.4557199999999998E-4</v>
      </c>
      <c r="C334" s="35">
        <f t="shared" si="22"/>
        <v>1.6767680455657352E-2</v>
      </c>
      <c r="D334" s="35">
        <f t="shared" si="19"/>
        <v>0.22084575221901681</v>
      </c>
      <c r="E334" s="35">
        <f>(Table143454[[#This Row],[USA]]-B322)/B322</f>
        <v>0.53969915926313727</v>
      </c>
      <c r="F334" s="34">
        <f>VLOOKUP(Table143454[[#This Row],[Date]],'Data Core CPI'!$A:$AX,MATCH($B$2,'Data Core CPI'!$B$1:$AX$1,0),FALSE)</f>
        <v>0</v>
      </c>
      <c r="G334" s="35" t="e">
        <f t="shared" si="20"/>
        <v>#DIV/0!</v>
      </c>
      <c r="H334" s="35" t="e">
        <f t="shared" si="21"/>
        <v>#DIV/0!</v>
      </c>
      <c r="I334" s="35" t="e">
        <f>(Table143454[[#This Row],[Core CPI]]-F322)/F322</f>
        <v>#DIV/0!</v>
      </c>
    </row>
    <row r="335" spans="1:9" x14ac:dyDescent="0.35">
      <c r="A335" s="33">
        <f>IF(Data!A362="",#N/A,Data!A362)</f>
        <v>28856</v>
      </c>
      <c r="B335" s="34">
        <f>VLOOKUP(A335,Data!A:AX,MATCH($B$2,Data!$B$1:$AX$1,0),FALSE)</f>
        <v>4.5597900000000002E-4</v>
      </c>
      <c r="C335" s="35">
        <f t="shared" si="22"/>
        <v>2.3356494573267605E-2</v>
      </c>
      <c r="D335" s="35">
        <f t="shared" si="19"/>
        <v>0.31923875528419243</v>
      </c>
      <c r="E335" s="35">
        <f>(Table143454[[#This Row],[USA]]-B323)/B323</f>
        <v>0.51517235879338874</v>
      </c>
      <c r="F335" s="34">
        <f>VLOOKUP(Table143454[[#This Row],[Date]],'Data Core CPI'!$A:$AX,MATCH($B$2,'Data Core CPI'!$B$1:$AX$1,0),FALSE)</f>
        <v>0</v>
      </c>
      <c r="G335" s="35" t="e">
        <f t="shared" si="20"/>
        <v>#DIV/0!</v>
      </c>
      <c r="H335" s="35" t="e">
        <f t="shared" si="21"/>
        <v>#DIV/0!</v>
      </c>
      <c r="I335" s="35" t="e">
        <f>(Table143454[[#This Row],[Core CPI]]-F323)/F323</f>
        <v>#DIV/0!</v>
      </c>
    </row>
    <row r="336" spans="1:9" x14ac:dyDescent="0.35">
      <c r="A336" s="33">
        <f>IF(Data!A363="",#N/A,Data!A363)</f>
        <v>28887</v>
      </c>
      <c r="B336" s="34">
        <f>VLOOKUP(A336,Data!A:AX,MATCH($B$2,Data!$B$1:$AX$1,0),FALSE)</f>
        <v>4.6617300000000001E-4</v>
      </c>
      <c r="C336" s="35">
        <f t="shared" si="22"/>
        <v>2.2356292724007076E-2</v>
      </c>
      <c r="D336" s="35">
        <f t="shared" si="19"/>
        <v>0.30384898601958299</v>
      </c>
      <c r="E336" s="35">
        <f>(Table143454[[#This Row],[USA]]-B324)/B324</f>
        <v>0.4707860737328643</v>
      </c>
      <c r="F336" s="34">
        <f>VLOOKUP(Table143454[[#This Row],[Date]],'Data Core CPI'!$A:$AX,MATCH($B$2,'Data Core CPI'!$B$1:$AX$1,0),FALSE)</f>
        <v>0</v>
      </c>
      <c r="G336" s="35" t="e">
        <f t="shared" si="20"/>
        <v>#DIV/0!</v>
      </c>
      <c r="H336" s="35" t="e">
        <f t="shared" si="21"/>
        <v>#DIV/0!</v>
      </c>
      <c r="I336" s="35" t="e">
        <f>(Table143454[[#This Row],[Core CPI]]-F324)/F324</f>
        <v>#DIV/0!</v>
      </c>
    </row>
    <row r="337" spans="1:9" x14ac:dyDescent="0.35">
      <c r="A337" s="33">
        <f>IF(Data!A364="",#N/A,Data!A364)</f>
        <v>28915</v>
      </c>
      <c r="B337" s="34">
        <f>VLOOKUP(A337,Data!A:AX,MATCH($B$2,Data!$B$1:$AX$1,0),FALSE)</f>
        <v>4.7781199999999998E-4</v>
      </c>
      <c r="C337" s="35">
        <f t="shared" si="22"/>
        <v>2.4967125938224699E-2</v>
      </c>
      <c r="D337" s="35">
        <f t="shared" si="19"/>
        <v>0.34437131212631922</v>
      </c>
      <c r="E337" s="35">
        <f>(Table143454[[#This Row],[USA]]-B325)/B325</f>
        <v>0.47993557579136459</v>
      </c>
      <c r="F337" s="34">
        <f>VLOOKUP(Table143454[[#This Row],[Date]],'Data Core CPI'!$A:$AX,MATCH($B$2,'Data Core CPI'!$B$1:$AX$1,0),FALSE)</f>
        <v>0</v>
      </c>
      <c r="G337" s="35" t="e">
        <f t="shared" si="20"/>
        <v>#DIV/0!</v>
      </c>
      <c r="H337" s="35" t="e">
        <f t="shared" si="21"/>
        <v>#DIV/0!</v>
      </c>
      <c r="I337" s="35" t="e">
        <f>(Table143454[[#This Row],[Core CPI]]-F325)/F325</f>
        <v>#DIV/0!</v>
      </c>
    </row>
    <row r="338" spans="1:9" x14ac:dyDescent="0.35">
      <c r="A338" s="33">
        <f>IF(Data!A365="",#N/A,Data!A365)</f>
        <v>28946</v>
      </c>
      <c r="B338" s="34">
        <f>VLOOKUP(A338,Data!A:AX,MATCH($B$2,Data!$B$1:$AX$1,0),FALSE)</f>
        <v>5.0215000000000004E-4</v>
      </c>
      <c r="C338" s="35">
        <f t="shared" si="22"/>
        <v>5.0936351535750601E-2</v>
      </c>
      <c r="D338" s="35">
        <f t="shared" si="19"/>
        <v>0.8151686106379139</v>
      </c>
      <c r="E338" s="35">
        <f>(Table143454[[#This Row],[USA]]-B326)/B326</f>
        <v>0.51021647990087293</v>
      </c>
      <c r="F338" s="34">
        <f>VLOOKUP(Table143454[[#This Row],[Date]],'Data Core CPI'!$A:$AX,MATCH($B$2,'Data Core CPI'!$B$1:$AX$1,0),FALSE)</f>
        <v>0</v>
      </c>
      <c r="G338" s="35" t="e">
        <f t="shared" si="20"/>
        <v>#DIV/0!</v>
      </c>
      <c r="H338" s="35" t="e">
        <f t="shared" si="21"/>
        <v>#DIV/0!</v>
      </c>
      <c r="I338" s="35" t="e">
        <f>(Table143454[[#This Row],[Core CPI]]-F326)/F326</f>
        <v>#DIV/0!</v>
      </c>
    </row>
    <row r="339" spans="1:9" x14ac:dyDescent="0.35">
      <c r="A339" s="33">
        <f>IF(Data!A366="",#N/A,Data!A366)</f>
        <v>28976</v>
      </c>
      <c r="B339" s="34">
        <f>VLOOKUP(A339,Data!A:AX,MATCH($B$2,Data!$B$1:$AX$1,0),FALSE)</f>
        <v>5.2428000000000002E-4</v>
      </c>
      <c r="C339" s="35">
        <f t="shared" si="22"/>
        <v>4.4070496863486852E-2</v>
      </c>
      <c r="D339" s="35">
        <f t="shared" si="19"/>
        <v>0.67786836086024715</v>
      </c>
      <c r="E339" s="35">
        <f>(Table143454[[#This Row],[USA]]-B327)/B327</f>
        <v>0.49921076110081675</v>
      </c>
      <c r="F339" s="34">
        <f>VLOOKUP(Table143454[[#This Row],[Date]],'Data Core CPI'!$A:$AX,MATCH($B$2,'Data Core CPI'!$B$1:$AX$1,0),FALSE)</f>
        <v>0</v>
      </c>
      <c r="G339" s="35" t="e">
        <f t="shared" si="20"/>
        <v>#DIV/0!</v>
      </c>
      <c r="H339" s="35" t="e">
        <f t="shared" si="21"/>
        <v>#DIV/0!</v>
      </c>
      <c r="I339" s="35" t="e">
        <f>(Table143454[[#This Row],[Core CPI]]-F327)/F327</f>
        <v>#DIV/0!</v>
      </c>
    </row>
    <row r="340" spans="1:9" x14ac:dyDescent="0.35">
      <c r="A340" s="33">
        <f>IF(Data!A367="",#N/A,Data!A367)</f>
        <v>29007</v>
      </c>
      <c r="B340" s="34">
        <f>VLOOKUP(A340,Data!A:AX,MATCH($B$2,Data!$B$1:$AX$1,0),FALSE)</f>
        <v>5.8102800000000003E-4</v>
      </c>
      <c r="C340" s="35">
        <f t="shared" si="22"/>
        <v>0.10823987182421613</v>
      </c>
      <c r="D340" s="35">
        <f t="shared" si="19"/>
        <v>2.4324581576166779</v>
      </c>
      <c r="E340" s="35">
        <f>(Table143454[[#This Row],[USA]]-B328)/B328</f>
        <v>0.59596331384026313</v>
      </c>
      <c r="F340" s="34">
        <f>VLOOKUP(Table143454[[#This Row],[Date]],'Data Core CPI'!$A:$AX,MATCH($B$2,'Data Core CPI'!$B$1:$AX$1,0),FALSE)</f>
        <v>0</v>
      </c>
      <c r="G340" s="35" t="e">
        <f t="shared" si="20"/>
        <v>#DIV/0!</v>
      </c>
      <c r="H340" s="35" t="e">
        <f t="shared" si="21"/>
        <v>#DIV/0!</v>
      </c>
      <c r="I340" s="35" t="e">
        <f>(Table143454[[#This Row],[Core CPI]]-F328)/F328</f>
        <v>#DIV/0!</v>
      </c>
    </row>
    <row r="341" spans="1:9" x14ac:dyDescent="0.35">
      <c r="A341" s="33">
        <f>IF(Data!A368="",#N/A,Data!A368)</f>
        <v>29037</v>
      </c>
      <c r="B341" s="34">
        <f>VLOOKUP(A341,Data!A:AX,MATCH($B$2,Data!$B$1:$AX$1,0),FALSE)</f>
        <v>6.31362E-4</v>
      </c>
      <c r="C341" s="35">
        <f t="shared" si="22"/>
        <v>8.6629215803713411E-2</v>
      </c>
      <c r="D341" s="35">
        <f t="shared" si="19"/>
        <v>1.71004517796261</v>
      </c>
      <c r="E341" s="35">
        <f>(Table143454[[#This Row],[USA]]-B329)/B329</f>
        <v>0.67086215748439937</v>
      </c>
      <c r="F341" s="34">
        <f>VLOOKUP(Table143454[[#This Row],[Date]],'Data Core CPI'!$A:$AX,MATCH($B$2,'Data Core CPI'!$B$1:$AX$1,0),FALSE)</f>
        <v>0</v>
      </c>
      <c r="G341" s="35" t="e">
        <f t="shared" si="20"/>
        <v>#DIV/0!</v>
      </c>
      <c r="H341" s="35" t="e">
        <f t="shared" si="21"/>
        <v>#DIV/0!</v>
      </c>
      <c r="I341" s="35" t="e">
        <f>(Table143454[[#This Row],[Core CPI]]-F329)/F329</f>
        <v>#DIV/0!</v>
      </c>
    </row>
    <row r="342" spans="1:9" x14ac:dyDescent="0.35">
      <c r="A342" s="33">
        <f>IF(Data!A369="",#N/A,Data!A369)</f>
        <v>29068</v>
      </c>
      <c r="B342" s="34">
        <f>VLOOKUP(A342,Data!A:AX,MATCH($B$2,Data!$B$1:$AX$1,0),FALSE)</f>
        <v>6.5773999999999997E-4</v>
      </c>
      <c r="C342" s="35">
        <f t="shared" si="22"/>
        <v>4.1779517931076038E-2</v>
      </c>
      <c r="D342" s="35">
        <f t="shared" si="19"/>
        <v>0.63421719583570813</v>
      </c>
      <c r="E342" s="35">
        <f>(Table143454[[#This Row],[USA]]-B330)/B330</f>
        <v>0.69587054722468589</v>
      </c>
      <c r="F342" s="34">
        <f>VLOOKUP(Table143454[[#This Row],[Date]],'Data Core CPI'!$A:$AX,MATCH($B$2,'Data Core CPI'!$B$1:$AX$1,0),FALSE)</f>
        <v>0</v>
      </c>
      <c r="G342" s="35" t="e">
        <f t="shared" si="20"/>
        <v>#DIV/0!</v>
      </c>
      <c r="H342" s="35" t="e">
        <f t="shared" si="21"/>
        <v>#DIV/0!</v>
      </c>
      <c r="I342" s="35" t="e">
        <f>(Table143454[[#This Row],[Core CPI]]-F330)/F330</f>
        <v>#DIV/0!</v>
      </c>
    </row>
    <row r="343" spans="1:9" x14ac:dyDescent="0.35">
      <c r="A343" s="33">
        <f>IF(Data!A370="",#N/A,Data!A370)</f>
        <v>29099</v>
      </c>
      <c r="B343" s="34">
        <f>VLOOKUP(A343,Data!A:AX,MATCH($B$2,Data!$B$1:$AX$1,0),FALSE)</f>
        <v>6.8827999999999999E-4</v>
      </c>
      <c r="C343" s="35">
        <f t="shared" si="22"/>
        <v>4.643172074071833E-2</v>
      </c>
      <c r="D343" s="35">
        <f t="shared" si="19"/>
        <v>0.72397416235882872</v>
      </c>
      <c r="E343" s="35">
        <f>(Table143454[[#This Row],[USA]]-B331)/B331</f>
        <v>0.69835390844957468</v>
      </c>
      <c r="F343" s="34">
        <f>VLOOKUP(Table143454[[#This Row],[Date]],'Data Core CPI'!$A:$AX,MATCH($B$2,'Data Core CPI'!$B$1:$AX$1,0),FALSE)</f>
        <v>0</v>
      </c>
      <c r="G343" s="35" t="e">
        <f t="shared" si="20"/>
        <v>#DIV/0!</v>
      </c>
      <c r="H343" s="35" t="e">
        <f t="shared" si="21"/>
        <v>#DIV/0!</v>
      </c>
      <c r="I343" s="35" t="e">
        <f>(Table143454[[#This Row],[Core CPI]]-F331)/F331</f>
        <v>#DIV/0!</v>
      </c>
    </row>
    <row r="344" spans="1:9" x14ac:dyDescent="0.35">
      <c r="A344" s="33">
        <f>IF(Data!A371="",#N/A,Data!A371)</f>
        <v>29129</v>
      </c>
      <c r="B344" s="34">
        <f>VLOOKUP(A344,Data!A:AX,MATCH($B$2,Data!$B$1:$AX$1,0),FALSE)</f>
        <v>7.3585299999999996E-4</v>
      </c>
      <c r="C344" s="35">
        <f t="shared" si="22"/>
        <v>6.9118672633230682E-2</v>
      </c>
      <c r="D344" s="35">
        <f t="shared" si="19"/>
        <v>1.2300313944830599</v>
      </c>
      <c r="E344" s="35">
        <f>(Table143454[[#This Row],[USA]]-B332)/B332</f>
        <v>0.73205458944930357</v>
      </c>
      <c r="F344" s="34">
        <f>VLOOKUP(Table143454[[#This Row],[Date]],'Data Core CPI'!$A:$AX,MATCH($B$2,'Data Core CPI'!$B$1:$AX$1,0),FALSE)</f>
        <v>0</v>
      </c>
      <c r="G344" s="35" t="e">
        <f t="shared" si="20"/>
        <v>#DIV/0!</v>
      </c>
      <c r="H344" s="35" t="e">
        <f t="shared" si="21"/>
        <v>#DIV/0!</v>
      </c>
      <c r="I344" s="35" t="e">
        <f>(Table143454[[#This Row],[Core CPI]]-F332)/F332</f>
        <v>#DIV/0!</v>
      </c>
    </row>
    <row r="345" spans="1:9" x14ac:dyDescent="0.35">
      <c r="A345" s="33">
        <f>IF(Data!A372="",#N/A,Data!A372)</f>
        <v>29160</v>
      </c>
      <c r="B345" s="34">
        <f>VLOOKUP(A345,Data!A:AX,MATCH($B$2,Data!$B$1:$AX$1,0),FALSE)</f>
        <v>7.7399599999999999E-4</v>
      </c>
      <c r="C345" s="35">
        <f t="shared" si="22"/>
        <v>5.1835081191488053E-2</v>
      </c>
      <c r="D345" s="35">
        <f t="shared" si="19"/>
        <v>0.83388381490630548</v>
      </c>
      <c r="E345" s="35">
        <f>(Table143454[[#This Row],[USA]]-B333)/B333</f>
        <v>0.76621088758260603</v>
      </c>
      <c r="F345" s="34">
        <f>VLOOKUP(Table143454[[#This Row],[Date]],'Data Core CPI'!$A:$AX,MATCH($B$2,'Data Core CPI'!$B$1:$AX$1,0),FALSE)</f>
        <v>0</v>
      </c>
      <c r="G345" s="35" t="e">
        <f t="shared" si="20"/>
        <v>#DIV/0!</v>
      </c>
      <c r="H345" s="35" t="e">
        <f t="shared" si="21"/>
        <v>#DIV/0!</v>
      </c>
      <c r="I345" s="35" t="e">
        <f>(Table143454[[#This Row],[Core CPI]]-F333)/F333</f>
        <v>#DIV/0!</v>
      </c>
    </row>
    <row r="346" spans="1:9" x14ac:dyDescent="0.35">
      <c r="A346" s="33">
        <f>IF(Data!A373="",#N/A,Data!A373)</f>
        <v>29190</v>
      </c>
      <c r="B346" s="34">
        <f>VLOOKUP(A346,Data!A:AX,MATCH($B$2,Data!$B$1:$AX$1,0),FALSE)</f>
        <v>8.1022799999999997E-4</v>
      </c>
      <c r="C346" s="35">
        <f t="shared" si="22"/>
        <v>4.6811611429516509E-2</v>
      </c>
      <c r="D346" s="35">
        <f t="shared" si="19"/>
        <v>0.7314995189909157</v>
      </c>
      <c r="E346" s="35">
        <f>(Table143454[[#This Row],[USA]]-B334)/B334</f>
        <v>0.8183997199105868</v>
      </c>
      <c r="F346" s="34">
        <f>VLOOKUP(Table143454[[#This Row],[Date]],'Data Core CPI'!$A:$AX,MATCH($B$2,'Data Core CPI'!$B$1:$AX$1,0),FALSE)</f>
        <v>0</v>
      </c>
      <c r="G346" s="35" t="e">
        <f t="shared" si="20"/>
        <v>#DIV/0!</v>
      </c>
      <c r="H346" s="35" t="e">
        <f t="shared" si="21"/>
        <v>#DIV/0!</v>
      </c>
      <c r="I346" s="35" t="e">
        <f>(Table143454[[#This Row],[Core CPI]]-F334)/F334</f>
        <v>#DIV/0!</v>
      </c>
    </row>
    <row r="347" spans="1:9" x14ac:dyDescent="0.35">
      <c r="A347" s="33">
        <f>IF(Data!A374="",#N/A,Data!A374)</f>
        <v>29221</v>
      </c>
      <c r="B347" s="34">
        <f>VLOOKUP(A347,Data!A:AX,MATCH($B$2,Data!$B$1:$AX$1,0),FALSE)</f>
        <v>8.9458599999999995E-4</v>
      </c>
      <c r="C347" s="35">
        <f t="shared" si="22"/>
        <v>0.10411637218165759</v>
      </c>
      <c r="D347" s="35">
        <f t="shared" si="19"/>
        <v>2.2822994303429174</v>
      </c>
      <c r="E347" s="35">
        <f>(Table143454[[#This Row],[USA]]-B335)/B335</f>
        <v>0.96190175424745417</v>
      </c>
      <c r="F347" s="34">
        <f>VLOOKUP(Table143454[[#This Row],[Date]],'Data Core CPI'!$A:$AX,MATCH($B$2,'Data Core CPI'!$B$1:$AX$1,0),FALSE)</f>
        <v>0</v>
      </c>
      <c r="G347" s="35" t="e">
        <f t="shared" si="20"/>
        <v>#DIV/0!</v>
      </c>
      <c r="H347" s="35" t="e">
        <f t="shared" si="21"/>
        <v>#DIV/0!</v>
      </c>
      <c r="I347" s="35" t="e">
        <f>(Table143454[[#This Row],[Core CPI]]-F335)/F335</f>
        <v>#DIV/0!</v>
      </c>
    </row>
    <row r="348" spans="1:9" x14ac:dyDescent="0.35">
      <c r="A348" s="33">
        <f>IF(Data!A375="",#N/A,Data!A375)</f>
        <v>29252</v>
      </c>
      <c r="B348" s="34">
        <f>VLOOKUP(A348,Data!A:AX,MATCH($B$2,Data!$B$1:$AX$1,0),FALSE)</f>
        <v>1.0134759999999999E-3</v>
      </c>
      <c r="C348" s="35">
        <f t="shared" si="22"/>
        <v>0.13289946410965525</v>
      </c>
      <c r="D348" s="35">
        <f t="shared" si="19"/>
        <v>3.469886096184605</v>
      </c>
      <c r="E348" s="35">
        <f>(Table143454[[#This Row],[USA]]-B336)/B336</f>
        <v>1.1740341032191908</v>
      </c>
      <c r="F348" s="34">
        <f>VLOOKUP(Table143454[[#This Row],[Date]],'Data Core CPI'!$A:$AX,MATCH($B$2,'Data Core CPI'!$B$1:$AX$1,0),FALSE)</f>
        <v>0</v>
      </c>
      <c r="G348" s="35" t="e">
        <f t="shared" si="20"/>
        <v>#DIV/0!</v>
      </c>
      <c r="H348" s="35" t="e">
        <f t="shared" si="21"/>
        <v>#DIV/0!</v>
      </c>
      <c r="I348" s="35" t="e">
        <f>(Table143454[[#This Row],[Core CPI]]-F336)/F336</f>
        <v>#DIV/0!</v>
      </c>
    </row>
    <row r="349" spans="1:9" x14ac:dyDescent="0.35">
      <c r="A349" s="33">
        <f>IF(Data!A376="",#N/A,Data!A376)</f>
        <v>29281</v>
      </c>
      <c r="B349" s="34">
        <f>VLOOKUP(A349,Data!A:AX,MATCH($B$2,Data!$B$1:$AX$1,0),FALSE)</f>
        <v>1.0517040000000001E-3</v>
      </c>
      <c r="C349" s="35">
        <f t="shared" si="22"/>
        <v>3.7719689464772888E-2</v>
      </c>
      <c r="D349" s="35">
        <f t="shared" si="19"/>
        <v>0.55941132623182455</v>
      </c>
      <c r="E349" s="35">
        <f>(Table143454[[#This Row],[USA]]-B337)/B337</f>
        <v>1.2010832712447577</v>
      </c>
      <c r="F349" s="34">
        <f>VLOOKUP(Table143454[[#This Row],[Date]],'Data Core CPI'!$A:$AX,MATCH($B$2,'Data Core CPI'!$B$1:$AX$1,0),FALSE)</f>
        <v>0</v>
      </c>
      <c r="G349" s="35" t="e">
        <f t="shared" si="20"/>
        <v>#DIV/0!</v>
      </c>
      <c r="H349" s="35" t="e">
        <f t="shared" si="21"/>
        <v>#DIV/0!</v>
      </c>
      <c r="I349" s="35" t="e">
        <f>(Table143454[[#This Row],[Core CPI]]-F337)/F337</f>
        <v>#DIV/0!</v>
      </c>
    </row>
    <row r="350" spans="1:9" x14ac:dyDescent="0.35">
      <c r="A350" s="33">
        <f>IF(Data!A377="",#N/A,Data!A377)</f>
        <v>29312</v>
      </c>
      <c r="B350" s="34">
        <f>VLOOKUP(A350,Data!A:AX,MATCH($B$2,Data!$B$1:$AX$1,0),FALSE)</f>
        <v>1.091886E-3</v>
      </c>
      <c r="C350" s="35">
        <f t="shared" si="22"/>
        <v>3.8206567627393273E-2</v>
      </c>
      <c r="D350" s="35">
        <f t="shared" si="19"/>
        <v>0.56821376819594738</v>
      </c>
      <c r="E350" s="35">
        <f>(Table143454[[#This Row],[USA]]-B338)/B338</f>
        <v>1.1744219854625111</v>
      </c>
      <c r="F350" s="34">
        <f>VLOOKUP(Table143454[[#This Row],[Date]],'Data Core CPI'!$A:$AX,MATCH($B$2,'Data Core CPI'!$B$1:$AX$1,0),FALSE)</f>
        <v>0</v>
      </c>
      <c r="G350" s="35" t="e">
        <f t="shared" si="20"/>
        <v>#DIV/0!</v>
      </c>
      <c r="H350" s="35" t="e">
        <f t="shared" si="21"/>
        <v>#DIV/0!</v>
      </c>
      <c r="I350" s="35" t="e">
        <f>(Table143454[[#This Row],[Core CPI]]-F338)/F338</f>
        <v>#DIV/0!</v>
      </c>
    </row>
    <row r="351" spans="1:9" x14ac:dyDescent="0.35">
      <c r="A351" s="33">
        <f>IF(Data!A378="",#N/A,Data!A378)</f>
        <v>29342</v>
      </c>
      <c r="B351" s="34">
        <f>VLOOKUP(A351,Data!A:AX,MATCH($B$2,Data!$B$1:$AX$1,0),FALSE)</f>
        <v>1.124805E-3</v>
      </c>
      <c r="C351" s="35">
        <f t="shared" si="22"/>
        <v>3.0148751792769435E-2</v>
      </c>
      <c r="D351" s="35">
        <f t="shared" si="19"/>
        <v>0.42823373766967632</v>
      </c>
      <c r="E351" s="35">
        <f>(Table143454[[#This Row],[USA]]-B339)/B339</f>
        <v>1.1454280155642023</v>
      </c>
      <c r="F351" s="34">
        <f>VLOOKUP(Table143454[[#This Row],[Date]],'Data Core CPI'!$A:$AX,MATCH($B$2,'Data Core CPI'!$B$1:$AX$1,0),FALSE)</f>
        <v>0</v>
      </c>
      <c r="G351" s="35" t="e">
        <f t="shared" si="20"/>
        <v>#DIV/0!</v>
      </c>
      <c r="H351" s="35" t="e">
        <f t="shared" si="21"/>
        <v>#DIV/0!</v>
      </c>
      <c r="I351" s="35" t="e">
        <f>(Table143454[[#This Row],[Core CPI]]-F339)/F339</f>
        <v>#DIV/0!</v>
      </c>
    </row>
    <row r="352" spans="1:9" x14ac:dyDescent="0.35">
      <c r="A352" s="33">
        <f>IF(Data!A379="",#N/A,Data!A379)</f>
        <v>29373</v>
      </c>
      <c r="B352" s="34">
        <f>VLOOKUP(A352,Data!A:AX,MATCH($B$2,Data!$B$1:$AX$1,0),FALSE)</f>
        <v>1.169914E-3</v>
      </c>
      <c r="C352" s="35">
        <f t="shared" si="22"/>
        <v>4.0103840221193954E-2</v>
      </c>
      <c r="D352" s="35">
        <f t="shared" si="19"/>
        <v>0.60295155935200095</v>
      </c>
      <c r="E352" s="35">
        <f>(Table143454[[#This Row],[USA]]-B340)/B340</f>
        <v>1.0135243051969955</v>
      </c>
      <c r="F352" s="34">
        <f>VLOOKUP(Table143454[[#This Row],[Date]],'Data Core CPI'!$A:$AX,MATCH($B$2,'Data Core CPI'!$B$1:$AX$1,0),FALSE)</f>
        <v>0</v>
      </c>
      <c r="G352" s="35" t="e">
        <f t="shared" si="20"/>
        <v>#DIV/0!</v>
      </c>
      <c r="H352" s="35" t="e">
        <f t="shared" si="21"/>
        <v>#DIV/0!</v>
      </c>
      <c r="I352" s="35" t="e">
        <f>(Table143454[[#This Row],[Core CPI]]-F340)/F340</f>
        <v>#DIV/0!</v>
      </c>
    </row>
    <row r="353" spans="1:9" x14ac:dyDescent="0.35">
      <c r="A353" s="33">
        <f>IF(Data!A380="",#N/A,Data!A380)</f>
        <v>29403</v>
      </c>
      <c r="B353" s="34">
        <f>VLOOKUP(A353,Data!A:AX,MATCH($B$2,Data!$B$1:$AX$1,0),FALSE)</f>
        <v>1.194805E-3</v>
      </c>
      <c r="C353" s="35">
        <f t="shared" si="22"/>
        <v>2.1275922845610751E-2</v>
      </c>
      <c r="D353" s="35">
        <f t="shared" si="19"/>
        <v>0.28741071529484907</v>
      </c>
      <c r="E353" s="35">
        <f>(Table143454[[#This Row],[USA]]-B341)/B341</f>
        <v>0.89242463119414839</v>
      </c>
      <c r="F353" s="34">
        <f>VLOOKUP(Table143454[[#This Row],[Date]],'Data Core CPI'!$A:$AX,MATCH($B$2,'Data Core CPI'!$B$1:$AX$1,0),FALSE)</f>
        <v>0</v>
      </c>
      <c r="G353" s="35" t="e">
        <f t="shared" si="20"/>
        <v>#DIV/0!</v>
      </c>
      <c r="H353" s="35" t="e">
        <f t="shared" si="21"/>
        <v>#DIV/0!</v>
      </c>
      <c r="I353" s="35" t="e">
        <f>(Table143454[[#This Row],[Core CPI]]-F341)/F341</f>
        <v>#DIV/0!</v>
      </c>
    </row>
    <row r="354" spans="1:9" x14ac:dyDescent="0.35">
      <c r="A354" s="33">
        <f>IF(Data!A381="",#N/A,Data!A381)</f>
        <v>29434</v>
      </c>
      <c r="B354" s="34">
        <f>VLOOKUP(A354,Data!A:AX,MATCH($B$2,Data!$B$1:$AX$1,0),FALSE)</f>
        <v>1.2377060000000001E-3</v>
      </c>
      <c r="C354" s="35">
        <f t="shared" si="22"/>
        <v>3.5906277593414915E-2</v>
      </c>
      <c r="D354" s="35">
        <f t="shared" si="19"/>
        <v>0.52702300134793978</v>
      </c>
      <c r="E354" s="35">
        <f>(Table143454[[#This Row],[USA]]-B342)/B342</f>
        <v>0.88175570894274358</v>
      </c>
      <c r="F354" s="34">
        <f>VLOOKUP(Table143454[[#This Row],[Date]],'Data Core CPI'!$A:$AX,MATCH($B$2,'Data Core CPI'!$B$1:$AX$1,0),FALSE)</f>
        <v>0</v>
      </c>
      <c r="G354" s="35" t="e">
        <f t="shared" si="20"/>
        <v>#DIV/0!</v>
      </c>
      <c r="H354" s="35" t="e">
        <f t="shared" si="21"/>
        <v>#DIV/0!</v>
      </c>
      <c r="I354" s="35" t="e">
        <f>(Table143454[[#This Row],[Core CPI]]-F342)/F342</f>
        <v>#DIV/0!</v>
      </c>
    </row>
    <row r="355" spans="1:9" x14ac:dyDescent="0.35">
      <c r="A355" s="33">
        <f>IF(Data!A382="",#N/A,Data!A382)</f>
        <v>29465</v>
      </c>
      <c r="B355" s="34">
        <f>VLOOKUP(A355,Data!A:AX,MATCH($B$2,Data!$B$1:$AX$1,0),FALSE)</f>
        <v>1.2849389999999999E-3</v>
      </c>
      <c r="C355" s="35">
        <f t="shared" si="22"/>
        <v>3.8161728229482383E-2</v>
      </c>
      <c r="D355" s="35">
        <f t="shared" si="19"/>
        <v>0.56740120088147394</v>
      </c>
      <c r="E355" s="35">
        <f>(Table143454[[#This Row],[USA]]-B343)/B343</f>
        <v>0.86688411692915668</v>
      </c>
      <c r="F355" s="34">
        <f>VLOOKUP(Table143454[[#This Row],[Date]],'Data Core CPI'!$A:$AX,MATCH($B$2,'Data Core CPI'!$B$1:$AX$1,0),FALSE)</f>
        <v>0</v>
      </c>
      <c r="G355" s="35" t="e">
        <f t="shared" si="20"/>
        <v>#DIV/0!</v>
      </c>
      <c r="H355" s="35" t="e">
        <f t="shared" si="21"/>
        <v>#DIV/0!</v>
      </c>
      <c r="I355" s="35" t="e">
        <f>(Table143454[[#This Row],[Core CPI]]-F343)/F343</f>
        <v>#DIV/0!</v>
      </c>
    </row>
    <row r="356" spans="1:9" x14ac:dyDescent="0.35">
      <c r="A356" s="33">
        <f>IF(Data!A383="",#N/A,Data!A383)</f>
        <v>29495</v>
      </c>
      <c r="B356" s="34">
        <f>VLOOKUP(A356,Data!A:AX,MATCH($B$2,Data!$B$1:$AX$1,0),FALSE)</f>
        <v>1.344236E-3</v>
      </c>
      <c r="C356" s="35">
        <f t="shared" si="22"/>
        <v>4.6147715961613711E-2</v>
      </c>
      <c r="D356" s="35">
        <f t="shared" si="19"/>
        <v>0.71836783342764288</v>
      </c>
      <c r="E356" s="35">
        <f>(Table143454[[#This Row],[USA]]-B344)/B344</f>
        <v>0.82677246678344729</v>
      </c>
      <c r="F356" s="34">
        <f>VLOOKUP(Table143454[[#This Row],[Date]],'Data Core CPI'!$A:$AX,MATCH($B$2,'Data Core CPI'!$B$1:$AX$1,0),FALSE)</f>
        <v>0</v>
      </c>
      <c r="G356" s="35" t="e">
        <f t="shared" si="20"/>
        <v>#DIV/0!</v>
      </c>
      <c r="H356" s="35" t="e">
        <f t="shared" si="21"/>
        <v>#DIV/0!</v>
      </c>
      <c r="I356" s="35" t="e">
        <f>(Table143454[[#This Row],[Core CPI]]-F344)/F344</f>
        <v>#DIV/0!</v>
      </c>
    </row>
    <row r="357" spans="1:9" x14ac:dyDescent="0.35">
      <c r="A357" s="33">
        <f>IF(Data!A384="",#N/A,Data!A384)</f>
        <v>29526</v>
      </c>
      <c r="B357" s="34">
        <f>VLOOKUP(A357,Data!A:AX,MATCH($B$2,Data!$B$1:$AX$1,0),FALSE)</f>
        <v>1.3639870000000001E-3</v>
      </c>
      <c r="C357" s="35">
        <f t="shared" si="22"/>
        <v>1.4693104484629238E-2</v>
      </c>
      <c r="D357" s="35">
        <f t="shared" si="19"/>
        <v>0.19128729139543887</v>
      </c>
      <c r="E357" s="35">
        <f>(Table143454[[#This Row],[USA]]-B345)/B345</f>
        <v>0.76226621326208421</v>
      </c>
      <c r="F357" s="34">
        <f>VLOOKUP(Table143454[[#This Row],[Date]],'Data Core CPI'!$A:$AX,MATCH($B$2,'Data Core CPI'!$B$1:$AX$1,0),FALSE)</f>
        <v>0</v>
      </c>
      <c r="G357" s="35" t="e">
        <f t="shared" si="20"/>
        <v>#DIV/0!</v>
      </c>
      <c r="H357" s="35" t="e">
        <f t="shared" si="21"/>
        <v>#DIV/0!</v>
      </c>
      <c r="I357" s="35" t="e">
        <f>(Table143454[[#This Row],[Core CPI]]-F345)/F345</f>
        <v>#DIV/0!</v>
      </c>
    </row>
    <row r="358" spans="1:9" x14ac:dyDescent="0.35">
      <c r="A358" s="33">
        <f>IF(Data!A385="",#N/A,Data!A385)</f>
        <v>29556</v>
      </c>
      <c r="B358" s="34">
        <f>VLOOKUP(A358,Data!A:AX,MATCH($B$2,Data!$B$1:$AX$1,0),FALSE)</f>
        <v>1.418484E-3</v>
      </c>
      <c r="C358" s="35">
        <f t="shared" si="22"/>
        <v>3.9954193111811032E-2</v>
      </c>
      <c r="D358" s="35">
        <f t="shared" si="19"/>
        <v>0.60018621233257252</v>
      </c>
      <c r="E358" s="35">
        <f>(Table143454[[#This Row],[USA]]-B346)/B346</f>
        <v>0.75072201898724811</v>
      </c>
      <c r="F358" s="34">
        <f>VLOOKUP(Table143454[[#This Row],[Date]],'Data Core CPI'!$A:$AX,MATCH($B$2,'Data Core CPI'!$B$1:$AX$1,0),FALSE)</f>
        <v>0</v>
      </c>
      <c r="G358" s="35" t="e">
        <f t="shared" si="20"/>
        <v>#DIV/0!</v>
      </c>
      <c r="H358" s="35" t="e">
        <f t="shared" si="21"/>
        <v>#DIV/0!</v>
      </c>
      <c r="I358" s="35" t="e">
        <f>(Table143454[[#This Row],[Core CPI]]-F346)/F346</f>
        <v>#DIV/0!</v>
      </c>
    </row>
    <row r="359" spans="1:9" x14ac:dyDescent="0.35">
      <c r="A359" s="33">
        <f>IF(Data!A386="",#N/A,Data!A386)</f>
        <v>29587</v>
      </c>
      <c r="B359" s="34">
        <f>VLOOKUP(A359,Data!A:AX,MATCH($B$2,Data!$B$1:$AX$1,0),FALSE)</f>
        <v>1.4690300000000001E-3</v>
      </c>
      <c r="C359" s="35">
        <f t="shared" si="22"/>
        <v>3.5633817512217281E-2</v>
      </c>
      <c r="D359" s="35">
        <f t="shared" si="19"/>
        <v>0.52221038665575947</v>
      </c>
      <c r="E359" s="35">
        <f>(Table143454[[#This Row],[USA]]-B347)/B347</f>
        <v>0.64213390328040032</v>
      </c>
      <c r="F359" s="34">
        <f>VLOOKUP(Table143454[[#This Row],[Date]],'Data Core CPI'!$A:$AX,MATCH($B$2,'Data Core CPI'!$B$1:$AX$1,0),FALSE)</f>
        <v>0</v>
      </c>
      <c r="G359" s="35" t="e">
        <f t="shared" si="20"/>
        <v>#DIV/0!</v>
      </c>
      <c r="H359" s="35" t="e">
        <f t="shared" si="21"/>
        <v>#DIV/0!</v>
      </c>
      <c r="I359" s="35" t="e">
        <f>(Table143454[[#This Row],[Core CPI]]-F347)/F347</f>
        <v>#DIV/0!</v>
      </c>
    </row>
    <row r="360" spans="1:9" x14ac:dyDescent="0.35">
      <c r="A360" s="33">
        <f>IF(Data!A387="",#N/A,Data!A387)</f>
        <v>29618</v>
      </c>
      <c r="B360" s="34">
        <f>VLOOKUP(A360,Data!A:AX,MATCH($B$2,Data!$B$1:$AX$1,0),FALSE)</f>
        <v>1.490056E-3</v>
      </c>
      <c r="C360" s="35">
        <f t="shared" si="22"/>
        <v>1.4312845891506498E-2</v>
      </c>
      <c r="D360" s="35">
        <f t="shared" si="19"/>
        <v>0.18594106755966511</v>
      </c>
      <c r="E360" s="35">
        <f>(Table143454[[#This Row],[USA]]-B348)/B348</f>
        <v>0.47024300526110152</v>
      </c>
      <c r="F360" s="34">
        <f>VLOOKUP(Table143454[[#This Row],[Date]],'Data Core CPI'!$A:$AX,MATCH($B$2,'Data Core CPI'!$B$1:$AX$1,0),FALSE)</f>
        <v>0</v>
      </c>
      <c r="G360" s="35" t="e">
        <f t="shared" si="20"/>
        <v>#DIV/0!</v>
      </c>
      <c r="H360" s="35" t="e">
        <f t="shared" si="21"/>
        <v>#DIV/0!</v>
      </c>
      <c r="I360" s="35" t="e">
        <f>(Table143454[[#This Row],[Core CPI]]-F348)/F348</f>
        <v>#DIV/0!</v>
      </c>
    </row>
    <row r="361" spans="1:9" x14ac:dyDescent="0.35">
      <c r="A361" s="33">
        <f>IF(Data!A388="",#N/A,Data!A388)</f>
        <v>29646</v>
      </c>
      <c r="B361" s="34">
        <f>VLOOKUP(A361,Data!A:AX,MATCH($B$2,Data!$B$1:$AX$1,0),FALSE)</f>
        <v>1.500122E-3</v>
      </c>
      <c r="C361" s="35">
        <f t="shared" si="22"/>
        <v>6.7554508018490278E-3</v>
      </c>
      <c r="D361" s="35">
        <f t="shared" si="19"/>
        <v>8.4146259750343289E-2</v>
      </c>
      <c r="E361" s="35">
        <f>(Table143454[[#This Row],[USA]]-B349)/B349</f>
        <v>0.42637281972874486</v>
      </c>
      <c r="F361" s="34">
        <f>VLOOKUP(Table143454[[#This Row],[Date]],'Data Core CPI'!$A:$AX,MATCH($B$2,'Data Core CPI'!$B$1:$AX$1,0),FALSE)</f>
        <v>0</v>
      </c>
      <c r="G361" s="35" t="e">
        <f t="shared" si="20"/>
        <v>#DIV/0!</v>
      </c>
      <c r="H361" s="35" t="e">
        <f t="shared" si="21"/>
        <v>#DIV/0!</v>
      </c>
      <c r="I361" s="35" t="e">
        <f>(Table143454[[#This Row],[Core CPI]]-F349)/F349</f>
        <v>#DIV/0!</v>
      </c>
    </row>
    <row r="362" spans="1:9" x14ac:dyDescent="0.35">
      <c r="A362" s="33">
        <f>IF(Data!A389="",#N/A,Data!A389)</f>
        <v>29677</v>
      </c>
      <c r="B362" s="34">
        <f>VLOOKUP(A362,Data!A:AX,MATCH($B$2,Data!$B$1:$AX$1,0),FALSE)</f>
        <v>1.5085330000000001E-3</v>
      </c>
      <c r="C362" s="35">
        <f t="shared" si="22"/>
        <v>5.6068773073123523E-3</v>
      </c>
      <c r="D362" s="35">
        <f t="shared" si="19"/>
        <v>6.939664617440533E-2</v>
      </c>
      <c r="E362" s="35">
        <f>(Table143454[[#This Row],[USA]]-B350)/B350</f>
        <v>0.38158470756104579</v>
      </c>
      <c r="F362" s="34">
        <f>VLOOKUP(Table143454[[#This Row],[Date]],'Data Core CPI'!$A:$AX,MATCH($B$2,'Data Core CPI'!$B$1:$AX$1,0),FALSE)</f>
        <v>0</v>
      </c>
      <c r="G362" s="35" t="e">
        <f t="shared" si="20"/>
        <v>#DIV/0!</v>
      </c>
      <c r="H362" s="35" t="e">
        <f t="shared" si="21"/>
        <v>#DIV/0!</v>
      </c>
      <c r="I362" s="35" t="e">
        <f>(Table143454[[#This Row],[Core CPI]]-F350)/F350</f>
        <v>#DIV/0!</v>
      </c>
    </row>
    <row r="363" spans="1:9" x14ac:dyDescent="0.35">
      <c r="A363" s="33">
        <f>IF(Data!A390="",#N/A,Data!A390)</f>
        <v>29707</v>
      </c>
      <c r="B363" s="34">
        <f>VLOOKUP(A363,Data!A:AX,MATCH($B$2,Data!$B$1:$AX$1,0),FALSE)</f>
        <v>1.5501169999999999E-3</v>
      </c>
      <c r="C363" s="35">
        <f t="shared" si="22"/>
        <v>2.7565853713508393E-2</v>
      </c>
      <c r="D363" s="35">
        <f t="shared" si="19"/>
        <v>0.38584918051331485</v>
      </c>
      <c r="E363" s="35">
        <f>(Table143454[[#This Row],[USA]]-B351)/B351</f>
        <v>0.37812065202412859</v>
      </c>
      <c r="F363" s="34">
        <f>VLOOKUP(Table143454[[#This Row],[Date]],'Data Core CPI'!$A:$AX,MATCH($B$2,'Data Core CPI'!$B$1:$AX$1,0),FALSE)</f>
        <v>0</v>
      </c>
      <c r="G363" s="35" t="e">
        <f t="shared" si="20"/>
        <v>#DIV/0!</v>
      </c>
      <c r="H363" s="35" t="e">
        <f t="shared" si="21"/>
        <v>#DIV/0!</v>
      </c>
      <c r="I363" s="35" t="e">
        <f>(Table143454[[#This Row],[Core CPI]]-F351)/F351</f>
        <v>#DIV/0!</v>
      </c>
    </row>
    <row r="364" spans="1:9" x14ac:dyDescent="0.35">
      <c r="A364" s="33">
        <f>IF(Data!A391="",#N/A,Data!A391)</f>
        <v>29738</v>
      </c>
      <c r="B364" s="34">
        <f>VLOOKUP(A364,Data!A:AX,MATCH($B$2,Data!$B$1:$AX$1,0),FALSE)</f>
        <v>1.611197E-3</v>
      </c>
      <c r="C364" s="35">
        <f t="shared" si="22"/>
        <v>3.9403477285908206E-2</v>
      </c>
      <c r="D364" s="35">
        <f t="shared" si="19"/>
        <v>0.59004708456871757</v>
      </c>
      <c r="E364" s="35">
        <f>(Table143454[[#This Row],[USA]]-B352)/B352</f>
        <v>0.37719268253905841</v>
      </c>
      <c r="F364" s="34">
        <f>VLOOKUP(Table143454[[#This Row],[Date]],'Data Core CPI'!$A:$AX,MATCH($B$2,'Data Core CPI'!$B$1:$AX$1,0),FALSE)</f>
        <v>0</v>
      </c>
      <c r="G364" s="35" t="e">
        <f t="shared" si="20"/>
        <v>#DIV/0!</v>
      </c>
      <c r="H364" s="35" t="e">
        <f t="shared" si="21"/>
        <v>#DIV/0!</v>
      </c>
      <c r="I364" s="35" t="e">
        <f>(Table143454[[#This Row],[Core CPI]]-F352)/F352</f>
        <v>#DIV/0!</v>
      </c>
    </row>
    <row r="365" spans="1:9" x14ac:dyDescent="0.35">
      <c r="A365" s="33">
        <f>IF(Data!A392="",#N/A,Data!A392)</f>
        <v>29768</v>
      </c>
      <c r="B365" s="34">
        <f>VLOOKUP(A365,Data!A:AX,MATCH($B$2,Data!$B$1:$AX$1,0),FALSE)</f>
        <v>1.633284E-3</v>
      </c>
      <c r="C365" s="35">
        <f t="shared" si="22"/>
        <v>1.3708441612043654E-2</v>
      </c>
      <c r="D365" s="35">
        <f t="shared" si="19"/>
        <v>0.17748872413678285</v>
      </c>
      <c r="E365" s="35">
        <f>(Table143454[[#This Row],[USA]]-B353)/B353</f>
        <v>0.36698791853063895</v>
      </c>
      <c r="F365" s="34">
        <f>VLOOKUP(Table143454[[#This Row],[Date]],'Data Core CPI'!$A:$AX,MATCH($B$2,'Data Core CPI'!$B$1:$AX$1,0),FALSE)</f>
        <v>0</v>
      </c>
      <c r="G365" s="35" t="e">
        <f t="shared" si="20"/>
        <v>#DIV/0!</v>
      </c>
      <c r="H365" s="35" t="e">
        <f t="shared" si="21"/>
        <v>#DIV/0!</v>
      </c>
      <c r="I365" s="35" t="e">
        <f>(Table143454[[#This Row],[Core CPI]]-F353)/F353</f>
        <v>#DIV/0!</v>
      </c>
    </row>
    <row r="366" spans="1:9" x14ac:dyDescent="0.35">
      <c r="A366" s="33">
        <f>IF(Data!A393="",#N/A,Data!A393)</f>
        <v>29799</v>
      </c>
      <c r="B366" s="34">
        <f>VLOOKUP(A366,Data!A:AX,MATCH($B$2,Data!$B$1:$AX$1,0),FALSE)</f>
        <v>1.646834E-3</v>
      </c>
      <c r="C366" s="35">
        <f t="shared" si="22"/>
        <v>8.2961689455109955E-3</v>
      </c>
      <c r="D366" s="35">
        <f t="shared" si="19"/>
        <v>0.10422456632510335</v>
      </c>
      <c r="E366" s="35">
        <f>(Table143454[[#This Row],[USA]]-B354)/B354</f>
        <v>0.33055345938373076</v>
      </c>
      <c r="F366" s="34">
        <f>VLOOKUP(Table143454[[#This Row],[Date]],'Data Core CPI'!$A:$AX,MATCH($B$2,'Data Core CPI'!$B$1:$AX$1,0),FALSE)</f>
        <v>0</v>
      </c>
      <c r="G366" s="35" t="e">
        <f t="shared" si="20"/>
        <v>#DIV/0!</v>
      </c>
      <c r="H366" s="35" t="e">
        <f t="shared" si="21"/>
        <v>#DIV/0!</v>
      </c>
      <c r="I366" s="35" t="e">
        <f>(Table143454[[#This Row],[Core CPI]]-F354)/F354</f>
        <v>#DIV/0!</v>
      </c>
    </row>
    <row r="367" spans="1:9" x14ac:dyDescent="0.35">
      <c r="A367" s="33">
        <f>IF(Data!A394="",#N/A,Data!A394)</f>
        <v>29830</v>
      </c>
      <c r="B367" s="34">
        <f>VLOOKUP(A367,Data!A:AX,MATCH($B$2,Data!$B$1:$AX$1,0),FALSE)</f>
        <v>1.725372E-3</v>
      </c>
      <c r="C367" s="35">
        <f t="shared" si="22"/>
        <v>4.7690295439613228E-2</v>
      </c>
      <c r="D367" s="35">
        <f t="shared" si="19"/>
        <v>0.74902111970677265</v>
      </c>
      <c r="E367" s="35">
        <f>(Table143454[[#This Row],[USA]]-B355)/B355</f>
        <v>0.34276568770968902</v>
      </c>
      <c r="F367" s="34">
        <f>VLOOKUP(Table143454[[#This Row],[Date]],'Data Core CPI'!$A:$AX,MATCH($B$2,'Data Core CPI'!$B$1:$AX$1,0),FALSE)</f>
        <v>0</v>
      </c>
      <c r="G367" s="35" t="e">
        <f t="shared" si="20"/>
        <v>#DIV/0!</v>
      </c>
      <c r="H367" s="35" t="e">
        <f t="shared" si="21"/>
        <v>#DIV/0!</v>
      </c>
      <c r="I367" s="35" t="e">
        <f>(Table143454[[#This Row],[Core CPI]]-F355)/F355</f>
        <v>#DIV/0!</v>
      </c>
    </row>
    <row r="368" spans="1:9" x14ac:dyDescent="0.35">
      <c r="A368" s="33">
        <f>IF(Data!A395="",#N/A,Data!A395)</f>
        <v>29860</v>
      </c>
      <c r="B368" s="34">
        <f>VLOOKUP(A368,Data!A:AX,MATCH($B$2,Data!$B$1:$AX$1,0),FALSE)</f>
        <v>1.7660639999999999E-3</v>
      </c>
      <c r="C368" s="35">
        <f t="shared" si="22"/>
        <v>2.3584479173186956E-2</v>
      </c>
      <c r="D368" s="35">
        <f t="shared" si="19"/>
        <v>0.32276989919679044</v>
      </c>
      <c r="E368" s="35">
        <f>(Table143454[[#This Row],[USA]]-B356)/B356</f>
        <v>0.31380501638105213</v>
      </c>
      <c r="F368" s="34">
        <f>VLOOKUP(Table143454[[#This Row],[Date]],'Data Core CPI'!$A:$AX,MATCH($B$2,'Data Core CPI'!$B$1:$AX$1,0),FALSE)</f>
        <v>0</v>
      </c>
      <c r="G368" s="35" t="e">
        <f t="shared" si="20"/>
        <v>#DIV/0!</v>
      </c>
      <c r="H368" s="35" t="e">
        <f t="shared" si="21"/>
        <v>#DIV/0!</v>
      </c>
      <c r="I368" s="35" t="e">
        <f>(Table143454[[#This Row],[Core CPI]]-F356)/F356</f>
        <v>#DIV/0!</v>
      </c>
    </row>
    <row r="369" spans="1:9" x14ac:dyDescent="0.35">
      <c r="A369" s="33">
        <f>IF(Data!A396="",#N/A,Data!A396)</f>
        <v>29891</v>
      </c>
      <c r="B369" s="34">
        <f>VLOOKUP(A369,Data!A:AX,MATCH($B$2,Data!$B$1:$AX$1,0),FALSE)</f>
        <v>1.803528E-3</v>
      </c>
      <c r="C369" s="35">
        <f t="shared" si="22"/>
        <v>2.1213274264126447E-2</v>
      </c>
      <c r="D369" s="35">
        <f t="shared" si="19"/>
        <v>0.28646334449790878</v>
      </c>
      <c r="E369" s="35">
        <f>(Table143454[[#This Row],[USA]]-B357)/B357</f>
        <v>0.32224720616838715</v>
      </c>
      <c r="F369" s="34">
        <f>VLOOKUP(Table143454[[#This Row],[Date]],'Data Core CPI'!$A:$AX,MATCH($B$2,'Data Core CPI'!$B$1:$AX$1,0),FALSE)</f>
        <v>0</v>
      </c>
      <c r="G369" s="35" t="e">
        <f t="shared" si="20"/>
        <v>#DIV/0!</v>
      </c>
      <c r="H369" s="35" t="e">
        <f t="shared" si="21"/>
        <v>#DIV/0!</v>
      </c>
      <c r="I369" s="35" t="e">
        <f>(Table143454[[#This Row],[Core CPI]]-F357)/F357</f>
        <v>#DIV/0!</v>
      </c>
    </row>
    <row r="370" spans="1:9" x14ac:dyDescent="0.35">
      <c r="A370" s="33">
        <f>IF(Data!A397="",#N/A,Data!A397)</f>
        <v>29921</v>
      </c>
      <c r="B370" s="34">
        <f>VLOOKUP(A370,Data!A:AX,MATCH($B$2,Data!$B$1:$AX$1,0),FALSE)</f>
        <v>1.8241290000000001E-3</v>
      </c>
      <c r="C370" s="35">
        <f t="shared" si="22"/>
        <v>1.1422611681105144E-2</v>
      </c>
      <c r="D370" s="35">
        <f t="shared" si="19"/>
        <v>0.1460192259553974</v>
      </c>
      <c r="E370" s="35">
        <f>(Table143454[[#This Row],[USA]]-B358)/B358</f>
        <v>0.28597079699171796</v>
      </c>
      <c r="F370" s="34">
        <f>VLOOKUP(Table143454[[#This Row],[Date]],'Data Core CPI'!$A:$AX,MATCH($B$2,'Data Core CPI'!$B$1:$AX$1,0),FALSE)</f>
        <v>0</v>
      </c>
      <c r="G370" s="35" t="e">
        <f t="shared" si="20"/>
        <v>#DIV/0!</v>
      </c>
      <c r="H370" s="35" t="e">
        <f t="shared" si="21"/>
        <v>#DIV/0!</v>
      </c>
      <c r="I370" s="35" t="e">
        <f>(Table143454[[#This Row],[Core CPI]]-F358)/F358</f>
        <v>#DIV/0!</v>
      </c>
    </row>
    <row r="371" spans="1:9" x14ac:dyDescent="0.35">
      <c r="A371" s="33">
        <f>IF(Data!A398="",#N/A,Data!A398)</f>
        <v>29952</v>
      </c>
      <c r="B371" s="34">
        <f>VLOOKUP(A371,Data!A:AX,MATCH($B$2,Data!$B$1:$AX$1,0),FALSE)</f>
        <v>1.9120540000000001E-3</v>
      </c>
      <c r="C371" s="35">
        <f t="shared" si="22"/>
        <v>4.8201086655603742E-2</v>
      </c>
      <c r="D371" s="35">
        <f t="shared" si="19"/>
        <v>0.75928122169998935</v>
      </c>
      <c r="E371" s="35">
        <f>(Table143454[[#This Row],[USA]]-B359)/B359</f>
        <v>0.3015758697916312</v>
      </c>
      <c r="F371" s="34">
        <f>VLOOKUP(Table143454[[#This Row],[Date]],'Data Core CPI'!$A:$AX,MATCH($B$2,'Data Core CPI'!$B$1:$AX$1,0),FALSE)</f>
        <v>0</v>
      </c>
      <c r="G371" s="35" t="e">
        <f t="shared" si="20"/>
        <v>#DIV/0!</v>
      </c>
      <c r="H371" s="35" t="e">
        <f t="shared" si="21"/>
        <v>#DIV/0!</v>
      </c>
      <c r="I371" s="35" t="e">
        <f>(Table143454[[#This Row],[Core CPI]]-F359)/F359</f>
        <v>#DIV/0!</v>
      </c>
    </row>
    <row r="372" spans="1:9" x14ac:dyDescent="0.35">
      <c r="A372" s="33">
        <f>IF(Data!A399="",#N/A,Data!A399)</f>
        <v>29983</v>
      </c>
      <c r="B372" s="34">
        <f>VLOOKUP(A372,Data!A:AX,MATCH($B$2,Data!$B$1:$AX$1,0),FALSE)</f>
        <v>1.955591E-3</v>
      </c>
      <c r="C372" s="35">
        <f t="shared" si="22"/>
        <v>2.2769754410701726E-2</v>
      </c>
      <c r="D372" s="35">
        <f t="shared" si="19"/>
        <v>0.31019071636097273</v>
      </c>
      <c r="E372" s="35">
        <f>(Table143454[[#This Row],[USA]]-B360)/B360</f>
        <v>0.31242785506048093</v>
      </c>
      <c r="F372" s="34">
        <f>VLOOKUP(Table143454[[#This Row],[Date]],'Data Core CPI'!$A:$AX,MATCH($B$2,'Data Core CPI'!$B$1:$AX$1,0),FALSE)</f>
        <v>0</v>
      </c>
      <c r="G372" s="35" t="e">
        <f t="shared" si="20"/>
        <v>#DIV/0!</v>
      </c>
      <c r="H372" s="35" t="e">
        <f t="shared" si="21"/>
        <v>#DIV/0!</v>
      </c>
      <c r="I372" s="35" t="e">
        <f>(Table143454[[#This Row],[Core CPI]]-F360)/F360</f>
        <v>#DIV/0!</v>
      </c>
    </row>
    <row r="373" spans="1:9" x14ac:dyDescent="0.35">
      <c r="A373" s="33">
        <f>IF(Data!A400="",#N/A,Data!A400)</f>
        <v>30011</v>
      </c>
      <c r="B373" s="34">
        <f>VLOOKUP(A373,Data!A:AX,MATCH($B$2,Data!$B$1:$AX$1,0),FALSE)</f>
        <v>2.0001530000000002E-3</v>
      </c>
      <c r="C373" s="35">
        <f t="shared" si="22"/>
        <v>2.2786973349744555E-2</v>
      </c>
      <c r="D373" s="35">
        <f t="shared" si="19"/>
        <v>0.3104554349810007</v>
      </c>
      <c r="E373" s="35">
        <f>(Table143454[[#This Row],[USA]]-B361)/B361</f>
        <v>0.33332688941299454</v>
      </c>
      <c r="F373" s="34">
        <f>VLOOKUP(Table143454[[#This Row],[Date]],'Data Core CPI'!$A:$AX,MATCH($B$2,'Data Core CPI'!$B$1:$AX$1,0),FALSE)</f>
        <v>0</v>
      </c>
      <c r="G373" s="35" t="e">
        <f t="shared" si="20"/>
        <v>#DIV/0!</v>
      </c>
      <c r="H373" s="35" t="e">
        <f t="shared" si="21"/>
        <v>#DIV/0!</v>
      </c>
      <c r="I373" s="35" t="e">
        <f>(Table143454[[#This Row],[Core CPI]]-F361)/F361</f>
        <v>#DIV/0!</v>
      </c>
    </row>
    <row r="374" spans="1:9" x14ac:dyDescent="0.35">
      <c r="A374" s="33">
        <f>IF(Data!A401="",#N/A,Data!A401)</f>
        <v>30042</v>
      </c>
      <c r="B374" s="34">
        <f>VLOOKUP(A374,Data!A:AX,MATCH($B$2,Data!$B$1:$AX$1,0),FALSE)</f>
        <v>2.0191039999999999E-3</v>
      </c>
      <c r="C374" s="35">
        <f t="shared" si="22"/>
        <v>9.4747751796986357E-3</v>
      </c>
      <c r="D374" s="35">
        <f t="shared" si="19"/>
        <v>0.1198133864991191</v>
      </c>
      <c r="E374" s="35">
        <f>(Table143454[[#This Row],[USA]]-B362)/B362</f>
        <v>0.33845530724220141</v>
      </c>
      <c r="F374" s="34">
        <f>VLOOKUP(Table143454[[#This Row],[Date]],'Data Core CPI'!$A:$AX,MATCH($B$2,'Data Core CPI'!$B$1:$AX$1,0),FALSE)</f>
        <v>0</v>
      </c>
      <c r="G374" s="35" t="e">
        <f t="shared" si="20"/>
        <v>#DIV/0!</v>
      </c>
      <c r="H374" s="35" t="e">
        <f t="shared" si="21"/>
        <v>#DIV/0!</v>
      </c>
      <c r="I374" s="35" t="e">
        <f>(Table143454[[#This Row],[Core CPI]]-F362)/F362</f>
        <v>#DIV/0!</v>
      </c>
    </row>
    <row r="375" spans="1:9" x14ac:dyDescent="0.35">
      <c r="A375" s="33">
        <f>IF(Data!A402="",#N/A,Data!A402)</f>
        <v>30072</v>
      </c>
      <c r="B375" s="34">
        <f>VLOOKUP(A375,Data!A:AX,MATCH($B$2,Data!$B$1:$AX$1,0),FALSE)</f>
        <v>2.025251E-3</v>
      </c>
      <c r="C375" s="35">
        <f t="shared" si="22"/>
        <v>3.0444197029970699E-3</v>
      </c>
      <c r="D375" s="35">
        <f t="shared" si="19"/>
        <v>3.7151007373499079E-2</v>
      </c>
      <c r="E375" s="35">
        <f>(Table143454[[#This Row],[USA]]-B363)/B363</f>
        <v>0.30651492758288573</v>
      </c>
      <c r="F375" s="34">
        <f>VLOOKUP(Table143454[[#This Row],[Date]],'Data Core CPI'!$A:$AX,MATCH($B$2,'Data Core CPI'!$B$1:$AX$1,0),FALSE)</f>
        <v>0</v>
      </c>
      <c r="G375" s="35" t="e">
        <f t="shared" si="20"/>
        <v>#DIV/0!</v>
      </c>
      <c r="H375" s="35" t="e">
        <f t="shared" si="21"/>
        <v>#DIV/0!</v>
      </c>
      <c r="I375" s="35" t="e">
        <f>(Table143454[[#This Row],[Core CPI]]-F363)/F363</f>
        <v>#DIV/0!</v>
      </c>
    </row>
    <row r="376" spans="1:9" x14ac:dyDescent="0.35">
      <c r="A376" s="33">
        <f>IF(Data!A403="",#N/A,Data!A403)</f>
        <v>30103</v>
      </c>
      <c r="B376" s="34">
        <f>VLOOKUP(A376,Data!A:AX,MATCH($B$2,Data!$B$1:$AX$1,0),FALSE)</f>
        <v>2.0595679999999999E-3</v>
      </c>
      <c r="C376" s="35">
        <f t="shared" si="22"/>
        <v>1.694456637720454E-2</v>
      </c>
      <c r="D376" s="35">
        <f t="shared" si="19"/>
        <v>0.22339686210442822</v>
      </c>
      <c r="E376" s="35">
        <f>(Table143454[[#This Row],[USA]]-B364)/B364</f>
        <v>0.27828440594166942</v>
      </c>
      <c r="F376" s="34">
        <f>VLOOKUP(Table143454[[#This Row],[Date]],'Data Core CPI'!$A:$AX,MATCH($B$2,'Data Core CPI'!$B$1:$AX$1,0),FALSE)</f>
        <v>0</v>
      </c>
      <c r="G376" s="35" t="e">
        <f t="shared" si="20"/>
        <v>#DIV/0!</v>
      </c>
      <c r="H376" s="35" t="e">
        <f t="shared" si="21"/>
        <v>#DIV/0!</v>
      </c>
      <c r="I376" s="35" t="e">
        <f>(Table143454[[#This Row],[Core CPI]]-F364)/F364</f>
        <v>#DIV/0!</v>
      </c>
    </row>
    <row r="377" spans="1:9" x14ac:dyDescent="0.35">
      <c r="A377" s="33">
        <f>IF(Data!A404="",#N/A,Data!A404)</f>
        <v>30133</v>
      </c>
      <c r="B377" s="34">
        <f>VLOOKUP(A377,Data!A:AX,MATCH($B$2,Data!$B$1:$AX$1,0),FALSE)</f>
        <v>2.080569E-3</v>
      </c>
      <c r="C377" s="35">
        <f t="shared" si="22"/>
        <v>1.0196798551929342E-2</v>
      </c>
      <c r="D377" s="35">
        <f t="shared" si="19"/>
        <v>0.12946259853630915</v>
      </c>
      <c r="E377" s="35">
        <f>(Table143454[[#This Row],[USA]]-B365)/B365</f>
        <v>0.2738562307596229</v>
      </c>
      <c r="F377" s="34">
        <f>VLOOKUP(Table143454[[#This Row],[Date]],'Data Core CPI'!$A:$AX,MATCH($B$2,'Data Core CPI'!$B$1:$AX$1,0),FALSE)</f>
        <v>0</v>
      </c>
      <c r="G377" s="35" t="e">
        <f t="shared" si="20"/>
        <v>#DIV/0!</v>
      </c>
      <c r="H377" s="35" t="e">
        <f t="shared" si="21"/>
        <v>#DIV/0!</v>
      </c>
      <c r="I377" s="35" t="e">
        <f>(Table143454[[#This Row],[Core CPI]]-F365)/F365</f>
        <v>#DIV/0!</v>
      </c>
    </row>
    <row r="378" spans="1:9" x14ac:dyDescent="0.35">
      <c r="A378" s="33">
        <f>IF(Data!A405="",#N/A,Data!A405)</f>
        <v>30164</v>
      </c>
      <c r="B378" s="34">
        <f>VLOOKUP(A378,Data!A:AX,MATCH($B$2,Data!$B$1:$AX$1,0),FALSE)</f>
        <v>2.10874E-3</v>
      </c>
      <c r="C378" s="35">
        <f t="shared" si="22"/>
        <v>1.3540046016258023E-2</v>
      </c>
      <c r="D378" s="35">
        <f t="shared" si="19"/>
        <v>0.17514363738318717</v>
      </c>
      <c r="E378" s="35">
        <f>(Table143454[[#This Row],[USA]]-B366)/B366</f>
        <v>0.28048121425717465</v>
      </c>
      <c r="F378" s="34">
        <f>VLOOKUP(Table143454[[#This Row],[Date]],'Data Core CPI'!$A:$AX,MATCH($B$2,'Data Core CPI'!$B$1:$AX$1,0),FALSE)</f>
        <v>0</v>
      </c>
      <c r="G378" s="35" t="e">
        <f t="shared" si="20"/>
        <v>#DIV/0!</v>
      </c>
      <c r="H378" s="35" t="e">
        <f t="shared" si="21"/>
        <v>#DIV/0!</v>
      </c>
      <c r="I378" s="35" t="e">
        <f>(Table143454[[#This Row],[Core CPI]]-F366)/F366</f>
        <v>#DIV/0!</v>
      </c>
    </row>
    <row r="379" spans="1:9" x14ac:dyDescent="0.35">
      <c r="A379" s="33">
        <f>IF(Data!A406="",#N/A,Data!A406)</f>
        <v>30195</v>
      </c>
      <c r="B379" s="34">
        <f>VLOOKUP(A379,Data!A:AX,MATCH($B$2,Data!$B$1:$AX$1,0),FALSE)</f>
        <v>2.1743019999999999E-3</v>
      </c>
      <c r="C379" s="35">
        <f t="shared" si="22"/>
        <v>3.1090603867712341E-2</v>
      </c>
      <c r="D379" s="35">
        <f t="shared" ref="D379:D442" si="23">((1+C379)^12)-1</f>
        <v>0.44398256931307856</v>
      </c>
      <c r="E379" s="35">
        <f>(Table143454[[#This Row],[USA]]-B367)/B367</f>
        <v>0.26019316414083454</v>
      </c>
      <c r="F379" s="34">
        <f>VLOOKUP(Table143454[[#This Row],[Date]],'Data Core CPI'!$A:$AX,MATCH($B$2,'Data Core CPI'!$B$1:$AX$1,0),FALSE)</f>
        <v>0</v>
      </c>
      <c r="G379" s="35" t="e">
        <f t="shared" si="20"/>
        <v>#DIV/0!</v>
      </c>
      <c r="H379" s="35" t="e">
        <f t="shared" si="21"/>
        <v>#DIV/0!</v>
      </c>
      <c r="I379" s="35" t="e">
        <f>(Table143454[[#This Row],[Core CPI]]-F367)/F367</f>
        <v>#DIV/0!</v>
      </c>
    </row>
    <row r="380" spans="1:9" x14ac:dyDescent="0.35">
      <c r="A380" s="33">
        <f>IF(Data!A407="",#N/A,Data!A407)</f>
        <v>30225</v>
      </c>
      <c r="B380" s="34">
        <f>VLOOKUP(A380,Data!A:AX,MATCH($B$2,Data!$B$1:$AX$1,0),FALSE)</f>
        <v>2.2332049999999998E-3</v>
      </c>
      <c r="C380" s="35">
        <f t="shared" si="22"/>
        <v>2.7090532961842495E-2</v>
      </c>
      <c r="D380" s="35">
        <f t="shared" si="23"/>
        <v>0.37817610058848938</v>
      </c>
      <c r="E380" s="35">
        <f>(Table143454[[#This Row],[USA]]-B368)/B368</f>
        <v>0.26450966669384574</v>
      </c>
      <c r="F380" s="34">
        <f>VLOOKUP(Table143454[[#This Row],[Date]],'Data Core CPI'!$A:$AX,MATCH($B$2,'Data Core CPI'!$B$1:$AX$1,0),FALSE)</f>
        <v>0</v>
      </c>
      <c r="G380" s="35" t="e">
        <f t="shared" si="20"/>
        <v>#DIV/0!</v>
      </c>
      <c r="H380" s="35" t="e">
        <f t="shared" si="21"/>
        <v>#DIV/0!</v>
      </c>
      <c r="I380" s="35" t="e">
        <f>(Table143454[[#This Row],[Core CPI]]-F368)/F368</f>
        <v>#DIV/0!</v>
      </c>
    </row>
    <row r="381" spans="1:9" x14ac:dyDescent="0.35">
      <c r="A381" s="33">
        <f>IF(Data!A408="",#N/A,Data!A408)</f>
        <v>30256</v>
      </c>
      <c r="B381" s="34">
        <f>VLOOKUP(A381,Data!A:AX,MATCH($B$2,Data!$B$1:$AX$1,0),FALSE)</f>
        <v>2.2849379999999998E-3</v>
      </c>
      <c r="C381" s="35">
        <f t="shared" si="22"/>
        <v>2.3165360994624296E-2</v>
      </c>
      <c r="D381" s="35">
        <f t="shared" si="23"/>
        <v>0.31628504012807368</v>
      </c>
      <c r="E381" s="35">
        <f>(Table143454[[#This Row],[USA]]-B369)/B369</f>
        <v>0.26692682342608476</v>
      </c>
      <c r="F381" s="34">
        <f>VLOOKUP(Table143454[[#This Row],[Date]],'Data Core CPI'!$A:$AX,MATCH($B$2,'Data Core CPI'!$B$1:$AX$1,0),FALSE)</f>
        <v>0</v>
      </c>
      <c r="G381" s="35" t="e">
        <f t="shared" si="20"/>
        <v>#DIV/0!</v>
      </c>
      <c r="H381" s="35" t="e">
        <f t="shared" si="21"/>
        <v>#DIV/0!</v>
      </c>
      <c r="I381" s="35" t="e">
        <f>(Table143454[[#This Row],[Core CPI]]-F369)/F369</f>
        <v>#DIV/0!</v>
      </c>
    </row>
    <row r="382" spans="1:9" x14ac:dyDescent="0.35">
      <c r="A382" s="33">
        <f>IF(Data!A409="",#N/A,Data!A409)</f>
        <v>30286</v>
      </c>
      <c r="B382" s="34">
        <f>VLOOKUP(A382,Data!A:AX,MATCH($B$2,Data!$B$1:$AX$1,0),FALSE)</f>
        <v>2.3648419999999998E-3</v>
      </c>
      <c r="C382" s="35">
        <f t="shared" si="22"/>
        <v>3.4969876644355358E-2</v>
      </c>
      <c r="D382" s="35">
        <f t="shared" si="23"/>
        <v>0.5105409915739354</v>
      </c>
      <c r="E382" s="35">
        <f>(Table143454[[#This Row],[USA]]-B370)/B370</f>
        <v>0.29642256660576072</v>
      </c>
      <c r="F382" s="34">
        <f>VLOOKUP(Table143454[[#This Row],[Date]],'Data Core CPI'!$A:$AX,MATCH($B$2,'Data Core CPI'!$B$1:$AX$1,0),FALSE)</f>
        <v>0</v>
      </c>
      <c r="G382" s="35" t="e">
        <f t="shared" si="20"/>
        <v>#DIV/0!</v>
      </c>
      <c r="H382" s="35" t="e">
        <f t="shared" si="21"/>
        <v>#DIV/0!</v>
      </c>
      <c r="I382" s="35" t="e">
        <f>(Table143454[[#This Row],[Core CPI]]-F370)/F370</f>
        <v>#DIV/0!</v>
      </c>
    </row>
    <row r="383" spans="1:9" x14ac:dyDescent="0.35">
      <c r="A383" s="33">
        <f>IF(Data!A410="",#N/A,Data!A410)</f>
        <v>30317</v>
      </c>
      <c r="B383" s="34">
        <f>VLOOKUP(A383,Data!A:AX,MATCH($B$2,Data!$B$1:$AX$1,0),FALSE)</f>
        <v>2.4642090000000002E-3</v>
      </c>
      <c r="C383" s="35">
        <f t="shared" si="22"/>
        <v>4.2018451972690052E-2</v>
      </c>
      <c r="D383" s="35">
        <f t="shared" si="23"/>
        <v>0.63872060227294924</v>
      </c>
      <c r="E383" s="35">
        <f>(Table143454[[#This Row],[USA]]-B371)/B371</f>
        <v>0.28877584001288675</v>
      </c>
      <c r="F383" s="34">
        <f>VLOOKUP(Table143454[[#This Row],[Date]],'Data Core CPI'!$A:$AX,MATCH($B$2,'Data Core CPI'!$B$1:$AX$1,0),FALSE)</f>
        <v>0</v>
      </c>
      <c r="G383" s="35" t="e">
        <f t="shared" si="20"/>
        <v>#DIV/0!</v>
      </c>
      <c r="H383" s="35" t="e">
        <f t="shared" si="21"/>
        <v>#DIV/0!</v>
      </c>
      <c r="I383" s="35" t="e">
        <f>(Table143454[[#This Row],[Core CPI]]-F371)/F371</f>
        <v>#DIV/0!</v>
      </c>
    </row>
    <row r="384" spans="1:9" x14ac:dyDescent="0.35">
      <c r="A384" s="33">
        <f>IF(Data!A411="",#N/A,Data!A411)</f>
        <v>30348</v>
      </c>
      <c r="B384" s="34">
        <f>VLOOKUP(A384,Data!A:AX,MATCH($B$2,Data!$B$1:$AX$1,0),FALSE)</f>
        <v>2.5261849999999998E-3</v>
      </c>
      <c r="C384" s="35">
        <f t="shared" si="22"/>
        <v>2.5150464104302772E-2</v>
      </c>
      <c r="D384" s="35">
        <f t="shared" si="23"/>
        <v>0.3472598012141086</v>
      </c>
      <c r="E384" s="35">
        <f>(Table143454[[#This Row],[USA]]-B372)/B372</f>
        <v>0.29177573429208858</v>
      </c>
      <c r="F384" s="34">
        <f>VLOOKUP(Table143454[[#This Row],[Date]],'Data Core CPI'!$A:$AX,MATCH($B$2,'Data Core CPI'!$B$1:$AX$1,0),FALSE)</f>
        <v>0</v>
      </c>
      <c r="G384" s="35" t="e">
        <f t="shared" si="20"/>
        <v>#DIV/0!</v>
      </c>
      <c r="H384" s="35" t="e">
        <f t="shared" si="21"/>
        <v>#DIV/0!</v>
      </c>
      <c r="I384" s="35" t="e">
        <f>(Table143454[[#This Row],[Core CPI]]-F372)/F372</f>
        <v>#DIV/0!</v>
      </c>
    </row>
    <row r="385" spans="1:9" x14ac:dyDescent="0.35">
      <c r="A385" s="33">
        <f>IF(Data!A412="",#N/A,Data!A412)</f>
        <v>30376</v>
      </c>
      <c r="B385" s="34">
        <f>VLOOKUP(A385,Data!A:AX,MATCH($B$2,Data!$B$1:$AX$1,0),FALSE)</f>
        <v>2.577406E-3</v>
      </c>
      <c r="C385" s="35">
        <f t="shared" si="22"/>
        <v>2.0276028873578156E-2</v>
      </c>
      <c r="D385" s="35">
        <f t="shared" si="23"/>
        <v>0.27236641653102822</v>
      </c>
      <c r="E385" s="35">
        <f>(Table143454[[#This Row],[USA]]-B373)/B373</f>
        <v>0.28860442176173512</v>
      </c>
      <c r="F385" s="34">
        <f>VLOOKUP(Table143454[[#This Row],[Date]],'Data Core CPI'!$A:$AX,MATCH($B$2,'Data Core CPI'!$B$1:$AX$1,0),FALSE)</f>
        <v>0</v>
      </c>
      <c r="G385" s="35" t="e">
        <f t="shared" si="20"/>
        <v>#DIV/0!</v>
      </c>
      <c r="H385" s="35" t="e">
        <f t="shared" si="21"/>
        <v>#DIV/0!</v>
      </c>
      <c r="I385" s="35" t="e">
        <f>(Table143454[[#This Row],[Core CPI]]-F373)/F373</f>
        <v>#DIV/0!</v>
      </c>
    </row>
    <row r="386" spans="1:9" x14ac:dyDescent="0.35">
      <c r="A386" s="33">
        <f>IF(Data!A413="",#N/A,Data!A413)</f>
        <v>30407</v>
      </c>
      <c r="B386" s="34">
        <f>VLOOKUP(A386,Data!A:AX,MATCH($B$2,Data!$B$1:$AX$1,0),FALSE)</f>
        <v>2.6153090000000001E-3</v>
      </c>
      <c r="C386" s="35">
        <f t="shared" si="22"/>
        <v>1.4705870941559063E-2</v>
      </c>
      <c r="D386" s="35">
        <f t="shared" si="23"/>
        <v>0.19146716336205793</v>
      </c>
      <c r="E386" s="35">
        <f>(Table143454[[#This Row],[USA]]-B374)/B374</f>
        <v>0.29528196665451623</v>
      </c>
      <c r="F386" s="34">
        <f>VLOOKUP(Table143454[[#This Row],[Date]],'Data Core CPI'!$A:$AX,MATCH($B$2,'Data Core CPI'!$B$1:$AX$1,0),FALSE)</f>
        <v>0</v>
      </c>
      <c r="G386" s="35" t="e">
        <f t="shared" si="20"/>
        <v>#DIV/0!</v>
      </c>
      <c r="H386" s="35" t="e">
        <f t="shared" si="21"/>
        <v>#DIV/0!</v>
      </c>
      <c r="I386" s="35" t="e">
        <f>(Table143454[[#This Row],[Core CPI]]-F374)/F374</f>
        <v>#DIV/0!</v>
      </c>
    </row>
    <row r="387" spans="1:9" x14ac:dyDescent="0.35">
      <c r="A387" s="33">
        <f>IF(Data!A414="",#N/A,Data!A414)</f>
        <v>30437</v>
      </c>
      <c r="B387" s="34">
        <f>VLOOKUP(A387,Data!A:AX,MATCH($B$2,Data!$B$1:$AX$1,0),FALSE)</f>
        <v>2.6327239999999999E-3</v>
      </c>
      <c r="C387" s="35">
        <f t="shared" si="22"/>
        <v>6.6588689902415954E-3</v>
      </c>
      <c r="D387" s="35">
        <f t="shared" si="23"/>
        <v>8.2898843655753174E-2</v>
      </c>
      <c r="E387" s="35">
        <f>(Table143454[[#This Row],[USA]]-B375)/B375</f>
        <v>0.2999494877425069</v>
      </c>
      <c r="F387" s="34">
        <f>VLOOKUP(Table143454[[#This Row],[Date]],'Data Core CPI'!$A:$AX,MATCH($B$2,'Data Core CPI'!$B$1:$AX$1,0),FALSE)</f>
        <v>0</v>
      </c>
      <c r="G387" s="35" t="e">
        <f t="shared" ref="G387:G450" si="24">(F387/F386)-1</f>
        <v>#DIV/0!</v>
      </c>
      <c r="H387" s="35" t="e">
        <f t="shared" ref="H387:H450" si="25">((1+G387)^12)-1</f>
        <v>#DIV/0!</v>
      </c>
      <c r="I387" s="35" t="e">
        <f>(Table143454[[#This Row],[Core CPI]]-F375)/F375</f>
        <v>#DIV/0!</v>
      </c>
    </row>
    <row r="388" spans="1:9" x14ac:dyDescent="0.35">
      <c r="A388" s="33">
        <f>IF(Data!A415="",#N/A,Data!A415)</f>
        <v>30468</v>
      </c>
      <c r="B388" s="34">
        <f>VLOOKUP(A388,Data!A:AX,MATCH($B$2,Data!$B$1:$AX$1,0),FALSE)</f>
        <v>2.667553E-3</v>
      </c>
      <c r="C388" s="35">
        <f t="shared" ref="C388:C451" si="26">(B388/B387)-1</f>
        <v>1.322926368278643E-2</v>
      </c>
      <c r="D388" s="35">
        <f t="shared" si="23"/>
        <v>0.17082690309165582</v>
      </c>
      <c r="E388" s="35">
        <f>(Table143454[[#This Row],[USA]]-B376)/B376</f>
        <v>0.29520025558757962</v>
      </c>
      <c r="F388" s="34">
        <f>VLOOKUP(Table143454[[#This Row],[Date]],'Data Core CPI'!$A:$AX,MATCH($B$2,'Data Core CPI'!$B$1:$AX$1,0),FALSE)</f>
        <v>0</v>
      </c>
      <c r="G388" s="35" t="e">
        <f t="shared" si="24"/>
        <v>#DIV/0!</v>
      </c>
      <c r="H388" s="35" t="e">
        <f t="shared" si="25"/>
        <v>#DIV/0!</v>
      </c>
      <c r="I388" s="35" t="e">
        <f>(Table143454[[#This Row],[Core CPI]]-F376)/F376</f>
        <v>#DIV/0!</v>
      </c>
    </row>
    <row r="389" spans="1:9" x14ac:dyDescent="0.35">
      <c r="A389" s="33">
        <f>IF(Data!A416="",#N/A,Data!A416)</f>
        <v>30498</v>
      </c>
      <c r="B389" s="34">
        <f>VLOOKUP(A389,Data!A:AX,MATCH($B$2,Data!$B$1:$AX$1,0),FALSE)</f>
        <v>2.6952120000000002E-3</v>
      </c>
      <c r="C389" s="35">
        <f t="shared" si="26"/>
        <v>1.0368678710413803E-2</v>
      </c>
      <c r="D389" s="35">
        <f t="shared" si="23"/>
        <v>0.13177082975380339</v>
      </c>
      <c r="E389" s="35">
        <f>(Table143454[[#This Row],[USA]]-B377)/B377</f>
        <v>0.29542062772251254</v>
      </c>
      <c r="F389" s="34">
        <f>VLOOKUP(Table143454[[#This Row],[Date]],'Data Core CPI'!$A:$AX,MATCH($B$2,'Data Core CPI'!$B$1:$AX$1,0),FALSE)</f>
        <v>0</v>
      </c>
      <c r="G389" s="35" t="e">
        <f t="shared" si="24"/>
        <v>#DIV/0!</v>
      </c>
      <c r="H389" s="35" t="e">
        <f t="shared" si="25"/>
        <v>#DIV/0!</v>
      </c>
      <c r="I389" s="35" t="e">
        <f>(Table143454[[#This Row],[Core CPI]]-F377)/F377</f>
        <v>#DIV/0!</v>
      </c>
    </row>
    <row r="390" spans="1:9" x14ac:dyDescent="0.35">
      <c r="A390" s="33">
        <f>IF(Data!A417="",#N/A,Data!A417)</f>
        <v>30529</v>
      </c>
      <c r="B390" s="34">
        <f>VLOOKUP(A390,Data!A:AX,MATCH($B$2,Data!$B$1:$AX$1,0),FALSE)</f>
        <v>2.7582129999999998E-3</v>
      </c>
      <c r="C390" s="35">
        <f t="shared" si="26"/>
        <v>2.3375155646383039E-2</v>
      </c>
      <c r="D390" s="35">
        <f t="shared" si="23"/>
        <v>0.31952746265309684</v>
      </c>
      <c r="E390" s="35">
        <f>(Table143454[[#This Row],[USA]]-B378)/B378</f>
        <v>0.30799102781755922</v>
      </c>
      <c r="F390" s="34">
        <f>VLOOKUP(Table143454[[#This Row],[Date]],'Data Core CPI'!$A:$AX,MATCH($B$2,'Data Core CPI'!$B$1:$AX$1,0),FALSE)</f>
        <v>0</v>
      </c>
      <c r="G390" s="35" t="e">
        <f t="shared" si="24"/>
        <v>#DIV/0!</v>
      </c>
      <c r="H390" s="35" t="e">
        <f t="shared" si="25"/>
        <v>#DIV/0!</v>
      </c>
      <c r="I390" s="35" t="e">
        <f>(Table143454[[#This Row],[Core CPI]]-F378)/F378</f>
        <v>#DIV/0!</v>
      </c>
    </row>
    <row r="391" spans="1:9" x14ac:dyDescent="0.35">
      <c r="A391" s="33">
        <f>IF(Data!A418="",#N/A,Data!A418)</f>
        <v>30560</v>
      </c>
      <c r="B391" s="34">
        <f>VLOOKUP(A391,Data!A:AX,MATCH($B$2,Data!$B$1:$AX$1,0),FALSE)</f>
        <v>2.8473370000000001E-3</v>
      </c>
      <c r="C391" s="35">
        <f t="shared" si="26"/>
        <v>3.2312225343003043E-2</v>
      </c>
      <c r="D391" s="35">
        <f t="shared" si="23"/>
        <v>0.46464659732063773</v>
      </c>
      <c r="E391" s="35">
        <f>(Table143454[[#This Row],[USA]]-B379)/B379</f>
        <v>0.30954071697491897</v>
      </c>
      <c r="F391" s="34">
        <f>VLOOKUP(Table143454[[#This Row],[Date]],'Data Core CPI'!$A:$AX,MATCH($B$2,'Data Core CPI'!$B$1:$AX$1,0),FALSE)</f>
        <v>0</v>
      </c>
      <c r="G391" s="35" t="e">
        <f t="shared" si="24"/>
        <v>#DIV/0!</v>
      </c>
      <c r="H391" s="35" t="e">
        <f t="shared" si="25"/>
        <v>#DIV/0!</v>
      </c>
      <c r="I391" s="35" t="e">
        <f>(Table143454[[#This Row],[Core CPI]]-F379)/F379</f>
        <v>#DIV/0!</v>
      </c>
    </row>
    <row r="392" spans="1:9" x14ac:dyDescent="0.35">
      <c r="A392" s="33">
        <f>IF(Data!A419="",#N/A,Data!A419)</f>
        <v>30590</v>
      </c>
      <c r="B392" s="34">
        <f>VLOOKUP(A392,Data!A:AX,MATCH($B$2,Data!$B$1:$AX$1,0),FALSE)</f>
        <v>2.9984370000000001E-3</v>
      </c>
      <c r="C392" s="35">
        <f t="shared" si="26"/>
        <v>5.3067129040222483E-2</v>
      </c>
      <c r="D392" s="35">
        <f t="shared" si="23"/>
        <v>0.85982756557205686</v>
      </c>
      <c r="E392" s="35">
        <f>(Table143454[[#This Row],[USA]]-B380)/B380</f>
        <v>0.34266088424484109</v>
      </c>
      <c r="F392" s="34">
        <f>VLOOKUP(Table143454[[#This Row],[Date]],'Data Core CPI'!$A:$AX,MATCH($B$2,'Data Core CPI'!$B$1:$AX$1,0),FALSE)</f>
        <v>0</v>
      </c>
      <c r="G392" s="35" t="e">
        <f t="shared" si="24"/>
        <v>#DIV/0!</v>
      </c>
      <c r="H392" s="35" t="e">
        <f t="shared" si="25"/>
        <v>#DIV/0!</v>
      </c>
      <c r="I392" s="35" t="e">
        <f>(Table143454[[#This Row],[Core CPI]]-F380)/F380</f>
        <v>#DIV/0!</v>
      </c>
    </row>
    <row r="393" spans="1:9" x14ac:dyDescent="0.35">
      <c r="A393" s="33">
        <f>IF(Data!A420="",#N/A,Data!A420)</f>
        <v>30621</v>
      </c>
      <c r="B393" s="34">
        <f>VLOOKUP(A393,Data!A:AX,MATCH($B$2,Data!$B$1:$AX$1,0),FALSE)</f>
        <v>3.1106089999999999E-3</v>
      </c>
      <c r="C393" s="35">
        <f t="shared" si="26"/>
        <v>3.7410157358650498E-2</v>
      </c>
      <c r="D393" s="35">
        <f t="shared" si="23"/>
        <v>0.55383876024159839</v>
      </c>
      <c r="E393" s="35">
        <f>(Table143454[[#This Row],[USA]]-B381)/B381</f>
        <v>0.361353787280005</v>
      </c>
      <c r="F393" s="34">
        <f>VLOOKUP(Table143454[[#This Row],[Date]],'Data Core CPI'!$A:$AX,MATCH($B$2,'Data Core CPI'!$B$1:$AX$1,0),FALSE)</f>
        <v>0</v>
      </c>
      <c r="G393" s="35" t="e">
        <f t="shared" si="24"/>
        <v>#DIV/0!</v>
      </c>
      <c r="H393" s="35" t="e">
        <f t="shared" si="25"/>
        <v>#DIV/0!</v>
      </c>
      <c r="I393" s="35" t="e">
        <f>(Table143454[[#This Row],[Core CPI]]-F381)/F381</f>
        <v>#DIV/0!</v>
      </c>
    </row>
    <row r="394" spans="1:9" x14ac:dyDescent="0.35">
      <c r="A394" s="33">
        <f>IF(Data!A421="",#N/A,Data!A421)</f>
        <v>30651</v>
      </c>
      <c r="B394" s="34">
        <f>VLOOKUP(A394,Data!A:AX,MATCH($B$2,Data!$B$1:$AX$1,0),FALSE)</f>
        <v>3.2412209999999999E-3</v>
      </c>
      <c r="C394" s="35">
        <f t="shared" si="26"/>
        <v>4.1989205329245882E-2</v>
      </c>
      <c r="D394" s="35">
        <f t="shared" si="23"/>
        <v>0.63816875393378569</v>
      </c>
      <c r="E394" s="35">
        <f>(Table143454[[#This Row],[USA]]-B382)/B382</f>
        <v>0.37058670304400892</v>
      </c>
      <c r="F394" s="34">
        <f>VLOOKUP(Table143454[[#This Row],[Date]],'Data Core CPI'!$A:$AX,MATCH($B$2,'Data Core CPI'!$B$1:$AX$1,0),FALSE)</f>
        <v>0</v>
      </c>
      <c r="G394" s="35" t="e">
        <f t="shared" si="24"/>
        <v>#DIV/0!</v>
      </c>
      <c r="H394" s="35" t="e">
        <f t="shared" si="25"/>
        <v>#DIV/0!</v>
      </c>
      <c r="I394" s="35" t="e">
        <f>(Table143454[[#This Row],[Core CPI]]-F382)/F382</f>
        <v>#DIV/0!</v>
      </c>
    </row>
    <row r="395" spans="1:9" x14ac:dyDescent="0.35">
      <c r="A395" s="33">
        <f>IF(Data!A422="",#N/A,Data!A422)</f>
        <v>30682</v>
      </c>
      <c r="B395" s="34">
        <f>VLOOKUP(A395,Data!A:AX,MATCH($B$2,Data!$B$1:$AX$1,0),FALSE)</f>
        <v>3.3528809999999998E-3</v>
      </c>
      <c r="C395" s="35">
        <f t="shared" si="26"/>
        <v>3.4449980424043902E-2</v>
      </c>
      <c r="D395" s="35">
        <f t="shared" si="23"/>
        <v>0.50146062902680311</v>
      </c>
      <c r="E395" s="35">
        <f>(Table143454[[#This Row],[USA]]-B383)/B383</f>
        <v>0.3606317483622532</v>
      </c>
      <c r="F395" s="34">
        <f>VLOOKUP(Table143454[[#This Row],[Date]],'Data Core CPI'!$A:$AX,MATCH($B$2,'Data Core CPI'!$B$1:$AX$1,0),FALSE)</f>
        <v>0</v>
      </c>
      <c r="G395" s="35" t="e">
        <f t="shared" si="24"/>
        <v>#DIV/0!</v>
      </c>
      <c r="H395" s="35" t="e">
        <f t="shared" si="25"/>
        <v>#DIV/0!</v>
      </c>
      <c r="I395" s="35" t="e">
        <f>(Table143454[[#This Row],[Core CPI]]-F383)/F383</f>
        <v>#DIV/0!</v>
      </c>
    </row>
    <row r="396" spans="1:9" x14ac:dyDescent="0.35">
      <c r="A396" s="33">
        <f>IF(Data!A423="",#N/A,Data!A423)</f>
        <v>30713</v>
      </c>
      <c r="B396" s="34">
        <f>VLOOKUP(A396,Data!A:AX,MATCH($B$2,Data!$B$1:$AX$1,0),FALSE)</f>
        <v>3.4041010000000001E-3</v>
      </c>
      <c r="C396" s="35">
        <f t="shared" si="26"/>
        <v>1.5276414522316761E-2</v>
      </c>
      <c r="D396" s="35">
        <f t="shared" si="23"/>
        <v>0.19953125538456895</v>
      </c>
      <c r="E396" s="35">
        <f>(Table143454[[#This Row],[USA]]-B384)/B384</f>
        <v>0.34752640839843496</v>
      </c>
      <c r="F396" s="34">
        <f>VLOOKUP(Table143454[[#This Row],[Date]],'Data Core CPI'!$A:$AX,MATCH($B$2,'Data Core CPI'!$B$1:$AX$1,0),FALSE)</f>
        <v>0</v>
      </c>
      <c r="G396" s="35" t="e">
        <f t="shared" si="24"/>
        <v>#DIV/0!</v>
      </c>
      <c r="H396" s="35" t="e">
        <f t="shared" si="25"/>
        <v>#DIV/0!</v>
      </c>
      <c r="I396" s="35" t="e">
        <f>(Table143454[[#This Row],[Core CPI]]-F384)/F384</f>
        <v>#DIV/0!</v>
      </c>
    </row>
    <row r="397" spans="1:9" x14ac:dyDescent="0.35">
      <c r="A397" s="33">
        <f>IF(Data!A424="",#N/A,Data!A424)</f>
        <v>30742</v>
      </c>
      <c r="B397" s="34">
        <f>VLOOKUP(A397,Data!A:AX,MATCH($B$2,Data!$B$1:$AX$1,0),FALSE)</f>
        <v>3.5096149999999998E-3</v>
      </c>
      <c r="C397" s="35">
        <f t="shared" si="26"/>
        <v>3.0996142593888942E-2</v>
      </c>
      <c r="D397" s="35">
        <f t="shared" si="23"/>
        <v>0.44239591853675497</v>
      </c>
      <c r="E397" s="35">
        <f>(Table143454[[#This Row],[USA]]-B385)/B385</f>
        <v>0.3616849654264791</v>
      </c>
      <c r="F397" s="34">
        <f>VLOOKUP(Table143454[[#This Row],[Date]],'Data Core CPI'!$A:$AX,MATCH($B$2,'Data Core CPI'!$B$1:$AX$1,0),FALSE)</f>
        <v>0</v>
      </c>
      <c r="G397" s="35" t="e">
        <f t="shared" si="24"/>
        <v>#DIV/0!</v>
      </c>
      <c r="H397" s="35" t="e">
        <f t="shared" si="25"/>
        <v>#DIV/0!</v>
      </c>
      <c r="I397" s="35" t="e">
        <f>(Table143454[[#This Row],[Core CPI]]-F385)/F385</f>
        <v>#DIV/0!</v>
      </c>
    </row>
    <row r="398" spans="1:9" x14ac:dyDescent="0.35">
      <c r="A398" s="33">
        <f>IF(Data!A425="",#N/A,Data!A425)</f>
        <v>30773</v>
      </c>
      <c r="B398" s="34">
        <f>VLOOKUP(A398,Data!A:AX,MATCH($B$2,Data!$B$1:$AX$1,0),FALSE)</f>
        <v>3.7283260000000001E-3</v>
      </c>
      <c r="C398" s="35">
        <f t="shared" si="26"/>
        <v>6.2317661623853438E-2</v>
      </c>
      <c r="D398" s="35">
        <f t="shared" si="23"/>
        <v>1.0656313826713619</v>
      </c>
      <c r="E398" s="35">
        <f>(Table143454[[#This Row],[USA]]-B386)/B386</f>
        <v>0.42557762772964874</v>
      </c>
      <c r="F398" s="34">
        <f>VLOOKUP(Table143454[[#This Row],[Date]],'Data Core CPI'!$A:$AX,MATCH($B$2,'Data Core CPI'!$B$1:$AX$1,0),FALSE)</f>
        <v>0</v>
      </c>
      <c r="G398" s="35" t="e">
        <f t="shared" si="24"/>
        <v>#DIV/0!</v>
      </c>
      <c r="H398" s="35" t="e">
        <f t="shared" si="25"/>
        <v>#DIV/0!</v>
      </c>
      <c r="I398" s="35" t="e">
        <f>(Table143454[[#This Row],[Core CPI]]-F386)/F386</f>
        <v>#DIV/0!</v>
      </c>
    </row>
    <row r="399" spans="1:9" x14ac:dyDescent="0.35">
      <c r="A399" s="33">
        <f>IF(Data!A426="",#N/A,Data!A426)</f>
        <v>30803</v>
      </c>
      <c r="B399" s="34">
        <f>VLOOKUP(A399,Data!A:AX,MATCH($B$2,Data!$B$1:$AX$1,0),FALSE)</f>
        <v>3.9091339999999999E-3</v>
      </c>
      <c r="C399" s="35">
        <f t="shared" si="26"/>
        <v>4.8495759222771717E-2</v>
      </c>
      <c r="D399" s="35">
        <f t="shared" si="23"/>
        <v>0.76522528216086894</v>
      </c>
      <c r="E399" s="35">
        <f>(Table143454[[#This Row],[USA]]-B387)/B387</f>
        <v>0.48482484301430762</v>
      </c>
      <c r="F399" s="34">
        <f>VLOOKUP(Table143454[[#This Row],[Date]],'Data Core CPI'!$A:$AX,MATCH($B$2,'Data Core CPI'!$B$1:$AX$1,0),FALSE)</f>
        <v>0</v>
      </c>
      <c r="G399" s="35" t="e">
        <f t="shared" si="24"/>
        <v>#DIV/0!</v>
      </c>
      <c r="H399" s="35" t="e">
        <f t="shared" si="25"/>
        <v>#DIV/0!</v>
      </c>
      <c r="I399" s="35" t="e">
        <f>(Table143454[[#This Row],[Core CPI]]-F387)/F387</f>
        <v>#DIV/0!</v>
      </c>
    </row>
    <row r="400" spans="1:9" x14ac:dyDescent="0.35">
      <c r="A400" s="33">
        <f>IF(Data!A427="",#N/A,Data!A427)</f>
        <v>30834</v>
      </c>
      <c r="B400" s="34">
        <f>VLOOKUP(A400,Data!A:AX,MATCH($B$2,Data!$B$1:$AX$1,0),FALSE)</f>
        <v>4.1626739999999999E-3</v>
      </c>
      <c r="C400" s="35">
        <f t="shared" si="26"/>
        <v>6.4858354817205033E-2</v>
      </c>
      <c r="D400" s="35">
        <f t="shared" si="23"/>
        <v>1.1257006841276844</v>
      </c>
      <c r="E400" s="35">
        <f>(Table143454[[#This Row],[USA]]-B388)/B388</f>
        <v>0.56048408410254635</v>
      </c>
      <c r="F400" s="34">
        <f>VLOOKUP(Table143454[[#This Row],[Date]],'Data Core CPI'!$A:$AX,MATCH($B$2,'Data Core CPI'!$B$1:$AX$1,0),FALSE)</f>
        <v>0</v>
      </c>
      <c r="G400" s="35" t="e">
        <f t="shared" si="24"/>
        <v>#DIV/0!</v>
      </c>
      <c r="H400" s="35" t="e">
        <f t="shared" si="25"/>
        <v>#DIV/0!</v>
      </c>
      <c r="I400" s="35" t="e">
        <f>(Table143454[[#This Row],[Core CPI]]-F388)/F388</f>
        <v>#DIV/0!</v>
      </c>
    </row>
    <row r="401" spans="1:9" x14ac:dyDescent="0.35">
      <c r="A401" s="33">
        <f>IF(Data!A428="",#N/A,Data!A428)</f>
        <v>30864</v>
      </c>
      <c r="B401" s="34">
        <f>VLOOKUP(A401,Data!A:AX,MATCH($B$2,Data!$B$1:$AX$1,0),FALSE)</f>
        <v>4.2010889999999999E-3</v>
      </c>
      <c r="C401" s="35">
        <f t="shared" si="26"/>
        <v>9.2284430632809666E-3</v>
      </c>
      <c r="D401" s="35">
        <f t="shared" si="23"/>
        <v>0.11653870037404657</v>
      </c>
      <c r="E401" s="35">
        <f>(Table143454[[#This Row],[USA]]-B389)/B389</f>
        <v>0.55872302438546562</v>
      </c>
      <c r="F401" s="34">
        <f>VLOOKUP(Table143454[[#This Row],[Date]],'Data Core CPI'!$A:$AX,MATCH($B$2,'Data Core CPI'!$B$1:$AX$1,0),FALSE)</f>
        <v>0</v>
      </c>
      <c r="G401" s="35" t="e">
        <f t="shared" si="24"/>
        <v>#DIV/0!</v>
      </c>
      <c r="H401" s="35" t="e">
        <f t="shared" si="25"/>
        <v>#DIV/0!</v>
      </c>
      <c r="I401" s="35" t="e">
        <f>(Table143454[[#This Row],[Core CPI]]-F389)/F389</f>
        <v>#DIV/0!</v>
      </c>
    </row>
    <row r="402" spans="1:9" x14ac:dyDescent="0.35">
      <c r="A402" s="33">
        <f>IF(Data!A429="",#N/A,Data!A429)</f>
        <v>30895</v>
      </c>
      <c r="B402" s="34">
        <f>VLOOKUP(A402,Data!A:AX,MATCH($B$2,Data!$B$1:$AX$1,0),FALSE)</f>
        <v>4.3055790000000004E-3</v>
      </c>
      <c r="C402" s="35">
        <f t="shared" si="26"/>
        <v>2.4872122442538336E-2</v>
      </c>
      <c r="D402" s="35">
        <f t="shared" si="23"/>
        <v>0.34287676799297051</v>
      </c>
      <c r="E402" s="35">
        <f>(Table143454[[#This Row],[USA]]-B390)/B390</f>
        <v>0.5610030842433128</v>
      </c>
      <c r="F402" s="34">
        <f>VLOOKUP(Table143454[[#This Row],[Date]],'Data Core CPI'!$A:$AX,MATCH($B$2,'Data Core CPI'!$B$1:$AX$1,0),FALSE)</f>
        <v>0</v>
      </c>
      <c r="G402" s="35" t="e">
        <f t="shared" si="24"/>
        <v>#DIV/0!</v>
      </c>
      <c r="H402" s="35" t="e">
        <f t="shared" si="25"/>
        <v>#DIV/0!</v>
      </c>
      <c r="I402" s="35" t="e">
        <f>(Table143454[[#This Row],[Core CPI]]-F390)/F390</f>
        <v>#DIV/0!</v>
      </c>
    </row>
    <row r="403" spans="1:9" x14ac:dyDescent="0.35">
      <c r="A403" s="33">
        <f>IF(Data!A430="",#N/A,Data!A430)</f>
        <v>30926</v>
      </c>
      <c r="B403" s="34">
        <f>VLOOKUP(A403,Data!A:AX,MATCH($B$2,Data!$B$1:$AX$1,0),FALSE)</f>
        <v>4.3947020000000003E-3</v>
      </c>
      <c r="C403" s="35">
        <f t="shared" si="26"/>
        <v>2.0699422772175291E-2</v>
      </c>
      <c r="D403" s="35">
        <f t="shared" si="23"/>
        <v>0.27871697361805636</v>
      </c>
      <c r="E403" s="35">
        <f>(Table143454[[#This Row],[USA]]-B391)/B391</f>
        <v>0.54344287311266637</v>
      </c>
      <c r="F403" s="34">
        <f>VLOOKUP(Table143454[[#This Row],[Date]],'Data Core CPI'!$A:$AX,MATCH($B$2,'Data Core CPI'!$B$1:$AX$1,0),FALSE)</f>
        <v>0</v>
      </c>
      <c r="G403" s="35" t="e">
        <f t="shared" si="24"/>
        <v>#DIV/0!</v>
      </c>
      <c r="H403" s="35" t="e">
        <f t="shared" si="25"/>
        <v>#DIV/0!</v>
      </c>
      <c r="I403" s="35" t="e">
        <f>(Table143454[[#This Row],[Core CPI]]-F391)/F391</f>
        <v>#DIV/0!</v>
      </c>
    </row>
    <row r="404" spans="1:9" x14ac:dyDescent="0.35">
      <c r="A404" s="33">
        <f>IF(Data!A431="",#N/A,Data!A431)</f>
        <v>30956</v>
      </c>
      <c r="B404" s="34">
        <f>VLOOKUP(A404,Data!A:AX,MATCH($B$2,Data!$B$1:$AX$1,0),FALSE)</f>
        <v>4.5862660000000003E-3</v>
      </c>
      <c r="C404" s="35">
        <f t="shared" si="26"/>
        <v>4.3589758759524422E-2</v>
      </c>
      <c r="D404" s="35">
        <f t="shared" si="23"/>
        <v>0.66862098907570489</v>
      </c>
      <c r="E404" s="35">
        <f>(Table143454[[#This Row],[USA]]-B392)/B392</f>
        <v>0.52955223004518692</v>
      </c>
      <c r="F404" s="34">
        <f>VLOOKUP(Table143454[[#This Row],[Date]],'Data Core CPI'!$A:$AX,MATCH($B$2,'Data Core CPI'!$B$1:$AX$1,0),FALSE)</f>
        <v>0</v>
      </c>
      <c r="G404" s="35" t="e">
        <f t="shared" si="24"/>
        <v>#DIV/0!</v>
      </c>
      <c r="H404" s="35" t="e">
        <f t="shared" si="25"/>
        <v>#DIV/0!</v>
      </c>
      <c r="I404" s="35" t="e">
        <f>(Table143454[[#This Row],[Core CPI]]-F392)/F392</f>
        <v>#DIV/0!</v>
      </c>
    </row>
    <row r="405" spans="1:9" x14ac:dyDescent="0.35">
      <c r="A405" s="33">
        <f>IF(Data!A432="",#N/A,Data!A432)</f>
        <v>30987</v>
      </c>
      <c r="B405" s="34">
        <f>VLOOKUP(A405,Data!A:AX,MATCH($B$2,Data!$B$1:$AX$1,0),FALSE)</f>
        <v>4.7629760000000004E-3</v>
      </c>
      <c r="C405" s="35">
        <f t="shared" si="26"/>
        <v>3.8530255331897356E-2</v>
      </c>
      <c r="D405" s="35">
        <f t="shared" si="23"/>
        <v>0.57409101310699806</v>
      </c>
      <c r="E405" s="35">
        <f>(Table143454[[#This Row],[USA]]-B393)/B393</f>
        <v>0.53120369676806067</v>
      </c>
      <c r="F405" s="34">
        <f>VLOOKUP(Table143454[[#This Row],[Date]],'Data Core CPI'!$A:$AX,MATCH($B$2,'Data Core CPI'!$B$1:$AX$1,0),FALSE)</f>
        <v>0</v>
      </c>
      <c r="G405" s="35" t="e">
        <f t="shared" si="24"/>
        <v>#DIV/0!</v>
      </c>
      <c r="H405" s="35" t="e">
        <f t="shared" si="25"/>
        <v>#DIV/0!</v>
      </c>
      <c r="I405" s="35" t="e">
        <f>(Table143454[[#This Row],[Core CPI]]-F393)/F393</f>
        <v>#DIV/0!</v>
      </c>
    </row>
    <row r="406" spans="1:9" x14ac:dyDescent="0.35">
      <c r="A406" s="33">
        <f>IF(Data!A433="",#N/A,Data!A433)</f>
        <v>31017</v>
      </c>
      <c r="B406" s="34">
        <f>VLOOKUP(A406,Data!A:AX,MATCH($B$2,Data!$B$1:$AX$1,0),FALSE)</f>
        <v>4.8515870000000001E-3</v>
      </c>
      <c r="C406" s="35">
        <f t="shared" si="26"/>
        <v>1.8604124816081313E-2</v>
      </c>
      <c r="D406" s="35">
        <f t="shared" si="23"/>
        <v>0.24757069885628646</v>
      </c>
      <c r="E406" s="35">
        <f>(Table143454[[#This Row],[USA]]-B394)/B394</f>
        <v>0.49683930839643464</v>
      </c>
      <c r="F406" s="34">
        <f>VLOOKUP(Table143454[[#This Row],[Date]],'Data Core CPI'!$A:$AX,MATCH($B$2,'Data Core CPI'!$B$1:$AX$1,0),FALSE)</f>
        <v>0</v>
      </c>
      <c r="G406" s="35" t="e">
        <f t="shared" si="24"/>
        <v>#DIV/0!</v>
      </c>
      <c r="H406" s="35" t="e">
        <f t="shared" si="25"/>
        <v>#DIV/0!</v>
      </c>
      <c r="I406" s="35" t="e">
        <f>(Table143454[[#This Row],[Core CPI]]-F394)/F394</f>
        <v>#DIV/0!</v>
      </c>
    </row>
    <row r="407" spans="1:9" x14ac:dyDescent="0.35">
      <c r="A407" s="33">
        <f>IF(Data!A434="",#N/A,Data!A434)</f>
        <v>31048</v>
      </c>
      <c r="B407" s="34">
        <f>VLOOKUP(A407,Data!A:AX,MATCH($B$2,Data!$B$1:$AX$1,0),FALSE)</f>
        <v>5.122031E-3</v>
      </c>
      <c r="C407" s="35">
        <f t="shared" si="26"/>
        <v>5.5743409321527215E-2</v>
      </c>
      <c r="D407" s="35">
        <f t="shared" si="23"/>
        <v>0.91734624506409923</v>
      </c>
      <c r="E407" s="35">
        <f>(Table143454[[#This Row],[USA]]-B395)/B395</f>
        <v>0.52765069801165032</v>
      </c>
      <c r="F407" s="34">
        <f>VLOOKUP(Table143454[[#This Row],[Date]],'Data Core CPI'!$A:$AX,MATCH($B$2,'Data Core CPI'!$B$1:$AX$1,0),FALSE)</f>
        <v>0</v>
      </c>
      <c r="G407" s="35" t="e">
        <f t="shared" si="24"/>
        <v>#DIV/0!</v>
      </c>
      <c r="H407" s="35" t="e">
        <f t="shared" si="25"/>
        <v>#DIV/0!</v>
      </c>
      <c r="I407" s="35" t="e">
        <f>(Table143454[[#This Row],[Core CPI]]-F395)/F395</f>
        <v>#DIV/0!</v>
      </c>
    </row>
    <row r="408" spans="1:9" x14ac:dyDescent="0.35">
      <c r="A408" s="33">
        <f>IF(Data!A435="",#N/A,Data!A435)</f>
        <v>31079</v>
      </c>
      <c r="B408" s="34">
        <f>VLOOKUP(A408,Data!A:AX,MATCH($B$2,Data!$B$1:$AX$1,0),FALSE)</f>
        <v>5.2910570000000001E-3</v>
      </c>
      <c r="C408" s="35">
        <f t="shared" si="26"/>
        <v>3.2999800274539526E-2</v>
      </c>
      <c r="D408" s="35">
        <f t="shared" si="23"/>
        <v>0.47639596845201004</v>
      </c>
      <c r="E408" s="35">
        <f>(Table143454[[#This Row],[USA]]-B396)/B396</f>
        <v>0.55431845294837023</v>
      </c>
      <c r="F408" s="34">
        <f>VLOOKUP(Table143454[[#This Row],[Date]],'Data Core CPI'!$A:$AX,MATCH($B$2,'Data Core CPI'!$B$1:$AX$1,0),FALSE)</f>
        <v>0</v>
      </c>
      <c r="G408" s="35" t="e">
        <f t="shared" si="24"/>
        <v>#DIV/0!</v>
      </c>
      <c r="H408" s="35" t="e">
        <f t="shared" si="25"/>
        <v>#DIV/0!</v>
      </c>
      <c r="I408" s="35" t="e">
        <f>(Table143454[[#This Row],[Core CPI]]-F396)/F396</f>
        <v>#DIV/0!</v>
      </c>
    </row>
    <row r="409" spans="1:9" x14ac:dyDescent="0.35">
      <c r="A409" s="33">
        <f>IF(Data!A436="",#N/A,Data!A436)</f>
        <v>31107</v>
      </c>
      <c r="B409" s="34">
        <f>VLOOKUP(A409,Data!A:AX,MATCH($B$2,Data!$B$1:$AX$1,0),FALSE)</f>
        <v>5.5440860000000002E-3</v>
      </c>
      <c r="C409" s="35">
        <f t="shared" si="26"/>
        <v>4.7822013635460792E-2</v>
      </c>
      <c r="D409" s="35">
        <f t="shared" si="23"/>
        <v>0.75166163980381717</v>
      </c>
      <c r="E409" s="35">
        <f>(Table143454[[#This Row],[USA]]-B397)/B397</f>
        <v>0.57968495119835095</v>
      </c>
      <c r="F409" s="34">
        <f>VLOOKUP(Table143454[[#This Row],[Date]],'Data Core CPI'!$A:$AX,MATCH($B$2,'Data Core CPI'!$B$1:$AX$1,0),FALSE)</f>
        <v>0</v>
      </c>
      <c r="G409" s="35" t="e">
        <f t="shared" si="24"/>
        <v>#DIV/0!</v>
      </c>
      <c r="H409" s="35" t="e">
        <f t="shared" si="25"/>
        <v>#DIV/0!</v>
      </c>
      <c r="I409" s="35" t="e">
        <f>(Table143454[[#This Row],[Core CPI]]-F397)/F397</f>
        <v>#DIV/0!</v>
      </c>
    </row>
    <row r="410" spans="1:9" x14ac:dyDescent="0.35">
      <c r="A410" s="33">
        <f>IF(Data!A437="",#N/A,Data!A437)</f>
        <v>31138</v>
      </c>
      <c r="B410" s="34">
        <f>VLOOKUP(A410,Data!A:AX,MATCH($B$2,Data!$B$1:$AX$1,0),FALSE)</f>
        <v>5.5901839999999998E-3</v>
      </c>
      <c r="C410" s="35">
        <f t="shared" si="26"/>
        <v>8.3148060834552506E-3</v>
      </c>
      <c r="D410" s="35">
        <f t="shared" si="23"/>
        <v>0.1044695143290566</v>
      </c>
      <c r="E410" s="35">
        <f>(Table143454[[#This Row],[USA]]-B398)/B398</f>
        <v>0.49938176007140994</v>
      </c>
      <c r="F410" s="34">
        <f>VLOOKUP(Table143454[[#This Row],[Date]],'Data Core CPI'!$A:$AX,MATCH($B$2,'Data Core CPI'!$B$1:$AX$1,0),FALSE)</f>
        <v>0</v>
      </c>
      <c r="G410" s="35" t="e">
        <f t="shared" si="24"/>
        <v>#DIV/0!</v>
      </c>
      <c r="H410" s="35" t="e">
        <f t="shared" si="25"/>
        <v>#DIV/0!</v>
      </c>
      <c r="I410" s="35" t="e">
        <f>(Table143454[[#This Row],[Core CPI]]-F398)/F398</f>
        <v>#DIV/0!</v>
      </c>
    </row>
    <row r="411" spans="1:9" x14ac:dyDescent="0.35">
      <c r="A411" s="33">
        <f>IF(Data!A438="",#N/A,Data!A438)</f>
        <v>31168</v>
      </c>
      <c r="B411" s="34">
        <f>VLOOKUP(A411,Data!A:AX,MATCH($B$2,Data!$B$1:$AX$1,0),FALSE)</f>
        <v>5.7243809999999997E-3</v>
      </c>
      <c r="C411" s="35">
        <f t="shared" si="26"/>
        <v>2.4005828788462136E-2</v>
      </c>
      <c r="D411" s="35">
        <f t="shared" si="23"/>
        <v>0.32931879302752964</v>
      </c>
      <c r="E411" s="35">
        <f>(Table143454[[#This Row],[USA]]-B399)/B399</f>
        <v>0.46436039286450653</v>
      </c>
      <c r="F411" s="34">
        <f>VLOOKUP(Table143454[[#This Row],[Date]],'Data Core CPI'!$A:$AX,MATCH($B$2,'Data Core CPI'!$B$1:$AX$1,0),FALSE)</f>
        <v>0</v>
      </c>
      <c r="G411" s="35" t="e">
        <f t="shared" si="24"/>
        <v>#DIV/0!</v>
      </c>
      <c r="H411" s="35" t="e">
        <f t="shared" si="25"/>
        <v>#DIV/0!</v>
      </c>
      <c r="I411" s="35" t="e">
        <f>(Table143454[[#This Row],[Core CPI]]-F399)/F399</f>
        <v>#DIV/0!</v>
      </c>
    </row>
    <row r="412" spans="1:9" x14ac:dyDescent="0.35">
      <c r="A412" s="33">
        <f>IF(Data!A439="",#N/A,Data!A439)</f>
        <v>31199</v>
      </c>
      <c r="B412" s="34">
        <f>VLOOKUP(A412,Data!A:AX,MATCH($B$2,Data!$B$1:$AX$1,0),FALSE)</f>
        <v>5.680844E-3</v>
      </c>
      <c r="C412" s="35">
        <f t="shared" si="26"/>
        <v>-7.6055384852964369E-3</v>
      </c>
      <c r="D412" s="35">
        <f t="shared" si="23"/>
        <v>-8.7543893330481848E-2</v>
      </c>
      <c r="E412" s="35">
        <f>(Table143454[[#This Row],[USA]]-B400)/B400</f>
        <v>0.36471027997868682</v>
      </c>
      <c r="F412" s="34">
        <f>VLOOKUP(Table143454[[#This Row],[Date]],'Data Core CPI'!$A:$AX,MATCH($B$2,'Data Core CPI'!$B$1:$AX$1,0),FALSE)</f>
        <v>0</v>
      </c>
      <c r="G412" s="35" t="e">
        <f t="shared" si="24"/>
        <v>#DIV/0!</v>
      </c>
      <c r="H412" s="35" t="e">
        <f t="shared" si="25"/>
        <v>#DIV/0!</v>
      </c>
      <c r="I412" s="35" t="e">
        <f>(Table143454[[#This Row],[Core CPI]]-F400)/F400</f>
        <v>#DIV/0!</v>
      </c>
    </row>
    <row r="413" spans="1:9" x14ac:dyDescent="0.35">
      <c r="A413" s="33">
        <f>IF(Data!A440="",#N/A,Data!A440)</f>
        <v>31229</v>
      </c>
      <c r="B413" s="34">
        <f>VLOOKUP(A413,Data!A:AX,MATCH($B$2,Data!$B$1:$AX$1,0),FALSE)</f>
        <v>5.7617720000000001E-3</v>
      </c>
      <c r="C413" s="35">
        <f t="shared" si="26"/>
        <v>1.4245770522830714E-2</v>
      </c>
      <c r="D413" s="35">
        <f t="shared" si="23"/>
        <v>0.18500031036906583</v>
      </c>
      <c r="E413" s="35">
        <f>(Table143454[[#This Row],[USA]]-B401)/B401</f>
        <v>0.37149486716420438</v>
      </c>
      <c r="F413" s="34">
        <f>VLOOKUP(Table143454[[#This Row],[Date]],'Data Core CPI'!$A:$AX,MATCH($B$2,'Data Core CPI'!$B$1:$AX$1,0),FALSE)</f>
        <v>0</v>
      </c>
      <c r="G413" s="35" t="e">
        <f t="shared" si="24"/>
        <v>#DIV/0!</v>
      </c>
      <c r="H413" s="35" t="e">
        <f t="shared" si="25"/>
        <v>#DIV/0!</v>
      </c>
      <c r="I413" s="35" t="e">
        <f>(Table143454[[#This Row],[Core CPI]]-F401)/F401</f>
        <v>#DIV/0!</v>
      </c>
    </row>
    <row r="414" spans="1:9" x14ac:dyDescent="0.35">
      <c r="A414" s="33">
        <f>IF(Data!A441="",#N/A,Data!A441)</f>
        <v>31260</v>
      </c>
      <c r="B414" s="34">
        <f>VLOOKUP(A414,Data!A:AX,MATCH($B$2,Data!$B$1:$AX$1,0),FALSE)</f>
        <v>5.9108229999999999E-3</v>
      </c>
      <c r="C414" s="35">
        <f t="shared" si="26"/>
        <v>2.5868951426748499E-2</v>
      </c>
      <c r="D414" s="35">
        <f t="shared" si="23"/>
        <v>0.35863447282351912</v>
      </c>
      <c r="E414" s="35">
        <f>(Table143454[[#This Row],[USA]]-B402)/B402</f>
        <v>0.37282883440299192</v>
      </c>
      <c r="F414" s="34">
        <f>VLOOKUP(Table143454[[#This Row],[Date]],'Data Core CPI'!$A:$AX,MATCH($B$2,'Data Core CPI'!$B$1:$AX$1,0),FALSE)</f>
        <v>0</v>
      </c>
      <c r="G414" s="35" t="e">
        <f t="shared" si="24"/>
        <v>#DIV/0!</v>
      </c>
      <c r="H414" s="35" t="e">
        <f t="shared" si="25"/>
        <v>#DIV/0!</v>
      </c>
      <c r="I414" s="35" t="e">
        <f>(Table143454[[#This Row],[Core CPI]]-F402)/F402</f>
        <v>#DIV/0!</v>
      </c>
    </row>
    <row r="415" spans="1:9" x14ac:dyDescent="0.35">
      <c r="A415" s="33">
        <f>IF(Data!A442="",#N/A,Data!A442)</f>
        <v>31291</v>
      </c>
      <c r="B415" s="34">
        <f>VLOOKUP(A415,Data!A:AX,MATCH($B$2,Data!$B$1:$AX$1,0),FALSE)</f>
        <v>6.1915099999999999E-3</v>
      </c>
      <c r="C415" s="35">
        <f t="shared" si="26"/>
        <v>4.7486957400010077E-2</v>
      </c>
      <c r="D415" s="35">
        <f t="shared" si="23"/>
        <v>0.74495201865988214</v>
      </c>
      <c r="E415" s="35">
        <f>(Table143454[[#This Row],[USA]]-B403)/B403</f>
        <v>0.4088577564531109</v>
      </c>
      <c r="F415" s="34">
        <f>VLOOKUP(Table143454[[#This Row],[Date]],'Data Core CPI'!$A:$AX,MATCH($B$2,'Data Core CPI'!$B$1:$AX$1,0),FALSE)</f>
        <v>0</v>
      </c>
      <c r="G415" s="35" t="e">
        <f t="shared" si="24"/>
        <v>#DIV/0!</v>
      </c>
      <c r="H415" s="35" t="e">
        <f t="shared" si="25"/>
        <v>#DIV/0!</v>
      </c>
      <c r="I415" s="35" t="e">
        <f>(Table143454[[#This Row],[Core CPI]]-F403)/F403</f>
        <v>#DIV/0!</v>
      </c>
    </row>
    <row r="416" spans="1:9" x14ac:dyDescent="0.35">
      <c r="A416" s="33">
        <f>IF(Data!A443="",#N/A,Data!A443)</f>
        <v>31321</v>
      </c>
      <c r="B416" s="34">
        <f>VLOOKUP(A416,Data!A:AX,MATCH($B$2,Data!$B$1:$AX$1,0),FALSE)</f>
        <v>6.5792480000000002E-3</v>
      </c>
      <c r="C416" s="35">
        <f t="shared" si="26"/>
        <v>6.2624141768324648E-2</v>
      </c>
      <c r="D416" s="35">
        <f t="shared" si="23"/>
        <v>1.0727939917194447</v>
      </c>
      <c r="E416" s="35">
        <f>(Table143454[[#This Row],[USA]]-B404)/B404</f>
        <v>0.43455438476529706</v>
      </c>
      <c r="F416" s="34">
        <f>VLOOKUP(Table143454[[#This Row],[Date]],'Data Core CPI'!$A:$AX,MATCH($B$2,'Data Core CPI'!$B$1:$AX$1,0),FALSE)</f>
        <v>0</v>
      </c>
      <c r="G416" s="35" t="e">
        <f t="shared" si="24"/>
        <v>#DIV/0!</v>
      </c>
      <c r="H416" s="35" t="e">
        <f t="shared" si="25"/>
        <v>#DIV/0!</v>
      </c>
      <c r="I416" s="35" t="e">
        <f>(Table143454[[#This Row],[Core CPI]]-F404)/F404</f>
        <v>#DIV/0!</v>
      </c>
    </row>
    <row r="417" spans="1:9" x14ac:dyDescent="0.35">
      <c r="A417" s="33">
        <f>IF(Data!A444="",#N/A,Data!A444)</f>
        <v>31352</v>
      </c>
      <c r="B417" s="34">
        <f>VLOOKUP(A417,Data!A:AX,MATCH($B$2,Data!$B$1:$AX$1,0),FALSE)</f>
        <v>6.8845210000000002E-3</v>
      </c>
      <c r="C417" s="35">
        <f t="shared" si="26"/>
        <v>4.6399375734126558E-2</v>
      </c>
      <c r="D417" s="35">
        <f t="shared" si="23"/>
        <v>0.72333481847315895</v>
      </c>
      <c r="E417" s="35">
        <f>(Table143454[[#This Row],[USA]]-B405)/B405</f>
        <v>0.44542424736131353</v>
      </c>
      <c r="F417" s="34">
        <f>VLOOKUP(Table143454[[#This Row],[Date]],'Data Core CPI'!$A:$AX,MATCH($B$2,'Data Core CPI'!$B$1:$AX$1,0),FALSE)</f>
        <v>0</v>
      </c>
      <c r="G417" s="35" t="e">
        <f t="shared" si="24"/>
        <v>#DIV/0!</v>
      </c>
      <c r="H417" s="35" t="e">
        <f t="shared" si="25"/>
        <v>#DIV/0!</v>
      </c>
      <c r="I417" s="35" t="e">
        <f>(Table143454[[#This Row],[Core CPI]]-F405)/F405</f>
        <v>#DIV/0!</v>
      </c>
    </row>
    <row r="418" spans="1:9" x14ac:dyDescent="0.35">
      <c r="A418" s="33">
        <f>IF(Data!A445="",#N/A,Data!A445)</f>
        <v>31382</v>
      </c>
      <c r="B418" s="34">
        <f>VLOOKUP(A418,Data!A:AX,MATCH($B$2,Data!$B$1:$AX$1,0),FALSE)</f>
        <v>6.9956690000000004E-3</v>
      </c>
      <c r="C418" s="35">
        <f t="shared" si="26"/>
        <v>1.6144623569308569E-2</v>
      </c>
      <c r="D418" s="35">
        <f t="shared" si="23"/>
        <v>0.2118985999094174</v>
      </c>
      <c r="E418" s="35">
        <f>(Table143454[[#This Row],[USA]]-B406)/B406</f>
        <v>0.44193415474153103</v>
      </c>
      <c r="F418" s="34">
        <f>VLOOKUP(Table143454[[#This Row],[Date]],'Data Core CPI'!$A:$AX,MATCH($B$2,'Data Core CPI'!$B$1:$AX$1,0),FALSE)</f>
        <v>0</v>
      </c>
      <c r="G418" s="35" t="e">
        <f t="shared" si="24"/>
        <v>#DIV/0!</v>
      </c>
      <c r="H418" s="35" t="e">
        <f t="shared" si="25"/>
        <v>#DIV/0!</v>
      </c>
      <c r="I418" s="35" t="e">
        <f>(Table143454[[#This Row],[Core CPI]]-F406)/F406</f>
        <v>#DIV/0!</v>
      </c>
    </row>
    <row r="419" spans="1:9" x14ac:dyDescent="0.35">
      <c r="A419" s="33">
        <f>IF(Data!A446="",#N/A,Data!A446)</f>
        <v>31413</v>
      </c>
      <c r="B419" s="34">
        <f>VLOOKUP(A419,Data!A:AX,MATCH($B$2,Data!$B$1:$AX$1,0),FALSE)</f>
        <v>7.219502E-3</v>
      </c>
      <c r="C419" s="35">
        <f t="shared" si="26"/>
        <v>3.1995939201811874E-2</v>
      </c>
      <c r="D419" s="35">
        <f t="shared" si="23"/>
        <v>0.45927069367496731</v>
      </c>
      <c r="E419" s="35">
        <f>(Table143454[[#This Row],[USA]]-B407)/B407</f>
        <v>0.40949986440925484</v>
      </c>
      <c r="F419" s="34">
        <f>VLOOKUP(Table143454[[#This Row],[Date]],'Data Core CPI'!$A:$AX,MATCH($B$2,'Data Core CPI'!$B$1:$AX$1,0),FALSE)</f>
        <v>0</v>
      </c>
      <c r="G419" s="35" t="e">
        <f t="shared" si="24"/>
        <v>#DIV/0!</v>
      </c>
      <c r="H419" s="35" t="e">
        <f t="shared" si="25"/>
        <v>#DIV/0!</v>
      </c>
      <c r="I419" s="35" t="e">
        <f>(Table143454[[#This Row],[Core CPI]]-F407)/F407</f>
        <v>#DIV/0!</v>
      </c>
    </row>
    <row r="420" spans="1:9" x14ac:dyDescent="0.35">
      <c r="A420" s="33">
        <f>IF(Data!A447="",#N/A,Data!A447)</f>
        <v>31444</v>
      </c>
      <c r="B420" s="34">
        <f>VLOOKUP(A420,Data!A:AX,MATCH($B$2,Data!$B$1:$AX$1,0),FALSE)</f>
        <v>7.3449910000000004E-3</v>
      </c>
      <c r="C420" s="35">
        <f t="shared" si="26"/>
        <v>1.7381946843425089E-2</v>
      </c>
      <c r="D420" s="35">
        <f t="shared" si="23"/>
        <v>0.22972590875522259</v>
      </c>
      <c r="E420" s="35">
        <f>(Table143454[[#This Row],[USA]]-B408)/B408</f>
        <v>0.38818973222174707</v>
      </c>
      <c r="F420" s="34">
        <f>VLOOKUP(Table143454[[#This Row],[Date]],'Data Core CPI'!$A:$AX,MATCH($B$2,'Data Core CPI'!$B$1:$AX$1,0),FALSE)</f>
        <v>0</v>
      </c>
      <c r="G420" s="35" t="e">
        <f t="shared" si="24"/>
        <v>#DIV/0!</v>
      </c>
      <c r="H420" s="35" t="e">
        <f t="shared" si="25"/>
        <v>#DIV/0!</v>
      </c>
      <c r="I420" s="35" t="e">
        <f>(Table143454[[#This Row],[Core CPI]]-F408)/F408</f>
        <v>#DIV/0!</v>
      </c>
    </row>
    <row r="421" spans="1:9" x14ac:dyDescent="0.35">
      <c r="A421" s="33">
        <f>IF(Data!A448="",#N/A,Data!A448)</f>
        <v>31472</v>
      </c>
      <c r="B421" s="34">
        <f>VLOOKUP(A421,Data!A:AX,MATCH($B$2,Data!$B$1:$AX$1,0),FALSE)</f>
        <v>7.4407739999999998E-3</v>
      </c>
      <c r="C421" s="35">
        <f t="shared" si="26"/>
        <v>1.3040587796499636E-2</v>
      </c>
      <c r="D421" s="35">
        <f t="shared" si="23"/>
        <v>0.16821331061679068</v>
      </c>
      <c r="E421" s="35">
        <f>(Table143454[[#This Row],[USA]]-B409)/B409</f>
        <v>0.34211013321221923</v>
      </c>
      <c r="F421" s="34">
        <f>VLOOKUP(Table143454[[#This Row],[Date]],'Data Core CPI'!$A:$AX,MATCH($B$2,'Data Core CPI'!$B$1:$AX$1,0),FALSE)</f>
        <v>0</v>
      </c>
      <c r="G421" s="35" t="e">
        <f t="shared" si="24"/>
        <v>#DIV/0!</v>
      </c>
      <c r="H421" s="35" t="e">
        <f t="shared" si="25"/>
        <v>#DIV/0!</v>
      </c>
      <c r="I421" s="35" t="e">
        <f>(Table143454[[#This Row],[Core CPI]]-F409)/F409</f>
        <v>#DIV/0!</v>
      </c>
    </row>
    <row r="422" spans="1:9" x14ac:dyDescent="0.35">
      <c r="A422" s="33">
        <f>IF(Data!A449="",#N/A,Data!A449)</f>
        <v>31503</v>
      </c>
      <c r="B422" s="34">
        <f>VLOOKUP(A422,Data!A:AX,MATCH($B$2,Data!$B$1:$AX$1,0),FALSE)</f>
        <v>7.4689450000000003E-3</v>
      </c>
      <c r="C422" s="35">
        <f t="shared" si="26"/>
        <v>3.7860308618431482E-3</v>
      </c>
      <c r="D422" s="35">
        <f t="shared" si="23"/>
        <v>4.6390457822480968E-2</v>
      </c>
      <c r="E422" s="35">
        <f>(Table143454[[#This Row],[USA]]-B410)/B410</f>
        <v>0.33608213969343415</v>
      </c>
      <c r="F422" s="34">
        <f>VLOOKUP(Table143454[[#This Row],[Date]],'Data Core CPI'!$A:$AX,MATCH($B$2,'Data Core CPI'!$B$1:$AX$1,0),FALSE)</f>
        <v>0</v>
      </c>
      <c r="G422" s="35" t="e">
        <f t="shared" si="24"/>
        <v>#DIV/0!</v>
      </c>
      <c r="H422" s="35" t="e">
        <f t="shared" si="25"/>
        <v>#DIV/0!</v>
      </c>
      <c r="I422" s="35" t="e">
        <f>(Table143454[[#This Row],[Core CPI]]-F410)/F410</f>
        <v>#DIV/0!</v>
      </c>
    </row>
    <row r="423" spans="1:9" x14ac:dyDescent="0.35">
      <c r="A423" s="33">
        <f>IF(Data!A450="",#N/A,Data!A450)</f>
        <v>31533</v>
      </c>
      <c r="B423" s="34">
        <f>VLOOKUP(A423,Data!A:AX,MATCH($B$2,Data!$B$1:$AX$1,0),FALSE)</f>
        <v>7.6108249999999999E-3</v>
      </c>
      <c r="C423" s="35">
        <f t="shared" si="26"/>
        <v>1.8995989393414847E-2</v>
      </c>
      <c r="D423" s="35">
        <f t="shared" si="23"/>
        <v>0.2533422973930104</v>
      </c>
      <c r="E423" s="35">
        <f>(Table143454[[#This Row],[USA]]-B411)/B411</f>
        <v>0.32954550020342815</v>
      </c>
      <c r="F423" s="34">
        <f>VLOOKUP(Table143454[[#This Row],[Date]],'Data Core CPI'!$A:$AX,MATCH($B$2,'Data Core CPI'!$B$1:$AX$1,0),FALSE)</f>
        <v>0</v>
      </c>
      <c r="G423" s="35" t="e">
        <f t="shared" si="24"/>
        <v>#DIV/0!</v>
      </c>
      <c r="H423" s="35" t="e">
        <f t="shared" si="25"/>
        <v>#DIV/0!</v>
      </c>
      <c r="I423" s="35" t="e">
        <f>(Table143454[[#This Row],[Core CPI]]-F411)/F411</f>
        <v>#DIV/0!</v>
      </c>
    </row>
    <row r="424" spans="1:9" x14ac:dyDescent="0.35">
      <c r="A424" s="33">
        <f>IF(Data!A451="",#N/A,Data!A451)</f>
        <v>31564</v>
      </c>
      <c r="B424" s="34">
        <f>VLOOKUP(A424,Data!A:AX,MATCH($B$2,Data!$B$1:$AX$1,0),FALSE)</f>
        <v>7.7926569999999997E-3</v>
      </c>
      <c r="C424" s="35">
        <f t="shared" si="26"/>
        <v>2.3891233867550543E-2</v>
      </c>
      <c r="D424" s="35">
        <f t="shared" si="23"/>
        <v>0.32753474705329499</v>
      </c>
      <c r="E424" s="35">
        <f>(Table143454[[#This Row],[USA]]-B412)/B412</f>
        <v>0.37174282553789539</v>
      </c>
      <c r="F424" s="34">
        <f>VLOOKUP(Table143454[[#This Row],[Date]],'Data Core CPI'!$A:$AX,MATCH($B$2,'Data Core CPI'!$B$1:$AX$1,0),FALSE)</f>
        <v>0</v>
      </c>
      <c r="G424" s="35" t="e">
        <f t="shared" si="24"/>
        <v>#DIV/0!</v>
      </c>
      <c r="H424" s="35" t="e">
        <f t="shared" si="25"/>
        <v>#DIV/0!</v>
      </c>
      <c r="I424" s="35" t="e">
        <f>(Table143454[[#This Row],[Core CPI]]-F412)/F412</f>
        <v>#DIV/0!</v>
      </c>
    </row>
    <row r="425" spans="1:9" x14ac:dyDescent="0.35">
      <c r="A425" s="33">
        <f>IF(Data!A452="",#N/A,Data!A452)</f>
        <v>31594</v>
      </c>
      <c r="B425" s="34">
        <f>VLOOKUP(A425,Data!A:AX,MATCH($B$2,Data!$B$1:$AX$1,0),FALSE)</f>
        <v>7.9386349999999994E-3</v>
      </c>
      <c r="C425" s="35">
        <f t="shared" si="26"/>
        <v>1.8732763420743259E-2</v>
      </c>
      <c r="D425" s="35">
        <f t="shared" si="23"/>
        <v>0.24946266770374348</v>
      </c>
      <c r="E425" s="35">
        <f>(Table143454[[#This Row],[USA]]-B413)/B413</f>
        <v>0.37781137469514575</v>
      </c>
      <c r="F425" s="34">
        <f>VLOOKUP(Table143454[[#This Row],[Date]],'Data Core CPI'!$A:$AX,MATCH($B$2,'Data Core CPI'!$B$1:$AX$1,0),FALSE)</f>
        <v>0</v>
      </c>
      <c r="G425" s="35" t="e">
        <f t="shared" si="24"/>
        <v>#DIV/0!</v>
      </c>
      <c r="H425" s="35" t="e">
        <f t="shared" si="25"/>
        <v>#DIV/0!</v>
      </c>
      <c r="I425" s="35" t="e">
        <f>(Table143454[[#This Row],[Core CPI]]-F413)/F413</f>
        <v>#DIV/0!</v>
      </c>
    </row>
    <row r="426" spans="1:9" x14ac:dyDescent="0.35">
      <c r="A426" s="33">
        <f>IF(Data!A453="",#N/A,Data!A453)</f>
        <v>31625</v>
      </c>
      <c r="B426" s="34">
        <f>VLOOKUP(A426,Data!A:AX,MATCH($B$2,Data!$B$1:$AX$1,0),FALSE)</f>
        <v>8.0077829999999992E-3</v>
      </c>
      <c r="C426" s="35">
        <f t="shared" si="26"/>
        <v>8.7103135488657557E-3</v>
      </c>
      <c r="D426" s="35">
        <f t="shared" si="23"/>
        <v>0.10967942960505916</v>
      </c>
      <c r="E426" s="35">
        <f>(Table143454[[#This Row],[USA]]-B414)/B414</f>
        <v>0.35476616369666275</v>
      </c>
      <c r="F426" s="34">
        <f>VLOOKUP(Table143454[[#This Row],[Date]],'Data Core CPI'!$A:$AX,MATCH($B$2,'Data Core CPI'!$B$1:$AX$1,0),FALSE)</f>
        <v>0</v>
      </c>
      <c r="G426" s="35" t="e">
        <f t="shared" si="24"/>
        <v>#DIV/0!</v>
      </c>
      <c r="H426" s="35" t="e">
        <f t="shared" si="25"/>
        <v>#DIV/0!</v>
      </c>
      <c r="I426" s="35" t="e">
        <f>(Table143454[[#This Row],[Core CPI]]-F414)/F414</f>
        <v>#DIV/0!</v>
      </c>
    </row>
    <row r="427" spans="1:9" x14ac:dyDescent="0.35">
      <c r="A427" s="33">
        <f>IF(Data!A454="",#N/A,Data!A454)</f>
        <v>31656</v>
      </c>
      <c r="B427" s="34">
        <f>VLOOKUP(A427,Data!A:AX,MATCH($B$2,Data!$B$1:$AX$1,0),FALSE)</f>
        <v>8.1921749999999995E-3</v>
      </c>
      <c r="C427" s="35">
        <f t="shared" si="26"/>
        <v>2.3026597998472287E-2</v>
      </c>
      <c r="D427" s="35">
        <f t="shared" si="23"/>
        <v>0.31414444215821224</v>
      </c>
      <c r="E427" s="35">
        <f>(Table143454[[#This Row],[USA]]-B415)/B415</f>
        <v>0.32313038337982164</v>
      </c>
      <c r="F427" s="34">
        <f>VLOOKUP(Table143454[[#This Row],[Date]],'Data Core CPI'!$A:$AX,MATCH($B$2,'Data Core CPI'!$B$1:$AX$1,0),FALSE)</f>
        <v>0</v>
      </c>
      <c r="G427" s="35" t="e">
        <f t="shared" si="24"/>
        <v>#DIV/0!</v>
      </c>
      <c r="H427" s="35" t="e">
        <f t="shared" si="25"/>
        <v>#DIV/0!</v>
      </c>
      <c r="I427" s="35" t="e">
        <f>(Table143454[[#This Row],[Core CPI]]-F415)/F415</f>
        <v>#DIV/0!</v>
      </c>
    </row>
    <row r="428" spans="1:9" x14ac:dyDescent="0.35">
      <c r="A428" s="33">
        <f>IF(Data!A455="",#N/A,Data!A455)</f>
        <v>31686</v>
      </c>
      <c r="B428" s="34">
        <f>VLOOKUP(A428,Data!A:AX,MATCH($B$2,Data!$B$1:$AX$1,0),FALSE)</f>
        <v>8.7935019999999999E-3</v>
      </c>
      <c r="C428" s="35">
        <f t="shared" si="26"/>
        <v>7.3402606755837096E-2</v>
      </c>
      <c r="D428" s="35">
        <f t="shared" si="23"/>
        <v>1.339654598827094</v>
      </c>
      <c r="E428" s="35">
        <f>(Table143454[[#This Row],[USA]]-B416)/B416</f>
        <v>0.33655122895504164</v>
      </c>
      <c r="F428" s="34">
        <f>VLOOKUP(Table143454[[#This Row],[Date]],'Data Core CPI'!$A:$AX,MATCH($B$2,'Data Core CPI'!$B$1:$AX$1,0),FALSE)</f>
        <v>0</v>
      </c>
      <c r="G428" s="35" t="e">
        <f t="shared" si="24"/>
        <v>#DIV/0!</v>
      </c>
      <c r="H428" s="35" t="e">
        <f t="shared" si="25"/>
        <v>#DIV/0!</v>
      </c>
      <c r="I428" s="35" t="e">
        <f>(Table143454[[#This Row],[Core CPI]]-F416)/F416</f>
        <v>#DIV/0!</v>
      </c>
    </row>
    <row r="429" spans="1:9" x14ac:dyDescent="0.35">
      <c r="A429" s="33">
        <f>IF(Data!A456="",#N/A,Data!A456)</f>
        <v>31717</v>
      </c>
      <c r="B429" s="34">
        <f>VLOOKUP(A429,Data!A:AX,MATCH($B$2,Data!$B$1:$AX$1,0),FALSE)</f>
        <v>8.993773E-3</v>
      </c>
      <c r="C429" s="35">
        <f t="shared" si="26"/>
        <v>2.2774885364215569E-2</v>
      </c>
      <c r="D429" s="35">
        <f t="shared" si="23"/>
        <v>0.31026959291892897</v>
      </c>
      <c r="E429" s="35">
        <f>(Table143454[[#This Row],[USA]]-B417)/B417</f>
        <v>0.30637599914358599</v>
      </c>
      <c r="F429" s="34">
        <f>VLOOKUP(Table143454[[#This Row],[Date]],'Data Core CPI'!$A:$AX,MATCH($B$2,'Data Core CPI'!$B$1:$AX$1,0),FALSE)</f>
        <v>0</v>
      </c>
      <c r="G429" s="35" t="e">
        <f t="shared" si="24"/>
        <v>#DIV/0!</v>
      </c>
      <c r="H429" s="35" t="e">
        <f t="shared" si="25"/>
        <v>#DIV/0!</v>
      </c>
      <c r="I429" s="35" t="e">
        <f>(Table143454[[#This Row],[Core CPI]]-F417)/F417</f>
        <v>#DIV/0!</v>
      </c>
    </row>
    <row r="430" spans="1:9" x14ac:dyDescent="0.35">
      <c r="A430" s="33">
        <f>IF(Data!A457="",#N/A,Data!A457)</f>
        <v>31747</v>
      </c>
      <c r="B430" s="34">
        <f>VLOOKUP(A430,Data!A:AX,MATCH($B$2,Data!$B$1:$AX$1,0),FALSE)</f>
        <v>9.1412879999999992E-3</v>
      </c>
      <c r="C430" s="35">
        <f t="shared" si="26"/>
        <v>1.6401903850586264E-2</v>
      </c>
      <c r="D430" s="35">
        <f t="shared" si="23"/>
        <v>0.21558585664887242</v>
      </c>
      <c r="E430" s="35">
        <f>(Table143454[[#This Row],[USA]]-B418)/B418</f>
        <v>0.30670676385632289</v>
      </c>
      <c r="F430" s="34">
        <f>VLOOKUP(Table143454[[#This Row],[Date]],'Data Core CPI'!$A:$AX,MATCH($B$2,'Data Core CPI'!$B$1:$AX$1,0),FALSE)</f>
        <v>0</v>
      </c>
      <c r="G430" s="35" t="e">
        <f t="shared" si="24"/>
        <v>#DIV/0!</v>
      </c>
      <c r="H430" s="35" t="e">
        <f t="shared" si="25"/>
        <v>#DIV/0!</v>
      </c>
      <c r="I430" s="35" t="e">
        <f>(Table143454[[#This Row],[Core CPI]]-F418)/F418</f>
        <v>#DIV/0!</v>
      </c>
    </row>
    <row r="431" spans="1:9" x14ac:dyDescent="0.35">
      <c r="A431" s="33">
        <f>IF(Data!A458="",#N/A,Data!A458)</f>
        <v>31778</v>
      </c>
      <c r="B431" s="34">
        <f>VLOOKUP(A431,Data!A:AX,MATCH($B$2,Data!$B$1:$AX$1,0),FALSE)</f>
        <v>9.4101940000000002E-3</v>
      </c>
      <c r="C431" s="35">
        <f t="shared" si="26"/>
        <v>2.9416642381248748E-2</v>
      </c>
      <c r="D431" s="35">
        <f t="shared" si="23"/>
        <v>0.41610097407321511</v>
      </c>
      <c r="E431" s="35">
        <f>(Table143454[[#This Row],[USA]]-B419)/B419</f>
        <v>0.3034408744536673</v>
      </c>
      <c r="F431" s="34">
        <f>VLOOKUP(Table143454[[#This Row],[Date]],'Data Core CPI'!$A:$AX,MATCH($B$2,'Data Core CPI'!$B$1:$AX$1,0),FALSE)</f>
        <v>0</v>
      </c>
      <c r="G431" s="35" t="e">
        <f t="shared" si="24"/>
        <v>#DIV/0!</v>
      </c>
      <c r="H431" s="35" t="e">
        <f t="shared" si="25"/>
        <v>#DIV/0!</v>
      </c>
      <c r="I431" s="35" t="e">
        <f>(Table143454[[#This Row],[Core CPI]]-F419)/F419</f>
        <v>#DIV/0!</v>
      </c>
    </row>
    <row r="432" spans="1:9" x14ac:dyDescent="0.35">
      <c r="A432" s="33">
        <f>IF(Data!A459="",#N/A,Data!A459)</f>
        <v>31809</v>
      </c>
      <c r="B432" s="34">
        <f>VLOOKUP(A432,Data!A:AX,MATCH($B$2,Data!$B$1:$AX$1,0),FALSE)</f>
        <v>9.6642470000000008E-3</v>
      </c>
      <c r="C432" s="35">
        <f t="shared" si="26"/>
        <v>2.6997636818114623E-2</v>
      </c>
      <c r="D432" s="35">
        <f t="shared" si="23"/>
        <v>0.3766810396636513</v>
      </c>
      <c r="E432" s="35">
        <f>(Table143454[[#This Row],[USA]]-B420)/B420</f>
        <v>0.31576022353192812</v>
      </c>
      <c r="F432" s="34">
        <f>VLOOKUP(Table143454[[#This Row],[Date]],'Data Core CPI'!$A:$AX,MATCH($B$2,'Data Core CPI'!$B$1:$AX$1,0),FALSE)</f>
        <v>0</v>
      </c>
      <c r="G432" s="35" t="e">
        <f t="shared" si="24"/>
        <v>#DIV/0!</v>
      </c>
      <c r="H432" s="35" t="e">
        <f t="shared" si="25"/>
        <v>#DIV/0!</v>
      </c>
      <c r="I432" s="35" t="e">
        <f>(Table143454[[#This Row],[Core CPI]]-F420)/F420</f>
        <v>#DIV/0!</v>
      </c>
    </row>
    <row r="433" spans="1:9" x14ac:dyDescent="0.35">
      <c r="A433" s="33">
        <f>IF(Data!A460="",#N/A,Data!A460)</f>
        <v>31837</v>
      </c>
      <c r="B433" s="34">
        <f>VLOOKUP(A433,Data!A:AX,MATCH($B$2,Data!$B$1:$AX$1,0),FALSE)</f>
        <v>1.0025350000000001E-2</v>
      </c>
      <c r="C433" s="35">
        <f t="shared" si="26"/>
        <v>3.7364835563495014E-2</v>
      </c>
      <c r="D433" s="35">
        <f t="shared" si="23"/>
        <v>0.55302435707369768</v>
      </c>
      <c r="E433" s="35">
        <f>(Table143454[[#This Row],[USA]]-B421)/B421</f>
        <v>0.3473531113833051</v>
      </c>
      <c r="F433" s="34">
        <f>VLOOKUP(Table143454[[#This Row],[Date]],'Data Core CPI'!$A:$AX,MATCH($B$2,'Data Core CPI'!$B$1:$AX$1,0),FALSE)</f>
        <v>0</v>
      </c>
      <c r="G433" s="35" t="e">
        <f t="shared" si="24"/>
        <v>#DIV/0!</v>
      </c>
      <c r="H433" s="35" t="e">
        <f t="shared" si="25"/>
        <v>#DIV/0!</v>
      </c>
      <c r="I433" s="35" t="e">
        <f>(Table143454[[#This Row],[Core CPI]]-F421)/F421</f>
        <v>#DIV/0!</v>
      </c>
    </row>
    <row r="434" spans="1:9" x14ac:dyDescent="0.35">
      <c r="A434" s="33">
        <f>IF(Data!A461="",#N/A,Data!A461)</f>
        <v>31868</v>
      </c>
      <c r="B434" s="34">
        <f>VLOOKUP(A434,Data!A:AX,MATCH($B$2,Data!$B$1:$AX$1,0),FALSE)</f>
        <v>1.0235350000000001E-2</v>
      </c>
      <c r="C434" s="35">
        <f t="shared" si="26"/>
        <v>2.0946899609489922E-2</v>
      </c>
      <c r="D434" s="35">
        <f t="shared" si="23"/>
        <v>0.28244236226022101</v>
      </c>
      <c r="E434" s="35">
        <f>(Table143454[[#This Row],[USA]]-B422)/B422</f>
        <v>0.37038765180356803</v>
      </c>
      <c r="F434" s="34">
        <f>VLOOKUP(Table143454[[#This Row],[Date]],'Data Core CPI'!$A:$AX,MATCH($B$2,'Data Core CPI'!$B$1:$AX$1,0),FALSE)</f>
        <v>0</v>
      </c>
      <c r="G434" s="35" t="e">
        <f t="shared" si="24"/>
        <v>#DIV/0!</v>
      </c>
      <c r="H434" s="35" t="e">
        <f t="shared" si="25"/>
        <v>#DIV/0!</v>
      </c>
      <c r="I434" s="35" t="e">
        <f>(Table143454[[#This Row],[Core CPI]]-F422)/F422</f>
        <v>#DIV/0!</v>
      </c>
    </row>
    <row r="435" spans="1:9" x14ac:dyDescent="0.35">
      <c r="A435" s="33">
        <f>IF(Data!A462="",#N/A,Data!A462)</f>
        <v>31898</v>
      </c>
      <c r="B435" s="34">
        <f>VLOOKUP(A435,Data!A:AX,MATCH($B$2,Data!$B$1:$AX$1,0),FALSE)</f>
        <v>1.0740390000000001E-2</v>
      </c>
      <c r="C435" s="35">
        <f t="shared" si="26"/>
        <v>4.934271910584398E-2</v>
      </c>
      <c r="D435" s="35">
        <f t="shared" si="23"/>
        <v>0.78241259365213578</v>
      </c>
      <c r="E435" s="35">
        <f>(Table143454[[#This Row],[USA]]-B423)/B423</f>
        <v>0.41119918011516504</v>
      </c>
      <c r="F435" s="34">
        <f>VLOOKUP(Table143454[[#This Row],[Date]],'Data Core CPI'!$A:$AX,MATCH($B$2,'Data Core CPI'!$B$1:$AX$1,0),FALSE)</f>
        <v>0</v>
      </c>
      <c r="G435" s="35" t="e">
        <f t="shared" si="24"/>
        <v>#DIV/0!</v>
      </c>
      <c r="H435" s="35" t="e">
        <f t="shared" si="25"/>
        <v>#DIV/0!</v>
      </c>
      <c r="I435" s="35" t="e">
        <f>(Table143454[[#This Row],[Core CPI]]-F423)/F423</f>
        <v>#DIV/0!</v>
      </c>
    </row>
    <row r="436" spans="1:9" x14ac:dyDescent="0.35">
      <c r="A436" s="33">
        <f>IF(Data!A463="",#N/A,Data!A463)</f>
        <v>31929</v>
      </c>
      <c r="B436" s="34">
        <f>VLOOKUP(A436,Data!A:AX,MATCH($B$2,Data!$B$1:$AX$1,0),FALSE)</f>
        <v>1.072912E-2</v>
      </c>
      <c r="C436" s="35">
        <f t="shared" si="26"/>
        <v>-1.0493101274721139E-3</v>
      </c>
      <c r="D436" s="35">
        <f t="shared" si="23"/>
        <v>-1.2519305691340965E-2</v>
      </c>
      <c r="E436" s="35">
        <f>(Table143454[[#This Row],[USA]]-B424)/B424</f>
        <v>0.37682436170358846</v>
      </c>
      <c r="F436" s="34">
        <f>VLOOKUP(Table143454[[#This Row],[Date]],'Data Core CPI'!$A:$AX,MATCH($B$2,'Data Core CPI'!$B$1:$AX$1,0),FALSE)</f>
        <v>0</v>
      </c>
      <c r="G436" s="35" t="e">
        <f t="shared" si="24"/>
        <v>#DIV/0!</v>
      </c>
      <c r="H436" s="35" t="e">
        <f t="shared" si="25"/>
        <v>#DIV/0!</v>
      </c>
      <c r="I436" s="35" t="e">
        <f>(Table143454[[#This Row],[Core CPI]]-F424)/F424</f>
        <v>#DIV/0!</v>
      </c>
    </row>
    <row r="437" spans="1:9" x14ac:dyDescent="0.35">
      <c r="A437" s="33">
        <f>IF(Data!A464="",#N/A,Data!A464)</f>
        <v>31959</v>
      </c>
      <c r="B437" s="34">
        <f>VLOOKUP(A437,Data!A:AX,MATCH($B$2,Data!$B$1:$AX$1,0),FALSE)</f>
        <v>1.093451E-2</v>
      </c>
      <c r="C437" s="35">
        <f t="shared" si="26"/>
        <v>1.9143228894820785E-2</v>
      </c>
      <c r="D437" s="35">
        <f t="shared" si="23"/>
        <v>0.25551724088442374</v>
      </c>
      <c r="E437" s="35">
        <f>(Table143454[[#This Row],[USA]]-B425)/B425</f>
        <v>0.37737910862509744</v>
      </c>
      <c r="F437" s="34">
        <f>VLOOKUP(Table143454[[#This Row],[Date]],'Data Core CPI'!$A:$AX,MATCH($B$2,'Data Core CPI'!$B$1:$AX$1,0),FALSE)</f>
        <v>0</v>
      </c>
      <c r="G437" s="35" t="e">
        <f t="shared" si="24"/>
        <v>#DIV/0!</v>
      </c>
      <c r="H437" s="35" t="e">
        <f t="shared" si="25"/>
        <v>#DIV/0!</v>
      </c>
      <c r="I437" s="35" t="e">
        <f>(Table143454[[#This Row],[Core CPI]]-F425)/F425</f>
        <v>#DIV/0!</v>
      </c>
    </row>
    <row r="438" spans="1:9" x14ac:dyDescent="0.35">
      <c r="A438" s="33">
        <f>IF(Data!A465="",#N/A,Data!A465)</f>
        <v>31990</v>
      </c>
      <c r="B438" s="34">
        <f>VLOOKUP(A438,Data!A:AX,MATCH($B$2,Data!$B$1:$AX$1,0),FALSE)</f>
        <v>1.112198E-2</v>
      </c>
      <c r="C438" s="35">
        <f t="shared" si="26"/>
        <v>1.7144801184506786E-2</v>
      </c>
      <c r="D438" s="35">
        <f t="shared" si="23"/>
        <v>0.2262906138595977</v>
      </c>
      <c r="E438" s="35">
        <f>(Table143454[[#This Row],[USA]]-B426)/B426</f>
        <v>0.38889627753399425</v>
      </c>
      <c r="F438" s="34">
        <f>VLOOKUP(Table143454[[#This Row],[Date]],'Data Core CPI'!$A:$AX,MATCH($B$2,'Data Core CPI'!$B$1:$AX$1,0),FALSE)</f>
        <v>0</v>
      </c>
      <c r="G438" s="35" t="e">
        <f t="shared" si="24"/>
        <v>#DIV/0!</v>
      </c>
      <c r="H438" s="35" t="e">
        <f t="shared" si="25"/>
        <v>#DIV/0!</v>
      </c>
      <c r="I438" s="35" t="e">
        <f>(Table143454[[#This Row],[Core CPI]]-F426)/F426</f>
        <v>#DIV/0!</v>
      </c>
    </row>
    <row r="439" spans="1:9" x14ac:dyDescent="0.35">
      <c r="A439" s="33">
        <f>IF(Data!A466="",#N/A,Data!A466)</f>
        <v>32021</v>
      </c>
      <c r="B439" s="34">
        <f>VLOOKUP(A439,Data!A:AX,MATCH($B$2,Data!$B$1:$AX$1,0),FALSE)</f>
        <v>1.1447229999999999E-2</v>
      </c>
      <c r="C439" s="35">
        <f t="shared" si="26"/>
        <v>2.9243893623257744E-2</v>
      </c>
      <c r="D439" s="35">
        <f t="shared" si="23"/>
        <v>0.413251934933343</v>
      </c>
      <c r="E439" s="35">
        <f>(Table143454[[#This Row],[USA]]-B427)/B427</f>
        <v>0.39733709301864278</v>
      </c>
      <c r="F439" s="34">
        <f>VLOOKUP(Table143454[[#This Row],[Date]],'Data Core CPI'!$A:$AX,MATCH($B$2,'Data Core CPI'!$B$1:$AX$1,0),FALSE)</f>
        <v>0</v>
      </c>
      <c r="G439" s="35" t="e">
        <f t="shared" si="24"/>
        <v>#DIV/0!</v>
      </c>
      <c r="H439" s="35" t="e">
        <f t="shared" si="25"/>
        <v>#DIV/0!</v>
      </c>
      <c r="I439" s="35" t="e">
        <f>(Table143454[[#This Row],[Core CPI]]-F427)/F427</f>
        <v>#DIV/0!</v>
      </c>
    </row>
    <row r="440" spans="1:9" x14ac:dyDescent="0.35">
      <c r="A440" s="33">
        <f>IF(Data!A467="",#N/A,Data!A467)</f>
        <v>32051</v>
      </c>
      <c r="B440" s="34">
        <f>VLOOKUP(A440,Data!A:AX,MATCH($B$2,Data!$B$1:$AX$1,0),FALSE)</f>
        <v>1.199682E-2</v>
      </c>
      <c r="C440" s="35">
        <f t="shared" si="26"/>
        <v>4.8010741463218709E-2</v>
      </c>
      <c r="D440" s="35">
        <f t="shared" si="23"/>
        <v>0.7554513862843264</v>
      </c>
      <c r="E440" s="35">
        <f>(Table143454[[#This Row],[USA]]-B428)/B428</f>
        <v>0.3642823985256386</v>
      </c>
      <c r="F440" s="34">
        <f>VLOOKUP(Table143454[[#This Row],[Date]],'Data Core CPI'!$A:$AX,MATCH($B$2,'Data Core CPI'!$B$1:$AX$1,0),FALSE)</f>
        <v>0</v>
      </c>
      <c r="G440" s="35" t="e">
        <f t="shared" si="24"/>
        <v>#DIV/0!</v>
      </c>
      <c r="H440" s="35" t="e">
        <f t="shared" si="25"/>
        <v>#DIV/0!</v>
      </c>
      <c r="I440" s="35" t="e">
        <f>(Table143454[[#This Row],[Core CPI]]-F428)/F428</f>
        <v>#DIV/0!</v>
      </c>
    </row>
    <row r="441" spans="1:9" x14ac:dyDescent="0.35">
      <c r="A441" s="33">
        <f>IF(Data!A468="",#N/A,Data!A468)</f>
        <v>32082</v>
      </c>
      <c r="B441" s="34">
        <f>VLOOKUP(A441,Data!A:AX,MATCH($B$2,Data!$B$1:$AX$1,0),FALSE)</f>
        <v>1.2746169999999999E-2</v>
      </c>
      <c r="C441" s="35">
        <f t="shared" si="26"/>
        <v>6.2462385865587722E-2</v>
      </c>
      <c r="D441" s="35">
        <f t="shared" si="23"/>
        <v>1.0690108354947045</v>
      </c>
      <c r="E441" s="35">
        <f>(Table143454[[#This Row],[USA]]-B429)/B429</f>
        <v>0.41722167103839503</v>
      </c>
      <c r="F441" s="34">
        <f>VLOOKUP(Table143454[[#This Row],[Date]],'Data Core CPI'!$A:$AX,MATCH($B$2,'Data Core CPI'!$B$1:$AX$1,0),FALSE)</f>
        <v>0</v>
      </c>
      <c r="G441" s="35" t="e">
        <f t="shared" si="24"/>
        <v>#DIV/0!</v>
      </c>
      <c r="H441" s="35" t="e">
        <f t="shared" si="25"/>
        <v>#DIV/0!</v>
      </c>
      <c r="I441" s="35" t="e">
        <f>(Table143454[[#This Row],[Core CPI]]-F429)/F429</f>
        <v>#DIV/0!</v>
      </c>
    </row>
    <row r="442" spans="1:9" x14ac:dyDescent="0.35">
      <c r="A442" s="33">
        <f>IF(Data!A469="",#N/A,Data!A469)</f>
        <v>32112</v>
      </c>
      <c r="B442" s="34">
        <f>VLOOKUP(A442,Data!A:AX,MATCH($B$2,Data!$B$1:$AX$1,0),FALSE)</f>
        <v>1.4173679999999999E-2</v>
      </c>
      <c r="C442" s="35">
        <f t="shared" si="26"/>
        <v>0.11199521111047472</v>
      </c>
      <c r="D442" s="35">
        <f t="shared" si="23"/>
        <v>2.5746621606586979</v>
      </c>
      <c r="E442" s="35">
        <f>(Table143454[[#This Row],[USA]]-B430)/B430</f>
        <v>0.55051235668321585</v>
      </c>
      <c r="F442" s="34">
        <f>VLOOKUP(Table143454[[#This Row],[Date]],'Data Core CPI'!$A:$AX,MATCH($B$2,'Data Core CPI'!$B$1:$AX$1,0),FALSE)</f>
        <v>0</v>
      </c>
      <c r="G442" s="35" t="e">
        <f t="shared" si="24"/>
        <v>#DIV/0!</v>
      </c>
      <c r="H442" s="35" t="e">
        <f t="shared" si="25"/>
        <v>#DIV/0!</v>
      </c>
      <c r="I442" s="35" t="e">
        <f>(Table143454[[#This Row],[Core CPI]]-F430)/F430</f>
        <v>#DIV/0!</v>
      </c>
    </row>
    <row r="443" spans="1:9" x14ac:dyDescent="0.35">
      <c r="A443" s="33">
        <f>IF(Data!A470="",#N/A,Data!A470)</f>
        <v>32143</v>
      </c>
      <c r="B443" s="34">
        <f>VLOOKUP(A443,Data!A:AX,MATCH($B$2,Data!$B$1:$AX$1,0),FALSE)</f>
        <v>1.502189E-2</v>
      </c>
      <c r="C443" s="35">
        <f t="shared" si="26"/>
        <v>5.9844020748316629E-2</v>
      </c>
      <c r="D443" s="35">
        <f t="shared" ref="D443:D506" si="27">((1+C443)^12)-1</f>
        <v>1.0086462038138007</v>
      </c>
      <c r="E443" s="35">
        <f>(Table143454[[#This Row],[USA]]-B431)/B431</f>
        <v>0.59634222206258436</v>
      </c>
      <c r="F443" s="34">
        <f>VLOOKUP(Table143454[[#This Row],[Date]],'Data Core CPI'!$A:$AX,MATCH($B$2,'Data Core CPI'!$B$1:$AX$1,0),FALSE)</f>
        <v>0</v>
      </c>
      <c r="G443" s="35" t="e">
        <f t="shared" si="24"/>
        <v>#DIV/0!</v>
      </c>
      <c r="H443" s="35" t="e">
        <f t="shared" si="25"/>
        <v>#DIV/0!</v>
      </c>
      <c r="I443" s="35" t="e">
        <f>(Table143454[[#This Row],[Core CPI]]-F431)/F431</f>
        <v>#DIV/0!</v>
      </c>
    </row>
    <row r="444" spans="1:9" x14ac:dyDescent="0.35">
      <c r="A444" s="33">
        <f>IF(Data!A471="",#N/A,Data!A471)</f>
        <v>32174</v>
      </c>
      <c r="B444" s="34">
        <f>VLOOKUP(A444,Data!A:AX,MATCH($B$2,Data!$B$1:$AX$1,0),FALSE)</f>
        <v>1.5583049999999999E-2</v>
      </c>
      <c r="C444" s="35">
        <f t="shared" si="26"/>
        <v>3.7356151589447162E-2</v>
      </c>
      <c r="D444" s="35">
        <f t="shared" si="27"/>
        <v>0.55286835638620113</v>
      </c>
      <c r="E444" s="35">
        <f>(Table143454[[#This Row],[USA]]-B432)/B432</f>
        <v>0.61244326640244173</v>
      </c>
      <c r="F444" s="34">
        <f>VLOOKUP(Table143454[[#This Row],[Date]],'Data Core CPI'!$A:$AX,MATCH($B$2,'Data Core CPI'!$B$1:$AX$1,0),FALSE)</f>
        <v>0</v>
      </c>
      <c r="G444" s="35" t="e">
        <f t="shared" si="24"/>
        <v>#DIV/0!</v>
      </c>
      <c r="H444" s="35" t="e">
        <f t="shared" si="25"/>
        <v>#DIV/0!</v>
      </c>
      <c r="I444" s="35" t="e">
        <f>(Table143454[[#This Row],[Core CPI]]-F432)/F432</f>
        <v>#DIV/0!</v>
      </c>
    </row>
    <row r="445" spans="1:9" x14ac:dyDescent="0.35">
      <c r="A445" s="33">
        <f>IF(Data!A472="",#N/A,Data!A472)</f>
        <v>32203</v>
      </c>
      <c r="B445" s="34">
        <f>VLOOKUP(A445,Data!A:AX,MATCH($B$2,Data!$B$1:$AX$1,0),FALSE)</f>
        <v>1.644638E-2</v>
      </c>
      <c r="C445" s="35">
        <f t="shared" si="26"/>
        <v>5.5401862921571787E-2</v>
      </c>
      <c r="D445" s="35">
        <f t="shared" si="27"/>
        <v>0.90991604472822019</v>
      </c>
      <c r="E445" s="35">
        <f>(Table143454[[#This Row],[USA]]-B433)/B433</f>
        <v>0.64047938475963428</v>
      </c>
      <c r="F445" s="34">
        <f>VLOOKUP(Table143454[[#This Row],[Date]],'Data Core CPI'!$A:$AX,MATCH($B$2,'Data Core CPI'!$B$1:$AX$1,0),FALSE)</f>
        <v>0</v>
      </c>
      <c r="G445" s="35" t="e">
        <f t="shared" si="24"/>
        <v>#DIV/0!</v>
      </c>
      <c r="H445" s="35" t="e">
        <f t="shared" si="25"/>
        <v>#DIV/0!</v>
      </c>
      <c r="I445" s="35" t="e">
        <f>(Table143454[[#This Row],[Core CPI]]-F433)/F433</f>
        <v>#DIV/0!</v>
      </c>
    </row>
    <row r="446" spans="1:9" x14ac:dyDescent="0.35">
      <c r="A446" s="33">
        <f>IF(Data!A473="",#N/A,Data!A473)</f>
        <v>32234</v>
      </c>
      <c r="B446" s="34">
        <f>VLOOKUP(A446,Data!A:AX,MATCH($B$2,Data!$B$1:$AX$1,0),FALSE)</f>
        <v>1.747158E-2</v>
      </c>
      <c r="C446" s="35">
        <f t="shared" si="26"/>
        <v>6.2335906138615282E-2</v>
      </c>
      <c r="D446" s="35">
        <f t="shared" si="27"/>
        <v>1.0660571310547695</v>
      </c>
      <c r="E446" s="35">
        <f>(Table143454[[#This Row],[USA]]-B434)/B434</f>
        <v>0.70698412853493031</v>
      </c>
      <c r="F446" s="34">
        <f>VLOOKUP(Table143454[[#This Row],[Date]],'Data Core CPI'!$A:$AX,MATCH($B$2,'Data Core CPI'!$B$1:$AX$1,0),FALSE)</f>
        <v>0</v>
      </c>
      <c r="G446" s="35" t="e">
        <f t="shared" si="24"/>
        <v>#DIV/0!</v>
      </c>
      <c r="H446" s="35" t="e">
        <f t="shared" si="25"/>
        <v>#DIV/0!</v>
      </c>
      <c r="I446" s="35" t="e">
        <f>(Table143454[[#This Row],[Core CPI]]-F434)/F434</f>
        <v>#DIV/0!</v>
      </c>
    </row>
    <row r="447" spans="1:9" x14ac:dyDescent="0.35">
      <c r="A447" s="33">
        <f>IF(Data!A474="",#N/A,Data!A474)</f>
        <v>32264</v>
      </c>
      <c r="B447" s="34">
        <f>VLOOKUP(A447,Data!A:AX,MATCH($B$2,Data!$B$1:$AX$1,0),FALSE)</f>
        <v>1.8075910000000001E-2</v>
      </c>
      <c r="C447" s="35">
        <f t="shared" si="26"/>
        <v>3.4589315906174534E-2</v>
      </c>
      <c r="D447" s="35">
        <f t="shared" si="27"/>
        <v>0.50388930280952127</v>
      </c>
      <c r="E447" s="35">
        <f>(Table143454[[#This Row],[USA]]-B435)/B435</f>
        <v>0.68298450987347759</v>
      </c>
      <c r="F447" s="34">
        <f>VLOOKUP(Table143454[[#This Row],[Date]],'Data Core CPI'!$A:$AX,MATCH($B$2,'Data Core CPI'!$B$1:$AX$1,0),FALSE)</f>
        <v>0</v>
      </c>
      <c r="G447" s="35" t="e">
        <f t="shared" si="24"/>
        <v>#DIV/0!</v>
      </c>
      <c r="H447" s="35" t="e">
        <f t="shared" si="25"/>
        <v>#DIV/0!</v>
      </c>
      <c r="I447" s="35" t="e">
        <f>(Table143454[[#This Row],[Core CPI]]-F435)/F435</f>
        <v>#DIV/0!</v>
      </c>
    </row>
    <row r="448" spans="1:9" x14ac:dyDescent="0.35">
      <c r="A448" s="33">
        <f>IF(Data!A475="",#N/A,Data!A475)</f>
        <v>32295</v>
      </c>
      <c r="B448" s="34">
        <f>VLOOKUP(A448,Data!A:AX,MATCH($B$2,Data!$B$1:$AX$1,0),FALSE)</f>
        <v>1.8237779999999999E-2</v>
      </c>
      <c r="C448" s="35">
        <f t="shared" si="26"/>
        <v>8.9550125000621428E-3</v>
      </c>
      <c r="D448" s="35">
        <f t="shared" si="27"/>
        <v>0.11291405473080052</v>
      </c>
      <c r="E448" s="35">
        <f>(Table143454[[#This Row],[USA]]-B436)/B436</f>
        <v>0.69983931580595604</v>
      </c>
      <c r="F448" s="34">
        <f>VLOOKUP(Table143454[[#This Row],[Date]],'Data Core CPI'!$A:$AX,MATCH($B$2,'Data Core CPI'!$B$1:$AX$1,0),FALSE)</f>
        <v>0</v>
      </c>
      <c r="G448" s="35" t="e">
        <f t="shared" si="24"/>
        <v>#DIV/0!</v>
      </c>
      <c r="H448" s="35" t="e">
        <f t="shared" si="25"/>
        <v>#DIV/0!</v>
      </c>
      <c r="I448" s="35" t="e">
        <f>(Table143454[[#This Row],[Core CPI]]-F436)/F436</f>
        <v>#DIV/0!</v>
      </c>
    </row>
    <row r="449" spans="1:9" x14ac:dyDescent="0.35">
      <c r="A449" s="33">
        <f>IF(Data!A476="",#N/A,Data!A476)</f>
        <v>32325</v>
      </c>
      <c r="B449" s="34">
        <f>VLOOKUP(A449,Data!A:AX,MATCH($B$2,Data!$B$1:$AX$1,0),FALSE)</f>
        <v>1.8529159999999999E-2</v>
      </c>
      <c r="C449" s="35">
        <f t="shared" si="26"/>
        <v>1.5976725237391909E-2</v>
      </c>
      <c r="D449" s="35">
        <f t="shared" si="27"/>
        <v>0.2094978675176804</v>
      </c>
      <c r="E449" s="35">
        <f>(Table143454[[#This Row],[USA]]-B437)/B437</f>
        <v>0.69455787227777011</v>
      </c>
      <c r="F449" s="34">
        <f>VLOOKUP(Table143454[[#This Row],[Date]],'Data Core CPI'!$A:$AX,MATCH($B$2,'Data Core CPI'!$B$1:$AX$1,0),FALSE)</f>
        <v>0</v>
      </c>
      <c r="G449" s="35" t="e">
        <f t="shared" si="24"/>
        <v>#DIV/0!</v>
      </c>
      <c r="H449" s="35" t="e">
        <f t="shared" si="25"/>
        <v>#DIV/0!</v>
      </c>
      <c r="I449" s="35" t="e">
        <f>(Table143454[[#This Row],[Core CPI]]-F437)/F437</f>
        <v>#DIV/0!</v>
      </c>
    </row>
    <row r="450" spans="1:9" x14ac:dyDescent="0.35">
      <c r="A450" s="33">
        <f>IF(Data!A477="",#N/A,Data!A477)</f>
        <v>32356</v>
      </c>
      <c r="B450" s="34">
        <f>VLOOKUP(A450,Data!A:AX,MATCH($B$2,Data!$B$1:$AX$1,0),FALSE)</f>
        <v>1.897161E-2</v>
      </c>
      <c r="C450" s="35">
        <f t="shared" si="26"/>
        <v>2.3878578413700335E-2</v>
      </c>
      <c r="D450" s="35">
        <f t="shared" si="27"/>
        <v>0.32733785802327375</v>
      </c>
      <c r="E450" s="35">
        <f>(Table143454[[#This Row],[USA]]-B438)/B438</f>
        <v>0.70577630961393567</v>
      </c>
      <c r="F450" s="34">
        <f>VLOOKUP(Table143454[[#This Row],[Date]],'Data Core CPI'!$A:$AX,MATCH($B$2,'Data Core CPI'!$B$1:$AX$1,0),FALSE)</f>
        <v>0</v>
      </c>
      <c r="G450" s="35" t="e">
        <f t="shared" si="24"/>
        <v>#DIV/0!</v>
      </c>
      <c r="H450" s="35" t="e">
        <f t="shared" si="25"/>
        <v>#DIV/0!</v>
      </c>
      <c r="I450" s="35" t="e">
        <f>(Table143454[[#This Row],[Core CPI]]-F438)/F438</f>
        <v>#DIV/0!</v>
      </c>
    </row>
    <row r="451" spans="1:9" x14ac:dyDescent="0.35">
      <c r="A451" s="33">
        <f>IF(Data!A478="",#N/A,Data!A478)</f>
        <v>32387</v>
      </c>
      <c r="B451" s="34">
        <f>VLOOKUP(A451,Data!A:AX,MATCH($B$2,Data!$B$1:$AX$1,0),FALSE)</f>
        <v>2.0093940000000001E-2</v>
      </c>
      <c r="C451" s="35">
        <f t="shared" si="26"/>
        <v>5.9158395096673422E-2</v>
      </c>
      <c r="D451" s="35">
        <f t="shared" si="27"/>
        <v>0.99310856021993632</v>
      </c>
      <c r="E451" s="35">
        <f>(Table143454[[#This Row],[USA]]-B439)/B439</f>
        <v>0.75535391531401064</v>
      </c>
      <c r="F451" s="34">
        <f>VLOOKUP(Table143454[[#This Row],[Date]],'Data Core CPI'!$A:$AX,MATCH($B$2,'Data Core CPI'!$B$1:$AX$1,0),FALSE)</f>
        <v>0</v>
      </c>
      <c r="G451" s="35" t="e">
        <f t="shared" ref="G451:G514" si="28">(F451/F450)-1</f>
        <v>#DIV/0!</v>
      </c>
      <c r="H451" s="35" t="e">
        <f t="shared" ref="H451:H514" si="29">((1+G451)^12)-1</f>
        <v>#DIV/0!</v>
      </c>
      <c r="I451" s="35" t="e">
        <f>(Table143454[[#This Row],[Core CPI]]-F439)/F439</f>
        <v>#DIV/0!</v>
      </c>
    </row>
    <row r="452" spans="1:9" x14ac:dyDescent="0.35">
      <c r="A452" s="33">
        <f>IF(Data!A479="",#N/A,Data!A479)</f>
        <v>32417</v>
      </c>
      <c r="B452" s="34">
        <f>VLOOKUP(A452,Data!A:AX,MATCH($B$2,Data!$B$1:$AX$1,0),FALSE)</f>
        <v>2.1216260000000001E-2</v>
      </c>
      <c r="C452" s="35">
        <f t="shared" ref="C452:C515" si="30">(B452/B451)-1</f>
        <v>5.5853655380676992E-2</v>
      </c>
      <c r="D452" s="35">
        <f t="shared" si="27"/>
        <v>0.91975025321292092</v>
      </c>
      <c r="E452" s="35">
        <f>(Table143454[[#This Row],[USA]]-B440)/B440</f>
        <v>0.76849031660056588</v>
      </c>
      <c r="F452" s="34">
        <f>VLOOKUP(Table143454[[#This Row],[Date]],'Data Core CPI'!$A:$AX,MATCH($B$2,'Data Core CPI'!$B$1:$AX$1,0),FALSE)</f>
        <v>0</v>
      </c>
      <c r="G452" s="35" t="e">
        <f t="shared" si="28"/>
        <v>#DIV/0!</v>
      </c>
      <c r="H452" s="35" t="e">
        <f t="shared" si="29"/>
        <v>#DIV/0!</v>
      </c>
      <c r="I452" s="35" t="e">
        <f>(Table143454[[#This Row],[Core CPI]]-F440)/F440</f>
        <v>#DIV/0!</v>
      </c>
    </row>
    <row r="453" spans="1:9" x14ac:dyDescent="0.35">
      <c r="A453" s="33">
        <f>IF(Data!A480="",#N/A,Data!A480)</f>
        <v>32448</v>
      </c>
      <c r="B453" s="34">
        <f>VLOOKUP(A453,Data!A:AX,MATCH($B$2,Data!$B$1:$AX$1,0),FALSE)</f>
        <v>2.2349379999999999E-2</v>
      </c>
      <c r="C453" s="35">
        <f t="shared" si="30"/>
        <v>5.3408093603679374E-2</v>
      </c>
      <c r="D453" s="35">
        <f t="shared" si="27"/>
        <v>0.86706660019229398</v>
      </c>
      <c r="E453" s="35">
        <f>(Table143454[[#This Row],[USA]]-B441)/B441</f>
        <v>0.75341926241372892</v>
      </c>
      <c r="F453" s="34">
        <f>VLOOKUP(Table143454[[#This Row],[Date]],'Data Core CPI'!$A:$AX,MATCH($B$2,'Data Core CPI'!$B$1:$AX$1,0),FALSE)</f>
        <v>0</v>
      </c>
      <c r="G453" s="35" t="e">
        <f t="shared" si="28"/>
        <v>#DIV/0!</v>
      </c>
      <c r="H453" s="35" t="e">
        <f t="shared" si="29"/>
        <v>#DIV/0!</v>
      </c>
      <c r="I453" s="35" t="e">
        <f>(Table143454[[#This Row],[Core CPI]]-F441)/F441</f>
        <v>#DIV/0!</v>
      </c>
    </row>
    <row r="454" spans="1:9" x14ac:dyDescent="0.35">
      <c r="A454" s="33">
        <f>IF(Data!A481="",#N/A,Data!A481)</f>
        <v>32478</v>
      </c>
      <c r="B454" s="34">
        <f>VLOOKUP(A454,Data!A:AX,MATCH($B$2,Data!$B$1:$AX$1,0),FALSE)</f>
        <v>2.289975E-2</v>
      </c>
      <c r="C454" s="35">
        <f t="shared" si="30"/>
        <v>2.4625739058533158E-2</v>
      </c>
      <c r="D454" s="35">
        <f t="shared" si="27"/>
        <v>0.33900789040182211</v>
      </c>
      <c r="E454" s="35">
        <f>(Table143454[[#This Row],[USA]]-B442)/B442</f>
        <v>0.61565309785461508</v>
      </c>
      <c r="F454" s="34">
        <f>VLOOKUP(Table143454[[#This Row],[Date]],'Data Core CPI'!$A:$AX,MATCH($B$2,'Data Core CPI'!$B$1:$AX$1,0),FALSE)</f>
        <v>0</v>
      </c>
      <c r="G454" s="35" t="e">
        <f t="shared" si="28"/>
        <v>#DIV/0!</v>
      </c>
      <c r="H454" s="35" t="e">
        <f t="shared" si="29"/>
        <v>#DIV/0!</v>
      </c>
      <c r="I454" s="35" t="e">
        <f>(Table143454[[#This Row],[Core CPI]]-F442)/F442</f>
        <v>#DIV/0!</v>
      </c>
    </row>
    <row r="455" spans="1:9" x14ac:dyDescent="0.35">
      <c r="A455" s="33">
        <f>IF(Data!A482="",#N/A,Data!A482)</f>
        <v>32509</v>
      </c>
      <c r="B455" s="34">
        <f>VLOOKUP(A455,Data!A:AX,MATCH($B$2,Data!$B$1:$AX$1,0),FALSE)</f>
        <v>2.4410569999999999E-2</v>
      </c>
      <c r="C455" s="35">
        <f t="shared" si="30"/>
        <v>6.597539274446218E-2</v>
      </c>
      <c r="D455" s="35">
        <f t="shared" si="27"/>
        <v>1.1526139642322932</v>
      </c>
      <c r="E455" s="35">
        <f>(Table143454[[#This Row],[USA]]-B443)/B443</f>
        <v>0.62499991678810063</v>
      </c>
      <c r="F455" s="34">
        <f>VLOOKUP(Table143454[[#This Row],[Date]],'Data Core CPI'!$A:$AX,MATCH($B$2,'Data Core CPI'!$B$1:$AX$1,0),FALSE)</f>
        <v>0</v>
      </c>
      <c r="G455" s="35" t="e">
        <f t="shared" si="28"/>
        <v>#DIV/0!</v>
      </c>
      <c r="H455" s="35" t="e">
        <f t="shared" si="29"/>
        <v>#DIV/0!</v>
      </c>
      <c r="I455" s="35" t="e">
        <f>(Table143454[[#This Row],[Core CPI]]-F443)/F443</f>
        <v>#DIV/0!</v>
      </c>
    </row>
    <row r="456" spans="1:9" x14ac:dyDescent="0.35">
      <c r="A456" s="33">
        <f>IF(Data!A483="",#N/A,Data!A483)</f>
        <v>32540</v>
      </c>
      <c r="B456" s="34">
        <f>VLOOKUP(A456,Data!A:AX,MATCH($B$2,Data!$B$1:$AX$1,0),FALSE)</f>
        <v>2.5576060000000001E-2</v>
      </c>
      <c r="C456" s="35">
        <f t="shared" si="30"/>
        <v>4.7745300498923227E-2</v>
      </c>
      <c r="D456" s="35">
        <f t="shared" si="27"/>
        <v>0.75012334767128963</v>
      </c>
      <c r="E456" s="35">
        <f>(Table143454[[#This Row],[USA]]-B444)/B444</f>
        <v>0.64127433333012485</v>
      </c>
      <c r="F456" s="34">
        <f>VLOOKUP(Table143454[[#This Row],[Date]],'Data Core CPI'!$A:$AX,MATCH($B$2,'Data Core CPI'!$B$1:$AX$1,0),FALSE)</f>
        <v>0</v>
      </c>
      <c r="G456" s="35" t="e">
        <f t="shared" si="28"/>
        <v>#DIV/0!</v>
      </c>
      <c r="H456" s="35" t="e">
        <f t="shared" si="29"/>
        <v>#DIV/0!</v>
      </c>
      <c r="I456" s="35" t="e">
        <f>(Table143454[[#This Row],[Core CPI]]-F444)/F444</f>
        <v>#DIV/0!</v>
      </c>
    </row>
    <row r="457" spans="1:9" x14ac:dyDescent="0.35">
      <c r="A457" s="33">
        <f>IF(Data!A484="",#N/A,Data!A484)</f>
        <v>32568</v>
      </c>
      <c r="B457" s="34">
        <f>VLOOKUP(A457,Data!A:AX,MATCH($B$2,Data!$B$1:$AX$1,0),FALSE)</f>
        <v>2.6353060000000001E-2</v>
      </c>
      <c r="C457" s="35">
        <f t="shared" si="30"/>
        <v>3.0379972521177967E-2</v>
      </c>
      <c r="D457" s="35">
        <f t="shared" si="27"/>
        <v>0.43208535882032262</v>
      </c>
      <c r="E457" s="35">
        <f>(Table143454[[#This Row],[USA]]-B445)/B445</f>
        <v>0.60236234356739904</v>
      </c>
      <c r="F457" s="34">
        <f>VLOOKUP(Table143454[[#This Row],[Date]],'Data Core CPI'!$A:$AX,MATCH($B$2,'Data Core CPI'!$B$1:$AX$1,0),FALSE)</f>
        <v>0</v>
      </c>
      <c r="G457" s="35" t="e">
        <f t="shared" si="28"/>
        <v>#DIV/0!</v>
      </c>
      <c r="H457" s="35" t="e">
        <f t="shared" si="29"/>
        <v>#DIV/0!</v>
      </c>
      <c r="I457" s="35" t="e">
        <f>(Table143454[[#This Row],[Core CPI]]-F445)/F445</f>
        <v>#DIV/0!</v>
      </c>
    </row>
    <row r="458" spans="1:9" x14ac:dyDescent="0.35">
      <c r="A458" s="33">
        <f>IF(Data!A485="",#N/A,Data!A485)</f>
        <v>32599</v>
      </c>
      <c r="B458" s="34">
        <f>VLOOKUP(A458,Data!A:AX,MATCH($B$2,Data!$B$1:$AX$1,0),FALSE)</f>
        <v>2.7993380000000002E-2</v>
      </c>
      <c r="C458" s="35">
        <f t="shared" si="30"/>
        <v>6.2244005060512864E-2</v>
      </c>
      <c r="D458" s="35">
        <f t="shared" si="27"/>
        <v>1.063913373377106</v>
      </c>
      <c r="E458" s="35">
        <f>(Table143454[[#This Row],[USA]]-B446)/B446</f>
        <v>0.60222372561611492</v>
      </c>
      <c r="F458" s="34">
        <f>VLOOKUP(Table143454[[#This Row],[Date]],'Data Core CPI'!$A:$AX,MATCH($B$2,'Data Core CPI'!$B$1:$AX$1,0),FALSE)</f>
        <v>0</v>
      </c>
      <c r="G458" s="35" t="e">
        <f t="shared" si="28"/>
        <v>#DIV/0!</v>
      </c>
      <c r="H458" s="35" t="e">
        <f t="shared" si="29"/>
        <v>#DIV/0!</v>
      </c>
      <c r="I458" s="35" t="e">
        <f>(Table143454[[#This Row],[Core CPI]]-F446)/F446</f>
        <v>#DIV/0!</v>
      </c>
    </row>
    <row r="459" spans="1:9" x14ac:dyDescent="0.35">
      <c r="A459" s="33">
        <f>IF(Data!A486="",#N/A,Data!A486)</f>
        <v>32629</v>
      </c>
      <c r="B459" s="34">
        <f>VLOOKUP(A459,Data!A:AX,MATCH($B$2,Data!$B$1:$AX$1,0),FALSE)</f>
        <v>2.8845920000000001E-2</v>
      </c>
      <c r="C459" s="35">
        <f t="shared" si="30"/>
        <v>3.0455057588615553E-2</v>
      </c>
      <c r="D459" s="35">
        <f t="shared" si="27"/>
        <v>0.43333815490156824</v>
      </c>
      <c r="E459" s="35">
        <f>(Table143454[[#This Row],[USA]]-B447)/B447</f>
        <v>0.59582117857413541</v>
      </c>
      <c r="F459" s="34">
        <f>VLOOKUP(Table143454[[#This Row],[Date]],'Data Core CPI'!$A:$AX,MATCH($B$2,'Data Core CPI'!$B$1:$AX$1,0),FALSE)</f>
        <v>0</v>
      </c>
      <c r="G459" s="35" t="e">
        <f t="shared" si="28"/>
        <v>#DIV/0!</v>
      </c>
      <c r="H459" s="35" t="e">
        <f t="shared" si="29"/>
        <v>#DIV/0!</v>
      </c>
      <c r="I459" s="35" t="e">
        <f>(Table143454[[#This Row],[Core CPI]]-F447)/F447</f>
        <v>#DIV/0!</v>
      </c>
    </row>
    <row r="460" spans="1:9" x14ac:dyDescent="0.35">
      <c r="A460" s="33">
        <f>IF(Data!A487="",#N/A,Data!A487)</f>
        <v>32660</v>
      </c>
      <c r="B460" s="34">
        <f>VLOOKUP(A460,Data!A:AX,MATCH($B$2,Data!$B$1:$AX$1,0),FALSE)</f>
        <v>2.9450250000000001E-2</v>
      </c>
      <c r="C460" s="35">
        <f t="shared" si="30"/>
        <v>2.0950276503574949E-2</v>
      </c>
      <c r="D460" s="35">
        <f t="shared" si="27"/>
        <v>0.282493265015062</v>
      </c>
      <c r="E460" s="35">
        <f>(Table143454[[#This Row],[USA]]-B448)/B448</f>
        <v>0.61479357684981417</v>
      </c>
      <c r="F460" s="34">
        <f>VLOOKUP(Table143454[[#This Row],[Date]],'Data Core CPI'!$A:$AX,MATCH($B$2,'Data Core CPI'!$B$1:$AX$1,0),FALSE)</f>
        <v>0</v>
      </c>
      <c r="G460" s="35" t="e">
        <f t="shared" si="28"/>
        <v>#DIV/0!</v>
      </c>
      <c r="H460" s="35" t="e">
        <f t="shared" si="29"/>
        <v>#DIV/0!</v>
      </c>
      <c r="I460" s="35" t="e">
        <f>(Table143454[[#This Row],[Core CPI]]-F448)/F448</f>
        <v>#DIV/0!</v>
      </c>
    </row>
    <row r="461" spans="1:9" x14ac:dyDescent="0.35">
      <c r="A461" s="33">
        <f>IF(Data!A488="",#N/A,Data!A488)</f>
        <v>32690</v>
      </c>
      <c r="B461" s="34">
        <f>VLOOKUP(A461,Data!A:AX,MATCH($B$2,Data!$B$1:$AX$1,0),FALSE)</f>
        <v>3.034595E-2</v>
      </c>
      <c r="C461" s="35">
        <f t="shared" si="30"/>
        <v>3.0414003276712398E-2</v>
      </c>
      <c r="D461" s="35">
        <f t="shared" si="27"/>
        <v>0.43265303833768098</v>
      </c>
      <c r="E461" s="35">
        <f>(Table143454[[#This Row],[USA]]-B449)/B449</f>
        <v>0.63774018897780582</v>
      </c>
      <c r="F461" s="34">
        <f>VLOOKUP(Table143454[[#This Row],[Date]],'Data Core CPI'!$A:$AX,MATCH($B$2,'Data Core CPI'!$B$1:$AX$1,0),FALSE)</f>
        <v>0</v>
      </c>
      <c r="G461" s="35" t="e">
        <f t="shared" si="28"/>
        <v>#DIV/0!</v>
      </c>
      <c r="H461" s="35" t="e">
        <f t="shared" si="29"/>
        <v>#DIV/0!</v>
      </c>
      <c r="I461" s="35" t="e">
        <f>(Table143454[[#This Row],[Core CPI]]-F449)/F449</f>
        <v>#DIV/0!</v>
      </c>
    </row>
    <row r="462" spans="1:9" x14ac:dyDescent="0.35">
      <c r="A462" s="33">
        <f>IF(Data!A489="",#N/A,Data!A489)</f>
        <v>32721</v>
      </c>
      <c r="B462" s="34">
        <f>VLOOKUP(A462,Data!A:AX,MATCH($B$2,Data!$B$1:$AX$1,0),FALSE)</f>
        <v>3.1414320000000003E-2</v>
      </c>
      <c r="C462" s="35">
        <f t="shared" si="30"/>
        <v>3.5206345492561741E-2</v>
      </c>
      <c r="D462" s="35">
        <f t="shared" si="27"/>
        <v>0.51468772206136038</v>
      </c>
      <c r="E462" s="35">
        <f>(Table143454[[#This Row],[USA]]-B450)/B450</f>
        <v>0.65585946580179555</v>
      </c>
      <c r="F462" s="34">
        <f>VLOOKUP(Table143454[[#This Row],[Date]],'Data Core CPI'!$A:$AX,MATCH($B$2,'Data Core CPI'!$B$1:$AX$1,0),FALSE)</f>
        <v>0</v>
      </c>
      <c r="G462" s="35" t="e">
        <f t="shared" si="28"/>
        <v>#DIV/0!</v>
      </c>
      <c r="H462" s="35" t="e">
        <f t="shared" si="29"/>
        <v>#DIV/0!</v>
      </c>
      <c r="I462" s="35" t="e">
        <f>(Table143454[[#This Row],[Core CPI]]-F450)/F450</f>
        <v>#DIV/0!</v>
      </c>
    </row>
    <row r="463" spans="1:9" x14ac:dyDescent="0.35">
      <c r="A463" s="33">
        <f>IF(Data!A490="",#N/A,Data!A490)</f>
        <v>32752</v>
      </c>
      <c r="B463" s="34">
        <f>VLOOKUP(A463,Data!A:AX,MATCH($B$2,Data!$B$1:$AX$1,0),FALSE)</f>
        <v>3.3184129999999999E-2</v>
      </c>
      <c r="C463" s="35">
        <f t="shared" si="30"/>
        <v>5.6337682942046774E-2</v>
      </c>
      <c r="D463" s="35">
        <f t="shared" si="27"/>
        <v>0.93033761208677257</v>
      </c>
      <c r="E463" s="35">
        <f>(Table143454[[#This Row],[USA]]-B451)/B451</f>
        <v>0.65144964103605352</v>
      </c>
      <c r="F463" s="34">
        <f>VLOOKUP(Table143454[[#This Row],[Date]],'Data Core CPI'!$A:$AX,MATCH($B$2,'Data Core CPI'!$B$1:$AX$1,0),FALSE)</f>
        <v>0</v>
      </c>
      <c r="G463" s="35" t="e">
        <f t="shared" si="28"/>
        <v>#DIV/0!</v>
      </c>
      <c r="H463" s="35" t="e">
        <f t="shared" si="29"/>
        <v>#DIV/0!</v>
      </c>
      <c r="I463" s="35" t="e">
        <f>(Table143454[[#This Row],[Core CPI]]-F451)/F451</f>
        <v>#DIV/0!</v>
      </c>
    </row>
    <row r="464" spans="1:9" x14ac:dyDescent="0.35">
      <c r="A464" s="33">
        <f>IF(Data!A491="",#N/A,Data!A491)</f>
        <v>32782</v>
      </c>
      <c r="B464" s="34">
        <f>VLOOKUP(A464,Data!A:AX,MATCH($B$2,Data!$B$1:$AX$1,0),FALSE)</f>
        <v>3.5234540000000002E-2</v>
      </c>
      <c r="C464" s="35">
        <f t="shared" si="30"/>
        <v>6.1788873175219639E-2</v>
      </c>
      <c r="D464" s="35">
        <f t="shared" si="27"/>
        <v>1.0533266270703443</v>
      </c>
      <c r="E464" s="35">
        <f>(Table143454[[#This Row],[USA]]-B452)/B452</f>
        <v>0.66073285300990847</v>
      </c>
      <c r="F464" s="34">
        <f>VLOOKUP(Table143454[[#This Row],[Date]],'Data Core CPI'!$A:$AX,MATCH($B$2,'Data Core CPI'!$B$1:$AX$1,0),FALSE)</f>
        <v>0</v>
      </c>
      <c r="G464" s="35" t="e">
        <f t="shared" si="28"/>
        <v>#DIV/0!</v>
      </c>
      <c r="H464" s="35" t="e">
        <f t="shared" si="29"/>
        <v>#DIV/0!</v>
      </c>
      <c r="I464" s="35" t="e">
        <f>(Table143454[[#This Row],[Core CPI]]-F452)/F452</f>
        <v>#DIV/0!</v>
      </c>
    </row>
    <row r="465" spans="1:9" x14ac:dyDescent="0.35">
      <c r="A465" s="33">
        <f>IF(Data!A492="",#N/A,Data!A492)</f>
        <v>32813</v>
      </c>
      <c r="B465" s="34">
        <f>VLOOKUP(A465,Data!A:AX,MATCH($B$2,Data!$B$1:$AX$1,0),FALSE)</f>
        <v>3.6766939999999998E-2</v>
      </c>
      <c r="C465" s="35">
        <f t="shared" si="30"/>
        <v>4.349141495816311E-2</v>
      </c>
      <c r="D465" s="35">
        <f t="shared" si="27"/>
        <v>0.66673503527720168</v>
      </c>
      <c r="E465" s="35">
        <f>(Table143454[[#This Row],[USA]]-B453)/B453</f>
        <v>0.64509887970046598</v>
      </c>
      <c r="F465" s="34">
        <f>VLOOKUP(Table143454[[#This Row],[Date]],'Data Core CPI'!$A:$AX,MATCH($B$2,'Data Core CPI'!$B$1:$AX$1,0),FALSE)</f>
        <v>0</v>
      </c>
      <c r="G465" s="35" t="e">
        <f t="shared" si="28"/>
        <v>#DIV/0!</v>
      </c>
      <c r="H465" s="35" t="e">
        <f t="shared" si="29"/>
        <v>#DIV/0!</v>
      </c>
      <c r="I465" s="35" t="e">
        <f>(Table143454[[#This Row],[Core CPI]]-F453)/F453</f>
        <v>#DIV/0!</v>
      </c>
    </row>
    <row r="466" spans="1:9" x14ac:dyDescent="0.35">
      <c r="A466" s="33">
        <f>IF(Data!A493="",#N/A,Data!A493)</f>
        <v>32843</v>
      </c>
      <c r="B466" s="34">
        <f>VLOOKUP(A466,Data!A:AX,MATCH($B$2,Data!$B$1:$AX$1,0),FALSE)</f>
        <v>3.7619479999999997E-2</v>
      </c>
      <c r="C466" s="35">
        <f t="shared" si="30"/>
        <v>2.3187678931126721E-2</v>
      </c>
      <c r="D466" s="35">
        <f t="shared" si="27"/>
        <v>0.31662962126778771</v>
      </c>
      <c r="E466" s="35">
        <f>(Table143454[[#This Row],[USA]]-B454)/B454</f>
        <v>0.64278998679024868</v>
      </c>
      <c r="F466" s="34">
        <f>VLOOKUP(Table143454[[#This Row],[Date]],'Data Core CPI'!$A:$AX,MATCH($B$2,'Data Core CPI'!$B$1:$AX$1,0),FALSE)</f>
        <v>0</v>
      </c>
      <c r="G466" s="35" t="e">
        <f t="shared" si="28"/>
        <v>#DIV/0!</v>
      </c>
      <c r="H466" s="35" t="e">
        <f t="shared" si="29"/>
        <v>#DIV/0!</v>
      </c>
      <c r="I466" s="35" t="e">
        <f>(Table143454[[#This Row],[Core CPI]]-F454)/F454</f>
        <v>#DIV/0!</v>
      </c>
    </row>
    <row r="467" spans="1:9" x14ac:dyDescent="0.35">
      <c r="A467" s="33">
        <f>IF(Data!A494="",#N/A,Data!A494)</f>
        <v>32874</v>
      </c>
      <c r="B467" s="34">
        <f>VLOOKUP(A467,Data!A:AX,MATCH($B$2,Data!$B$1:$AX$1,0),FALSE)</f>
        <v>3.9065549999999997E-2</v>
      </c>
      <c r="C467" s="35">
        <f t="shared" si="30"/>
        <v>3.8439393633298513E-2</v>
      </c>
      <c r="D467" s="35">
        <f t="shared" si="27"/>
        <v>0.57243918895301737</v>
      </c>
      <c r="E467" s="35">
        <f>(Table143454[[#This Row],[USA]]-B455)/B455</f>
        <v>0.60035386310110739</v>
      </c>
      <c r="F467" s="34">
        <f>VLOOKUP(Table143454[[#This Row],[Date]],'Data Core CPI'!$A:$AX,MATCH($B$2,'Data Core CPI'!$B$1:$AX$1,0),FALSE)</f>
        <v>0</v>
      </c>
      <c r="G467" s="35" t="e">
        <f t="shared" si="28"/>
        <v>#DIV/0!</v>
      </c>
      <c r="H467" s="35" t="e">
        <f t="shared" si="29"/>
        <v>#DIV/0!</v>
      </c>
      <c r="I467" s="35" t="e">
        <f>(Table143454[[#This Row],[Core CPI]]-F455)/F455</f>
        <v>#DIV/0!</v>
      </c>
    </row>
    <row r="468" spans="1:9" x14ac:dyDescent="0.35">
      <c r="A468" s="33">
        <f>IF(Data!A495="",#N/A,Data!A495)</f>
        <v>32905</v>
      </c>
      <c r="B468" s="34">
        <f>VLOOKUP(A468,Data!A:AX,MATCH($B$2,Data!$B$1:$AX$1,0),FALSE)</f>
        <v>4.0792200000000001E-2</v>
      </c>
      <c r="C468" s="35">
        <f t="shared" si="30"/>
        <v>4.4198788958558222E-2</v>
      </c>
      <c r="D468" s="35">
        <f t="shared" si="27"/>
        <v>0.68034408773786104</v>
      </c>
      <c r="E468" s="35">
        <f>(Table143454[[#This Row],[USA]]-B456)/B456</f>
        <v>0.59493682764272526</v>
      </c>
      <c r="F468" s="34">
        <f>VLOOKUP(Table143454[[#This Row],[Date]],'Data Core CPI'!$A:$AX,MATCH($B$2,'Data Core CPI'!$B$1:$AX$1,0),FALSE)</f>
        <v>0</v>
      </c>
      <c r="G468" s="35" t="e">
        <f t="shared" si="28"/>
        <v>#DIV/0!</v>
      </c>
      <c r="H468" s="35" t="e">
        <f t="shared" si="29"/>
        <v>#DIV/0!</v>
      </c>
      <c r="I468" s="35" t="e">
        <f>(Table143454[[#This Row],[Core CPI]]-F456)/F456</f>
        <v>#DIV/0!</v>
      </c>
    </row>
    <row r="469" spans="1:9" x14ac:dyDescent="0.35">
      <c r="A469" s="33">
        <f>IF(Data!A496="",#N/A,Data!A496)</f>
        <v>32933</v>
      </c>
      <c r="B469" s="34">
        <f>VLOOKUP(A469,Data!A:AX,MATCH($B$2,Data!$B$1:$AX$1,0),FALSE)</f>
        <v>4.2907349999999997E-2</v>
      </c>
      <c r="C469" s="35">
        <f t="shared" si="30"/>
        <v>5.1851824613528885E-2</v>
      </c>
      <c r="D469" s="35">
        <f t="shared" si="27"/>
        <v>0.83423415323972128</v>
      </c>
      <c r="E469" s="35">
        <f>(Table143454[[#This Row],[USA]]-B457)/B457</f>
        <v>0.62817335064694557</v>
      </c>
      <c r="F469" s="34">
        <f>VLOOKUP(Table143454[[#This Row],[Date]],'Data Core CPI'!$A:$AX,MATCH($B$2,'Data Core CPI'!$B$1:$AX$1,0),FALSE)</f>
        <v>0</v>
      </c>
      <c r="G469" s="35" t="e">
        <f t="shared" si="28"/>
        <v>#DIV/0!</v>
      </c>
      <c r="H469" s="35" t="e">
        <f t="shared" si="29"/>
        <v>#DIV/0!</v>
      </c>
      <c r="I469" s="35" t="e">
        <f>(Table143454[[#This Row],[Core CPI]]-F457)/F457</f>
        <v>#DIV/0!</v>
      </c>
    </row>
    <row r="470" spans="1:9" x14ac:dyDescent="0.35">
      <c r="A470" s="33">
        <f>IF(Data!A497="",#N/A,Data!A497)</f>
        <v>32964</v>
      </c>
      <c r="B470" s="34">
        <f>VLOOKUP(A470,Data!A:AX,MATCH($B$2,Data!$B$1:$AX$1,0),FALSE)</f>
        <v>4.5756329999999998E-2</v>
      </c>
      <c r="C470" s="35">
        <f t="shared" si="30"/>
        <v>6.6398414257697214E-2</v>
      </c>
      <c r="D470" s="35">
        <f t="shared" si="27"/>
        <v>1.1628872836908353</v>
      </c>
      <c r="E470" s="35">
        <f>(Table143454[[#This Row],[USA]]-B458)/B458</f>
        <v>0.63454109507319212</v>
      </c>
      <c r="F470" s="34">
        <f>VLOOKUP(Table143454[[#This Row],[Date]],'Data Core CPI'!$A:$AX,MATCH($B$2,'Data Core CPI'!$B$1:$AX$1,0),FALSE)</f>
        <v>0</v>
      </c>
      <c r="G470" s="35" t="e">
        <f t="shared" si="28"/>
        <v>#DIV/0!</v>
      </c>
      <c r="H470" s="35" t="e">
        <f t="shared" si="29"/>
        <v>#DIV/0!</v>
      </c>
      <c r="I470" s="35" t="e">
        <f>(Table143454[[#This Row],[Core CPI]]-F458)/F458</f>
        <v>#DIV/0!</v>
      </c>
    </row>
    <row r="471" spans="1:9" x14ac:dyDescent="0.35">
      <c r="A471" s="33">
        <f>IF(Data!A498="",#N/A,Data!A498)</f>
        <v>32994</v>
      </c>
      <c r="B471" s="34">
        <f>VLOOKUP(A471,Data!A:AX,MATCH($B$2,Data!$B$1:$AX$1,0),FALSE)</f>
        <v>4.7159239999999998E-2</v>
      </c>
      <c r="C471" s="35">
        <f t="shared" si="30"/>
        <v>3.0660457252581264E-2</v>
      </c>
      <c r="D471" s="35">
        <f t="shared" si="27"/>
        <v>0.43677038786620259</v>
      </c>
      <c r="E471" s="35">
        <f>(Table143454[[#This Row],[USA]]-B459)/B459</f>
        <v>0.63486690665438983</v>
      </c>
      <c r="F471" s="34">
        <f>VLOOKUP(Table143454[[#This Row],[Date]],'Data Core CPI'!$A:$AX,MATCH($B$2,'Data Core CPI'!$B$1:$AX$1,0),FALSE)</f>
        <v>0</v>
      </c>
      <c r="G471" s="35" t="e">
        <f t="shared" si="28"/>
        <v>#DIV/0!</v>
      </c>
      <c r="H471" s="35" t="e">
        <f t="shared" si="29"/>
        <v>#DIV/0!</v>
      </c>
      <c r="I471" s="35" t="e">
        <f>(Table143454[[#This Row],[Core CPI]]-F459)/F459</f>
        <v>#DIV/0!</v>
      </c>
    </row>
    <row r="472" spans="1:9" x14ac:dyDescent="0.35">
      <c r="A472" s="33">
        <f>IF(Data!A499="",#N/A,Data!A499)</f>
        <v>33025</v>
      </c>
      <c r="B472" s="34">
        <f>VLOOKUP(A472,Data!A:AX,MATCH($B$2,Data!$B$1:$AX$1,0),FALSE)</f>
        <v>4.7871490000000003E-2</v>
      </c>
      <c r="C472" s="35">
        <f t="shared" si="30"/>
        <v>1.5103084782536857E-2</v>
      </c>
      <c r="D472" s="35">
        <f t="shared" si="27"/>
        <v>0.19707612899979798</v>
      </c>
      <c r="E472" s="35">
        <f>(Table143454[[#This Row],[USA]]-B460)/B460</f>
        <v>0.62550368842369763</v>
      </c>
      <c r="F472" s="34">
        <f>VLOOKUP(Table143454[[#This Row],[Date]],'Data Core CPI'!$A:$AX,MATCH($B$2,'Data Core CPI'!$B$1:$AX$1,0),FALSE)</f>
        <v>0</v>
      </c>
      <c r="G472" s="35" t="e">
        <f t="shared" si="28"/>
        <v>#DIV/0!</v>
      </c>
      <c r="H472" s="35" t="e">
        <f t="shared" si="29"/>
        <v>#DIV/0!</v>
      </c>
      <c r="I472" s="35" t="e">
        <f>(Table143454[[#This Row],[Core CPI]]-F460)/F460</f>
        <v>#DIV/0!</v>
      </c>
    </row>
    <row r="473" spans="1:9" x14ac:dyDescent="0.35">
      <c r="A473" s="33">
        <f>IF(Data!A500="",#N/A,Data!A500)</f>
        <v>33055</v>
      </c>
      <c r="B473" s="34">
        <f>VLOOKUP(A473,Data!A:AX,MATCH($B$2,Data!$B$1:$AX$1,0),FALSE)</f>
        <v>4.7429029999999997E-2</v>
      </c>
      <c r="C473" s="35">
        <f t="shared" si="30"/>
        <v>-9.2426619685329614E-3</v>
      </c>
      <c r="D473" s="35">
        <f t="shared" si="27"/>
        <v>-0.10544392090217392</v>
      </c>
      <c r="E473" s="35">
        <f>(Table143454[[#This Row],[USA]]-B461)/B461</f>
        <v>0.56294431382111931</v>
      </c>
      <c r="F473" s="34">
        <f>VLOOKUP(Table143454[[#This Row],[Date]],'Data Core CPI'!$A:$AX,MATCH($B$2,'Data Core CPI'!$B$1:$AX$1,0),FALSE)</f>
        <v>0</v>
      </c>
      <c r="G473" s="35" t="e">
        <f t="shared" si="28"/>
        <v>#DIV/0!</v>
      </c>
      <c r="H473" s="35" t="e">
        <f t="shared" si="29"/>
        <v>#DIV/0!</v>
      </c>
      <c r="I473" s="35" t="e">
        <f>(Table143454[[#This Row],[Core CPI]]-F461)/F461</f>
        <v>#DIV/0!</v>
      </c>
    </row>
    <row r="474" spans="1:9" x14ac:dyDescent="0.35">
      <c r="A474" s="33">
        <f>IF(Data!A501="",#N/A,Data!A501)</f>
        <v>33086</v>
      </c>
      <c r="B474" s="34">
        <f>VLOOKUP(A474,Data!A:AX,MATCH($B$2,Data!$B$1:$AX$1,0),FALSE)</f>
        <v>4.8637689999999997E-2</v>
      </c>
      <c r="C474" s="35">
        <f t="shared" si="30"/>
        <v>2.5483548788579391E-2</v>
      </c>
      <c r="D474" s="35">
        <f t="shared" si="27"/>
        <v>0.35252210468027778</v>
      </c>
      <c r="E474" s="35">
        <f>(Table143454[[#This Row],[USA]]-B462)/B462</f>
        <v>0.54826493140707788</v>
      </c>
      <c r="F474" s="34">
        <f>VLOOKUP(Table143454[[#This Row],[Date]],'Data Core CPI'!$A:$AX,MATCH($B$2,'Data Core CPI'!$B$1:$AX$1,0),FALSE)</f>
        <v>0</v>
      </c>
      <c r="G474" s="35" t="e">
        <f t="shared" si="28"/>
        <v>#DIV/0!</v>
      </c>
      <c r="H474" s="35" t="e">
        <f t="shared" si="29"/>
        <v>#DIV/0!</v>
      </c>
      <c r="I474" s="35" t="e">
        <f>(Table143454[[#This Row],[Core CPI]]-F462)/F462</f>
        <v>#DIV/0!</v>
      </c>
    </row>
    <row r="475" spans="1:9" x14ac:dyDescent="0.35">
      <c r="A475" s="33">
        <f>IF(Data!A502="",#N/A,Data!A502)</f>
        <v>33117</v>
      </c>
      <c r="B475" s="34">
        <f>VLOOKUP(A475,Data!A:AX,MATCH($B$2,Data!$B$1:$AX$1,0),FALSE)</f>
        <v>5.2867989999999997E-2</v>
      </c>
      <c r="C475" s="35">
        <f t="shared" si="30"/>
        <v>8.6975758922761326E-2</v>
      </c>
      <c r="D475" s="35">
        <f t="shared" si="27"/>
        <v>1.7204347004935641</v>
      </c>
      <c r="E475" s="35">
        <f>(Table143454[[#This Row],[USA]]-B463)/B463</f>
        <v>0.59317089223071384</v>
      </c>
      <c r="F475" s="34">
        <f>VLOOKUP(Table143454[[#This Row],[Date]],'Data Core CPI'!$A:$AX,MATCH($B$2,'Data Core CPI'!$B$1:$AX$1,0),FALSE)</f>
        <v>0</v>
      </c>
      <c r="G475" s="35" t="e">
        <f t="shared" si="28"/>
        <v>#DIV/0!</v>
      </c>
      <c r="H475" s="35" t="e">
        <f t="shared" si="29"/>
        <v>#DIV/0!</v>
      </c>
      <c r="I475" s="35" t="e">
        <f>(Table143454[[#This Row],[Core CPI]]-F463)/F463</f>
        <v>#DIV/0!</v>
      </c>
    </row>
    <row r="476" spans="1:9" x14ac:dyDescent="0.35">
      <c r="A476" s="33">
        <f>IF(Data!A503="",#N/A,Data!A503)</f>
        <v>33147</v>
      </c>
      <c r="B476" s="34">
        <f>VLOOKUP(A476,Data!A:AX,MATCH($B$2,Data!$B$1:$AX$1,0),FALSE)</f>
        <v>5.6483169999999999E-2</v>
      </c>
      <c r="C476" s="35">
        <f t="shared" si="30"/>
        <v>6.8381264352966653E-2</v>
      </c>
      <c r="D476" s="35">
        <f t="shared" si="27"/>
        <v>1.2116436920127516</v>
      </c>
      <c r="E476" s="35">
        <f>(Table143454[[#This Row],[USA]]-B464)/B464</f>
        <v>0.60306250627934965</v>
      </c>
      <c r="F476" s="34">
        <f>VLOOKUP(Table143454[[#This Row],[Date]],'Data Core CPI'!$A:$AX,MATCH($B$2,'Data Core CPI'!$B$1:$AX$1,0),FALSE)</f>
        <v>0</v>
      </c>
      <c r="G476" s="35" t="e">
        <f t="shared" si="28"/>
        <v>#DIV/0!</v>
      </c>
      <c r="H476" s="35" t="e">
        <f t="shared" si="29"/>
        <v>#DIV/0!</v>
      </c>
      <c r="I476" s="35" t="e">
        <f>(Table143454[[#This Row],[Core CPI]]-F464)/F464</f>
        <v>#DIV/0!</v>
      </c>
    </row>
    <row r="477" spans="1:9" x14ac:dyDescent="0.35">
      <c r="A477" s="33">
        <f>IF(Data!A504="",#N/A,Data!A504)</f>
        <v>33178</v>
      </c>
      <c r="B477" s="34">
        <f>VLOOKUP(A477,Data!A:AX,MATCH($B$2,Data!$B$1:$AX$1,0),FALSE)</f>
        <v>5.931057E-2</v>
      </c>
      <c r="C477" s="35">
        <f t="shared" si="30"/>
        <v>5.005738877616106E-2</v>
      </c>
      <c r="D477" s="35">
        <f t="shared" si="27"/>
        <v>0.79703453154903636</v>
      </c>
      <c r="E477" s="35">
        <f>(Table143454[[#This Row],[USA]]-B465)/B465</f>
        <v>0.61314947613263449</v>
      </c>
      <c r="F477" s="34">
        <f>VLOOKUP(Table143454[[#This Row],[Date]],'Data Core CPI'!$A:$AX,MATCH($B$2,'Data Core CPI'!$B$1:$AX$1,0),FALSE)</f>
        <v>0</v>
      </c>
      <c r="G477" s="35" t="e">
        <f t="shared" si="28"/>
        <v>#DIV/0!</v>
      </c>
      <c r="H477" s="35" t="e">
        <f t="shared" si="29"/>
        <v>#DIV/0!</v>
      </c>
      <c r="I477" s="35" t="e">
        <f>(Table143454[[#This Row],[Core CPI]]-F465)/F465</f>
        <v>#DIV/0!</v>
      </c>
    </row>
    <row r="478" spans="1:9" x14ac:dyDescent="0.35">
      <c r="A478" s="33">
        <f>IF(Data!A505="",#N/A,Data!A505)</f>
        <v>33208</v>
      </c>
      <c r="B478" s="34">
        <f>VLOOKUP(A478,Data!A:AX,MATCH($B$2,Data!$B$1:$AX$1,0),FALSE)</f>
        <v>6.034656E-2</v>
      </c>
      <c r="C478" s="35">
        <f t="shared" si="30"/>
        <v>1.7467206941359725E-2</v>
      </c>
      <c r="D478" s="35">
        <f t="shared" si="27"/>
        <v>0.23096314192211742</v>
      </c>
      <c r="E478" s="35">
        <f>(Table143454[[#This Row],[USA]]-B466)/B466</f>
        <v>0.60413062594166655</v>
      </c>
      <c r="F478" s="34">
        <f>VLOOKUP(Table143454[[#This Row],[Date]],'Data Core CPI'!$A:$AX,MATCH($B$2,'Data Core CPI'!$B$1:$AX$1,0),FALSE)</f>
        <v>0</v>
      </c>
      <c r="G478" s="35" t="e">
        <f t="shared" si="28"/>
        <v>#DIV/0!</v>
      </c>
      <c r="H478" s="35" t="e">
        <f t="shared" si="29"/>
        <v>#DIV/0!</v>
      </c>
      <c r="I478" s="35" t="e">
        <f>(Table143454[[#This Row],[Core CPI]]-F466)/F466</f>
        <v>#DIV/0!</v>
      </c>
    </row>
    <row r="479" spans="1:9" x14ac:dyDescent="0.35">
      <c r="A479" s="33">
        <f>IF(Data!A506="",#N/A,Data!A506)</f>
        <v>33239</v>
      </c>
      <c r="B479" s="34">
        <f>VLOOKUP(A479,Data!A:AX,MATCH($B$2,Data!$B$1:$AX$1,0),FALSE)</f>
        <v>6.3281870000000004E-2</v>
      </c>
      <c r="C479" s="35">
        <f t="shared" si="30"/>
        <v>4.8640883589719186E-2</v>
      </c>
      <c r="D479" s="35">
        <f t="shared" si="27"/>
        <v>0.76815945495039251</v>
      </c>
      <c r="E479" s="35">
        <f>(Table143454[[#This Row],[USA]]-B467)/B467</f>
        <v>0.6198893910363481</v>
      </c>
      <c r="F479" s="34">
        <f>VLOOKUP(Table143454[[#This Row],[Date]],'Data Core CPI'!$A:$AX,MATCH($B$2,'Data Core CPI'!$B$1:$AX$1,0),FALSE)</f>
        <v>0</v>
      </c>
      <c r="G479" s="35" t="e">
        <f t="shared" si="28"/>
        <v>#DIV/0!</v>
      </c>
      <c r="H479" s="35" t="e">
        <f t="shared" si="29"/>
        <v>#DIV/0!</v>
      </c>
      <c r="I479" s="35" t="e">
        <f>(Table143454[[#This Row],[Core CPI]]-F467)/F467</f>
        <v>#DIV/0!</v>
      </c>
    </row>
    <row r="480" spans="1:9" x14ac:dyDescent="0.35">
      <c r="A480" s="33">
        <f>IF(Data!A507="",#N/A,Data!A507)</f>
        <v>33270</v>
      </c>
      <c r="B480" s="34">
        <f>VLOOKUP(A480,Data!A:AX,MATCH($B$2,Data!$B$1:$AX$1,0),FALSE)</f>
        <v>6.6713599999999998E-2</v>
      </c>
      <c r="C480" s="35">
        <f t="shared" si="30"/>
        <v>5.422927609440098E-2</v>
      </c>
      <c r="D480" s="35">
        <f t="shared" si="27"/>
        <v>0.88460730242857166</v>
      </c>
      <c r="E480" s="35">
        <f>(Table143454[[#This Row],[USA]]-B468)/B468</f>
        <v>0.635449914444428</v>
      </c>
      <c r="F480" s="34">
        <f>VLOOKUP(Table143454[[#This Row],[Date]],'Data Core CPI'!$A:$AX,MATCH($B$2,'Data Core CPI'!$B$1:$AX$1,0),FALSE)</f>
        <v>0</v>
      </c>
      <c r="G480" s="35" t="e">
        <f t="shared" si="28"/>
        <v>#DIV/0!</v>
      </c>
      <c r="H480" s="35" t="e">
        <f t="shared" si="29"/>
        <v>#DIV/0!</v>
      </c>
      <c r="I480" s="35" t="e">
        <f>(Table143454[[#This Row],[Core CPI]]-F468)/F468</f>
        <v>#DIV/0!</v>
      </c>
    </row>
    <row r="481" spans="1:9" x14ac:dyDescent="0.35">
      <c r="A481" s="33">
        <f>IF(Data!A508="",#N/A,Data!A508)</f>
        <v>33298</v>
      </c>
      <c r="B481" s="34">
        <f>VLOOKUP(A481,Data!A:AX,MATCH($B$2,Data!$B$1:$AX$1,0),FALSE)</f>
        <v>6.9627330000000001E-2</v>
      </c>
      <c r="C481" s="35">
        <f t="shared" si="30"/>
        <v>4.3675202657329271E-2</v>
      </c>
      <c r="D481" s="35">
        <f t="shared" si="27"/>
        <v>0.6702611473873874</v>
      </c>
      <c r="E481" s="35">
        <f>(Table143454[[#This Row],[USA]]-B469)/B469</f>
        <v>0.62273666399812633</v>
      </c>
      <c r="F481" s="34">
        <f>VLOOKUP(Table143454[[#This Row],[Date]],'Data Core CPI'!$A:$AX,MATCH($B$2,'Data Core CPI'!$B$1:$AX$1,0),FALSE)</f>
        <v>0</v>
      </c>
      <c r="G481" s="35" t="e">
        <f t="shared" si="28"/>
        <v>#DIV/0!</v>
      </c>
      <c r="H481" s="35" t="e">
        <f t="shared" si="29"/>
        <v>#DIV/0!</v>
      </c>
      <c r="I481" s="35" t="e">
        <f>(Table143454[[#This Row],[Core CPI]]-F469)/F469</f>
        <v>#DIV/0!</v>
      </c>
    </row>
    <row r="482" spans="1:9" x14ac:dyDescent="0.35">
      <c r="A482" s="33">
        <f>IF(Data!A509="",#N/A,Data!A509)</f>
        <v>33329</v>
      </c>
      <c r="B482" s="34">
        <f>VLOOKUP(A482,Data!A:AX,MATCH($B$2,Data!$B$1:$AX$1,0),FALSE)</f>
        <v>7.4192170000000002E-2</v>
      </c>
      <c r="C482" s="35">
        <f t="shared" si="30"/>
        <v>6.556103759831089E-2</v>
      </c>
      <c r="D482" s="35">
        <f t="shared" si="27"/>
        <v>1.1425944956571126</v>
      </c>
      <c r="E482" s="35">
        <f>(Table143454[[#This Row],[USA]]-B470)/B470</f>
        <v>0.62146242935130513</v>
      </c>
      <c r="F482" s="34">
        <f>VLOOKUP(Table143454[[#This Row],[Date]],'Data Core CPI'!$A:$AX,MATCH($B$2,'Data Core CPI'!$B$1:$AX$1,0),FALSE)</f>
        <v>0</v>
      </c>
      <c r="G482" s="35" t="e">
        <f t="shared" si="28"/>
        <v>#DIV/0!</v>
      </c>
      <c r="H482" s="35" t="e">
        <f t="shared" si="29"/>
        <v>#DIV/0!</v>
      </c>
      <c r="I482" s="35" t="e">
        <f>(Table143454[[#This Row],[Core CPI]]-F470)/F470</f>
        <v>#DIV/0!</v>
      </c>
    </row>
    <row r="483" spans="1:9" x14ac:dyDescent="0.35">
      <c r="A483" s="33">
        <f>IF(Data!A510="",#N/A,Data!A510)</f>
        <v>33359</v>
      </c>
      <c r="B483" s="34">
        <f>VLOOKUP(A483,Data!A:AX,MATCH($B$2,Data!$B$1:$AX$1,0),FALSE)</f>
        <v>7.6663439999999999E-2</v>
      </c>
      <c r="C483" s="35">
        <f t="shared" si="30"/>
        <v>3.3309040563175296E-2</v>
      </c>
      <c r="D483" s="35">
        <f t="shared" si="27"/>
        <v>0.48170842161894112</v>
      </c>
      <c r="E483" s="35">
        <f>(Table143454[[#This Row],[USA]]-B471)/B471</f>
        <v>0.62562925102270528</v>
      </c>
      <c r="F483" s="34">
        <f>VLOOKUP(Table143454[[#This Row],[Date]],'Data Core CPI'!$A:$AX,MATCH($B$2,'Data Core CPI'!$B$1:$AX$1,0),FALSE)</f>
        <v>0</v>
      </c>
      <c r="G483" s="35" t="e">
        <f t="shared" si="28"/>
        <v>#DIV/0!</v>
      </c>
      <c r="H483" s="35" t="e">
        <f t="shared" si="29"/>
        <v>#DIV/0!</v>
      </c>
      <c r="I483" s="35" t="e">
        <f>(Table143454[[#This Row],[Core CPI]]-F471)/F471</f>
        <v>#DIV/0!</v>
      </c>
    </row>
    <row r="484" spans="1:9" x14ac:dyDescent="0.35">
      <c r="A484" s="33">
        <f>IF(Data!A511="",#N/A,Data!A511)</f>
        <v>33390</v>
      </c>
      <c r="B484" s="34">
        <f>VLOOKUP(A484,Data!A:AX,MATCH($B$2,Data!$B$1:$AX$1,0),FALSE)</f>
        <v>7.8929680000000002E-2</v>
      </c>
      <c r="C484" s="35">
        <f t="shared" si="30"/>
        <v>2.9560896302070594E-2</v>
      </c>
      <c r="D484" s="35">
        <f t="shared" si="27"/>
        <v>0.41848409816594345</v>
      </c>
      <c r="E484" s="35">
        <f>(Table143454[[#This Row],[USA]]-B472)/B472</f>
        <v>0.64878260526254761</v>
      </c>
      <c r="F484" s="34">
        <f>VLOOKUP(Table143454[[#This Row],[Date]],'Data Core CPI'!$A:$AX,MATCH($B$2,'Data Core CPI'!$B$1:$AX$1,0),FALSE)</f>
        <v>0</v>
      </c>
      <c r="G484" s="35" t="e">
        <f t="shared" si="28"/>
        <v>#DIV/0!</v>
      </c>
      <c r="H484" s="35" t="e">
        <f t="shared" si="29"/>
        <v>#DIV/0!</v>
      </c>
      <c r="I484" s="35" t="e">
        <f>(Table143454[[#This Row],[Core CPI]]-F472)/F472</f>
        <v>#DIV/0!</v>
      </c>
    </row>
    <row r="485" spans="1:9" x14ac:dyDescent="0.35">
      <c r="A485" s="33">
        <f>IF(Data!A512="",#N/A,Data!A512)</f>
        <v>33420</v>
      </c>
      <c r="B485" s="34">
        <f>VLOOKUP(A485,Data!A:AX,MATCH($B$2,Data!$B$1:$AX$1,0),FALSE)</f>
        <v>7.9965670000000003E-2</v>
      </c>
      <c r="C485" s="35">
        <f t="shared" si="30"/>
        <v>1.3125480807726575E-2</v>
      </c>
      <c r="D485" s="35">
        <f t="shared" si="27"/>
        <v>0.16938861042619946</v>
      </c>
      <c r="E485" s="35">
        <f>(Table143454[[#This Row],[USA]]-B473)/B473</f>
        <v>0.68600686119872167</v>
      </c>
      <c r="F485" s="34">
        <f>VLOOKUP(Table143454[[#This Row],[Date]],'Data Core CPI'!$A:$AX,MATCH($B$2,'Data Core CPI'!$B$1:$AX$1,0),FALSE)</f>
        <v>0</v>
      </c>
      <c r="G485" s="35" t="e">
        <f t="shared" si="28"/>
        <v>#DIV/0!</v>
      </c>
      <c r="H485" s="35" t="e">
        <f t="shared" si="29"/>
        <v>#DIV/0!</v>
      </c>
      <c r="I485" s="35" t="e">
        <f>(Table143454[[#This Row],[Core CPI]]-F473)/F473</f>
        <v>#DIV/0!</v>
      </c>
    </row>
    <row r="486" spans="1:9" x14ac:dyDescent="0.35">
      <c r="A486" s="33">
        <f>IF(Data!A513="",#N/A,Data!A513)</f>
        <v>33451</v>
      </c>
      <c r="B486" s="34">
        <f>VLOOKUP(A486,Data!A:AX,MATCH($B$2,Data!$B$1:$AX$1,0),FALSE)</f>
        <v>8.3149189999999998E-2</v>
      </c>
      <c r="C486" s="35">
        <f t="shared" si="30"/>
        <v>3.9811083931392099E-2</v>
      </c>
      <c r="D486" s="35">
        <f t="shared" si="27"/>
        <v>0.59754577186426161</v>
      </c>
      <c r="E486" s="35">
        <f>(Table143454[[#This Row],[USA]]-B474)/B474</f>
        <v>0.70956289248111915</v>
      </c>
      <c r="F486" s="34">
        <f>VLOOKUP(Table143454[[#This Row],[Date]],'Data Core CPI'!$A:$AX,MATCH($B$2,'Data Core CPI'!$B$1:$AX$1,0),FALSE)</f>
        <v>0</v>
      </c>
      <c r="G486" s="35" t="e">
        <f t="shared" si="28"/>
        <v>#DIV/0!</v>
      </c>
      <c r="H486" s="35" t="e">
        <f t="shared" si="29"/>
        <v>#DIV/0!</v>
      </c>
      <c r="I486" s="35" t="e">
        <f>(Table143454[[#This Row],[Core CPI]]-F474)/F474</f>
        <v>#DIV/0!</v>
      </c>
    </row>
    <row r="487" spans="1:9" x14ac:dyDescent="0.35">
      <c r="A487" s="33">
        <f>IF(Data!A514="",#N/A,Data!A514)</f>
        <v>33482</v>
      </c>
      <c r="B487" s="34">
        <f>VLOOKUP(A487,Data!A:AX,MATCH($B$2,Data!$B$1:$AX$1,0),FALSE)</f>
        <v>8.8210440000000001E-2</v>
      </c>
      <c r="C487" s="35">
        <f t="shared" si="30"/>
        <v>6.086950456161988E-2</v>
      </c>
      <c r="D487" s="35">
        <f t="shared" si="27"/>
        <v>1.0320930283443057</v>
      </c>
      <c r="E487" s="35">
        <f>(Table143454[[#This Row],[USA]]-B475)/B475</f>
        <v>0.66850375813417551</v>
      </c>
      <c r="F487" s="34">
        <f>VLOOKUP(Table143454[[#This Row],[Date]],'Data Core CPI'!$A:$AX,MATCH($B$2,'Data Core CPI'!$B$1:$AX$1,0),FALSE)</f>
        <v>0</v>
      </c>
      <c r="G487" s="35" t="e">
        <f t="shared" si="28"/>
        <v>#DIV/0!</v>
      </c>
      <c r="H487" s="35" t="e">
        <f t="shared" si="29"/>
        <v>#DIV/0!</v>
      </c>
      <c r="I487" s="35" t="e">
        <f>(Table143454[[#This Row],[Core CPI]]-F475)/F475</f>
        <v>#DIV/0!</v>
      </c>
    </row>
    <row r="488" spans="1:9" x14ac:dyDescent="0.35">
      <c r="A488" s="33">
        <f>IF(Data!A515="",#N/A,Data!A515)</f>
        <v>33512</v>
      </c>
      <c r="B488" s="34">
        <f>VLOOKUP(A488,Data!A:AX,MATCH($B$2,Data!$B$1:$AX$1,0),FALSE)</f>
        <v>9.4027109999999997E-2</v>
      </c>
      <c r="C488" s="35">
        <f t="shared" si="30"/>
        <v>6.5940834214181399E-2</v>
      </c>
      <c r="D488" s="35">
        <f t="shared" si="27"/>
        <v>1.1517766701003787</v>
      </c>
      <c r="E488" s="35">
        <f>(Table143454[[#This Row],[USA]]-B476)/B476</f>
        <v>0.66469250929082058</v>
      </c>
      <c r="F488" s="34">
        <f>VLOOKUP(Table143454[[#This Row],[Date]],'Data Core CPI'!$A:$AX,MATCH($B$2,'Data Core CPI'!$B$1:$AX$1,0),FALSE)</f>
        <v>0</v>
      </c>
      <c r="G488" s="35" t="e">
        <f t="shared" si="28"/>
        <v>#DIV/0!</v>
      </c>
      <c r="H488" s="35" t="e">
        <f t="shared" si="29"/>
        <v>#DIV/0!</v>
      </c>
      <c r="I488" s="35" t="e">
        <f>(Table143454[[#This Row],[Core CPI]]-F476)/F476</f>
        <v>#DIV/0!</v>
      </c>
    </row>
    <row r="489" spans="1:9" x14ac:dyDescent="0.35">
      <c r="A489" s="33">
        <f>IF(Data!A516="",#N/A,Data!A516)</f>
        <v>33543</v>
      </c>
      <c r="B489" s="34">
        <f>VLOOKUP(A489,Data!A:AX,MATCH($B$2,Data!$B$1:$AX$1,0),FALSE)</f>
        <v>9.8958859999999996E-2</v>
      </c>
      <c r="C489" s="35">
        <f t="shared" si="30"/>
        <v>5.2450298642593651E-2</v>
      </c>
      <c r="D489" s="35">
        <f t="shared" si="27"/>
        <v>0.84679694826587948</v>
      </c>
      <c r="E489" s="35">
        <f>(Table143454[[#This Row],[USA]]-B477)/B477</f>
        <v>0.66848607254996872</v>
      </c>
      <c r="F489" s="34">
        <f>VLOOKUP(Table143454[[#This Row],[Date]],'Data Core CPI'!$A:$AX,MATCH($B$2,'Data Core CPI'!$B$1:$AX$1,0),FALSE)</f>
        <v>0</v>
      </c>
      <c r="G489" s="35" t="e">
        <f t="shared" si="28"/>
        <v>#DIV/0!</v>
      </c>
      <c r="H489" s="35" t="e">
        <f t="shared" si="29"/>
        <v>#DIV/0!</v>
      </c>
      <c r="I489" s="35" t="e">
        <f>(Table143454[[#This Row],[Core CPI]]-F477)/F477</f>
        <v>#DIV/0!</v>
      </c>
    </row>
    <row r="490" spans="1:9" x14ac:dyDescent="0.35">
      <c r="A490" s="33">
        <f>IF(Data!A517="",#N/A,Data!A517)</f>
        <v>33573</v>
      </c>
      <c r="B490" s="34">
        <f>VLOOKUP(A490,Data!A:AX,MATCH($B$2,Data!$B$1:$AX$1,0),FALSE)</f>
        <v>0.10327550000000001</v>
      </c>
      <c r="C490" s="35">
        <f t="shared" si="30"/>
        <v>4.3620551004730723E-2</v>
      </c>
      <c r="D490" s="35">
        <f t="shared" si="27"/>
        <v>0.66921189858120655</v>
      </c>
      <c r="E490" s="35">
        <f>(Table143454[[#This Row],[USA]]-B478)/B478</f>
        <v>0.71137344034191852</v>
      </c>
      <c r="F490" s="34">
        <f>VLOOKUP(Table143454[[#This Row],[Date]],'Data Core CPI'!$A:$AX,MATCH($B$2,'Data Core CPI'!$B$1:$AX$1,0),FALSE)</f>
        <v>0</v>
      </c>
      <c r="G490" s="35" t="e">
        <f t="shared" si="28"/>
        <v>#DIV/0!</v>
      </c>
      <c r="H490" s="35" t="e">
        <f t="shared" si="29"/>
        <v>#DIV/0!</v>
      </c>
      <c r="I490" s="35" t="e">
        <f>(Table143454[[#This Row],[Core CPI]]-F478)/F478</f>
        <v>#DIV/0!</v>
      </c>
    </row>
    <row r="491" spans="1:9" x14ac:dyDescent="0.35">
      <c r="A491" s="33">
        <f>IF(Data!A518="",#N/A,Data!A518)</f>
        <v>33604</v>
      </c>
      <c r="B491" s="34">
        <f>VLOOKUP(A491,Data!A:AX,MATCH($B$2,Data!$B$1:$AX$1,0),FALSE)</f>
        <v>0.1129556</v>
      </c>
      <c r="C491" s="35">
        <f t="shared" si="30"/>
        <v>9.3730846134852941E-2</v>
      </c>
      <c r="D491" s="35">
        <f t="shared" si="27"/>
        <v>1.930390695087481</v>
      </c>
      <c r="E491" s="35">
        <f>(Table143454[[#This Row],[USA]]-B479)/B479</f>
        <v>0.78495989451639148</v>
      </c>
      <c r="F491" s="34">
        <f>VLOOKUP(Table143454[[#This Row],[Date]],'Data Core CPI'!$A:$AX,MATCH($B$2,'Data Core CPI'!$B$1:$AX$1,0),FALSE)</f>
        <v>0</v>
      </c>
      <c r="G491" s="35" t="e">
        <f t="shared" si="28"/>
        <v>#DIV/0!</v>
      </c>
      <c r="H491" s="35" t="e">
        <f t="shared" si="29"/>
        <v>#DIV/0!</v>
      </c>
      <c r="I491" s="35" t="e">
        <f>(Table143454[[#This Row],[Core CPI]]-F479)/F479</f>
        <v>#DIV/0!</v>
      </c>
    </row>
    <row r="492" spans="1:9" x14ac:dyDescent="0.35">
      <c r="A492" s="33">
        <f>IF(Data!A519="",#N/A,Data!A519)</f>
        <v>33635</v>
      </c>
      <c r="B492" s="34">
        <f>VLOOKUP(A492,Data!A:AX,MATCH($B$2,Data!$B$1:$AX$1,0),FALSE)</f>
        <v>0.1186427</v>
      </c>
      <c r="C492" s="35">
        <f t="shared" si="30"/>
        <v>5.0348101377886589E-2</v>
      </c>
      <c r="D492" s="35">
        <f t="shared" si="27"/>
        <v>0.80301382539541666</v>
      </c>
      <c r="E492" s="35">
        <f>(Table143454[[#This Row],[USA]]-B480)/B480</f>
        <v>0.77838851448580215</v>
      </c>
      <c r="F492" s="34">
        <f>VLOOKUP(Table143454[[#This Row],[Date]],'Data Core CPI'!$A:$AX,MATCH($B$2,'Data Core CPI'!$B$1:$AX$1,0),FALSE)</f>
        <v>0</v>
      </c>
      <c r="G492" s="35" t="e">
        <f t="shared" si="28"/>
        <v>#DIV/0!</v>
      </c>
      <c r="H492" s="35" t="e">
        <f t="shared" si="29"/>
        <v>#DIV/0!</v>
      </c>
      <c r="I492" s="35" t="e">
        <f>(Table143454[[#This Row],[Core CPI]]-F480)/F480</f>
        <v>#DIV/0!</v>
      </c>
    </row>
    <row r="493" spans="1:9" x14ac:dyDescent="0.35">
      <c r="A493" s="33">
        <f>IF(Data!A520="",#N/A,Data!A520)</f>
        <v>33664</v>
      </c>
      <c r="B493" s="34">
        <f>VLOOKUP(A493,Data!A:AX,MATCH($B$2,Data!$B$1:$AX$1,0),FALSE)</f>
        <v>0.1244162</v>
      </c>
      <c r="C493" s="35">
        <f t="shared" si="30"/>
        <v>4.8662918156785029E-2</v>
      </c>
      <c r="D493" s="35">
        <f t="shared" si="27"/>
        <v>0.76860534789600843</v>
      </c>
      <c r="E493" s="35">
        <f>(Table143454[[#This Row],[USA]]-B481)/B481</f>
        <v>0.78688741906374982</v>
      </c>
      <c r="F493" s="34">
        <f>VLOOKUP(Table143454[[#This Row],[Date]],'Data Core CPI'!$A:$AX,MATCH($B$2,'Data Core CPI'!$B$1:$AX$1,0),FALSE)</f>
        <v>0</v>
      </c>
      <c r="G493" s="35" t="e">
        <f t="shared" si="28"/>
        <v>#DIV/0!</v>
      </c>
      <c r="H493" s="35" t="e">
        <f t="shared" si="29"/>
        <v>#DIV/0!</v>
      </c>
      <c r="I493" s="35" t="e">
        <f>(Table143454[[#This Row],[Core CPI]]-F481)/F481</f>
        <v>#DIV/0!</v>
      </c>
    </row>
    <row r="494" spans="1:9" x14ac:dyDescent="0.35">
      <c r="A494" s="33">
        <f>IF(Data!A521="",#N/A,Data!A521)</f>
        <v>33695</v>
      </c>
      <c r="B494" s="34">
        <f>VLOOKUP(A494,Data!A:AX,MATCH($B$2,Data!$B$1:$AX$1,0),FALSE)</f>
        <v>0.12908900000000001</v>
      </c>
      <c r="C494" s="35">
        <f t="shared" si="30"/>
        <v>3.7557809995804492E-2</v>
      </c>
      <c r="D494" s="35">
        <f t="shared" si="27"/>
        <v>0.55649469807154239</v>
      </c>
      <c r="E494" s="35">
        <f>(Table143454[[#This Row],[USA]]-B482)/B482</f>
        <v>0.73992754221907797</v>
      </c>
      <c r="F494" s="34">
        <f>VLOOKUP(Table143454[[#This Row],[Date]],'Data Core CPI'!$A:$AX,MATCH($B$2,'Data Core CPI'!$B$1:$AX$1,0),FALSE)</f>
        <v>0</v>
      </c>
      <c r="G494" s="35" t="e">
        <f t="shared" si="28"/>
        <v>#DIV/0!</v>
      </c>
      <c r="H494" s="35" t="e">
        <f t="shared" si="29"/>
        <v>#DIV/0!</v>
      </c>
      <c r="I494" s="35" t="e">
        <f>(Table143454[[#This Row],[Core CPI]]-F482)/F482</f>
        <v>#DIV/0!</v>
      </c>
    </row>
    <row r="495" spans="1:9" x14ac:dyDescent="0.35">
      <c r="A495" s="33">
        <f>IF(Data!A522="",#N/A,Data!A522)</f>
        <v>33725</v>
      </c>
      <c r="B495" s="34">
        <f>VLOOKUP(A495,Data!A:AX,MATCH($B$2,Data!$B$1:$AX$1,0),FALSE)</f>
        <v>0.13022210000000001</v>
      </c>
      <c r="C495" s="35">
        <f t="shared" si="30"/>
        <v>8.7776650218065466E-3</v>
      </c>
      <c r="D495" s="35">
        <f t="shared" si="27"/>
        <v>0.11056887422451678</v>
      </c>
      <c r="E495" s="35">
        <f>(Table143454[[#This Row],[USA]]-B483)/B483</f>
        <v>0.69862062020697235</v>
      </c>
      <c r="F495" s="34">
        <f>VLOOKUP(Table143454[[#This Row],[Date]],'Data Core CPI'!$A:$AX,MATCH($B$2,'Data Core CPI'!$B$1:$AX$1,0),FALSE)</f>
        <v>0</v>
      </c>
      <c r="G495" s="35" t="e">
        <f t="shared" si="28"/>
        <v>#DIV/0!</v>
      </c>
      <c r="H495" s="35" t="e">
        <f t="shared" si="29"/>
        <v>#DIV/0!</v>
      </c>
      <c r="I495" s="35" t="e">
        <f>(Table143454[[#This Row],[Core CPI]]-F483)/F483</f>
        <v>#DIV/0!</v>
      </c>
    </row>
    <row r="496" spans="1:9" x14ac:dyDescent="0.35">
      <c r="A496" s="33">
        <f>IF(Data!A523="",#N/A,Data!A523)</f>
        <v>33756</v>
      </c>
      <c r="B496" s="34">
        <f>VLOOKUP(A496,Data!A:AX,MATCH($B$2,Data!$B$1:$AX$1,0),FALSE)</f>
        <v>0.1308588</v>
      </c>
      <c r="C496" s="35">
        <f t="shared" si="30"/>
        <v>4.8893390599598074E-3</v>
      </c>
      <c r="D496" s="35">
        <f t="shared" si="27"/>
        <v>6.0275840040393769E-2</v>
      </c>
      <c r="E496" s="35">
        <f>(Table143454[[#This Row],[USA]]-B484)/B484</f>
        <v>0.65791626166481343</v>
      </c>
      <c r="F496" s="34">
        <f>VLOOKUP(Table143454[[#This Row],[Date]],'Data Core CPI'!$A:$AX,MATCH($B$2,'Data Core CPI'!$B$1:$AX$1,0),FALSE)</f>
        <v>0</v>
      </c>
      <c r="G496" s="35" t="e">
        <f t="shared" si="28"/>
        <v>#DIV/0!</v>
      </c>
      <c r="H496" s="35" t="e">
        <f t="shared" si="29"/>
        <v>#DIV/0!</v>
      </c>
      <c r="I496" s="35" t="e">
        <f>(Table143454[[#This Row],[Core CPI]]-F484)/F484</f>
        <v>#DIV/0!</v>
      </c>
    </row>
    <row r="497" spans="1:9" x14ac:dyDescent="0.35">
      <c r="A497" s="33">
        <f>IF(Data!A524="",#N/A,Data!A524)</f>
        <v>33786</v>
      </c>
      <c r="B497" s="34">
        <f>VLOOKUP(A497,Data!A:AX,MATCH($B$2,Data!$B$1:$AX$1,0),FALSE)</f>
        <v>0.1325855</v>
      </c>
      <c r="C497" s="35">
        <f t="shared" si="30"/>
        <v>1.319513857684762E-2</v>
      </c>
      <c r="D497" s="35">
        <f t="shared" si="27"/>
        <v>0.1703537956525778</v>
      </c>
      <c r="E497" s="35">
        <f>(Table143454[[#This Row],[USA]]-B485)/B485</f>
        <v>0.65803025223198897</v>
      </c>
      <c r="F497" s="34">
        <f>VLOOKUP(Table143454[[#This Row],[Date]],'Data Core CPI'!$A:$AX,MATCH($B$2,'Data Core CPI'!$B$1:$AX$1,0),FALSE)</f>
        <v>0</v>
      </c>
      <c r="G497" s="35" t="e">
        <f t="shared" si="28"/>
        <v>#DIV/0!</v>
      </c>
      <c r="H497" s="35" t="e">
        <f t="shared" si="29"/>
        <v>#DIV/0!</v>
      </c>
      <c r="I497" s="35" t="e">
        <f>(Table143454[[#This Row],[Core CPI]]-F485)/F485</f>
        <v>#DIV/0!</v>
      </c>
    </row>
    <row r="498" spans="1:9" x14ac:dyDescent="0.35">
      <c r="A498" s="33">
        <f>IF(Data!A525="",#N/A,Data!A525)</f>
        <v>33817</v>
      </c>
      <c r="B498" s="34">
        <f>VLOOKUP(A498,Data!A:AX,MATCH($B$2,Data!$B$1:$AX$1,0),FALSE)</f>
        <v>0.13764670000000001</v>
      </c>
      <c r="C498" s="35">
        <f t="shared" si="30"/>
        <v>3.8173103393659202E-2</v>
      </c>
      <c r="D498" s="35">
        <f t="shared" si="27"/>
        <v>0.56760730195431619</v>
      </c>
      <c r="E498" s="35">
        <f>(Table143454[[#This Row],[USA]]-B486)/B486</f>
        <v>0.6554184111715341</v>
      </c>
      <c r="F498" s="34">
        <f>VLOOKUP(Table143454[[#This Row],[Date]],'Data Core CPI'!$A:$AX,MATCH($B$2,'Data Core CPI'!$B$1:$AX$1,0),FALSE)</f>
        <v>0</v>
      </c>
      <c r="G498" s="35" t="e">
        <f t="shared" si="28"/>
        <v>#DIV/0!</v>
      </c>
      <c r="H498" s="35" t="e">
        <f t="shared" si="29"/>
        <v>#DIV/0!</v>
      </c>
      <c r="I498" s="35" t="e">
        <f>(Table143454[[#This Row],[Core CPI]]-F486)/F486</f>
        <v>#DIV/0!</v>
      </c>
    </row>
    <row r="499" spans="1:9" x14ac:dyDescent="0.35">
      <c r="A499" s="33">
        <f>IF(Data!A526="",#N/A,Data!A526)</f>
        <v>33848</v>
      </c>
      <c r="B499" s="34">
        <f>VLOOKUP(A499,Data!A:AX,MATCH($B$2,Data!$B$1:$AX$1,0),FALSE)</f>
        <v>0.14789869999999999</v>
      </c>
      <c r="C499" s="35">
        <f t="shared" si="30"/>
        <v>7.4480536039004175E-2</v>
      </c>
      <c r="D499" s="35">
        <f t="shared" si="27"/>
        <v>1.3680050982810412</v>
      </c>
      <c r="E499" s="35">
        <f>(Table143454[[#This Row],[USA]]-B487)/B487</f>
        <v>0.67665754756466456</v>
      </c>
      <c r="F499" s="34">
        <f>VLOOKUP(Table143454[[#This Row],[Date]],'Data Core CPI'!$A:$AX,MATCH($B$2,'Data Core CPI'!$B$1:$AX$1,0),FALSE)</f>
        <v>0</v>
      </c>
      <c r="G499" s="35" t="e">
        <f t="shared" si="28"/>
        <v>#DIV/0!</v>
      </c>
      <c r="H499" s="35" t="e">
        <f t="shared" si="29"/>
        <v>#DIV/0!</v>
      </c>
      <c r="I499" s="35" t="e">
        <f>(Table143454[[#This Row],[Core CPI]]-F487)/F487</f>
        <v>#DIV/0!</v>
      </c>
    </row>
    <row r="500" spans="1:9" x14ac:dyDescent="0.35">
      <c r="A500" s="33">
        <f>IF(Data!A527="",#N/A,Data!A527)</f>
        <v>33878</v>
      </c>
      <c r="B500" s="34">
        <f>VLOOKUP(A500,Data!A:AX,MATCH($B$2,Data!$B$1:$AX$1,0),FALSE)</f>
        <v>0.15907879999999999</v>
      </c>
      <c r="C500" s="35">
        <f t="shared" si="30"/>
        <v>7.5592956530381894E-2</v>
      </c>
      <c r="D500" s="35">
        <f t="shared" si="27"/>
        <v>1.397592631599704</v>
      </c>
      <c r="E500" s="35">
        <f>(Table143454[[#This Row],[USA]]-B488)/B488</f>
        <v>0.69183972579822983</v>
      </c>
      <c r="F500" s="34">
        <f>VLOOKUP(Table143454[[#This Row],[Date]],'Data Core CPI'!$A:$AX,MATCH($B$2,'Data Core CPI'!$B$1:$AX$1,0),FALSE)</f>
        <v>0</v>
      </c>
      <c r="G500" s="35" t="e">
        <f t="shared" si="28"/>
        <v>#DIV/0!</v>
      </c>
      <c r="H500" s="35" t="e">
        <f t="shared" si="29"/>
        <v>#DIV/0!</v>
      </c>
      <c r="I500" s="35" t="e">
        <f>(Table143454[[#This Row],[Core CPI]]-F488)/F488</f>
        <v>#DIV/0!</v>
      </c>
    </row>
    <row r="501" spans="1:9" x14ac:dyDescent="0.35">
      <c r="A501" s="33">
        <f>IF(Data!A528="",#N/A,Data!A528)</f>
        <v>33909</v>
      </c>
      <c r="B501" s="34">
        <f>VLOOKUP(A501,Data!A:AX,MATCH($B$2,Data!$B$1:$AX$1,0),FALSE)</f>
        <v>0.16683799999999999</v>
      </c>
      <c r="C501" s="35">
        <f t="shared" si="30"/>
        <v>4.8775826822933022E-2</v>
      </c>
      <c r="D501" s="35">
        <f t="shared" si="27"/>
        <v>0.77089179280933462</v>
      </c>
      <c r="E501" s="35">
        <f>(Table143454[[#This Row],[USA]]-B489)/B489</f>
        <v>0.6859329220243644</v>
      </c>
      <c r="F501" s="34">
        <f>VLOOKUP(Table143454[[#This Row],[Date]],'Data Core CPI'!$A:$AX,MATCH($B$2,'Data Core CPI'!$B$1:$AX$1,0),FALSE)</f>
        <v>0</v>
      </c>
      <c r="G501" s="35" t="e">
        <f t="shared" si="28"/>
        <v>#DIV/0!</v>
      </c>
      <c r="H501" s="35" t="e">
        <f t="shared" si="29"/>
        <v>#DIV/0!</v>
      </c>
      <c r="I501" s="35" t="e">
        <f>(Table143454[[#This Row],[Core CPI]]-F489)/F489</f>
        <v>#DIV/0!</v>
      </c>
    </row>
    <row r="502" spans="1:9" x14ac:dyDescent="0.35">
      <c r="A502" s="33">
        <f>IF(Data!A529="",#N/A,Data!A529)</f>
        <v>33939</v>
      </c>
      <c r="B502" s="34">
        <f>VLOOKUP(A502,Data!A:AX,MATCH($B$2,Data!$B$1:$AX$1,0),FALSE)</f>
        <v>0.17140279999999999</v>
      </c>
      <c r="C502" s="35">
        <f t="shared" si="30"/>
        <v>2.7360673227921684E-2</v>
      </c>
      <c r="D502" s="35">
        <f t="shared" si="27"/>
        <v>0.38253217105750403</v>
      </c>
      <c r="E502" s="35">
        <f>(Table143454[[#This Row],[USA]]-B490)/B490</f>
        <v>0.65966565158241774</v>
      </c>
      <c r="F502" s="34">
        <f>VLOOKUP(Table143454[[#This Row],[Date]],'Data Core CPI'!$A:$AX,MATCH($B$2,'Data Core CPI'!$B$1:$AX$1,0),FALSE)</f>
        <v>0</v>
      </c>
      <c r="G502" s="35" t="e">
        <f t="shared" si="28"/>
        <v>#DIV/0!</v>
      </c>
      <c r="H502" s="35" t="e">
        <f t="shared" si="29"/>
        <v>#DIV/0!</v>
      </c>
      <c r="I502" s="35" t="e">
        <f>(Table143454[[#This Row],[Core CPI]]-F490)/F490</f>
        <v>#DIV/0!</v>
      </c>
    </row>
    <row r="503" spans="1:9" x14ac:dyDescent="0.35">
      <c r="A503" s="33">
        <f>IF(Data!A530="",#N/A,Data!A530)</f>
        <v>33970</v>
      </c>
      <c r="B503" s="34">
        <f>VLOOKUP(A503,Data!A:AX,MATCH($B$2,Data!$B$1:$AX$1,0),FALSE)</f>
        <v>0.18046770000000001</v>
      </c>
      <c r="C503" s="35">
        <f t="shared" si="30"/>
        <v>5.2886533942269498E-2</v>
      </c>
      <c r="D503" s="35">
        <f t="shared" si="27"/>
        <v>0.85600377380714709</v>
      </c>
      <c r="E503" s="35">
        <f>(Table143454[[#This Row],[USA]]-B491)/B491</f>
        <v>0.59768705579891568</v>
      </c>
      <c r="F503" s="34">
        <f>VLOOKUP(Table143454[[#This Row],[Date]],'Data Core CPI'!$A:$AX,MATCH($B$2,'Data Core CPI'!$B$1:$AX$1,0),FALSE)</f>
        <v>0</v>
      </c>
      <c r="G503" s="35" t="e">
        <f t="shared" si="28"/>
        <v>#DIV/0!</v>
      </c>
      <c r="H503" s="35" t="e">
        <f t="shared" si="29"/>
        <v>#DIV/0!</v>
      </c>
      <c r="I503" s="35" t="e">
        <f>(Table143454[[#This Row],[Core CPI]]-F491)/F491</f>
        <v>#DIV/0!</v>
      </c>
    </row>
    <row r="504" spans="1:9" x14ac:dyDescent="0.35">
      <c r="A504" s="33">
        <f>IF(Data!A531="",#N/A,Data!A531)</f>
        <v>34001</v>
      </c>
      <c r="B504" s="34">
        <f>VLOOKUP(A504,Data!A:AX,MATCH($B$2,Data!$B$1:$AX$1,0),FALSE)</f>
        <v>0.18764410000000001</v>
      </c>
      <c r="C504" s="35">
        <f t="shared" si="30"/>
        <v>3.9765564696618849E-2</v>
      </c>
      <c r="D504" s="35">
        <f t="shared" si="27"/>
        <v>0.59670675536066575</v>
      </c>
      <c r="E504" s="35">
        <f>(Table143454[[#This Row],[USA]]-B492)/B492</f>
        <v>0.58158993347251875</v>
      </c>
      <c r="F504" s="34">
        <f>VLOOKUP(Table143454[[#This Row],[Date]],'Data Core CPI'!$A:$AX,MATCH($B$2,'Data Core CPI'!$B$1:$AX$1,0),FALSE)</f>
        <v>0</v>
      </c>
      <c r="G504" s="35" t="e">
        <f t="shared" si="28"/>
        <v>#DIV/0!</v>
      </c>
      <c r="H504" s="35" t="e">
        <f t="shared" si="29"/>
        <v>#DIV/0!</v>
      </c>
      <c r="I504" s="35" t="e">
        <f>(Table143454[[#This Row],[Core CPI]]-F492)/F492</f>
        <v>#DIV/0!</v>
      </c>
    </row>
    <row r="505" spans="1:9" x14ac:dyDescent="0.35">
      <c r="A505" s="33">
        <f>IF(Data!A532="",#N/A,Data!A532)</f>
        <v>34029</v>
      </c>
      <c r="B505" s="34">
        <f>VLOOKUP(A505,Data!A:AX,MATCH($B$2,Data!$B$1:$AX$1,0),FALSE)</f>
        <v>0.1965904</v>
      </c>
      <c r="C505" s="35">
        <f t="shared" si="30"/>
        <v>4.7676958668031677E-2</v>
      </c>
      <c r="D505" s="35">
        <f t="shared" si="27"/>
        <v>0.74875396447376019</v>
      </c>
      <c r="E505" s="35">
        <f>(Table143454[[#This Row],[USA]]-B493)/B493</f>
        <v>0.58010291264320879</v>
      </c>
      <c r="F505" s="34">
        <f>VLOOKUP(Table143454[[#This Row],[Date]],'Data Core CPI'!$A:$AX,MATCH($B$2,'Data Core CPI'!$B$1:$AX$1,0),FALSE)</f>
        <v>0</v>
      </c>
      <c r="G505" s="35" t="e">
        <f t="shared" si="28"/>
        <v>#DIV/0!</v>
      </c>
      <c r="H505" s="35" t="e">
        <f t="shared" si="29"/>
        <v>#DIV/0!</v>
      </c>
      <c r="I505" s="35" t="e">
        <f>(Table143454[[#This Row],[Core CPI]]-F493)/F493</f>
        <v>#DIV/0!</v>
      </c>
    </row>
    <row r="506" spans="1:9" x14ac:dyDescent="0.35">
      <c r="A506" s="33">
        <f>IF(Data!A533="",#N/A,Data!A533)</f>
        <v>34060</v>
      </c>
      <c r="B506" s="34">
        <f>VLOOKUP(A506,Data!A:AX,MATCH($B$2,Data!$B$1:$AX$1,0),FALSE)</f>
        <v>0.2052128</v>
      </c>
      <c r="C506" s="35">
        <f t="shared" si="30"/>
        <v>4.3859720515345701E-2</v>
      </c>
      <c r="D506" s="35">
        <f t="shared" si="27"/>
        <v>0.67380814590557603</v>
      </c>
      <c r="E506" s="35">
        <f>(Table143454[[#This Row],[USA]]-B494)/B494</f>
        <v>0.58970012936811023</v>
      </c>
      <c r="F506" s="34">
        <f>VLOOKUP(Table143454[[#This Row],[Date]],'Data Core CPI'!$A:$AX,MATCH($B$2,'Data Core CPI'!$B$1:$AX$1,0),FALSE)</f>
        <v>0</v>
      </c>
      <c r="G506" s="35" t="e">
        <f t="shared" si="28"/>
        <v>#DIV/0!</v>
      </c>
      <c r="H506" s="35" t="e">
        <f t="shared" si="29"/>
        <v>#DIV/0!</v>
      </c>
      <c r="I506" s="35" t="e">
        <f>(Table143454[[#This Row],[Core CPI]]-F494)/F494</f>
        <v>#DIV/0!</v>
      </c>
    </row>
    <row r="507" spans="1:9" x14ac:dyDescent="0.35">
      <c r="A507" s="33">
        <f>IF(Data!A534="",#N/A,Data!A534)</f>
        <v>34090</v>
      </c>
      <c r="B507" s="34">
        <f>VLOOKUP(A507,Data!A:AX,MATCH($B$2,Data!$B$1:$AX$1,0),FALSE)</f>
        <v>0.2149037</v>
      </c>
      <c r="C507" s="35">
        <f t="shared" si="30"/>
        <v>4.7223662461600924E-2</v>
      </c>
      <c r="D507" s="35">
        <f t="shared" ref="D507:D570" si="31">((1+C507)^12)-1</f>
        <v>0.73969598292132543</v>
      </c>
      <c r="E507" s="35">
        <f>(Table143454[[#This Row],[USA]]-B495)/B495</f>
        <v>0.65028593456870987</v>
      </c>
      <c r="F507" s="34">
        <f>VLOOKUP(Table143454[[#This Row],[Date]],'Data Core CPI'!$A:$AX,MATCH($B$2,'Data Core CPI'!$B$1:$AX$1,0),FALSE)</f>
        <v>0</v>
      </c>
      <c r="G507" s="35" t="e">
        <f t="shared" si="28"/>
        <v>#DIV/0!</v>
      </c>
      <c r="H507" s="35" t="e">
        <f t="shared" si="29"/>
        <v>#DIV/0!</v>
      </c>
      <c r="I507" s="35" t="e">
        <f>(Table143454[[#This Row],[Core CPI]]-F495)/F495</f>
        <v>#DIV/0!</v>
      </c>
    </row>
    <row r="508" spans="1:9" x14ac:dyDescent="0.35">
      <c r="A508" s="33">
        <f>IF(Data!A535="",#N/A,Data!A535)</f>
        <v>34121</v>
      </c>
      <c r="B508" s="34">
        <f>VLOOKUP(A508,Data!A:AX,MATCH($B$2,Data!$B$1:$AX$1,0),FALSE)</f>
        <v>0.2188426</v>
      </c>
      <c r="C508" s="35">
        <f t="shared" si="30"/>
        <v>1.8328674657532629E-2</v>
      </c>
      <c r="D508" s="35">
        <f t="shared" si="31"/>
        <v>0.2435283091292757</v>
      </c>
      <c r="E508" s="35">
        <f>(Table143454[[#This Row],[USA]]-B496)/B496</f>
        <v>0.67235676928108767</v>
      </c>
      <c r="F508" s="34">
        <f>VLOOKUP(Table143454[[#This Row],[Date]],'Data Core CPI'!$A:$AX,MATCH($B$2,'Data Core CPI'!$B$1:$AX$1,0),FALSE)</f>
        <v>0</v>
      </c>
      <c r="G508" s="35" t="e">
        <f t="shared" si="28"/>
        <v>#DIV/0!</v>
      </c>
      <c r="H508" s="35" t="e">
        <f t="shared" si="29"/>
        <v>#DIV/0!</v>
      </c>
      <c r="I508" s="35" t="e">
        <f>(Table143454[[#This Row],[Core CPI]]-F496)/F496</f>
        <v>#DIV/0!</v>
      </c>
    </row>
    <row r="509" spans="1:9" x14ac:dyDescent="0.35">
      <c r="A509" s="33">
        <f>IF(Data!A536="",#N/A,Data!A536)</f>
        <v>34151</v>
      </c>
      <c r="B509" s="34">
        <f>VLOOKUP(A509,Data!A:AX,MATCH($B$2,Data!$B$1:$AX$1,0),FALSE)</f>
        <v>0.22952629999999999</v>
      </c>
      <c r="C509" s="35">
        <f t="shared" si="30"/>
        <v>4.8819105603753465E-2</v>
      </c>
      <c r="D509" s="35">
        <f t="shared" si="31"/>
        <v>0.77176892326672064</v>
      </c>
      <c r="E509" s="35">
        <f>(Table143454[[#This Row],[USA]]-B497)/B497</f>
        <v>0.7311568761289885</v>
      </c>
      <c r="F509" s="34">
        <f>VLOOKUP(Table143454[[#This Row],[Date]],'Data Core CPI'!$A:$AX,MATCH($B$2,'Data Core CPI'!$B$1:$AX$1,0),FALSE)</f>
        <v>0</v>
      </c>
      <c r="G509" s="35" t="e">
        <f t="shared" si="28"/>
        <v>#DIV/0!</v>
      </c>
      <c r="H509" s="35" t="e">
        <f t="shared" si="29"/>
        <v>#DIV/0!</v>
      </c>
      <c r="I509" s="35" t="e">
        <f>(Table143454[[#This Row],[Core CPI]]-F497)/F497</f>
        <v>#DIV/0!</v>
      </c>
    </row>
    <row r="510" spans="1:9" x14ac:dyDescent="0.35">
      <c r="A510" s="33">
        <f>IF(Data!A537="",#N/A,Data!A537)</f>
        <v>34182</v>
      </c>
      <c r="B510" s="34">
        <f>VLOOKUP(A510,Data!A:AX,MATCH($B$2,Data!$B$1:$AX$1,0),FALSE)</f>
        <v>0.2356559</v>
      </c>
      <c r="C510" s="35">
        <f t="shared" si="30"/>
        <v>2.6705436370472624E-2</v>
      </c>
      <c r="D510" s="35">
        <f t="shared" si="31"/>
        <v>0.37198808331391353</v>
      </c>
      <c r="E510" s="35">
        <f>(Table143454[[#This Row],[USA]]-B498)/B498</f>
        <v>0.71203450573097637</v>
      </c>
      <c r="F510" s="34">
        <f>VLOOKUP(Table143454[[#This Row],[Date]],'Data Core CPI'!$A:$AX,MATCH($B$2,'Data Core CPI'!$B$1:$AX$1,0),FALSE)</f>
        <v>0</v>
      </c>
      <c r="G510" s="35" t="e">
        <f t="shared" si="28"/>
        <v>#DIV/0!</v>
      </c>
      <c r="H510" s="35" t="e">
        <f t="shared" si="29"/>
        <v>#DIV/0!</v>
      </c>
      <c r="I510" s="35" t="e">
        <f>(Table143454[[#This Row],[Core CPI]]-F498)/F498</f>
        <v>#DIV/0!</v>
      </c>
    </row>
    <row r="511" spans="1:9" x14ac:dyDescent="0.35">
      <c r="A511" s="33">
        <f>IF(Data!A538="",#N/A,Data!A538)</f>
        <v>34213</v>
      </c>
      <c r="B511" s="34">
        <f>VLOOKUP(A511,Data!A:AX,MATCH($B$2,Data!$B$1:$AX$1,0),FALSE)</f>
        <v>0.24883240000000001</v>
      </c>
      <c r="C511" s="35">
        <f t="shared" si="30"/>
        <v>5.5914152796513905E-2</v>
      </c>
      <c r="D511" s="35">
        <f t="shared" si="31"/>
        <v>0.92107062410472307</v>
      </c>
      <c r="E511" s="35">
        <f>(Table143454[[#This Row],[USA]]-B499)/B499</f>
        <v>0.68245156989209521</v>
      </c>
      <c r="F511" s="34">
        <f>VLOOKUP(Table143454[[#This Row],[Date]],'Data Core CPI'!$A:$AX,MATCH($B$2,'Data Core CPI'!$B$1:$AX$1,0),FALSE)</f>
        <v>0</v>
      </c>
      <c r="G511" s="35" t="e">
        <f t="shared" si="28"/>
        <v>#DIV/0!</v>
      </c>
      <c r="H511" s="35" t="e">
        <f t="shared" si="29"/>
        <v>#DIV/0!</v>
      </c>
      <c r="I511" s="35" t="e">
        <f>(Table143454[[#This Row],[Core CPI]]-F499)/F499</f>
        <v>#DIV/0!</v>
      </c>
    </row>
    <row r="512" spans="1:9" x14ac:dyDescent="0.35">
      <c r="A512" s="33">
        <f>IF(Data!A539="",#N/A,Data!A539)</f>
        <v>34243</v>
      </c>
      <c r="B512" s="34">
        <f>VLOOKUP(A512,Data!A:AX,MATCH($B$2,Data!$B$1:$AX$1,0),FALSE)</f>
        <v>0.2659803</v>
      </c>
      <c r="C512" s="35">
        <f t="shared" si="30"/>
        <v>6.8913453392725366E-2</v>
      </c>
      <c r="D512" s="35">
        <f t="shared" si="31"/>
        <v>1.224900111855773</v>
      </c>
      <c r="E512" s="35">
        <f>(Table143454[[#This Row],[USA]]-B500)/B500</f>
        <v>0.67200343477572133</v>
      </c>
      <c r="F512" s="34">
        <f>VLOOKUP(Table143454[[#This Row],[Date]],'Data Core CPI'!$A:$AX,MATCH($B$2,'Data Core CPI'!$B$1:$AX$1,0),FALSE)</f>
        <v>0</v>
      </c>
      <c r="G512" s="35" t="e">
        <f t="shared" si="28"/>
        <v>#DIV/0!</v>
      </c>
      <c r="H512" s="35" t="e">
        <f t="shared" si="29"/>
        <v>#DIV/0!</v>
      </c>
      <c r="I512" s="35" t="e">
        <f>(Table143454[[#This Row],[Core CPI]]-F500)/F500</f>
        <v>#DIV/0!</v>
      </c>
    </row>
    <row r="513" spans="1:9" x14ac:dyDescent="0.35">
      <c r="A513" s="33">
        <f>IF(Data!A540="",#N/A,Data!A540)</f>
        <v>34274</v>
      </c>
      <c r="B513" s="34">
        <f>VLOOKUP(A513,Data!A:AX,MATCH($B$2,Data!$B$1:$AX$1,0),FALSE)</f>
        <v>0.28298780000000001</v>
      </c>
      <c r="C513" s="35">
        <f t="shared" si="30"/>
        <v>6.3942705531199184E-2</v>
      </c>
      <c r="D513" s="35">
        <f t="shared" si="31"/>
        <v>1.1038699779538974</v>
      </c>
      <c r="E513" s="35">
        <f>(Table143454[[#This Row],[USA]]-B501)/B501</f>
        <v>0.69618312374878644</v>
      </c>
      <c r="F513" s="34">
        <f>VLOOKUP(Table143454[[#This Row],[Date]],'Data Core CPI'!$A:$AX,MATCH($B$2,'Data Core CPI'!$B$1:$AX$1,0),FALSE)</f>
        <v>0</v>
      </c>
      <c r="G513" s="35" t="e">
        <f t="shared" si="28"/>
        <v>#DIV/0!</v>
      </c>
      <c r="H513" s="35" t="e">
        <f t="shared" si="29"/>
        <v>#DIV/0!</v>
      </c>
      <c r="I513" s="35" t="e">
        <f>(Table143454[[#This Row],[Core CPI]]-F501)/F501</f>
        <v>#DIV/0!</v>
      </c>
    </row>
    <row r="514" spans="1:9" x14ac:dyDescent="0.35">
      <c r="A514" s="33">
        <f>IF(Data!A541="",#N/A,Data!A541)</f>
        <v>34304</v>
      </c>
      <c r="B514" s="34">
        <f>VLOOKUP(A514,Data!A:AX,MATCH($B$2,Data!$B$1:$AX$1,0),FALSE)</f>
        <v>0.29322900000000002</v>
      </c>
      <c r="C514" s="35">
        <f t="shared" si="30"/>
        <v>3.618954598042734E-2</v>
      </c>
      <c r="D514" s="35">
        <f t="shared" si="31"/>
        <v>0.53204131430049695</v>
      </c>
      <c r="E514" s="35">
        <f>(Table143454[[#This Row],[USA]]-B502)/B502</f>
        <v>0.71075968420585911</v>
      </c>
      <c r="F514" s="34">
        <f>VLOOKUP(Table143454[[#This Row],[Date]],'Data Core CPI'!$A:$AX,MATCH($B$2,'Data Core CPI'!$B$1:$AX$1,0),FALSE)</f>
        <v>0</v>
      </c>
      <c r="G514" s="35" t="e">
        <f t="shared" si="28"/>
        <v>#DIV/0!</v>
      </c>
      <c r="H514" s="35" t="e">
        <f t="shared" si="29"/>
        <v>#DIV/0!</v>
      </c>
      <c r="I514" s="35" t="e">
        <f>(Table143454[[#This Row],[Core CPI]]-F502)/F502</f>
        <v>#DIV/0!</v>
      </c>
    </row>
    <row r="515" spans="1:9" x14ac:dyDescent="0.35">
      <c r="A515" s="33">
        <f>IF(Data!A542="",#N/A,Data!A542)</f>
        <v>34335</v>
      </c>
      <c r="B515" s="34">
        <f>VLOOKUP(A515,Data!A:AX,MATCH($B$2,Data!$B$1:$AX$1,0),FALSE)</f>
        <v>0.30615740000000002</v>
      </c>
      <c r="C515" s="35">
        <f t="shared" si="30"/>
        <v>4.408977283965787E-2</v>
      </c>
      <c r="D515" s="35">
        <f t="shared" si="31"/>
        <v>0.67824012696219538</v>
      </c>
      <c r="E515" s="35">
        <f>(Table143454[[#This Row],[USA]]-B503)/B503</f>
        <v>0.69646645909489624</v>
      </c>
      <c r="F515" s="34">
        <f>VLOOKUP(Table143454[[#This Row],[Date]],'Data Core CPI'!$A:$AX,MATCH($B$2,'Data Core CPI'!$B$1:$AX$1,0),FALSE)</f>
        <v>0.32922960000000001</v>
      </c>
      <c r="G515" s="35" t="e">
        <f t="shared" ref="G515:G578" si="32">(F515/F514)-1</f>
        <v>#DIV/0!</v>
      </c>
      <c r="H515" s="35" t="e">
        <f t="shared" ref="H515:H578" si="33">((1+G515)^12)-1</f>
        <v>#DIV/0!</v>
      </c>
      <c r="I515" s="35" t="e">
        <f>(Table143454[[#This Row],[Core CPI]]-F503)/F503</f>
        <v>#DIV/0!</v>
      </c>
    </row>
    <row r="516" spans="1:9" x14ac:dyDescent="0.35">
      <c r="A516" s="33">
        <f>IF(Data!A543="",#N/A,Data!A543)</f>
        <v>34366</v>
      </c>
      <c r="B516" s="34">
        <f>VLOOKUP(A516,Data!A:AX,MATCH($B$2,Data!$B$1:$AX$1,0),FALSE)</f>
        <v>0.32609320000000003</v>
      </c>
      <c r="C516" s="35">
        <f t="shared" ref="C516:C579" si="34">(B516/B515)-1</f>
        <v>6.5116178802145486E-2</v>
      </c>
      <c r="D516" s="35">
        <f t="shared" si="31"/>
        <v>1.1318850225550769</v>
      </c>
      <c r="E516" s="35">
        <f>(Table143454[[#This Row],[USA]]-B504)/B504</f>
        <v>0.73782815446901884</v>
      </c>
      <c r="F516" s="34">
        <f>VLOOKUP(Table143454[[#This Row],[Date]],'Data Core CPI'!$A:$AX,MATCH($B$2,'Data Core CPI'!$B$1:$AX$1,0),FALSE)</f>
        <v>0.34598679999999998</v>
      </c>
      <c r="G516" s="35">
        <f t="shared" si="32"/>
        <v>5.0898218143204499E-2</v>
      </c>
      <c r="H516" s="35">
        <f t="shared" si="33"/>
        <v>0.8143784041721609</v>
      </c>
      <c r="I516" s="35" t="e">
        <f>(Table143454[[#This Row],[Core CPI]]-F504)/F504</f>
        <v>#DIV/0!</v>
      </c>
    </row>
    <row r="517" spans="1:9" x14ac:dyDescent="0.35">
      <c r="A517" s="33">
        <f>IF(Data!A544="",#N/A,Data!A544)</f>
        <v>34394</v>
      </c>
      <c r="B517" s="34">
        <f>VLOOKUP(A517,Data!A:AX,MATCH($B$2,Data!$B$1:$AX$1,0),FALSE)</f>
        <v>0.34507969999999999</v>
      </c>
      <c r="C517" s="35">
        <f t="shared" si="34"/>
        <v>5.8224151868238705E-2</v>
      </c>
      <c r="D517" s="35">
        <f t="shared" si="31"/>
        <v>0.97211406576769011</v>
      </c>
      <c r="E517" s="35">
        <f>(Table143454[[#This Row],[USA]]-B505)/B505</f>
        <v>0.75532325077928519</v>
      </c>
      <c r="F517" s="34">
        <f>VLOOKUP(Table143454[[#This Row],[Date]],'Data Core CPI'!$A:$AX,MATCH($B$2,'Data Core CPI'!$B$1:$AX$1,0),FALSE)</f>
        <v>0.36274390000000001</v>
      </c>
      <c r="G517" s="35">
        <f t="shared" si="32"/>
        <v>4.8432772579763306E-2</v>
      </c>
      <c r="H517" s="35">
        <f t="shared" si="33"/>
        <v>0.76395318676188628</v>
      </c>
      <c r="I517" s="35" t="e">
        <f>(Table143454[[#This Row],[Core CPI]]-F505)/F505</f>
        <v>#DIV/0!</v>
      </c>
    </row>
    <row r="518" spans="1:9" x14ac:dyDescent="0.35">
      <c r="A518" s="33">
        <f>IF(Data!A545="",#N/A,Data!A545)</f>
        <v>34425</v>
      </c>
      <c r="B518" s="34">
        <f>VLOOKUP(A518,Data!A:AX,MATCH($B$2,Data!$B$1:$AX$1,0),FALSE)</f>
        <v>0.42577229999999999</v>
      </c>
      <c r="C518" s="35">
        <f t="shared" si="34"/>
        <v>0.2338375743342771</v>
      </c>
      <c r="D518" s="35">
        <f t="shared" si="31"/>
        <v>11.447894570356956</v>
      </c>
      <c r="E518" s="35">
        <f>(Table143454[[#This Row],[USA]]-B506)/B506</f>
        <v>1.0747843214458357</v>
      </c>
      <c r="F518" s="34">
        <f>VLOOKUP(Table143454[[#This Row],[Date]],'Data Core CPI'!$A:$AX,MATCH($B$2,'Data Core CPI'!$B$1:$AX$1,0),FALSE)</f>
        <v>0.43223699999999998</v>
      </c>
      <c r="G518" s="35">
        <f t="shared" si="32"/>
        <v>0.19157620569222522</v>
      </c>
      <c r="H518" s="35">
        <f t="shared" si="33"/>
        <v>7.1933567990814957</v>
      </c>
      <c r="I518" s="35" t="e">
        <f>(Table143454[[#This Row],[Core CPI]]-F506)/F506</f>
        <v>#DIV/0!</v>
      </c>
    </row>
    <row r="519" spans="1:9" x14ac:dyDescent="0.35">
      <c r="A519" s="33">
        <f>IF(Data!A546="",#N/A,Data!A546)</f>
        <v>34455</v>
      </c>
      <c r="B519" s="34">
        <f>VLOOKUP(A519,Data!A:AX,MATCH($B$2,Data!$B$1:$AX$1,0),FALSE)</f>
        <v>0.46089740000000001</v>
      </c>
      <c r="C519" s="35">
        <f t="shared" si="34"/>
        <v>8.2497381816524884E-2</v>
      </c>
      <c r="D519" s="35">
        <f t="shared" si="31"/>
        <v>1.5889416088357984</v>
      </c>
      <c r="E519" s="35">
        <f>(Table143454[[#This Row],[USA]]-B507)/B507</f>
        <v>1.1446694496185967</v>
      </c>
      <c r="F519" s="34">
        <f>VLOOKUP(Table143454[[#This Row],[Date]],'Data Core CPI'!$A:$AX,MATCH($B$2,'Data Core CPI'!$B$1:$AX$1,0),FALSE)</f>
        <v>0.46969430000000001</v>
      </c>
      <c r="G519" s="35">
        <f t="shared" si="32"/>
        <v>8.6659170778994099E-2</v>
      </c>
      <c r="H519" s="35">
        <f t="shared" si="33"/>
        <v>1.7109418037241921</v>
      </c>
      <c r="I519" s="35" t="e">
        <f>(Table143454[[#This Row],[Core CPI]]-F507)/F507</f>
        <v>#DIV/0!</v>
      </c>
    </row>
    <row r="520" spans="1:9" x14ac:dyDescent="0.35">
      <c r="A520" s="33">
        <f>IF(Data!A547="",#N/A,Data!A547)</f>
        <v>34486</v>
      </c>
      <c r="B520" s="34">
        <f>VLOOKUP(A520,Data!A:AX,MATCH($B$2,Data!$B$1:$AX$1,0),FALSE)</f>
        <v>0.469916</v>
      </c>
      <c r="C520" s="35">
        <f t="shared" si="34"/>
        <v>1.9567478575492014E-2</v>
      </c>
      <c r="D520" s="35">
        <f t="shared" si="31"/>
        <v>0.26180339182983547</v>
      </c>
      <c r="E520" s="35">
        <f>(Table143454[[#This Row],[USA]]-B508)/B508</f>
        <v>1.147278454926052</v>
      </c>
      <c r="F520" s="34">
        <f>VLOOKUP(Table143454[[#This Row],[Date]],'Data Core CPI'!$A:$AX,MATCH($B$2,'Data Core CPI'!$B$1:$AX$1,0),FALSE)</f>
        <v>0.48842289999999999</v>
      </c>
      <c r="G520" s="35">
        <f t="shared" si="32"/>
        <v>3.9874020187172787E-2</v>
      </c>
      <c r="H520" s="35">
        <f t="shared" si="33"/>
        <v>0.59870648686201755</v>
      </c>
      <c r="I520" s="35" t="e">
        <f>(Table143454[[#This Row],[Core CPI]]-F508)/F508</f>
        <v>#DIV/0!</v>
      </c>
    </row>
    <row r="521" spans="1:9" x14ac:dyDescent="0.35">
      <c r="A521" s="33">
        <f>IF(Data!A548="",#N/A,Data!A548)</f>
        <v>34516</v>
      </c>
      <c r="B521" s="34">
        <f>VLOOKUP(A521,Data!A:AX,MATCH($B$2,Data!$B$1:$AX$1,0),FALSE)</f>
        <v>0.48463050000000002</v>
      </c>
      <c r="C521" s="35">
        <f t="shared" si="34"/>
        <v>3.1313043182185751E-2</v>
      </c>
      <c r="D521" s="35">
        <f t="shared" si="31"/>
        <v>0.44772516818432373</v>
      </c>
      <c r="E521" s="35">
        <f>(Table143454[[#This Row],[USA]]-B509)/B509</f>
        <v>1.1114377742332797</v>
      </c>
      <c r="F521" s="34">
        <f>VLOOKUP(Table143454[[#This Row],[Date]],'Data Core CPI'!$A:$AX,MATCH($B$2,'Data Core CPI'!$B$1:$AX$1,0),FALSE)</f>
        <v>0.51010869999999997</v>
      </c>
      <c r="G521" s="35">
        <f t="shared" si="32"/>
        <v>4.4399638100506733E-2</v>
      </c>
      <c r="H521" s="35">
        <f t="shared" si="33"/>
        <v>0.68422671554544978</v>
      </c>
      <c r="I521" s="35" t="e">
        <f>(Table143454[[#This Row],[Core CPI]]-F509)/F509</f>
        <v>#DIV/0!</v>
      </c>
    </row>
    <row r="522" spans="1:9" x14ac:dyDescent="0.35">
      <c r="A522" s="33">
        <f>IF(Data!A549="",#N/A,Data!A549)</f>
        <v>34547</v>
      </c>
      <c r="B522" s="34">
        <f>VLOOKUP(A522,Data!A:AX,MATCH($B$2,Data!$B$1:$AX$1,0),FALSE)</f>
        <v>0.4983957</v>
      </c>
      <c r="C522" s="35">
        <f t="shared" si="34"/>
        <v>2.8403495033845427E-2</v>
      </c>
      <c r="D522" s="35">
        <f t="shared" si="31"/>
        <v>0.39946656503501665</v>
      </c>
      <c r="E522" s="35">
        <f>(Table143454[[#This Row],[USA]]-B510)/B510</f>
        <v>1.1149298617178689</v>
      </c>
      <c r="F522" s="34">
        <f>VLOOKUP(Table143454[[#This Row],[Date]],'Data Core CPI'!$A:$AX,MATCH($B$2,'Data Core CPI'!$B$1:$AX$1,0),FALSE)</f>
        <v>0.53080870000000002</v>
      </c>
      <c r="G522" s="35">
        <f t="shared" si="32"/>
        <v>4.0579586272494472E-2</v>
      </c>
      <c r="H522" s="35">
        <f t="shared" si="33"/>
        <v>0.61177205497253495</v>
      </c>
      <c r="I522" s="35" t="e">
        <f>(Table143454[[#This Row],[Core CPI]]-F510)/F510</f>
        <v>#DIV/0!</v>
      </c>
    </row>
    <row r="523" spans="1:9" x14ac:dyDescent="0.35">
      <c r="A523" s="33">
        <f>IF(Data!A550="",#N/A,Data!A550)</f>
        <v>34578</v>
      </c>
      <c r="B523" s="34">
        <f>VLOOKUP(A523,Data!A:AX,MATCH($B$2,Data!$B$1:$AX$1,0),FALSE)</f>
        <v>0.52924879999999996</v>
      </c>
      <c r="C523" s="35">
        <f t="shared" si="34"/>
        <v>6.1904827830577158E-2</v>
      </c>
      <c r="D523" s="35">
        <f t="shared" si="31"/>
        <v>1.0560190927422868</v>
      </c>
      <c r="E523" s="35">
        <f>(Table143454[[#This Row],[USA]]-B511)/B511</f>
        <v>1.1269288083063136</v>
      </c>
      <c r="F523" s="34">
        <f>VLOOKUP(Table143454[[#This Row],[Date]],'Data Core CPI'!$A:$AX,MATCH($B$2,'Data Core CPI'!$B$1:$AX$1,0),FALSE)</f>
        <v>0.56284460000000003</v>
      </c>
      <c r="G523" s="35">
        <f t="shared" si="32"/>
        <v>6.0353004764239992E-2</v>
      </c>
      <c r="H523" s="35">
        <f t="shared" si="33"/>
        <v>1.0202525180947357</v>
      </c>
      <c r="I523" s="35" t="e">
        <f>(Table143454[[#This Row],[Core CPI]]-F511)/F511</f>
        <v>#DIV/0!</v>
      </c>
    </row>
    <row r="524" spans="1:9" x14ac:dyDescent="0.35">
      <c r="A524" s="33">
        <f>IF(Data!A551="",#N/A,Data!A551)</f>
        <v>34608</v>
      </c>
      <c r="B524" s="34">
        <f>VLOOKUP(A524,Data!A:AX,MATCH($B$2,Data!$B$1:$AX$1,0),FALSE)</f>
        <v>0.56769650000000005</v>
      </c>
      <c r="C524" s="35">
        <f t="shared" si="34"/>
        <v>7.2645795323485141E-2</v>
      </c>
      <c r="D524" s="35">
        <f t="shared" si="31"/>
        <v>1.3199360654888572</v>
      </c>
      <c r="E524" s="35">
        <f>(Table143454[[#This Row],[USA]]-B512)/B512</f>
        <v>1.1343554391058286</v>
      </c>
      <c r="F524" s="34">
        <f>VLOOKUP(Table143454[[#This Row],[Date]],'Data Core CPI'!$A:$AX,MATCH($B$2,'Data Core CPI'!$B$1:$AX$1,0),FALSE)</f>
        <v>0.59438749999999996</v>
      </c>
      <c r="G524" s="35">
        <f t="shared" si="32"/>
        <v>5.6041934132440741E-2</v>
      </c>
      <c r="H524" s="35">
        <f t="shared" si="33"/>
        <v>0.92386221947516889</v>
      </c>
      <c r="I524" s="35" t="e">
        <f>(Table143454[[#This Row],[Core CPI]]-F512)/F512</f>
        <v>#DIV/0!</v>
      </c>
    </row>
    <row r="525" spans="1:9" x14ac:dyDescent="0.35">
      <c r="A525" s="33">
        <f>IF(Data!A552="",#N/A,Data!A552)</f>
        <v>34639</v>
      </c>
      <c r="B525" s="34">
        <f>VLOOKUP(A525,Data!A:AX,MATCH($B$2,Data!$B$1:$AX$1,0),FALSE)</f>
        <v>0.60377080000000005</v>
      </c>
      <c r="C525" s="35">
        <f t="shared" si="34"/>
        <v>6.3545045636180575E-2</v>
      </c>
      <c r="D525" s="35">
        <f t="shared" si="31"/>
        <v>1.0944532262939544</v>
      </c>
      <c r="E525" s="35">
        <f>(Table143454[[#This Row],[USA]]-B513)/B513</f>
        <v>1.1335577010740394</v>
      </c>
      <c r="F525" s="34">
        <f>VLOOKUP(Table143454[[#This Row],[Date]],'Data Core CPI'!$A:$AX,MATCH($B$2,'Data Core CPI'!$B$1:$AX$1,0),FALSE)</f>
        <v>0.62494470000000002</v>
      </c>
      <c r="G525" s="35">
        <f t="shared" si="32"/>
        <v>5.1409560261614029E-2</v>
      </c>
      <c r="H525" s="35">
        <f t="shared" si="33"/>
        <v>0.82500080291719247</v>
      </c>
      <c r="I525" s="35" t="e">
        <f>(Table143454[[#This Row],[Core CPI]]-F513)/F513</f>
        <v>#DIV/0!</v>
      </c>
    </row>
    <row r="526" spans="1:9" x14ac:dyDescent="0.35">
      <c r="A526" s="33">
        <f>IF(Data!A553="",#N/A,Data!A553)</f>
        <v>34669</v>
      </c>
      <c r="B526" s="34">
        <f>VLOOKUP(A526,Data!A:AX,MATCH($B$2,Data!$B$1:$AX$1,0),FALSE)</f>
        <v>0.64601580000000003</v>
      </c>
      <c r="C526" s="35">
        <f t="shared" si="34"/>
        <v>6.9968603980185895E-2</v>
      </c>
      <c r="D526" s="35">
        <f t="shared" si="31"/>
        <v>1.251398709241804</v>
      </c>
      <c r="E526" s="35">
        <f>(Table143454[[#This Row],[USA]]-B514)/B514</f>
        <v>1.203110197149668</v>
      </c>
      <c r="F526" s="34">
        <f>VLOOKUP(Table143454[[#This Row],[Date]],'Data Core CPI'!$A:$AX,MATCH($B$2,'Data Core CPI'!$B$1:$AX$1,0),FALSE)</f>
        <v>0.66240200000000005</v>
      </c>
      <c r="G526" s="35">
        <f t="shared" si="32"/>
        <v>5.9936983224275764E-2</v>
      </c>
      <c r="H526" s="35">
        <f t="shared" si="33"/>
        <v>1.0107614452580371</v>
      </c>
      <c r="I526" s="35" t="e">
        <f>(Table143454[[#This Row],[Core CPI]]-F514)/F514</f>
        <v>#DIV/0!</v>
      </c>
    </row>
    <row r="527" spans="1:9" x14ac:dyDescent="0.35">
      <c r="A527" s="33">
        <f>IF(Data!A554="",#N/A,Data!A554)</f>
        <v>34700</v>
      </c>
      <c r="B527" s="34">
        <f>VLOOKUP(A527,Data!A:AX,MATCH($B$2,Data!$B$1:$AX$1,0),FALSE)</f>
        <v>0.69158339999999996</v>
      </c>
      <c r="C527" s="35">
        <f t="shared" si="34"/>
        <v>7.0536355302764919E-2</v>
      </c>
      <c r="D527" s="35">
        <f t="shared" si="31"/>
        <v>1.2657763831909086</v>
      </c>
      <c r="E527" s="35">
        <f>(Table143454[[#This Row],[USA]]-B515)/B515</f>
        <v>1.2589145321981434</v>
      </c>
      <c r="F527" s="34">
        <f>VLOOKUP(Table143454[[#This Row],[Date]],'Data Core CPI'!$A:$AX,MATCH($B$2,'Data Core CPI'!$B$1:$AX$1,0),FALSE)</f>
        <v>0.70725210000000005</v>
      </c>
      <c r="G527" s="35">
        <f t="shared" si="32"/>
        <v>6.7708279866304677E-2</v>
      </c>
      <c r="H527" s="35">
        <f t="shared" si="33"/>
        <v>1.1949838402129562</v>
      </c>
      <c r="I527" s="35">
        <f>(Table143454[[#This Row],[Core CPI]]-F515)/F515</f>
        <v>1.1482032599741945</v>
      </c>
    </row>
    <row r="528" spans="1:9" x14ac:dyDescent="0.35">
      <c r="A528" s="33">
        <f>IF(Data!A555="",#N/A,Data!A555)</f>
        <v>34731</v>
      </c>
      <c r="B528" s="34">
        <f>VLOOKUP(A528,Data!A:AX,MATCH($B$2,Data!$B$1:$AX$1,0),FALSE)</f>
        <v>0.72528440000000005</v>
      </c>
      <c r="C528" s="35">
        <f t="shared" si="34"/>
        <v>4.8730203761397473E-2</v>
      </c>
      <c r="D528" s="35">
        <f t="shared" si="31"/>
        <v>0.7699675818322631</v>
      </c>
      <c r="E528" s="35">
        <f>(Table143454[[#This Row],[USA]]-B516)/B516</f>
        <v>1.2241629080275209</v>
      </c>
      <c r="F528" s="34">
        <f>VLOOKUP(Table143454[[#This Row],[Date]],'Data Core CPI'!$A:$AX,MATCH($B$2,'Data Core CPI'!$B$1:$AX$1,0),FALSE)</f>
        <v>0.72943080000000005</v>
      </c>
      <c r="G528" s="35">
        <f t="shared" si="32"/>
        <v>3.1358973695518211E-2</v>
      </c>
      <c r="H528" s="35">
        <f t="shared" si="33"/>
        <v>0.44849906764082315</v>
      </c>
      <c r="I528" s="35">
        <f>(Table143454[[#This Row],[Core CPI]]-F516)/F516</f>
        <v>1.1082619336922683</v>
      </c>
    </row>
    <row r="529" spans="1:9" x14ac:dyDescent="0.35">
      <c r="A529" s="33">
        <f>IF(Data!A556="",#N/A,Data!A556)</f>
        <v>34759</v>
      </c>
      <c r="B529" s="34">
        <f>VLOOKUP(A529,Data!A:AX,MATCH($B$2,Data!$B$1:$AX$1,0),FALSE)</f>
        <v>0.75803609999999999</v>
      </c>
      <c r="C529" s="35">
        <f t="shared" si="34"/>
        <v>4.5157044602089691E-2</v>
      </c>
      <c r="D529" s="35">
        <f t="shared" si="31"/>
        <v>0.69894228562348615</v>
      </c>
      <c r="E529" s="35">
        <f>(Table143454[[#This Row],[USA]]-B517)/B517</f>
        <v>1.1966986177396122</v>
      </c>
      <c r="F529" s="34">
        <f>VLOOKUP(Table143454[[#This Row],[Date]],'Data Core CPI'!$A:$AX,MATCH($B$2,'Data Core CPI'!$B$1:$AX$1,0),FALSE)</f>
        <v>0.76146659999999999</v>
      </c>
      <c r="G529" s="35">
        <f t="shared" si="32"/>
        <v>4.3918902245422053E-2</v>
      </c>
      <c r="H529" s="35">
        <f t="shared" si="33"/>
        <v>0.67494726168464769</v>
      </c>
      <c r="I529" s="35">
        <f>(Table143454[[#This Row],[Core CPI]]-F517)/F517</f>
        <v>1.0991851275789888</v>
      </c>
    </row>
    <row r="530" spans="1:9" x14ac:dyDescent="0.35">
      <c r="A530" s="33">
        <f>IF(Data!A557="",#N/A,Data!A557)</f>
        <v>34790</v>
      </c>
      <c r="B530" s="34">
        <f>VLOOKUP(A530,Data!A:AX,MATCH($B$2,Data!$B$1:$AX$1,0),FALSE)</f>
        <v>0.8021798</v>
      </c>
      <c r="C530" s="35">
        <f t="shared" si="34"/>
        <v>5.8234297812465696E-2</v>
      </c>
      <c r="D530" s="35">
        <f t="shared" si="31"/>
        <v>0.97234097437988987</v>
      </c>
      <c r="E530" s="35">
        <f>(Table143454[[#This Row],[USA]]-B518)/B518</f>
        <v>0.88405821609343782</v>
      </c>
      <c r="F530" s="34">
        <f>VLOOKUP(Table143454[[#This Row],[Date]],'Data Core CPI'!$A:$AX,MATCH($B$2,'Data Core CPI'!$B$1:$AX$1,0),FALSE)</f>
        <v>0.81025959999999997</v>
      </c>
      <c r="G530" s="35">
        <f t="shared" si="32"/>
        <v>6.4077662762884069E-2</v>
      </c>
      <c r="H530" s="35">
        <f t="shared" si="33"/>
        <v>1.1070746314061313</v>
      </c>
      <c r="I530" s="35">
        <f>(Table143454[[#This Row],[Core CPI]]-F518)/F518</f>
        <v>0.87457251461582419</v>
      </c>
    </row>
    <row r="531" spans="1:9" x14ac:dyDescent="0.35">
      <c r="A531" s="33">
        <f>IF(Data!A558="",#N/A,Data!A558)</f>
        <v>34820</v>
      </c>
      <c r="B531" s="34">
        <f>VLOOKUP(A531,Data!A:AX,MATCH($B$2,Data!$B$1:$AX$1,0),FALSE)</f>
        <v>0.82876090000000002</v>
      </c>
      <c r="C531" s="35">
        <f t="shared" si="34"/>
        <v>3.3136087445732265E-2</v>
      </c>
      <c r="D531" s="35">
        <f t="shared" si="31"/>
        <v>0.47873509651544022</v>
      </c>
      <c r="E531" s="35">
        <f>(Table143454[[#This Row],[USA]]-B519)/B519</f>
        <v>0.79814618177494601</v>
      </c>
      <c r="F531" s="34">
        <f>VLOOKUP(Table143454[[#This Row],[Date]],'Data Core CPI'!$A:$AX,MATCH($B$2,'Data Core CPI'!$B$1:$AX$1,0),FALSE)</f>
        <v>0.84525260000000002</v>
      </c>
      <c r="G531" s="35">
        <f t="shared" si="32"/>
        <v>4.3187393274945585E-2</v>
      </c>
      <c r="H531" s="35">
        <f t="shared" si="33"/>
        <v>0.66091711611927084</v>
      </c>
      <c r="I531" s="35">
        <f>(Table143454[[#This Row],[Core CPI]]-F519)/F519</f>
        <v>0.79958028019501193</v>
      </c>
    </row>
    <row r="532" spans="1:9" x14ac:dyDescent="0.35">
      <c r="A532" s="33">
        <f>IF(Data!A559="",#N/A,Data!A559)</f>
        <v>34851</v>
      </c>
      <c r="B532" s="34">
        <f>VLOOKUP(A532,Data!A:AX,MATCH($B$2,Data!$B$1:$AX$1,0),FALSE)</f>
        <v>0.85012069999999995</v>
      </c>
      <c r="C532" s="35">
        <f t="shared" si="34"/>
        <v>2.5773175351298416E-2</v>
      </c>
      <c r="D532" s="35">
        <f t="shared" si="31"/>
        <v>0.35711313369375075</v>
      </c>
      <c r="E532" s="35">
        <f>(Table143454[[#This Row],[USA]]-B520)/B520</f>
        <v>0.80909077367018778</v>
      </c>
      <c r="F532" s="34">
        <f>VLOOKUP(Table143454[[#This Row],[Date]],'Data Core CPI'!$A:$AX,MATCH($B$2,'Data Core CPI'!$B$1:$AX$1,0),FALSE)</f>
        <v>0.87433119999999998</v>
      </c>
      <c r="G532" s="35">
        <f t="shared" si="32"/>
        <v>3.4402260342056179E-2</v>
      </c>
      <c r="H532" s="35">
        <f t="shared" si="33"/>
        <v>0.50062967557919968</v>
      </c>
      <c r="I532" s="35">
        <f>(Table143454[[#This Row],[Core CPI]]-F520)/F520</f>
        <v>0.79011098783451794</v>
      </c>
    </row>
    <row r="533" spans="1:9" x14ac:dyDescent="0.35">
      <c r="A533" s="33">
        <f>IF(Data!A560="",#N/A,Data!A560)</f>
        <v>34881</v>
      </c>
      <c r="B533" s="34">
        <f>VLOOKUP(A533,Data!A:AX,MATCH($B$2,Data!$B$1:$AX$1,0),FALSE)</f>
        <v>0.87622710000000004</v>
      </c>
      <c r="C533" s="35">
        <f t="shared" si="34"/>
        <v>3.0709051079452765E-2</v>
      </c>
      <c r="D533" s="35">
        <f t="shared" si="31"/>
        <v>0.43758349304074939</v>
      </c>
      <c r="E533" s="35">
        <f>(Table143454[[#This Row],[USA]]-B521)/B521</f>
        <v>0.8080312733102849</v>
      </c>
      <c r="F533" s="34">
        <f>VLOOKUP(Table143454[[#This Row],[Date]],'Data Core CPI'!$A:$AX,MATCH($B$2,'Data Core CPI'!$B$1:$AX$1,0),FALSE)</f>
        <v>0.90242420000000001</v>
      </c>
      <c r="G533" s="35">
        <f t="shared" si="32"/>
        <v>3.2130844695922978E-2</v>
      </c>
      <c r="H533" s="35">
        <f t="shared" si="33"/>
        <v>0.4615614612455583</v>
      </c>
      <c r="I533" s="35">
        <f>(Table143454[[#This Row],[Core CPI]]-F521)/F521</f>
        <v>0.76908215837134331</v>
      </c>
    </row>
    <row r="534" spans="1:9" x14ac:dyDescent="0.35">
      <c r="A534" s="33">
        <f>IF(Data!A561="",#N/A,Data!A561)</f>
        <v>34912</v>
      </c>
      <c r="B534" s="34">
        <f>VLOOKUP(A534,Data!A:AX,MATCH($B$2,Data!$B$1:$AX$1,0),FALSE)</f>
        <v>0.91420009999999996</v>
      </c>
      <c r="C534" s="35">
        <f t="shared" si="34"/>
        <v>4.3336938563073302E-2</v>
      </c>
      <c r="D534" s="35">
        <f t="shared" si="31"/>
        <v>0.66377656316166589</v>
      </c>
      <c r="E534" s="35">
        <f>(Table143454[[#This Row],[USA]]-B522)/B522</f>
        <v>0.83428568906192402</v>
      </c>
      <c r="F534" s="34">
        <f>VLOOKUP(Table143454[[#This Row],[Date]],'Data Core CPI'!$A:$AX,MATCH($B$2,'Data Core CPI'!$B$1:$AX$1,0),FALSE)</f>
        <v>0.9453028</v>
      </c>
      <c r="G534" s="35">
        <f t="shared" si="32"/>
        <v>4.7514904852950623E-2</v>
      </c>
      <c r="H534" s="35">
        <f t="shared" si="33"/>
        <v>0.74551077450014835</v>
      </c>
      <c r="I534" s="35">
        <f>(Table143454[[#This Row],[Core CPI]]-F522)/F522</f>
        <v>0.7808728455279651</v>
      </c>
    </row>
    <row r="535" spans="1:9" x14ac:dyDescent="0.35">
      <c r="A535" s="33">
        <f>IF(Data!A562="",#N/A,Data!A562)</f>
        <v>34943</v>
      </c>
      <c r="B535" s="34">
        <f>VLOOKUP(A535,Data!A:AX,MATCH($B$2,Data!$B$1:$AX$1,0),FALSE)</f>
        <v>0.98445020000000005</v>
      </c>
      <c r="C535" s="35">
        <f t="shared" si="34"/>
        <v>7.6843242524257116E-2</v>
      </c>
      <c r="D535" s="35">
        <f t="shared" si="31"/>
        <v>1.4312512671289546</v>
      </c>
      <c r="E535" s="35">
        <f>(Table143454[[#This Row],[USA]]-B523)/B523</f>
        <v>0.86008962136522582</v>
      </c>
      <c r="F535" s="34">
        <f>VLOOKUP(Table143454[[#This Row],[Date]],'Data Core CPI'!$A:$AX,MATCH($B$2,'Data Core CPI'!$B$1:$AX$1,0),FALSE)</f>
        <v>1.024653</v>
      </c>
      <c r="G535" s="35">
        <f t="shared" si="32"/>
        <v>8.3941568775634634E-2</v>
      </c>
      <c r="H535" s="35">
        <f t="shared" si="33"/>
        <v>1.6306947601295945</v>
      </c>
      <c r="I535" s="35">
        <f>(Table143454[[#This Row],[Core CPI]]-F523)/F523</f>
        <v>0.82049006066683416</v>
      </c>
    </row>
    <row r="536" spans="1:9" x14ac:dyDescent="0.35">
      <c r="A536" s="33">
        <f>IF(Data!A563="",#N/A,Data!A563)</f>
        <v>34973</v>
      </c>
      <c r="B536" s="34">
        <f>VLOOKUP(A536,Data!A:AX,MATCH($B$2,Data!$B$1:$AX$1,0),FALSE)</f>
        <v>1.0466310000000001</v>
      </c>
      <c r="C536" s="35">
        <f t="shared" si="34"/>
        <v>6.3162971575403182E-2</v>
      </c>
      <c r="D536" s="35">
        <f t="shared" si="31"/>
        <v>1.0854419634848536</v>
      </c>
      <c r="E536" s="35">
        <f>(Table143454[[#This Row],[USA]]-B524)/B524</f>
        <v>0.84364532809344428</v>
      </c>
      <c r="F536" s="34">
        <f>VLOOKUP(Table143454[[#This Row],[Date]],'Data Core CPI'!$A:$AX,MATCH($B$2,'Data Core CPI'!$B$1:$AX$1,0),FALSE)</f>
        <v>1.0906960000000001</v>
      </c>
      <c r="G536" s="35">
        <f t="shared" si="32"/>
        <v>6.4454015164158163E-2</v>
      </c>
      <c r="H536" s="35">
        <f t="shared" si="33"/>
        <v>1.1160350341747685</v>
      </c>
      <c r="I536" s="35">
        <f>(Table143454[[#This Row],[Core CPI]]-F524)/F524</f>
        <v>0.83499148282896285</v>
      </c>
    </row>
    <row r="537" spans="1:9" x14ac:dyDescent="0.35">
      <c r="A537" s="33">
        <f>IF(Data!A564="",#N/A,Data!A564)</f>
        <v>35004</v>
      </c>
      <c r="B537" s="34">
        <f>VLOOKUP(A537,Data!A:AX,MATCH($B$2,Data!$B$1:$AX$1,0),FALSE)</f>
        <v>1.095996</v>
      </c>
      <c r="C537" s="35">
        <f t="shared" si="34"/>
        <v>4.716561997494817E-2</v>
      </c>
      <c r="D537" s="35">
        <f t="shared" si="31"/>
        <v>0.7385392614824744</v>
      </c>
      <c r="E537" s="35">
        <f>(Table143454[[#This Row],[USA]]-B525)/B525</f>
        <v>0.8152517478486867</v>
      </c>
      <c r="F537" s="34">
        <f>VLOOKUP(Table143454[[#This Row],[Date]],'Data Core CPI'!$A:$AX,MATCH($B$2,'Data Core CPI'!$B$1:$AX$1,0),FALSE)</f>
        <v>1.139489</v>
      </c>
      <c r="G537" s="35">
        <f t="shared" si="32"/>
        <v>4.4735655031282739E-2</v>
      </c>
      <c r="H537" s="35">
        <f t="shared" si="33"/>
        <v>0.69074067252196891</v>
      </c>
      <c r="I537" s="35">
        <f>(Table143454[[#This Row],[Core CPI]]-F525)/F525</f>
        <v>0.82334372945318191</v>
      </c>
    </row>
    <row r="538" spans="1:9" x14ac:dyDescent="0.35">
      <c r="A538" s="33">
        <f>IF(Data!A565="",#N/A,Data!A565)</f>
        <v>35034</v>
      </c>
      <c r="B538" s="34">
        <f>VLOOKUP(A538,Data!A:AX,MATCH($B$2,Data!$B$1:$AX$1,0),FALSE)</f>
        <v>1.137292</v>
      </c>
      <c r="C538" s="35">
        <f t="shared" si="34"/>
        <v>3.7678969631276038E-2</v>
      </c>
      <c r="D538" s="35">
        <f t="shared" si="31"/>
        <v>0.55867719425676698</v>
      </c>
      <c r="E538" s="35">
        <f>(Table143454[[#This Row],[USA]]-B526)/B526</f>
        <v>0.76047087393218549</v>
      </c>
      <c r="F538" s="34">
        <f>VLOOKUP(Table143454[[#This Row],[Date]],'Data Core CPI'!$A:$AX,MATCH($B$2,'Data Core CPI'!$B$1:$AX$1,0),FALSE)</f>
        <v>1.1823680000000001</v>
      </c>
      <c r="G538" s="35">
        <f t="shared" si="32"/>
        <v>3.7630025388573296E-2</v>
      </c>
      <c r="H538" s="35">
        <f t="shared" si="33"/>
        <v>0.55779520485971235</v>
      </c>
      <c r="I538" s="35">
        <f>(Table143454[[#This Row],[Core CPI]]-F526)/F526</f>
        <v>0.78497045600707727</v>
      </c>
    </row>
    <row r="539" spans="1:9" x14ac:dyDescent="0.35">
      <c r="A539" s="33">
        <f>IF(Data!A566="",#N/A,Data!A566)</f>
        <v>35065</v>
      </c>
      <c r="B539" s="34">
        <f>VLOOKUP(A539,Data!A:AX,MATCH($B$2,Data!$B$1:$AX$1,0),FALSE)</f>
        <v>1.231749</v>
      </c>
      <c r="C539" s="35">
        <f t="shared" si="34"/>
        <v>8.3054307952575179E-2</v>
      </c>
      <c r="D539" s="35">
        <f t="shared" si="31"/>
        <v>1.6049705014096518</v>
      </c>
      <c r="E539" s="35">
        <f>(Table143454[[#This Row],[USA]]-B527)/B527</f>
        <v>0.78105634114410505</v>
      </c>
      <c r="F539" s="34">
        <f>VLOOKUP(Table143454[[#This Row],[Date]],'Data Core CPI'!$A:$AX,MATCH($B$2,'Data Core CPI'!$B$1:$AX$1,0),FALSE)</f>
        <v>1.2769969999999999</v>
      </c>
      <c r="G539" s="35">
        <f t="shared" si="32"/>
        <v>8.0033458280332148E-2</v>
      </c>
      <c r="H539" s="35">
        <f t="shared" si="33"/>
        <v>1.5191064279201099</v>
      </c>
      <c r="I539" s="35">
        <f>(Table143454[[#This Row],[Core CPI]]-F527)/F527</f>
        <v>0.80557540939079553</v>
      </c>
    </row>
    <row r="540" spans="1:9" x14ac:dyDescent="0.35">
      <c r="A540" s="33">
        <f>IF(Data!A567="",#N/A,Data!A567)</f>
        <v>35096</v>
      </c>
      <c r="B540" s="34">
        <f>VLOOKUP(A540,Data!A:AX,MATCH($B$2,Data!$B$1:$AX$1,0),FALSE)</f>
        <v>1.287285</v>
      </c>
      <c r="C540" s="35">
        <f t="shared" si="34"/>
        <v>4.5087107844211882E-2</v>
      </c>
      <c r="D540" s="35">
        <f t="shared" si="31"/>
        <v>0.69757856946402086</v>
      </c>
      <c r="E540" s="35">
        <f>(Table143454[[#This Row],[USA]]-B528)/B528</f>
        <v>0.77486927886495272</v>
      </c>
      <c r="F540" s="34">
        <f>VLOOKUP(Table143454[[#This Row],[Date]],'Data Core CPI'!$A:$AX,MATCH($B$2,'Data Core CPI'!$B$1:$AX$1,0),FALSE)</f>
        <v>1.328254</v>
      </c>
      <c r="G540" s="35">
        <f t="shared" si="32"/>
        <v>4.0138700404151351E-2</v>
      </c>
      <c r="H540" s="35">
        <f t="shared" si="33"/>
        <v>0.60359637365952623</v>
      </c>
      <c r="I540" s="35">
        <f>(Table143454[[#This Row],[Core CPI]]-F528)/F528</f>
        <v>0.82094586628368305</v>
      </c>
    </row>
    <row r="541" spans="1:9" x14ac:dyDescent="0.35">
      <c r="A541" s="33">
        <f>IF(Data!A568="",#N/A,Data!A568)</f>
        <v>35125</v>
      </c>
      <c r="B541" s="34">
        <f>VLOOKUP(A541,Data!A:AX,MATCH($B$2,Data!$B$1:$AX$1,0),FALSE)</f>
        <v>1.359434</v>
      </c>
      <c r="C541" s="35">
        <f t="shared" si="34"/>
        <v>5.6047417627021145E-2</v>
      </c>
      <c r="D541" s="35">
        <f t="shared" si="31"/>
        <v>0.92398209868448444</v>
      </c>
      <c r="E541" s="35">
        <f>(Table143454[[#This Row],[USA]]-B529)/B529</f>
        <v>0.79336313930167712</v>
      </c>
      <c r="F541" s="34">
        <f>VLOOKUP(Table143454[[#This Row],[Date]],'Data Core CPI'!$A:$AX,MATCH($B$2,'Data Core CPI'!$B$1:$AX$1,0),FALSE)</f>
        <v>1.3829610000000001</v>
      </c>
      <c r="G541" s="35">
        <f t="shared" si="32"/>
        <v>4.1187152457285992E-2</v>
      </c>
      <c r="H541" s="35">
        <f t="shared" si="33"/>
        <v>0.62310122996846573</v>
      </c>
      <c r="I541" s="35">
        <f>(Table143454[[#This Row],[Core CPI]]-F529)/F529</f>
        <v>0.8161807753616509</v>
      </c>
    </row>
    <row r="542" spans="1:9" x14ac:dyDescent="0.35">
      <c r="A542" s="33">
        <f>IF(Data!A569="",#N/A,Data!A569)</f>
        <v>35156</v>
      </c>
      <c r="B542" s="34">
        <f>VLOOKUP(A542,Data!A:AX,MATCH($B$2,Data!$B$1:$AX$1,0),FALSE)</f>
        <v>1.450569</v>
      </c>
      <c r="C542" s="35">
        <f t="shared" si="34"/>
        <v>6.7038929436809669E-2</v>
      </c>
      <c r="D542" s="35">
        <f t="shared" si="31"/>
        <v>1.1785281303218618</v>
      </c>
      <c r="E542" s="35">
        <f>(Table143454[[#This Row],[USA]]-B530)/B530</f>
        <v>0.80828412782271508</v>
      </c>
      <c r="F542" s="34">
        <f>VLOOKUP(Table143454[[#This Row],[Date]],'Data Core CPI'!$A:$AX,MATCH($B$2,'Data Core CPI'!$B$1:$AX$1,0),FALSE)</f>
        <v>1.46034</v>
      </c>
      <c r="G542" s="35">
        <f t="shared" si="32"/>
        <v>5.5951686273148615E-2</v>
      </c>
      <c r="H542" s="35">
        <f t="shared" si="33"/>
        <v>0.92189021979798813</v>
      </c>
      <c r="I542" s="35">
        <f>(Table143454[[#This Row],[Core CPI]]-F530)/F530</f>
        <v>0.80231125925567559</v>
      </c>
    </row>
    <row r="543" spans="1:9" x14ac:dyDescent="0.35">
      <c r="A543" s="33">
        <f>IF(Data!A570="",#N/A,Data!A570)</f>
        <v>35186</v>
      </c>
      <c r="B543" s="34">
        <f>VLOOKUP(A543,Data!A:AX,MATCH($B$2,Data!$B$1:$AX$1,0),FALSE)</f>
        <v>1.5160720000000001</v>
      </c>
      <c r="C543" s="35">
        <f t="shared" si="34"/>
        <v>4.5156762622115876E-2</v>
      </c>
      <c r="D543" s="35">
        <f t="shared" si="31"/>
        <v>0.69893678520236446</v>
      </c>
      <c r="E543" s="35">
        <f>(Table143454[[#This Row],[USA]]-B531)/B531</f>
        <v>0.82932375308728978</v>
      </c>
      <c r="F543" s="34">
        <f>VLOOKUP(Table143454[[#This Row],[Date]],'Data Core CPI'!$A:$AX,MATCH($B$2,'Data Core CPI'!$B$1:$AX$1,0),FALSE)</f>
        <v>1.5288470000000001</v>
      </c>
      <c r="G543" s="35">
        <f t="shared" si="32"/>
        <v>4.6911678102359744E-2</v>
      </c>
      <c r="H543" s="35">
        <f t="shared" si="33"/>
        <v>0.73348677077406288</v>
      </c>
      <c r="I543" s="35">
        <f>(Table143454[[#This Row],[Core CPI]]-F531)/F531</f>
        <v>0.80874569329925761</v>
      </c>
    </row>
    <row r="544" spans="1:9" x14ac:dyDescent="0.35">
      <c r="A544" s="33">
        <f>IF(Data!A571="",#N/A,Data!A571)</f>
        <v>35217</v>
      </c>
      <c r="B544" s="34">
        <f>VLOOKUP(A544,Data!A:AX,MATCH($B$2,Data!$B$1:$AX$1,0),FALSE)</f>
        <v>1.5545199999999999</v>
      </c>
      <c r="C544" s="35">
        <f t="shared" si="34"/>
        <v>2.5360273126869837E-2</v>
      </c>
      <c r="D544" s="35">
        <f t="shared" si="31"/>
        <v>0.35057231781121723</v>
      </c>
      <c r="E544" s="35">
        <f>(Table143454[[#This Row],[USA]]-B532)/B532</f>
        <v>0.82858739941281279</v>
      </c>
      <c r="F544" s="34">
        <f>VLOOKUP(Table143454[[#This Row],[Date]],'Data Core CPI'!$A:$AX,MATCH($B$2,'Data Core CPI'!$B$1:$AX$1,0),FALSE)</f>
        <v>1.5899620000000001</v>
      </c>
      <c r="G544" s="35">
        <f t="shared" si="32"/>
        <v>3.9974569070678756E-2</v>
      </c>
      <c r="H544" s="35">
        <f t="shared" si="33"/>
        <v>0.60056248477816232</v>
      </c>
      <c r="I544" s="35">
        <f>(Table143454[[#This Row],[Core CPI]]-F532)/F532</f>
        <v>0.81848937793824594</v>
      </c>
    </row>
    <row r="545" spans="1:9" x14ac:dyDescent="0.35">
      <c r="A545" s="33">
        <f>IF(Data!A572="",#N/A,Data!A572)</f>
        <v>35247</v>
      </c>
      <c r="B545" s="34">
        <f>VLOOKUP(A545,Data!A:AX,MATCH($B$2,Data!$B$1:$AX$1,0),FALSE)</f>
        <v>1.5877460000000001</v>
      </c>
      <c r="C545" s="35">
        <f t="shared" si="34"/>
        <v>2.1373800272753041E-2</v>
      </c>
      <c r="D545" s="35">
        <f t="shared" si="31"/>
        <v>0.28889209623028789</v>
      </c>
      <c r="E545" s="35">
        <f>(Table143454[[#This Row],[USA]]-B533)/B533</f>
        <v>0.81202567233996759</v>
      </c>
      <c r="F545" s="34">
        <f>VLOOKUP(Table143454[[#This Row],[Date]],'Data Core CPI'!$A:$AX,MATCH($B$2,'Data Core CPI'!$B$1:$AX$1,0),FALSE)</f>
        <v>1.6446689999999999</v>
      </c>
      <c r="G545" s="35">
        <f t="shared" si="32"/>
        <v>3.4407740562352851E-2</v>
      </c>
      <c r="H545" s="35">
        <f t="shared" si="33"/>
        <v>0.50072508164497931</v>
      </c>
      <c r="I545" s="35">
        <f>(Table143454[[#This Row],[Core CPI]]-F533)/F533</f>
        <v>0.82250099232711171</v>
      </c>
    </row>
    <row r="546" spans="1:9" x14ac:dyDescent="0.35">
      <c r="A546" s="33">
        <f>IF(Data!A573="",#N/A,Data!A573)</f>
        <v>35278</v>
      </c>
      <c r="B546" s="34">
        <f>VLOOKUP(A546,Data!A:AX,MATCH($B$2,Data!$B$1:$AX$1,0),FALSE)</f>
        <v>1.6698630000000001</v>
      </c>
      <c r="C546" s="35">
        <f t="shared" si="34"/>
        <v>5.1719229650082577E-2</v>
      </c>
      <c r="D546" s="35">
        <f t="shared" si="31"/>
        <v>0.83146142439036907</v>
      </c>
      <c r="E546" s="35">
        <f>(Table143454[[#This Row],[USA]]-B534)/B534</f>
        <v>0.82658369868916026</v>
      </c>
      <c r="F546" s="34">
        <f>VLOOKUP(Table143454[[#This Row],[Date]],'Data Core CPI'!$A:$AX,MATCH($B$2,'Data Core CPI'!$B$1:$AX$1,0),FALSE)</f>
        <v>1.7190909999999999</v>
      </c>
      <c r="G546" s="35">
        <f t="shared" si="32"/>
        <v>4.5250442490251785E-2</v>
      </c>
      <c r="H546" s="35">
        <f t="shared" si="33"/>
        <v>0.70076504289889829</v>
      </c>
      <c r="I546" s="35">
        <f>(Table143454[[#This Row],[Core CPI]]-F534)/F534</f>
        <v>0.81856120599663929</v>
      </c>
    </row>
    <row r="547" spans="1:9" x14ac:dyDescent="0.35">
      <c r="A547" s="33">
        <f>IF(Data!A574="",#N/A,Data!A574)</f>
        <v>35309</v>
      </c>
      <c r="B547" s="34">
        <f>VLOOKUP(A547,Data!A:AX,MATCH($B$2,Data!$B$1:$AX$1,0),FALSE)</f>
        <v>1.7652699999999999</v>
      </c>
      <c r="C547" s="35">
        <f t="shared" si="34"/>
        <v>5.7134627211932854E-2</v>
      </c>
      <c r="D547" s="35">
        <f t="shared" si="31"/>
        <v>0.94788621564900799</v>
      </c>
      <c r="E547" s="35">
        <f>(Table143454[[#This Row],[USA]]-B535)/B535</f>
        <v>0.79315317321282452</v>
      </c>
      <c r="F547" s="34">
        <f>VLOOKUP(Table143454[[#This Row],[Date]],'Data Core CPI'!$A:$AX,MATCH($B$2,'Data Core CPI'!$B$1:$AX$1,0),FALSE)</f>
        <v>1.8413200000000001</v>
      </c>
      <c r="G547" s="35">
        <f t="shared" si="32"/>
        <v>7.1100948117348128E-2</v>
      </c>
      <c r="H547" s="35">
        <f t="shared" si="33"/>
        <v>1.2801574911086395</v>
      </c>
      <c r="I547" s="35">
        <f>(Table143454[[#This Row],[Core CPI]]-F535)/F535</f>
        <v>0.7970181124731982</v>
      </c>
    </row>
    <row r="548" spans="1:9" x14ac:dyDescent="0.35">
      <c r="A548" s="33">
        <f>IF(Data!A575="",#N/A,Data!A575)</f>
        <v>35339</v>
      </c>
      <c r="B548" s="34">
        <f>VLOOKUP(A548,Data!A:AX,MATCH($B$2,Data!$B$1:$AX$1,0),FALSE)</f>
        <v>1.879664</v>
      </c>
      <c r="C548" s="35">
        <f t="shared" si="34"/>
        <v>6.4802551451052848E-2</v>
      </c>
      <c r="D548" s="35">
        <f t="shared" si="31"/>
        <v>1.1243643140522206</v>
      </c>
      <c r="E548" s="35">
        <f>(Table143454[[#This Row],[USA]]-B536)/B536</f>
        <v>0.79591852333821556</v>
      </c>
      <c r="F548" s="34">
        <f>VLOOKUP(Table143454[[#This Row],[Date]],'Data Core CPI'!$A:$AX,MATCH($B$2,'Data Core CPI'!$B$1:$AX$1,0),FALSE)</f>
        <v>1.961084</v>
      </c>
      <c r="G548" s="35">
        <f t="shared" si="32"/>
        <v>6.5042469532726521E-2</v>
      </c>
      <c r="H548" s="35">
        <f t="shared" si="33"/>
        <v>1.1301153013423191</v>
      </c>
      <c r="I548" s="35">
        <f>(Table143454[[#This Row],[Core CPI]]-F536)/F536</f>
        <v>0.79801154492177462</v>
      </c>
    </row>
    <row r="549" spans="1:9" x14ac:dyDescent="0.35">
      <c r="A549" s="33">
        <f>IF(Data!A576="",#N/A,Data!A576)</f>
        <v>35370</v>
      </c>
      <c r="B549" s="34">
        <f>VLOOKUP(A549,Data!A:AX,MATCH($B$2,Data!$B$1:$AX$1,0),FALSE)</f>
        <v>1.9769699999999999</v>
      </c>
      <c r="C549" s="35">
        <f t="shared" si="34"/>
        <v>5.1767762749087121E-2</v>
      </c>
      <c r="D549" s="35">
        <f t="shared" si="31"/>
        <v>0.83247586694658549</v>
      </c>
      <c r="E549" s="35">
        <f>(Table143454[[#This Row],[USA]]-B537)/B537</f>
        <v>0.80381132777856845</v>
      </c>
      <c r="F549" s="34">
        <f>VLOOKUP(Table143454[[#This Row],[Date]],'Data Core CPI'!$A:$AX,MATCH($B$2,'Data Core CPI'!$B$1:$AX$1,0),FALSE)</f>
        <v>2.04487</v>
      </c>
      <c r="G549" s="35">
        <f t="shared" si="32"/>
        <v>4.2724330013400813E-2</v>
      </c>
      <c r="H549" s="35">
        <f t="shared" si="33"/>
        <v>0.65209145623687781</v>
      </c>
      <c r="I549" s="35">
        <f>(Table143454[[#This Row],[Core CPI]]-F537)/F537</f>
        <v>0.79455001320767471</v>
      </c>
    </row>
    <row r="550" spans="1:9" x14ac:dyDescent="0.35">
      <c r="A550" s="33">
        <f>IF(Data!A577="",#N/A,Data!A577)</f>
        <v>35400</v>
      </c>
      <c r="B550" s="34">
        <f>VLOOKUP(A550,Data!A:AX,MATCH($B$2,Data!$B$1:$AX$1,0),FALSE)</f>
        <v>2.0443720000000001</v>
      </c>
      <c r="C550" s="35">
        <f t="shared" si="34"/>
        <v>3.4093587661927272E-2</v>
      </c>
      <c r="D550" s="35">
        <f t="shared" si="31"/>
        <v>0.49526490873162965</v>
      </c>
      <c r="E550" s="35">
        <f>(Table143454[[#This Row],[USA]]-B538)/B538</f>
        <v>0.79757881001537001</v>
      </c>
      <c r="F550" s="34">
        <f>VLOOKUP(Table143454[[#This Row],[Date]],'Data Core CPI'!$A:$AX,MATCH($B$2,'Data Core CPI'!$B$1:$AX$1,0),FALSE)</f>
        <v>2.1325989999999999</v>
      </c>
      <c r="G550" s="35">
        <f t="shared" si="32"/>
        <v>4.2901993769774993E-2</v>
      </c>
      <c r="H550" s="35">
        <f t="shared" si="33"/>
        <v>0.65547250697368642</v>
      </c>
      <c r="I550" s="35">
        <f>(Table143454[[#This Row],[Core CPI]]-F538)/F538</f>
        <v>0.80366772443097223</v>
      </c>
    </row>
    <row r="551" spans="1:9" x14ac:dyDescent="0.35">
      <c r="A551" s="33">
        <f>IF(Data!A578="",#N/A,Data!A578)</f>
        <v>35431</v>
      </c>
      <c r="B551" s="34">
        <f>VLOOKUP(A551,Data!A:AX,MATCH($B$2,Data!$B$1:$AX$1,0),FALSE)</f>
        <v>2.1644610000000002</v>
      </c>
      <c r="C551" s="35">
        <f t="shared" si="34"/>
        <v>5.8741266266609138E-2</v>
      </c>
      <c r="D551" s="35">
        <f t="shared" si="31"/>
        <v>0.98370957427835215</v>
      </c>
      <c r="E551" s="35">
        <f>(Table143454[[#This Row],[USA]]-B539)/B539</f>
        <v>0.75722570101538567</v>
      </c>
      <c r="F551" s="34">
        <f>VLOOKUP(Table143454[[#This Row],[Date]],'Data Core CPI'!$A:$AX,MATCH($B$2,'Data Core CPI'!$B$1:$AX$1,0),FALSE)</f>
        <v>2.2651780000000001</v>
      </c>
      <c r="G551" s="35">
        <f t="shared" si="32"/>
        <v>6.2167805574325108E-2</v>
      </c>
      <c r="H551" s="35">
        <f t="shared" si="33"/>
        <v>1.0621374299540274</v>
      </c>
      <c r="I551" s="35">
        <f>(Table143454[[#This Row],[Core CPI]]-F539)/F539</f>
        <v>0.77383188840694239</v>
      </c>
    </row>
    <row r="552" spans="1:9" x14ac:dyDescent="0.35">
      <c r="A552" s="33">
        <f>IF(Data!A579="",#N/A,Data!A579)</f>
        <v>35462</v>
      </c>
      <c r="B552" s="34">
        <f>VLOOKUP(A552,Data!A:AX,MATCH($B$2,Data!$B$1:$AX$1,0),FALSE)</f>
        <v>2.286924</v>
      </c>
      <c r="C552" s="35">
        <f t="shared" si="34"/>
        <v>5.6578982019079849E-2</v>
      </c>
      <c r="D552" s="35">
        <f t="shared" si="31"/>
        <v>0.93563562620976404</v>
      </c>
      <c r="E552" s="35">
        <f>(Table143454[[#This Row],[USA]]-B540)/B540</f>
        <v>0.77654831680630154</v>
      </c>
      <c r="F552" s="34">
        <f>VLOOKUP(Table143454[[#This Row],[Date]],'Data Core CPI'!$A:$AX,MATCH($B$2,'Data Core CPI'!$B$1:$AX$1,0),FALSE)</f>
        <v>2.3494570000000001</v>
      </c>
      <c r="G552" s="35">
        <f t="shared" si="32"/>
        <v>3.7206347580631682E-2</v>
      </c>
      <c r="H552" s="35">
        <f t="shared" si="33"/>
        <v>0.55017950669908577</v>
      </c>
      <c r="I552" s="35">
        <f>(Table143454[[#This Row],[Core CPI]]-F540)/F540</f>
        <v>0.76883111212162736</v>
      </c>
    </row>
    <row r="553" spans="1:9" x14ac:dyDescent="0.35">
      <c r="A553" s="33">
        <f>IF(Data!A580="",#N/A,Data!A580)</f>
        <v>35490</v>
      </c>
      <c r="B553" s="34">
        <f>VLOOKUP(A553,Data!A:AX,MATCH($B$2,Data!$B$1:$AX$1,0),FALSE)</f>
        <v>2.410336</v>
      </c>
      <c r="C553" s="35">
        <f t="shared" si="34"/>
        <v>5.396418945273207E-2</v>
      </c>
      <c r="D553" s="35">
        <f t="shared" si="31"/>
        <v>0.87892853144619987</v>
      </c>
      <c r="E553" s="35">
        <f>(Table143454[[#This Row],[USA]]-B541)/B541</f>
        <v>0.77304378145610597</v>
      </c>
      <c r="F553" s="34">
        <f>VLOOKUP(Table143454[[#This Row],[Date]],'Data Core CPI'!$A:$AX,MATCH($B$2,'Data Core CPI'!$B$1:$AX$1,0),FALSE)</f>
        <v>2.4342290000000002</v>
      </c>
      <c r="G553" s="35">
        <f t="shared" si="32"/>
        <v>3.6081528625550474E-2</v>
      </c>
      <c r="H553" s="35">
        <f t="shared" si="33"/>
        <v>0.53012592494865252</v>
      </c>
      <c r="I553" s="35">
        <f>(Table143454[[#This Row],[Core CPI]]-F541)/F541</f>
        <v>0.76015737247832726</v>
      </c>
    </row>
    <row r="554" spans="1:9" x14ac:dyDescent="0.35">
      <c r="A554" s="33">
        <f>IF(Data!A581="",#N/A,Data!A581)</f>
        <v>35521</v>
      </c>
      <c r="B554" s="34">
        <f>VLOOKUP(A554,Data!A:AX,MATCH($B$2,Data!$B$1:$AX$1,0),FALSE)</f>
        <v>2.569823</v>
      </c>
      <c r="C554" s="35">
        <f t="shared" si="34"/>
        <v>6.6167953347582964E-2</v>
      </c>
      <c r="D554" s="35">
        <f t="shared" si="31"/>
        <v>1.1572848493890384</v>
      </c>
      <c r="E554" s="35">
        <f>(Table143454[[#This Row],[USA]]-B542)/B542</f>
        <v>0.77159652522561839</v>
      </c>
      <c r="F554" s="34">
        <f>VLOOKUP(Table143454[[#This Row],[Date]],'Data Core CPI'!$A:$AX,MATCH($B$2,'Data Core CPI'!$B$1:$AX$1,0),FALSE)</f>
        <v>2.5682860000000001</v>
      </c>
      <c r="G554" s="35">
        <f t="shared" si="32"/>
        <v>5.5071646915717309E-2</v>
      </c>
      <c r="H554" s="35">
        <f t="shared" si="33"/>
        <v>0.90275743695405808</v>
      </c>
      <c r="I554" s="35">
        <f>(Table143454[[#This Row],[Core CPI]]-F542)/F542</f>
        <v>0.75869044195187429</v>
      </c>
    </row>
    <row r="555" spans="1:9" x14ac:dyDescent="0.35">
      <c r="A555" s="33">
        <f>IF(Data!A582="",#N/A,Data!A582)</f>
        <v>35551</v>
      </c>
      <c r="B555" s="34">
        <f>VLOOKUP(A555,Data!A:AX,MATCH($B$2,Data!$B$1:$AX$1,0),FALSE)</f>
        <v>2.6903869999999999</v>
      </c>
      <c r="C555" s="35">
        <f t="shared" si="34"/>
        <v>4.6915293387910229E-2</v>
      </c>
      <c r="D555" s="35">
        <f t="shared" si="31"/>
        <v>0.73355860684777285</v>
      </c>
      <c r="E555" s="35">
        <f>(Table143454[[#This Row],[USA]]-B543)/B543</f>
        <v>0.77457732878121865</v>
      </c>
      <c r="F555" s="34">
        <f>VLOOKUP(Table143454[[#This Row],[Date]],'Data Core CPI'!$A:$AX,MATCH($B$2,'Data Core CPI'!$B$1:$AX$1,0),FALSE)</f>
        <v>2.7181150000000001</v>
      </c>
      <c r="G555" s="35">
        <f t="shared" si="32"/>
        <v>5.8338129008996598E-2</v>
      </c>
      <c r="H555" s="35">
        <f t="shared" si="33"/>
        <v>0.9746644795723034</v>
      </c>
      <c r="I555" s="35">
        <f>(Table143454[[#This Row],[Core CPI]]-F543)/F543</f>
        <v>0.77788555689352823</v>
      </c>
    </row>
    <row r="556" spans="1:9" x14ac:dyDescent="0.35">
      <c r="A556" s="33">
        <f>IF(Data!A583="",#N/A,Data!A583)</f>
        <v>35582</v>
      </c>
      <c r="B556" s="34">
        <f>VLOOKUP(A556,Data!A:AX,MATCH($B$2,Data!$B$1:$AX$1,0),FALSE)</f>
        <v>2.767757</v>
      </c>
      <c r="C556" s="35">
        <f t="shared" si="34"/>
        <v>2.8757944489027132E-2</v>
      </c>
      <c r="D556" s="35">
        <f t="shared" si="31"/>
        <v>0.40526562993604354</v>
      </c>
      <c r="E556" s="35">
        <f>(Table143454[[#This Row],[USA]]-B544)/B544</f>
        <v>0.78045763322440376</v>
      </c>
      <c r="F556" s="34">
        <f>VLOOKUP(Table143454[[#This Row],[Date]],'Data Core CPI'!$A:$AX,MATCH($B$2,'Data Core CPI'!$B$1:$AX$1,0),FALSE)</f>
        <v>2.813237</v>
      </c>
      <c r="G556" s="35">
        <f t="shared" si="32"/>
        <v>3.4995575978205462E-2</v>
      </c>
      <c r="H556" s="35">
        <f t="shared" si="33"/>
        <v>0.51099115191429512</v>
      </c>
      <c r="I556" s="35">
        <f>(Table143454[[#This Row],[Core CPI]]-F544)/F544</f>
        <v>0.76937373346029647</v>
      </c>
    </row>
    <row r="557" spans="1:9" x14ac:dyDescent="0.35">
      <c r="A557" s="33">
        <f>IF(Data!A584="",#N/A,Data!A584)</f>
        <v>35612</v>
      </c>
      <c r="B557" s="34">
        <f>VLOOKUP(A557,Data!A:AX,MATCH($B$2,Data!$B$1:$AX$1,0),FALSE)</f>
        <v>2.9410090000000002</v>
      </c>
      <c r="C557" s="35">
        <f t="shared" si="34"/>
        <v>6.2596535750790272E-2</v>
      </c>
      <c r="D557" s="35">
        <f t="shared" si="31"/>
        <v>1.0721478922045113</v>
      </c>
      <c r="E557" s="35">
        <f>(Table143454[[#This Row],[USA]]-B545)/B545</f>
        <v>0.85231705827002557</v>
      </c>
      <c r="F557" s="34">
        <f>VLOOKUP(Table143454[[#This Row],[Date]],'Data Core CPI'!$A:$AX,MATCH($B$2,'Data Core CPI'!$B$1:$AX$1,0),FALSE)</f>
        <v>3.001509</v>
      </c>
      <c r="G557" s="35">
        <f t="shared" si="32"/>
        <v>6.6923618593101031E-2</v>
      </c>
      <c r="H557" s="35">
        <f t="shared" si="33"/>
        <v>1.17570470574426</v>
      </c>
      <c r="I557" s="35">
        <f>(Table143454[[#This Row],[Core CPI]]-F545)/F545</f>
        <v>0.82499274930092326</v>
      </c>
    </row>
    <row r="558" spans="1:9" x14ac:dyDescent="0.35">
      <c r="A558" s="33">
        <f>IF(Data!A585="",#N/A,Data!A585)</f>
        <v>35643</v>
      </c>
      <c r="B558" s="34">
        <f>VLOOKUP(A558,Data!A:AX,MATCH($B$2,Data!$B$1:$AX$1,0),FALSE)</f>
        <v>3.1232799999999998</v>
      </c>
      <c r="C558" s="35">
        <f t="shared" si="34"/>
        <v>6.1975668894586722E-2</v>
      </c>
      <c r="D558" s="35">
        <f t="shared" si="31"/>
        <v>1.0576656135512814</v>
      </c>
      <c r="E558" s="35">
        <f>(Table143454[[#This Row],[USA]]-B546)/B546</f>
        <v>0.87038098335013092</v>
      </c>
      <c r="F558" s="34">
        <f>VLOOKUP(Table143454[[#This Row],[Date]],'Data Core CPI'!$A:$AX,MATCH($B$2,'Data Core CPI'!$B$1:$AX$1,0),FALSE)</f>
        <v>3.1991450000000001</v>
      </c>
      <c r="G558" s="35">
        <f t="shared" si="32"/>
        <v>6.5845546356849249E-2</v>
      </c>
      <c r="H558" s="35">
        <f t="shared" si="33"/>
        <v>1.1494695543333222</v>
      </c>
      <c r="I558" s="35">
        <f>(Table143454[[#This Row],[Core CPI]]-F546)/F546</f>
        <v>0.86095151449225216</v>
      </c>
    </row>
    <row r="559" spans="1:9" x14ac:dyDescent="0.35">
      <c r="A559" s="33">
        <f>IF(Data!A586="",#N/A,Data!A586)</f>
        <v>35674</v>
      </c>
      <c r="B559" s="34">
        <f>VLOOKUP(A559,Data!A:AX,MATCH($B$2,Data!$B$1:$AX$1,0),FALSE)</f>
        <v>3.3515929999999998</v>
      </c>
      <c r="C559" s="35">
        <f t="shared" si="34"/>
        <v>7.3100394457109141E-2</v>
      </c>
      <c r="D559" s="35">
        <f t="shared" si="31"/>
        <v>1.3317621806836413</v>
      </c>
      <c r="E559" s="35">
        <f>(Table143454[[#This Row],[USA]]-B547)/B547</f>
        <v>0.8986291048961349</v>
      </c>
      <c r="F559" s="34">
        <f>VLOOKUP(Table143454[[#This Row],[Date]],'Data Core CPI'!$A:$AX,MATCH($B$2,'Data Core CPI'!$B$1:$AX$1,0),FALSE)</f>
        <v>3.4574029999999998</v>
      </c>
      <c r="G559" s="35">
        <f t="shared" si="32"/>
        <v>8.0727194297226079E-2</v>
      </c>
      <c r="H559" s="35">
        <f t="shared" si="33"/>
        <v>1.5385922910295888</v>
      </c>
      <c r="I559" s="35">
        <f>(Table143454[[#This Row],[Core CPI]]-F547)/F547</f>
        <v>0.87767634088588597</v>
      </c>
    </row>
    <row r="560" spans="1:9" x14ac:dyDescent="0.35">
      <c r="A560" s="33">
        <f>IF(Data!A587="",#N/A,Data!A587)</f>
        <v>35704</v>
      </c>
      <c r="B560" s="34">
        <f>VLOOKUP(A560,Data!A:AX,MATCH($B$2,Data!$B$1:$AX$1,0),FALSE)</f>
        <v>3.6306940000000001</v>
      </c>
      <c r="C560" s="35">
        <f t="shared" si="34"/>
        <v>8.3274132628872399E-2</v>
      </c>
      <c r="D560" s="35">
        <f t="shared" si="31"/>
        <v>1.6113222768126421</v>
      </c>
      <c r="E560" s="35">
        <f>(Table143454[[#This Row],[USA]]-B548)/B548</f>
        <v>0.93156542871491932</v>
      </c>
      <c r="F560" s="34">
        <f>VLOOKUP(Table143454[[#This Row],[Date]],'Data Core CPI'!$A:$AX,MATCH($B$2,'Data Core CPI'!$B$1:$AX$1,0),FALSE)</f>
        <v>3.7176330000000002</v>
      </c>
      <c r="G560" s="35">
        <f t="shared" si="32"/>
        <v>7.5267476773752007E-2</v>
      </c>
      <c r="H560" s="35">
        <f t="shared" si="33"/>
        <v>1.3889008262117217</v>
      </c>
      <c r="I560" s="35">
        <f>(Table143454[[#This Row],[Core CPI]]-F548)/F548</f>
        <v>0.89570309073961141</v>
      </c>
    </row>
    <row r="561" spans="1:9" x14ac:dyDescent="0.35">
      <c r="A561" s="33">
        <f>IF(Data!A588="",#N/A,Data!A588)</f>
        <v>35735</v>
      </c>
      <c r="B561" s="34">
        <f>VLOOKUP(A561,Data!A:AX,MATCH($B$2,Data!$B$1:$AX$1,0),FALSE)</f>
        <v>3.8713479999999998</v>
      </c>
      <c r="C561" s="35">
        <f t="shared" si="34"/>
        <v>6.6283195444176712E-2</v>
      </c>
      <c r="D561" s="35">
        <f t="shared" si="31"/>
        <v>1.1600846845808479</v>
      </c>
      <c r="E561" s="35">
        <f>(Table143454[[#This Row],[USA]]-B549)/B549</f>
        <v>0.95822293712094775</v>
      </c>
      <c r="F561" s="34">
        <f>VLOOKUP(Table143454[[#This Row],[Date]],'Data Core CPI'!$A:$AX,MATCH($B$2,'Data Core CPI'!$B$1:$AX$1,0),FALSE)</f>
        <v>3.9142830000000002</v>
      </c>
      <c r="G561" s="35">
        <f t="shared" si="32"/>
        <v>5.2896560795538505E-2</v>
      </c>
      <c r="H561" s="35">
        <f t="shared" si="33"/>
        <v>0.85621588614797894</v>
      </c>
      <c r="I561" s="35">
        <f>(Table143454[[#This Row],[Core CPI]]-F549)/F549</f>
        <v>0.91419650148909237</v>
      </c>
    </row>
    <row r="562" spans="1:9" x14ac:dyDescent="0.35">
      <c r="A562" s="33">
        <f>IF(Data!A589="",#N/A,Data!A589)</f>
        <v>35765</v>
      </c>
      <c r="B562" s="34">
        <f>VLOOKUP(A562,Data!A:AX,MATCH($B$2,Data!$B$1:$AX$1,0),FALSE)</f>
        <v>4.0702309999999997</v>
      </c>
      <c r="C562" s="35">
        <f t="shared" si="34"/>
        <v>5.1373061786230467E-2</v>
      </c>
      <c r="D562" s="35">
        <f t="shared" si="31"/>
        <v>0.82424071436569912</v>
      </c>
      <c r="E562" s="35">
        <f>(Table143454[[#This Row],[USA]]-B550)/B550</f>
        <v>0.99094440737791334</v>
      </c>
      <c r="F562" s="34">
        <f>VLOOKUP(Table143454[[#This Row],[Date]],'Data Core CPI'!$A:$AX,MATCH($B$2,'Data Core CPI'!$B$1:$AX$1,0),FALSE)</f>
        <v>4.1015699999999997</v>
      </c>
      <c r="G562" s="35">
        <f t="shared" si="32"/>
        <v>4.784707697425028E-2</v>
      </c>
      <c r="H562" s="35">
        <f t="shared" si="33"/>
        <v>0.75216449160147447</v>
      </c>
      <c r="I562" s="35">
        <f>(Table143454[[#This Row],[Core CPI]]-F550)/F550</f>
        <v>0.92327296411561666</v>
      </c>
    </row>
    <row r="563" spans="1:9" x14ac:dyDescent="0.35">
      <c r="A563" s="33">
        <f>IF(Data!A590="",#N/A,Data!A590)</f>
        <v>35796</v>
      </c>
      <c r="B563" s="34">
        <f>VLOOKUP(A563,Data!A:AX,MATCH($B$2,Data!$B$1:$AX$1,0),FALSE)</f>
        <v>4.3640480000000004</v>
      </c>
      <c r="C563" s="35">
        <f t="shared" si="34"/>
        <v>7.2186812001579392E-2</v>
      </c>
      <c r="D563" s="35">
        <f t="shared" si="31"/>
        <v>1.3080516999433796</v>
      </c>
      <c r="E563" s="35">
        <f>(Table143454[[#This Row],[USA]]-B551)/B551</f>
        <v>1.0162285206340054</v>
      </c>
      <c r="F563" s="34">
        <f>VLOOKUP(Table143454[[#This Row],[Date]],'Data Core CPI'!$A:$AX,MATCH($B$2,'Data Core CPI'!$B$1:$AX$1,0),FALSE)</f>
        <v>4.3903850000000002</v>
      </c>
      <c r="G563" s="35">
        <f t="shared" si="32"/>
        <v>7.0415718858876097E-2</v>
      </c>
      <c r="H563" s="35">
        <f t="shared" si="33"/>
        <v>1.2627143757116057</v>
      </c>
      <c r="I563" s="35">
        <f>(Table143454[[#This Row],[Core CPI]]-F551)/F551</f>
        <v>0.93820750510555906</v>
      </c>
    </row>
    <row r="564" spans="1:9" x14ac:dyDescent="0.35">
      <c r="A564" s="33">
        <f>IF(Data!A591="",#N/A,Data!A591)</f>
        <v>35827</v>
      </c>
      <c r="B564" s="34">
        <f>VLOOKUP(A564,Data!A:AX,MATCH($B$2,Data!$B$1:$AX$1,0),FALSE)</f>
        <v>4.5567609999999998</v>
      </c>
      <c r="C564" s="35">
        <f t="shared" si="34"/>
        <v>4.415923014595613E-2</v>
      </c>
      <c r="D564" s="35">
        <f t="shared" si="31"/>
        <v>0.67958034157536984</v>
      </c>
      <c r="E564" s="35">
        <f>(Table143454[[#This Row],[USA]]-B552)/B552</f>
        <v>0.99252839184861408</v>
      </c>
      <c r="F564" s="34">
        <f>VLOOKUP(Table143454[[#This Row],[Date]],'Data Core CPI'!$A:$AX,MATCH($B$2,'Data Core CPI'!$B$1:$AX$1,0),FALSE)</f>
        <v>4.562392</v>
      </c>
      <c r="G564" s="35">
        <f t="shared" si="32"/>
        <v>3.9178113081199006E-2</v>
      </c>
      <c r="H564" s="35">
        <f t="shared" si="33"/>
        <v>0.58591495276699157</v>
      </c>
      <c r="I564" s="35">
        <f>(Table143454[[#This Row],[Core CPI]]-F552)/F552</f>
        <v>0.94189210528219913</v>
      </c>
    </row>
    <row r="565" spans="1:9" x14ac:dyDescent="0.35">
      <c r="A565" s="33">
        <f>IF(Data!A592="",#N/A,Data!A592)</f>
        <v>35855</v>
      </c>
      <c r="B565" s="34">
        <f>VLOOKUP(A565,Data!A:AX,MATCH($B$2,Data!$B$1:$AX$1,0),FALSE)</f>
        <v>4.752796</v>
      </c>
      <c r="C565" s="35">
        <f t="shared" si="34"/>
        <v>4.3020689476582108E-2</v>
      </c>
      <c r="D565" s="35">
        <f t="shared" si="31"/>
        <v>0.65773489245825933</v>
      </c>
      <c r="E565" s="35">
        <f>(Table143454[[#This Row],[USA]]-B553)/B553</f>
        <v>0.97183961074306646</v>
      </c>
      <c r="F565" s="34">
        <f>VLOOKUP(Table143454[[#This Row],[Date]],'Data Core CPI'!$A:$AX,MATCH($B$2,'Data Core CPI'!$B$1:$AX$1,0),FALSE)</f>
        <v>4.7600290000000003</v>
      </c>
      <c r="G565" s="35">
        <f t="shared" si="32"/>
        <v>4.3318724037741729E-2</v>
      </c>
      <c r="H565" s="35">
        <f t="shared" si="33"/>
        <v>0.66342804306733827</v>
      </c>
      <c r="I565" s="35">
        <f>(Table143454[[#This Row],[Core CPI]]-F553)/F553</f>
        <v>0.95545653264339547</v>
      </c>
    </row>
    <row r="566" spans="1:9" x14ac:dyDescent="0.35">
      <c r="A566" s="33">
        <f>IF(Data!A593="",#N/A,Data!A593)</f>
        <v>35886</v>
      </c>
      <c r="B566" s="34">
        <f>VLOOKUP(A566,Data!A:AX,MATCH($B$2,Data!$B$1:$AX$1,0),FALSE)</f>
        <v>4.9744640000000002</v>
      </c>
      <c r="C566" s="35">
        <f t="shared" si="34"/>
        <v>4.6639493889491623E-2</v>
      </c>
      <c r="D566" s="35">
        <f t="shared" si="31"/>
        <v>0.72808627354520072</v>
      </c>
      <c r="E566" s="35">
        <f>(Table143454[[#This Row],[USA]]-B554)/B554</f>
        <v>0.93572242134964168</v>
      </c>
      <c r="F566" s="34">
        <f>VLOOKUP(Table143454[[#This Row],[Date]],'Data Core CPI'!$A:$AX,MATCH($B$2,'Data Core CPI'!$B$1:$AX$1,0),FALSE)</f>
        <v>5.0281440000000002</v>
      </c>
      <c r="G566" s="35">
        <f t="shared" si="32"/>
        <v>5.6326337507607516E-2</v>
      </c>
      <c r="H566" s="35">
        <f t="shared" si="33"/>
        <v>0.93008883680760435</v>
      </c>
      <c r="I566" s="35">
        <f>(Table143454[[#This Row],[Core CPI]]-F554)/F554</f>
        <v>0.95778196042029584</v>
      </c>
    </row>
    <row r="567" spans="1:9" x14ac:dyDescent="0.35">
      <c r="A567" s="33">
        <f>IF(Data!A594="",#N/A,Data!A594)</f>
        <v>35916</v>
      </c>
      <c r="B567" s="34">
        <f>VLOOKUP(A567,Data!A:AX,MATCH($B$2,Data!$B$1:$AX$1,0),FALSE)</f>
        <v>5.1486650000000003</v>
      </c>
      <c r="C567" s="35">
        <f t="shared" si="34"/>
        <v>3.5019049288526283E-2</v>
      </c>
      <c r="D567" s="35">
        <f t="shared" si="31"/>
        <v>0.51140242774455991</v>
      </c>
      <c r="E567" s="35">
        <f>(Table143454[[#This Row],[USA]]-B555)/B555</f>
        <v>0.91372653822665684</v>
      </c>
      <c r="F567" s="34">
        <f>VLOOKUP(Table143454[[#This Row],[Date]],'Data Core CPI'!$A:$AX,MATCH($B$2,'Data Core CPI'!$B$1:$AX$1,0),FALSE)</f>
        <v>5.2696440000000004</v>
      </c>
      <c r="G567" s="35">
        <f t="shared" si="32"/>
        <v>4.8029650702127835E-2</v>
      </c>
      <c r="H567" s="35">
        <f t="shared" si="33"/>
        <v>0.75583150693712975</v>
      </c>
      <c r="I567" s="35">
        <f>(Table143454[[#This Row],[Core CPI]]-F555)/F555</f>
        <v>0.93871267404064962</v>
      </c>
    </row>
    <row r="568" spans="1:9" x14ac:dyDescent="0.35">
      <c r="A568" s="33">
        <f>IF(Data!A595="",#N/A,Data!A595)</f>
        <v>35947</v>
      </c>
      <c r="B568" s="34">
        <f>VLOOKUP(A568,Data!A:AX,MATCH($B$2,Data!$B$1:$AX$1,0),FALSE)</f>
        <v>5.2739760000000002</v>
      </c>
      <c r="C568" s="35">
        <f t="shared" si="34"/>
        <v>2.4338542126939755E-2</v>
      </c>
      <c r="D568" s="35">
        <f t="shared" si="31"/>
        <v>0.33451102892986051</v>
      </c>
      <c r="E568" s="35">
        <f>(Table143454[[#This Row],[USA]]-B556)/B556</f>
        <v>0.90550543273849549</v>
      </c>
      <c r="F568" s="34">
        <f>VLOOKUP(Table143454[[#This Row],[Date]],'Data Core CPI'!$A:$AX,MATCH($B$2,'Data Core CPI'!$B$1:$AX$1,0),FALSE)</f>
        <v>5.496359</v>
      </c>
      <c r="G568" s="35">
        <f t="shared" si="32"/>
        <v>4.3022830384746857E-2</v>
      </c>
      <c r="H568" s="35">
        <f t="shared" si="33"/>
        <v>0.65777572499324721</v>
      </c>
      <c r="I568" s="35">
        <f>(Table143454[[#This Row],[Core CPI]]-F556)/F556</f>
        <v>0.95374900870420798</v>
      </c>
    </row>
    <row r="569" spans="1:9" x14ac:dyDescent="0.35">
      <c r="A569" s="33">
        <f>IF(Data!A596="",#N/A,Data!A596)</f>
        <v>35977</v>
      </c>
      <c r="B569" s="34">
        <f>VLOOKUP(A569,Data!A:AX,MATCH($B$2,Data!$B$1:$AX$1,0),FALSE)</f>
        <v>5.4510249999999996</v>
      </c>
      <c r="C569" s="35">
        <f t="shared" si="34"/>
        <v>3.3570308245619573E-2</v>
      </c>
      <c r="D569" s="35">
        <f t="shared" si="31"/>
        <v>0.48621040098592494</v>
      </c>
      <c r="E569" s="35">
        <f>(Table143454[[#This Row],[USA]]-B557)/B557</f>
        <v>0.85345403567279088</v>
      </c>
      <c r="F569" s="34">
        <f>VLOOKUP(Table143454[[#This Row],[Date]],'Data Core CPI'!$A:$AX,MATCH($B$2,'Data Core CPI'!$B$1:$AX$1,0),FALSE)</f>
        <v>5.6895600000000002</v>
      </c>
      <c r="G569" s="35">
        <f t="shared" si="32"/>
        <v>3.5150724324957805E-2</v>
      </c>
      <c r="H569" s="35">
        <f t="shared" si="33"/>
        <v>0.51371140879275767</v>
      </c>
      <c r="I569" s="35">
        <f>(Table143454[[#This Row],[Core CPI]]-F557)/F557</f>
        <v>0.89556653003539222</v>
      </c>
    </row>
    <row r="570" spans="1:9" x14ac:dyDescent="0.35">
      <c r="A570" s="33">
        <f>IF(Data!A597="",#N/A,Data!A597)</f>
        <v>36008</v>
      </c>
      <c r="B570" s="34">
        <f>VLOOKUP(A570,Data!A:AX,MATCH($B$2,Data!$B$1:$AX$1,0),FALSE)</f>
        <v>5.6665219999999996</v>
      </c>
      <c r="C570" s="35">
        <f t="shared" si="34"/>
        <v>3.9533298783256399E-2</v>
      </c>
      <c r="D570" s="35">
        <f t="shared" si="31"/>
        <v>0.59243188499016708</v>
      </c>
      <c r="E570" s="35">
        <f>(Table143454[[#This Row],[USA]]-B558)/B558</f>
        <v>0.81428562280679284</v>
      </c>
      <c r="F570" s="34">
        <f>VLOOKUP(Table143454[[#This Row],[Date]],'Data Core CPI'!$A:$AX,MATCH($B$2,'Data Core CPI'!$B$1:$AX$1,0),FALSE)</f>
        <v>5.9586610000000002</v>
      </c>
      <c r="G570" s="35">
        <f t="shared" si="32"/>
        <v>4.7297330549286754E-2</v>
      </c>
      <c r="H570" s="35">
        <f t="shared" si="33"/>
        <v>0.74116512092522413</v>
      </c>
      <c r="I570" s="35">
        <f>(Table143454[[#This Row],[Core CPI]]-F558)/F558</f>
        <v>0.86257922038544677</v>
      </c>
    </row>
    <row r="571" spans="1:9" x14ac:dyDescent="0.35">
      <c r="A571" s="33">
        <f>IF(Data!A598="",#N/A,Data!A598)</f>
        <v>36039</v>
      </c>
      <c r="B571" s="34">
        <f>VLOOKUP(A571,Data!A:AX,MATCH($B$2,Data!$B$1:$AX$1,0),FALSE)</f>
        <v>6.0472010000000003</v>
      </c>
      <c r="C571" s="35">
        <f t="shared" si="34"/>
        <v>6.7180362133951066E-2</v>
      </c>
      <c r="D571" s="35">
        <f t="shared" ref="D571:D634" si="35">((1+C571)^12)-1</f>
        <v>1.1819957431902286</v>
      </c>
      <c r="E571" s="35">
        <f>(Table143454[[#This Row],[USA]]-B559)/B559</f>
        <v>0.80427665292295358</v>
      </c>
      <c r="F571" s="34">
        <f>VLOOKUP(Table143454[[#This Row],[Date]],'Data Core CPI'!$A:$AX,MATCH($B$2,'Data Core CPI'!$B$1:$AX$1,0),FALSE)</f>
        <v>6.3815340000000003</v>
      </c>
      <c r="G571" s="35">
        <f t="shared" si="32"/>
        <v>7.0967789575543838E-2</v>
      </c>
      <c r="H571" s="35">
        <f t="shared" si="33"/>
        <v>1.2767582044655916</v>
      </c>
      <c r="I571" s="35">
        <f>(Table143454[[#This Row],[Core CPI]]-F559)/F559</f>
        <v>0.84575937488340258</v>
      </c>
    </row>
    <row r="572" spans="1:9" x14ac:dyDescent="0.35">
      <c r="A572" s="33">
        <f>IF(Data!A599="",#N/A,Data!A599)</f>
        <v>36069</v>
      </c>
      <c r="B572" s="34">
        <f>VLOOKUP(A572,Data!A:AX,MATCH($B$2,Data!$B$1:$AX$1,0),FALSE)</f>
        <v>6.4131660000000004</v>
      </c>
      <c r="C572" s="35">
        <f t="shared" si="34"/>
        <v>6.0518081009710123E-2</v>
      </c>
      <c r="D572" s="35">
        <f t="shared" si="35"/>
        <v>1.0240299175139502</v>
      </c>
      <c r="E572" s="35">
        <f>(Table143454[[#This Row],[USA]]-B560)/B560</f>
        <v>0.76637469310275119</v>
      </c>
      <c r="F572" s="34">
        <f>VLOOKUP(Table143454[[#This Row],[Date]],'Data Core CPI'!$A:$AX,MATCH($B$2,'Data Core CPI'!$B$1:$AX$1,0),FALSE)</f>
        <v>6.7521630000000004</v>
      </c>
      <c r="G572" s="35">
        <f t="shared" si="32"/>
        <v>5.8078355454973751E-2</v>
      </c>
      <c r="H572" s="35">
        <f t="shared" si="33"/>
        <v>0.96885604849199081</v>
      </c>
      <c r="I572" s="35">
        <f>(Table143454[[#This Row],[Core CPI]]-F560)/F560</f>
        <v>0.81625324500831575</v>
      </c>
    </row>
    <row r="573" spans="1:9" x14ac:dyDescent="0.35">
      <c r="A573" s="33">
        <f>IF(Data!A600="",#N/A,Data!A600)</f>
        <v>36100</v>
      </c>
      <c r="B573" s="34">
        <f>VLOOKUP(A573,Data!A:AX,MATCH($B$2,Data!$B$1:$AX$1,0),FALSE)</f>
        <v>6.6884699999999997</v>
      </c>
      <c r="C573" s="35">
        <f t="shared" si="34"/>
        <v>4.2927939180117836E-2</v>
      </c>
      <c r="D573" s="35">
        <f t="shared" si="35"/>
        <v>0.65596679454437901</v>
      </c>
      <c r="E573" s="35">
        <f>(Table143454[[#This Row],[USA]]-B561)/B561</f>
        <v>0.72768503374018556</v>
      </c>
      <c r="F573" s="34">
        <f>VLOOKUP(Table143454[[#This Row],[Date]],'Data Core CPI'!$A:$AX,MATCH($B$2,'Data Core CPI'!$B$1:$AX$1,0),FALSE)</f>
        <v>7.0335859999999997</v>
      </c>
      <c r="G573" s="35">
        <f t="shared" si="32"/>
        <v>4.1678940511358897E-2</v>
      </c>
      <c r="H573" s="35">
        <f t="shared" si="33"/>
        <v>0.63232491712407546</v>
      </c>
      <c r="I573" s="35">
        <f>(Table143454[[#This Row],[Core CPI]]-F561)/F561</f>
        <v>0.79690277887418959</v>
      </c>
    </row>
    <row r="574" spans="1:9" x14ac:dyDescent="0.35">
      <c r="A574" s="33">
        <f>IF(Data!A601="",#N/A,Data!A601)</f>
        <v>36130</v>
      </c>
      <c r="B574" s="34">
        <f>VLOOKUP(A574,Data!A:AX,MATCH($B$2,Data!$B$1:$AX$1,0),FALSE)</f>
        <v>6.908239</v>
      </c>
      <c r="C574" s="35">
        <f t="shared" si="34"/>
        <v>3.2857888276392133E-2</v>
      </c>
      <c r="D574" s="35">
        <f t="shared" si="35"/>
        <v>0.47396390525767607</v>
      </c>
      <c r="E574" s="35">
        <f>(Table143454[[#This Row],[USA]]-B562)/B562</f>
        <v>0.6972596887007152</v>
      </c>
      <c r="F574" s="34">
        <f>VLOOKUP(Table143454[[#This Row],[Date]],'Data Core CPI'!$A:$AX,MATCH($B$2,'Data Core CPI'!$B$1:$AX$1,0),FALSE)</f>
        <v>7.2938150000000004</v>
      </c>
      <c r="G574" s="35">
        <f t="shared" si="32"/>
        <v>3.6998054761824273E-2</v>
      </c>
      <c r="H574" s="35">
        <f t="shared" si="33"/>
        <v>0.54644792684423549</v>
      </c>
      <c r="I574" s="35">
        <f>(Table143454[[#This Row],[Core CPI]]-F562)/F562</f>
        <v>0.77829831015928064</v>
      </c>
    </row>
    <row r="575" spans="1:9" x14ac:dyDescent="0.35">
      <c r="A575" s="33">
        <f>IF(Data!A602="",#N/A,Data!A602)</f>
        <v>36161</v>
      </c>
      <c r="B575" s="34">
        <f>VLOOKUP(A575,Data!A:AX,MATCH($B$2,Data!$B$1:$AX$1,0),FALSE)</f>
        <v>7.2400279999999997</v>
      </c>
      <c r="C575" s="35">
        <f t="shared" si="34"/>
        <v>4.8028014085789383E-2</v>
      </c>
      <c r="D575" s="35">
        <f t="shared" si="35"/>
        <v>0.75579860407585531</v>
      </c>
      <c r="E575" s="35">
        <f>(Table143454[[#This Row],[USA]]-B563)/B563</f>
        <v>0.65901658276902519</v>
      </c>
      <c r="F575" s="34">
        <f>VLOOKUP(Table143454[[#This Row],[Date]],'Data Core CPI'!$A:$AX,MATCH($B$2,'Data Core CPI'!$B$1:$AX$1,0),FALSE)</f>
        <v>7.6674020000000001</v>
      </c>
      <c r="G575" s="35">
        <f t="shared" si="32"/>
        <v>5.1219697785041207E-2</v>
      </c>
      <c r="H575" s="35">
        <f t="shared" si="33"/>
        <v>0.82105004665915415</v>
      </c>
      <c r="I575" s="35">
        <f>(Table143454[[#This Row],[Core CPI]]-F563)/F563</f>
        <v>0.746407661287108</v>
      </c>
    </row>
    <row r="576" spans="1:9" x14ac:dyDescent="0.35">
      <c r="A576" s="33">
        <f>IF(Data!A603="",#N/A,Data!A603)</f>
        <v>36192</v>
      </c>
      <c r="B576" s="34">
        <f>VLOOKUP(A576,Data!A:AX,MATCH($B$2,Data!$B$1:$AX$1,0),FALSE)</f>
        <v>7.4697649999999998</v>
      </c>
      <c r="C576" s="35">
        <f t="shared" si="34"/>
        <v>3.173150711571826E-2</v>
      </c>
      <c r="D576" s="35">
        <f t="shared" si="35"/>
        <v>0.45479004062766437</v>
      </c>
      <c r="E576" s="35">
        <f>(Table143454[[#This Row],[USA]]-B564)/B564</f>
        <v>0.63927074516306648</v>
      </c>
      <c r="F576" s="34">
        <f>VLOOKUP(Table143454[[#This Row],[Date]],'Data Core CPI'!$A:$AX,MATCH($B$2,'Data Core CPI'!$B$1:$AX$1,0),FALSE)</f>
        <v>7.8975669999999996</v>
      </c>
      <c r="G576" s="35">
        <f t="shared" si="32"/>
        <v>3.0018642559761277E-2</v>
      </c>
      <c r="H576" s="35">
        <f t="shared" si="33"/>
        <v>0.42607058562665912</v>
      </c>
      <c r="I576" s="35">
        <f>(Table143454[[#This Row],[Core CPI]]-F564)/F564</f>
        <v>0.73101456428996003</v>
      </c>
    </row>
    <row r="577" spans="1:9" x14ac:dyDescent="0.35">
      <c r="A577" s="33">
        <f>IF(Data!A604="",#N/A,Data!A604)</f>
        <v>36220</v>
      </c>
      <c r="B577" s="34">
        <f>VLOOKUP(A577,Data!A:AX,MATCH($B$2,Data!$B$1:$AX$1,0),FALSE)</f>
        <v>7.7725999999999997</v>
      </c>
      <c r="C577" s="35">
        <f t="shared" si="34"/>
        <v>4.0541436042499379E-2</v>
      </c>
      <c r="D577" s="35">
        <f t="shared" si="35"/>
        <v>0.61106309917950097</v>
      </c>
      <c r="E577" s="35">
        <f>(Table143454[[#This Row],[USA]]-B565)/B565</f>
        <v>0.63537420920233056</v>
      </c>
      <c r="F577" s="34">
        <f>VLOOKUP(Table143454[[#This Row],[Date]],'Data Core CPI'!$A:$AX,MATCH($B$2,'Data Core CPI'!$B$1:$AX$1,0),FALSE)</f>
        <v>8.1696240000000007</v>
      </c>
      <c r="G577" s="35">
        <f t="shared" si="32"/>
        <v>3.4448204111468872E-2</v>
      </c>
      <c r="H577" s="35">
        <f t="shared" si="33"/>
        <v>0.50142969040328467</v>
      </c>
      <c r="I577" s="35">
        <f>(Table143454[[#This Row],[Core CPI]]-F565)/F565</f>
        <v>0.71629710659325818</v>
      </c>
    </row>
    <row r="578" spans="1:9" x14ac:dyDescent="0.35">
      <c r="A578" s="33">
        <f>IF(Data!A605="",#N/A,Data!A605)</f>
        <v>36251</v>
      </c>
      <c r="B578" s="34">
        <f>VLOOKUP(A578,Data!A:AX,MATCH($B$2,Data!$B$1:$AX$1,0),FALSE)</f>
        <v>8.1509060000000009</v>
      </c>
      <c r="C578" s="35">
        <f t="shared" si="34"/>
        <v>4.8671744332655864E-2</v>
      </c>
      <c r="D578" s="35">
        <f t="shared" si="35"/>
        <v>0.76878398388137459</v>
      </c>
      <c r="E578" s="35">
        <f>(Table143454[[#This Row],[USA]]-B566)/B566</f>
        <v>0.63854960051977472</v>
      </c>
      <c r="F578" s="34">
        <f>VLOOKUP(Table143454[[#This Row],[Date]],'Data Core CPI'!$A:$AX,MATCH($B$2,'Data Core CPI'!$B$1:$AX$1,0),FALSE)</f>
        <v>8.5407480000000007</v>
      </c>
      <c r="G578" s="35">
        <f t="shared" si="32"/>
        <v>4.5427304855156114E-2</v>
      </c>
      <c r="H578" s="35">
        <f t="shared" si="33"/>
        <v>0.70422160881121898</v>
      </c>
      <c r="I578" s="35">
        <f>(Table143454[[#This Row],[Core CPI]]-F566)/F566</f>
        <v>0.6985885845751435</v>
      </c>
    </row>
    <row r="579" spans="1:9" x14ac:dyDescent="0.35">
      <c r="A579" s="33">
        <f>IF(Data!A606="",#N/A,Data!A606)</f>
        <v>36281</v>
      </c>
      <c r="B579" s="34">
        <f>VLOOKUP(A579,Data!A:AX,MATCH($B$2,Data!$B$1:$AX$1,0),FALSE)</f>
        <v>8.3906109999999998</v>
      </c>
      <c r="C579" s="35">
        <f t="shared" si="34"/>
        <v>2.9408387239406197E-2</v>
      </c>
      <c r="D579" s="35">
        <f t="shared" si="35"/>
        <v>0.41596470739554947</v>
      </c>
      <c r="E579" s="35">
        <f>(Table143454[[#This Row],[USA]]-B567)/B567</f>
        <v>0.62966730210646826</v>
      </c>
      <c r="F579" s="34">
        <f>VLOOKUP(Table143454[[#This Row],[Date]],'Data Core CPI'!$A:$AX,MATCH($B$2,'Data Core CPI'!$B$1:$AX$1,0),FALSE)</f>
        <v>8.9429200000000009</v>
      </c>
      <c r="G579" s="35">
        <f t="shared" ref="G579:G642" si="36">(F579/F578)-1</f>
        <v>4.7088615657551403E-2</v>
      </c>
      <c r="H579" s="35">
        <f t="shared" ref="H579:H642" si="37">((1+G579)^12)-1</f>
        <v>0.73700574020142695</v>
      </c>
      <c r="I579" s="35">
        <f>(Table143454[[#This Row],[Core CPI]]-F567)/F567</f>
        <v>0.69706340693982372</v>
      </c>
    </row>
    <row r="580" spans="1:9" x14ac:dyDescent="0.35">
      <c r="A580" s="33">
        <f>IF(Data!A607="",#N/A,Data!A607)</f>
        <v>36312</v>
      </c>
      <c r="B580" s="34">
        <f>VLOOKUP(A580,Data!A:AX,MATCH($B$2,Data!$B$1:$AX$1,0),FALSE)</f>
        <v>8.6635410000000004</v>
      </c>
      <c r="C580" s="35">
        <f t="shared" ref="C580:C643" si="38">(B580/B579)-1</f>
        <v>3.2528024478789552E-2</v>
      </c>
      <c r="D580" s="35">
        <f t="shared" si="35"/>
        <v>0.46832493937209763</v>
      </c>
      <c r="E580" s="35">
        <f>(Table143454[[#This Row],[USA]]-B568)/B568</f>
        <v>0.64269632626314566</v>
      </c>
      <c r="F580" s="34">
        <f>VLOOKUP(Table143454[[#This Row],[Date]],'Data Core CPI'!$A:$AX,MATCH($B$2,'Data Core CPI'!$B$1:$AX$1,0),FALSE)</f>
        <v>9.3825489999999991</v>
      </c>
      <c r="G580" s="35">
        <f t="shared" si="36"/>
        <v>4.9159446802610196E-2</v>
      </c>
      <c r="H580" s="35">
        <f t="shared" si="37"/>
        <v>0.77868050602663086</v>
      </c>
      <c r="I580" s="35">
        <f>(Table143454[[#This Row],[Core CPI]]-F568)/F568</f>
        <v>0.70704806581957236</v>
      </c>
    </row>
    <row r="581" spans="1:9" x14ac:dyDescent="0.35">
      <c r="A581" s="33">
        <f>IF(Data!A608="",#N/A,Data!A608)</f>
        <v>36342</v>
      </c>
      <c r="B581" s="34">
        <f>VLOOKUP(A581,Data!A:AX,MATCH($B$2,Data!$B$1:$AX$1,0),FALSE)</f>
        <v>8.9943810000000006</v>
      </c>
      <c r="C581" s="35">
        <f t="shared" si="38"/>
        <v>3.818761866539333E-2</v>
      </c>
      <c r="D581" s="35">
        <f t="shared" si="35"/>
        <v>0.56787033318564695</v>
      </c>
      <c r="E581" s="35">
        <f>(Table143454[[#This Row],[USA]]-B569)/B569</f>
        <v>0.65003480996693308</v>
      </c>
      <c r="F581" s="34">
        <f>VLOOKUP(Table143454[[#This Row],[Date]],'Data Core CPI'!$A:$AX,MATCH($B$2,'Data Core CPI'!$B$1:$AX$1,0),FALSE)</f>
        <v>9.7635299999999994</v>
      </c>
      <c r="G581" s="35">
        <f t="shared" si="36"/>
        <v>4.0605276881580998E-2</v>
      </c>
      <c r="H581" s="35">
        <f t="shared" si="37"/>
        <v>0.612249631462912</v>
      </c>
      <c r="I581" s="35">
        <f>(Table143454[[#This Row],[Core CPI]]-F569)/F569</f>
        <v>0.71604306835677967</v>
      </c>
    </row>
    <row r="582" spans="1:9" x14ac:dyDescent="0.35">
      <c r="A582" s="33">
        <f>IF(Data!A609="",#N/A,Data!A609)</f>
        <v>36373</v>
      </c>
      <c r="B582" s="34">
        <f>VLOOKUP(A582,Data!A:AX,MATCH($B$2,Data!$B$1:$AX$1,0),FALSE)</f>
        <v>9.3726870000000009</v>
      </c>
      <c r="C582" s="35">
        <f t="shared" si="38"/>
        <v>4.2060259622090701E-2</v>
      </c>
      <c r="D582" s="35">
        <f t="shared" si="35"/>
        <v>0.63950975732052195</v>
      </c>
      <c r="E582" s="35">
        <f>(Table143454[[#This Row],[USA]]-B570)/B570</f>
        <v>0.65404581505198456</v>
      </c>
      <c r="F582" s="34">
        <f>VLOOKUP(Table143454[[#This Row],[Date]],'Data Core CPI'!$A:$AX,MATCH($B$2,'Data Core CPI'!$B$1:$AX$1,0),FALSE)</f>
        <v>10.215479999999999</v>
      </c>
      <c r="G582" s="35">
        <f t="shared" si="36"/>
        <v>4.6289610417543647E-2</v>
      </c>
      <c r="H582" s="35">
        <f t="shared" si="37"/>
        <v>0.72116677480813385</v>
      </c>
      <c r="I582" s="35">
        <f>(Table143454[[#This Row],[Core CPI]]-F570)/F570</f>
        <v>0.7143918742818226</v>
      </c>
    </row>
    <row r="583" spans="1:9" x14ac:dyDescent="0.35">
      <c r="A583" s="33">
        <f>IF(Data!A610="",#N/A,Data!A610)</f>
        <v>36404</v>
      </c>
      <c r="B583" s="34">
        <f>VLOOKUP(A583,Data!A:AX,MATCH($B$2,Data!$B$1:$AX$1,0),FALSE)</f>
        <v>9.9337389999999992</v>
      </c>
      <c r="C583" s="35">
        <f t="shared" si="38"/>
        <v>5.9860315403682973E-2</v>
      </c>
      <c r="D583" s="35">
        <f t="shared" si="35"/>
        <v>1.0090168202231955</v>
      </c>
      <c r="E583" s="35">
        <f>(Table143454[[#This Row],[USA]]-B571)/B571</f>
        <v>0.64270031705577491</v>
      </c>
      <c r="F583" s="34">
        <f>VLOOKUP(Table143454[[#This Row],[Date]],'Data Core CPI'!$A:$AX,MATCH($B$2,'Data Core CPI'!$B$1:$AX$1,0),FALSE)</f>
        <v>10.88232</v>
      </c>
      <c r="G583" s="35">
        <f t="shared" si="36"/>
        <v>6.5277402530277584E-2</v>
      </c>
      <c r="H583" s="35">
        <f t="shared" si="37"/>
        <v>1.1357606193965561</v>
      </c>
      <c r="I583" s="35">
        <f>(Table143454[[#This Row],[Core CPI]]-F571)/F571</f>
        <v>0.70528277370299985</v>
      </c>
    </row>
    <row r="584" spans="1:9" x14ac:dyDescent="0.35">
      <c r="A584" s="33">
        <f>IF(Data!A611="",#N/A,Data!A611)</f>
        <v>36434</v>
      </c>
      <c r="B584" s="34">
        <f>VLOOKUP(A584,Data!A:AX,MATCH($B$2,Data!$B$1:$AX$1,0),FALSE)</f>
        <v>10.562189999999999</v>
      </c>
      <c r="C584" s="35">
        <f t="shared" si="38"/>
        <v>6.3264295548735472E-2</v>
      </c>
      <c r="D584" s="35">
        <f t="shared" si="35"/>
        <v>1.0878282323903101</v>
      </c>
      <c r="E584" s="35">
        <f>(Table143454[[#This Row],[USA]]-B572)/B572</f>
        <v>0.64695409412449312</v>
      </c>
      <c r="F584" s="34">
        <f>VLOOKUP(Table143454[[#This Row],[Date]],'Data Core CPI'!$A:$AX,MATCH($B$2,'Data Core CPI'!$B$1:$AX$1,0),FALSE)</f>
        <v>11.55359</v>
      </c>
      <c r="G584" s="35">
        <f t="shared" si="36"/>
        <v>6.1684456990788616E-2</v>
      </c>
      <c r="H584" s="35">
        <f t="shared" si="37"/>
        <v>1.0509048506226191</v>
      </c>
      <c r="I584" s="35">
        <f>(Table143454[[#This Row],[Core CPI]]-F572)/F572</f>
        <v>0.7110946521877507</v>
      </c>
    </row>
    <row r="585" spans="1:9" x14ac:dyDescent="0.35">
      <c r="A585" s="33">
        <f>IF(Data!A612="",#N/A,Data!A612)</f>
        <v>36465</v>
      </c>
      <c r="B585" s="34">
        <f>VLOOKUP(A585,Data!A:AX,MATCH($B$2,Data!$B$1:$AX$1,0),FALSE)</f>
        <v>11.006</v>
      </c>
      <c r="C585" s="35">
        <f t="shared" si="38"/>
        <v>4.2018748005858697E-2</v>
      </c>
      <c r="D585" s="35">
        <f t="shared" si="35"/>
        <v>0.6387261889273057</v>
      </c>
      <c r="E585" s="35">
        <f>(Table143454[[#This Row],[USA]]-B573)/B573</f>
        <v>0.64551833229423183</v>
      </c>
      <c r="F585" s="34">
        <f>VLOOKUP(Table143454[[#This Row],[Date]],'Data Core CPI'!$A:$AX,MATCH($B$2,'Data Core CPI'!$B$1:$AX$1,0),FALSE)</f>
        <v>11.98386</v>
      </c>
      <c r="G585" s="35">
        <f t="shared" si="36"/>
        <v>3.7241238437576651E-2</v>
      </c>
      <c r="H585" s="35">
        <f t="shared" si="37"/>
        <v>0.55080538523864497</v>
      </c>
      <c r="I585" s="35">
        <f>(Table143454[[#This Row],[Core CPI]]-F573)/F573</f>
        <v>0.70380514292424956</v>
      </c>
    </row>
    <row r="586" spans="1:9" x14ac:dyDescent="0.35">
      <c r="A586" s="33">
        <f>IF(Data!A613="",#N/A,Data!A613)</f>
        <v>36495</v>
      </c>
      <c r="B586" s="34">
        <f>VLOOKUP(A586,Data!A:AX,MATCH($B$2,Data!$B$1:$AX$1,0),FALSE)</f>
        <v>11.66056</v>
      </c>
      <c r="C586" s="35">
        <f t="shared" si="38"/>
        <v>5.9473014719244155E-2</v>
      </c>
      <c r="D586" s="35">
        <f t="shared" si="35"/>
        <v>1.0002247373239377</v>
      </c>
      <c r="E586" s="35">
        <f>(Table143454[[#This Row],[USA]]-B574)/B574</f>
        <v>0.68792075665013908</v>
      </c>
      <c r="F586" s="34">
        <f>VLOOKUP(Table143454[[#This Row],[Date]],'Data Core CPI'!$A:$AX,MATCH($B$2,'Data Core CPI'!$B$1:$AX$1,0),FALSE)</f>
        <v>12.68224</v>
      </c>
      <c r="G586" s="35">
        <f t="shared" si="36"/>
        <v>5.8276715515702016E-2</v>
      </c>
      <c r="H586" s="35">
        <f t="shared" si="37"/>
        <v>0.97328988281186368</v>
      </c>
      <c r="I586" s="35">
        <f>(Table143454[[#This Row],[Core CPI]]-F574)/F574</f>
        <v>0.73876633832911853</v>
      </c>
    </row>
    <row r="587" spans="1:9" x14ac:dyDescent="0.35">
      <c r="A587" s="33">
        <f>IF(Data!A614="",#N/A,Data!A614)</f>
        <v>36526</v>
      </c>
      <c r="B587" s="34">
        <f>VLOOKUP(A587,Data!A:AX,MATCH($B$2,Data!$B$1:$AX$1,0),FALSE)</f>
        <v>12.22683</v>
      </c>
      <c r="C587" s="35">
        <f t="shared" si="38"/>
        <v>4.8562847753452543E-2</v>
      </c>
      <c r="D587" s="35">
        <f t="shared" si="35"/>
        <v>0.76658114522457943</v>
      </c>
      <c r="E587" s="35">
        <f>(Table143454[[#This Row],[USA]]-B575)/B575</f>
        <v>0.68878214283149186</v>
      </c>
      <c r="F587" s="34">
        <f>VLOOKUP(Table143454[[#This Row],[Date]],'Data Core CPI'!$A:$AX,MATCH($B$2,'Data Core CPI'!$B$1:$AX$1,0),FALSE)</f>
        <v>13.37668</v>
      </c>
      <c r="G587" s="35">
        <f t="shared" si="36"/>
        <v>5.4756888373031831E-2</v>
      </c>
      <c r="H587" s="35">
        <f t="shared" si="37"/>
        <v>0.89595682840555169</v>
      </c>
      <c r="I587" s="35">
        <f>(Table143454[[#This Row],[Core CPI]]-F575)/F575</f>
        <v>0.74461701629834987</v>
      </c>
    </row>
    <row r="588" spans="1:9" x14ac:dyDescent="0.35">
      <c r="A588" s="33">
        <f>IF(Data!A615="",#N/A,Data!A615)</f>
        <v>36557</v>
      </c>
      <c r="B588" s="34">
        <f>VLOOKUP(A588,Data!A:AX,MATCH($B$2,Data!$B$1:$AX$1,0),FALSE)</f>
        <v>12.67966</v>
      </c>
      <c r="C588" s="35">
        <f t="shared" si="38"/>
        <v>3.7035764789401737E-2</v>
      </c>
      <c r="D588" s="35">
        <f t="shared" si="35"/>
        <v>0.54712289349912857</v>
      </c>
      <c r="E588" s="35">
        <f>(Table143454[[#This Row],[USA]]-B576)/B576</f>
        <v>0.69746437806276373</v>
      </c>
      <c r="F588" s="34">
        <f>VLOOKUP(Table143454[[#This Row],[Date]],'Data Core CPI'!$A:$AX,MATCH($B$2,'Data Core CPI'!$B$1:$AX$1,0),FALSE)</f>
        <v>13.71527</v>
      </c>
      <c r="G588" s="35">
        <f t="shared" si="36"/>
        <v>2.5311960815389112E-2</v>
      </c>
      <c r="H588" s="35">
        <f t="shared" si="37"/>
        <v>0.34980889017558114</v>
      </c>
      <c r="I588" s="35">
        <f>(Table143454[[#This Row],[Core CPI]]-F576)/F576</f>
        <v>0.73664496926711742</v>
      </c>
    </row>
    <row r="589" spans="1:9" x14ac:dyDescent="0.35">
      <c r="A589" s="33">
        <f>IF(Data!A616="",#N/A,Data!A616)</f>
        <v>36586</v>
      </c>
      <c r="B589" s="34">
        <f>VLOOKUP(A589,Data!A:AX,MATCH($B$2,Data!$B$1:$AX$1,0),FALSE)</f>
        <v>13.049899999999999</v>
      </c>
      <c r="C589" s="35">
        <f t="shared" si="38"/>
        <v>2.9199521122805994E-2</v>
      </c>
      <c r="D589" s="35">
        <f t="shared" si="35"/>
        <v>0.4125209751835337</v>
      </c>
      <c r="E589" s="35">
        <f>(Table143454[[#This Row],[USA]]-B577)/B577</f>
        <v>0.67896199469932839</v>
      </c>
      <c r="F589" s="34">
        <f>VLOOKUP(Table143454[[#This Row],[Date]],'Data Core CPI'!$A:$AX,MATCH($B$2,'Data Core CPI'!$B$1:$AX$1,0),FALSE)</f>
        <v>13.9824</v>
      </c>
      <c r="G589" s="35">
        <f t="shared" si="36"/>
        <v>1.9476831298253616E-2</v>
      </c>
      <c r="H589" s="35">
        <f t="shared" si="37"/>
        <v>0.26045784328554134</v>
      </c>
      <c r="I589" s="35">
        <f>(Table143454[[#This Row],[Core CPI]]-F577)/F577</f>
        <v>0.71151083574960106</v>
      </c>
    </row>
    <row r="590" spans="1:9" x14ac:dyDescent="0.35">
      <c r="A590" s="33">
        <f>IF(Data!A617="",#N/A,Data!A617)</f>
        <v>36617</v>
      </c>
      <c r="B590" s="34">
        <f>VLOOKUP(A590,Data!A:AX,MATCH($B$2,Data!$B$1:$AX$1,0),FALSE)</f>
        <v>13.353210000000001</v>
      </c>
      <c r="C590" s="35">
        <f t="shared" si="38"/>
        <v>2.3242323695967126E-2</v>
      </c>
      <c r="D590" s="35">
        <f t="shared" si="35"/>
        <v>0.3174736664566058</v>
      </c>
      <c r="E590" s="35">
        <f>(Table143454[[#This Row],[USA]]-B578)/B578</f>
        <v>0.63824855789037427</v>
      </c>
      <c r="F590" s="34">
        <f>VLOOKUP(Table143454[[#This Row],[Date]],'Data Core CPI'!$A:$AX,MATCH($B$2,'Data Core CPI'!$B$1:$AX$1,0),FALSE)</f>
        <v>14.39541</v>
      </c>
      <c r="G590" s="35">
        <f t="shared" si="36"/>
        <v>2.9537847579814702E-2</v>
      </c>
      <c r="H590" s="35">
        <f t="shared" si="37"/>
        <v>0.41810307879151987</v>
      </c>
      <c r="I590" s="35">
        <f>(Table143454[[#This Row],[Core CPI]]-F578)/F578</f>
        <v>0.68549757000206524</v>
      </c>
    </row>
    <row r="591" spans="1:9" x14ac:dyDescent="0.35">
      <c r="A591" s="33">
        <f>IF(Data!A618="",#N/A,Data!A618)</f>
        <v>36647</v>
      </c>
      <c r="B591" s="34">
        <f>VLOOKUP(A591,Data!A:AX,MATCH($B$2,Data!$B$1:$AX$1,0),FALSE)</f>
        <v>13.6494</v>
      </c>
      <c r="C591" s="35">
        <f t="shared" si="38"/>
        <v>2.2181183400845184E-2</v>
      </c>
      <c r="D591" s="35">
        <f t="shared" si="35"/>
        <v>0.30117162798217945</v>
      </c>
      <c r="E591" s="35">
        <f>(Table143454[[#This Row],[USA]]-B579)/B579</f>
        <v>0.62674684835228334</v>
      </c>
      <c r="F591" s="34">
        <f>VLOOKUP(Table143454[[#This Row],[Date]],'Data Core CPI'!$A:$AX,MATCH($B$2,'Data Core CPI'!$B$1:$AX$1,0),FALSE)</f>
        <v>14.80843</v>
      </c>
      <c r="G591" s="35">
        <f t="shared" si="36"/>
        <v>2.8691089729295571E-2</v>
      </c>
      <c r="H591" s="35">
        <f t="shared" si="37"/>
        <v>0.40417015213835428</v>
      </c>
      <c r="I591" s="35">
        <f>(Table143454[[#This Row],[Core CPI]]-F579)/F579</f>
        <v>0.65588308963962527</v>
      </c>
    </row>
    <row r="592" spans="1:9" x14ac:dyDescent="0.35">
      <c r="A592" s="33">
        <f>IF(Data!A619="",#N/A,Data!A619)</f>
        <v>36678</v>
      </c>
      <c r="B592" s="34">
        <f>VLOOKUP(A592,Data!A:AX,MATCH($B$2,Data!$B$1:$AX$1,0),FALSE)</f>
        <v>13.741960000000001</v>
      </c>
      <c r="C592" s="35">
        <f t="shared" si="38"/>
        <v>6.7812504578956823E-3</v>
      </c>
      <c r="D592" s="35">
        <f t="shared" si="35"/>
        <v>8.4479701718957578E-2</v>
      </c>
      <c r="E592" s="35">
        <f>(Table143454[[#This Row],[USA]]-B580)/B580</f>
        <v>0.58618283216989453</v>
      </c>
      <c r="F592" s="34">
        <f>VLOOKUP(Table143454[[#This Row],[Date]],'Data Core CPI'!$A:$AX,MATCH($B$2,'Data Core CPI'!$B$1:$AX$1,0),FALSE)</f>
        <v>15.159840000000001</v>
      </c>
      <c r="G592" s="35">
        <f t="shared" si="36"/>
        <v>2.3730402210092594E-2</v>
      </c>
      <c r="H592" s="35">
        <f t="shared" si="37"/>
        <v>0.32503457619473686</v>
      </c>
      <c r="I592" s="35">
        <f>(Table143454[[#This Row],[Core CPI]]-F580)/F580</f>
        <v>0.61574855617593927</v>
      </c>
    </row>
    <row r="593" spans="1:9" x14ac:dyDescent="0.35">
      <c r="A593" s="33">
        <f>IF(Data!A620="",#N/A,Data!A620)</f>
        <v>36708</v>
      </c>
      <c r="B593" s="34">
        <f>VLOOKUP(A593,Data!A:AX,MATCH($B$2,Data!$B$1:$AX$1,0),FALSE)</f>
        <v>14.05049</v>
      </c>
      <c r="C593" s="35">
        <f t="shared" si="38"/>
        <v>2.2451673560394569E-2</v>
      </c>
      <c r="D593" s="35">
        <f t="shared" si="35"/>
        <v>0.30530944798175574</v>
      </c>
      <c r="E593" s="35">
        <f>(Table143454[[#This Row],[USA]]-B581)/B581</f>
        <v>0.56214085216092124</v>
      </c>
      <c r="F593" s="34">
        <f>VLOOKUP(Table143454[[#This Row],[Date]],'Data Core CPI'!$A:$AX,MATCH($B$2,'Data Core CPI'!$B$1:$AX$1,0),FALSE)</f>
        <v>15.50385</v>
      </c>
      <c r="G593" s="35">
        <f t="shared" si="36"/>
        <v>2.2692192002026434E-2</v>
      </c>
      <c r="H593" s="35">
        <f t="shared" si="37"/>
        <v>0.30899890357482618</v>
      </c>
      <c r="I593" s="35">
        <f>(Table143454[[#This Row],[Core CPI]]-F581)/F581</f>
        <v>0.58793489649747588</v>
      </c>
    </row>
    <row r="594" spans="1:9" x14ac:dyDescent="0.35">
      <c r="A594" s="33">
        <f>IF(Data!A621="",#N/A,Data!A621)</f>
        <v>36739</v>
      </c>
      <c r="B594" s="34">
        <f>VLOOKUP(A594,Data!A:AX,MATCH($B$2,Data!$B$1:$AX$1,0),FALSE)</f>
        <v>14.355689999999999</v>
      </c>
      <c r="C594" s="35">
        <f t="shared" si="38"/>
        <v>2.1721662376187556E-2</v>
      </c>
      <c r="D594" s="35">
        <f t="shared" si="35"/>
        <v>0.2941696649332759</v>
      </c>
      <c r="E594" s="35">
        <f>(Table143454[[#This Row],[USA]]-B582)/B582</f>
        <v>0.53165148905537951</v>
      </c>
      <c r="F594" s="34">
        <f>VLOOKUP(Table143454[[#This Row],[Date]],'Data Core CPI'!$A:$AX,MATCH($B$2,'Data Core CPI'!$B$1:$AX$1,0),FALSE)</f>
        <v>15.944470000000001</v>
      </c>
      <c r="G594" s="35">
        <f t="shared" si="36"/>
        <v>2.8420037603563042E-2</v>
      </c>
      <c r="H594" s="35">
        <f t="shared" si="37"/>
        <v>0.39973672539466687</v>
      </c>
      <c r="I594" s="35">
        <f>(Table143454[[#This Row],[Core CPI]]-F582)/F582</f>
        <v>0.5608145676953018</v>
      </c>
    </row>
    <row r="595" spans="1:9" x14ac:dyDescent="0.35">
      <c r="A595" s="33">
        <f>IF(Data!A622="",#N/A,Data!A622)</f>
        <v>36770</v>
      </c>
      <c r="B595" s="34">
        <f>VLOOKUP(A595,Data!A:AX,MATCH($B$2,Data!$B$1:$AX$1,0),FALSE)</f>
        <v>14.797129999999999</v>
      </c>
      <c r="C595" s="35">
        <f t="shared" si="38"/>
        <v>3.075017641088662E-2</v>
      </c>
      <c r="D595" s="35">
        <f t="shared" si="35"/>
        <v>0.43827195976275735</v>
      </c>
      <c r="E595" s="35">
        <f>(Table143454[[#This Row],[USA]]-B583)/B583</f>
        <v>0.4895831267561993</v>
      </c>
      <c r="F595" s="34">
        <f>VLOOKUP(Table143454[[#This Row],[Date]],'Data Core CPI'!$A:$AX,MATCH($B$2,'Data Core CPI'!$B$1:$AX$1,0),FALSE)</f>
        <v>16.517659999999999</v>
      </c>
      <c r="G595" s="35">
        <f t="shared" si="36"/>
        <v>3.594914098743951E-2</v>
      </c>
      <c r="H595" s="35">
        <f t="shared" si="37"/>
        <v>0.52778138987511136</v>
      </c>
      <c r="I595" s="35">
        <f>(Table143454[[#This Row],[Core CPI]]-F583)/F583</f>
        <v>0.5178436215806923</v>
      </c>
    </row>
    <row r="596" spans="1:9" x14ac:dyDescent="0.35">
      <c r="A596" s="33">
        <f>IF(Data!A623="",#N/A,Data!A623)</f>
        <v>36800</v>
      </c>
      <c r="B596" s="34">
        <f>VLOOKUP(A596,Data!A:AX,MATCH($B$2,Data!$B$1:$AX$1,0),FALSE)</f>
        <v>15.255660000000001</v>
      </c>
      <c r="C596" s="35">
        <f t="shared" si="38"/>
        <v>3.0987765870814199E-2</v>
      </c>
      <c r="D596" s="35">
        <f t="shared" si="35"/>
        <v>0.44225529324331769</v>
      </c>
      <c r="E596" s="35">
        <f>(Table143454[[#This Row],[USA]]-B584)/B584</f>
        <v>0.44436523107423759</v>
      </c>
      <c r="F596" s="34">
        <f>VLOOKUP(Table143454[[#This Row],[Date]],'Data Core CPI'!$A:$AX,MATCH($B$2,'Data Core CPI'!$B$1:$AX$1,0),FALSE)</f>
        <v>16.974540000000001</v>
      </c>
      <c r="G596" s="35">
        <f t="shared" si="36"/>
        <v>2.766009228910149E-2</v>
      </c>
      <c r="H596" s="35">
        <f t="shared" si="37"/>
        <v>0.3873751130651677</v>
      </c>
      <c r="I596" s="35">
        <f>(Table143454[[#This Row],[Core CPI]]-F584)/F584</f>
        <v>0.4692004822743408</v>
      </c>
    </row>
    <row r="597" spans="1:9" x14ac:dyDescent="0.35">
      <c r="A597" s="33">
        <f>IF(Data!A624="",#N/A,Data!A624)</f>
        <v>36831</v>
      </c>
      <c r="B597" s="34">
        <f>VLOOKUP(A597,Data!A:AX,MATCH($B$2,Data!$B$1:$AX$1,0),FALSE)</f>
        <v>15.82193</v>
      </c>
      <c r="C597" s="35">
        <f t="shared" si="38"/>
        <v>3.7118682508655798E-2</v>
      </c>
      <c r="D597" s="35">
        <f t="shared" si="35"/>
        <v>0.54860797629377367</v>
      </c>
      <c r="E597" s="35">
        <f>(Table143454[[#This Row],[USA]]-B585)/B585</f>
        <v>0.43757314192258767</v>
      </c>
      <c r="F597" s="34">
        <f>VLOOKUP(Table143454[[#This Row],[Date]],'Data Core CPI'!$A:$AX,MATCH($B$2,'Data Core CPI'!$B$1:$AX$1,0),FALSE)</f>
        <v>17.556609999999999</v>
      </c>
      <c r="G597" s="35">
        <f t="shared" si="36"/>
        <v>3.429076723139457E-2</v>
      </c>
      <c r="H597" s="35">
        <f t="shared" si="37"/>
        <v>0.49868988026076</v>
      </c>
      <c r="I597" s="35">
        <f>(Table143454[[#This Row],[Core CPI]]-F585)/F585</f>
        <v>0.46502128696430023</v>
      </c>
    </row>
    <row r="598" spans="1:9" x14ac:dyDescent="0.35">
      <c r="A598" s="33">
        <f>IF(Data!A625="",#N/A,Data!A625)</f>
        <v>36861</v>
      </c>
      <c r="B598" s="34">
        <f>VLOOKUP(A598,Data!A:AX,MATCH($B$2,Data!$B$1:$AX$1,0),FALSE)</f>
        <v>16.2121</v>
      </c>
      <c r="C598" s="35">
        <f t="shared" si="38"/>
        <v>2.4660076235958561E-2</v>
      </c>
      <c r="D598" s="35">
        <f t="shared" si="35"/>
        <v>0.33954646239097852</v>
      </c>
      <c r="E598" s="35">
        <f>(Table143454[[#This Row],[USA]]-B586)/B586</f>
        <v>0.39033631317878381</v>
      </c>
      <c r="F598" s="34">
        <f>VLOOKUP(Table143454[[#This Row],[Date]],'Data Core CPI'!$A:$AX,MATCH($B$2,'Data Core CPI'!$B$1:$AX$1,0),FALSE)</f>
        <v>17.997219999999999</v>
      </c>
      <c r="G598" s="35">
        <f t="shared" si="36"/>
        <v>2.5096530594459932E-2</v>
      </c>
      <c r="H598" s="35">
        <f t="shared" si="37"/>
        <v>0.34640948980399666</v>
      </c>
      <c r="I598" s="35">
        <f>(Table143454[[#This Row],[Core CPI]]-F586)/F586</f>
        <v>0.41908842601937818</v>
      </c>
    </row>
    <row r="599" spans="1:9" x14ac:dyDescent="0.35">
      <c r="A599" s="33">
        <f>IF(Data!A626="",#N/A,Data!A626)</f>
        <v>36892</v>
      </c>
      <c r="B599" s="34">
        <f>VLOOKUP(A599,Data!A:AX,MATCH($B$2,Data!$B$1:$AX$1,0),FALSE)</f>
        <v>16.618410000000001</v>
      </c>
      <c r="C599" s="35">
        <f t="shared" si="38"/>
        <v>2.5062144941124354E-2</v>
      </c>
      <c r="D599" s="35">
        <f t="shared" si="35"/>
        <v>0.34586762517221681</v>
      </c>
      <c r="E599" s="35">
        <f>(Table143454[[#This Row],[USA]]-B587)/B587</f>
        <v>0.35917568167709873</v>
      </c>
      <c r="F599" s="34">
        <f>VLOOKUP(Table143454[[#This Row],[Date]],'Data Core CPI'!$A:$AX,MATCH($B$2,'Data Core CPI'!$B$1:$AX$1,0),FALSE)</f>
        <v>18.48357</v>
      </c>
      <c r="G599" s="35">
        <f t="shared" si="36"/>
        <v>2.7023618092127721E-2</v>
      </c>
      <c r="H599" s="35">
        <f t="shared" si="37"/>
        <v>0.37709902977259913</v>
      </c>
      <c r="I599" s="35">
        <f>(Table143454[[#This Row],[Core CPI]]-F587)/F587</f>
        <v>0.38177559753242207</v>
      </c>
    </row>
    <row r="600" spans="1:9" x14ac:dyDescent="0.35">
      <c r="A600" s="33">
        <f>IF(Data!A627="",#N/A,Data!A627)</f>
        <v>36923</v>
      </c>
      <c r="B600" s="34">
        <f>VLOOKUP(A600,Data!A:AX,MATCH($B$2,Data!$B$1:$AX$1,0),FALSE)</f>
        <v>16.917449999999999</v>
      </c>
      <c r="C600" s="35">
        <f t="shared" si="38"/>
        <v>1.7994501279003039E-2</v>
      </c>
      <c r="D600" s="35">
        <f t="shared" si="35"/>
        <v>0.23864024266103656</v>
      </c>
      <c r="E600" s="35">
        <f>(Table143454[[#This Row],[USA]]-B588)/B588</f>
        <v>0.3342195295457448</v>
      </c>
      <c r="F600" s="34">
        <f>VLOOKUP(Table143454[[#This Row],[Date]],'Data Core CPI'!$A:$AX,MATCH($B$2,'Data Core CPI'!$B$1:$AX$1,0),FALSE)</f>
        <v>18.824310000000001</v>
      </c>
      <c r="G600" s="35">
        <f t="shared" si="36"/>
        <v>1.8434750429705993E-2</v>
      </c>
      <c r="H600" s="35">
        <f t="shared" si="37"/>
        <v>0.24508360844434462</v>
      </c>
      <c r="I600" s="35">
        <f>(Table143454[[#This Row],[Core CPI]]-F588)/F588</f>
        <v>0.37250743149788523</v>
      </c>
    </row>
    <row r="601" spans="1:9" x14ac:dyDescent="0.35">
      <c r="A601" s="33">
        <f>IF(Data!A628="",#N/A,Data!A628)</f>
        <v>36951</v>
      </c>
      <c r="B601" s="34">
        <f>VLOOKUP(A601,Data!A:AX,MATCH($B$2,Data!$B$1:$AX$1,0),FALSE)</f>
        <v>17.94462</v>
      </c>
      <c r="C601" s="35">
        <f t="shared" si="38"/>
        <v>6.0716597359531166E-2</v>
      </c>
      <c r="D601" s="35">
        <f t="shared" si="35"/>
        <v>1.0285810926422236</v>
      </c>
      <c r="E601" s="35">
        <f>(Table143454[[#This Row],[USA]]-B589)/B589</f>
        <v>0.37507720365673314</v>
      </c>
      <c r="F601" s="34">
        <f>VLOOKUP(Table143454[[#This Row],[Date]],'Data Core CPI'!$A:$AX,MATCH($B$2,'Data Core CPI'!$B$1:$AX$1,0),FALSE)</f>
        <v>19.575369999999999</v>
      </c>
      <c r="G601" s="35">
        <f t="shared" si="36"/>
        <v>3.9898407962894789E-2</v>
      </c>
      <c r="H601" s="35">
        <f t="shared" si="37"/>
        <v>0.59915647127211491</v>
      </c>
      <c r="I601" s="35">
        <f>(Table143454[[#This Row],[Core CPI]]-F589)/F589</f>
        <v>0.40000071518480368</v>
      </c>
    </row>
    <row r="602" spans="1:9" x14ac:dyDescent="0.35">
      <c r="A602" s="33">
        <f>IF(Data!A629="",#N/A,Data!A629)</f>
        <v>36982</v>
      </c>
      <c r="B602" s="34">
        <f>VLOOKUP(A602,Data!A:AX,MATCH($B$2,Data!$B$1:$AX$1,0),FALSE)</f>
        <v>19.799130000000002</v>
      </c>
      <c r="C602" s="35">
        <f t="shared" si="38"/>
        <v>0.10334629543562368</v>
      </c>
      <c r="D602" s="35">
        <f t="shared" si="35"/>
        <v>2.2549333047869893</v>
      </c>
      <c r="E602" s="35">
        <f>(Table143454[[#This Row],[USA]]-B590)/B590</f>
        <v>0.48272437863255357</v>
      </c>
      <c r="F602" s="34">
        <f>VLOOKUP(Table143454[[#This Row],[Date]],'Data Core CPI'!$A:$AX,MATCH($B$2,'Data Core CPI'!$B$1:$AX$1,0),FALSE)</f>
        <v>21.121310000000001</v>
      </c>
      <c r="G602" s="35">
        <f t="shared" si="36"/>
        <v>7.8973730764731576E-2</v>
      </c>
      <c r="H602" s="35">
        <f t="shared" si="37"/>
        <v>1.4896050435654322</v>
      </c>
      <c r="I602" s="35">
        <f>(Table143454[[#This Row],[Core CPI]]-F590)/F590</f>
        <v>0.46722531695866953</v>
      </c>
    </row>
    <row r="603" spans="1:9" x14ac:dyDescent="0.35">
      <c r="A603" s="33">
        <f>IF(Data!A630="",#N/A,Data!A630)</f>
        <v>37012</v>
      </c>
      <c r="B603" s="34">
        <f>VLOOKUP(A603,Data!A:AX,MATCH($B$2,Data!$B$1:$AX$1,0),FALSE)</f>
        <v>20.799710000000001</v>
      </c>
      <c r="C603" s="35">
        <f t="shared" si="38"/>
        <v>5.0536563980336568E-2</v>
      </c>
      <c r="D603" s="35">
        <f t="shared" si="35"/>
        <v>0.80689980810494144</v>
      </c>
      <c r="E603" s="35">
        <f>(Table143454[[#This Row],[USA]]-B591)/B591</f>
        <v>0.52385526103711522</v>
      </c>
      <c r="F603" s="34">
        <f>VLOOKUP(Table143454[[#This Row],[Date]],'Data Core CPI'!$A:$AX,MATCH($B$2,'Data Core CPI'!$B$1:$AX$1,0),FALSE)</f>
        <v>22.15831</v>
      </c>
      <c r="G603" s="35">
        <f t="shared" si="36"/>
        <v>4.9097333451381564E-2</v>
      </c>
      <c r="H603" s="35">
        <f t="shared" si="37"/>
        <v>0.77741727946481665</v>
      </c>
      <c r="I603" s="35">
        <f>(Table143454[[#This Row],[Core CPI]]-F591)/F591</f>
        <v>0.49633080616918884</v>
      </c>
    </row>
    <row r="604" spans="1:9" x14ac:dyDescent="0.35">
      <c r="A604" s="33">
        <f>IF(Data!A631="",#N/A,Data!A631)</f>
        <v>37043</v>
      </c>
      <c r="B604" s="34">
        <f>VLOOKUP(A604,Data!A:AX,MATCH($B$2,Data!$B$1:$AX$1,0),FALSE)</f>
        <v>21.451429999999998</v>
      </c>
      <c r="C604" s="35">
        <f t="shared" si="38"/>
        <v>3.1333129163819917E-2</v>
      </c>
      <c r="D604" s="35">
        <f t="shared" si="35"/>
        <v>0.44806355734485548</v>
      </c>
      <c r="E604" s="35">
        <f>(Table143454[[#This Row],[USA]]-B592)/B592</f>
        <v>0.56101676907806441</v>
      </c>
      <c r="F604" s="34">
        <f>VLOOKUP(Table143454[[#This Row],[Date]],'Data Core CPI'!$A:$AX,MATCH($B$2,'Data Core CPI'!$B$1:$AX$1,0),FALSE)</f>
        <v>23.058160000000001</v>
      </c>
      <c r="G604" s="35">
        <f t="shared" si="36"/>
        <v>4.061004652430622E-2</v>
      </c>
      <c r="H604" s="35">
        <f t="shared" si="37"/>
        <v>0.61233831118141557</v>
      </c>
      <c r="I604" s="35">
        <f>(Table143454[[#This Row],[Core CPI]]-F592)/F592</f>
        <v>0.52100286018849795</v>
      </c>
    </row>
    <row r="605" spans="1:9" x14ac:dyDescent="0.35">
      <c r="A605" s="33">
        <f>IF(Data!A632="",#N/A,Data!A632)</f>
        <v>37073</v>
      </c>
      <c r="B605" s="34">
        <f>VLOOKUP(A605,Data!A:AX,MATCH($B$2,Data!$B$1:$AX$1,0),FALSE)</f>
        <v>21.965009999999999</v>
      </c>
      <c r="C605" s="35">
        <f t="shared" si="38"/>
        <v>2.3941527441294186E-2</v>
      </c>
      <c r="D605" s="35">
        <f t="shared" si="35"/>
        <v>0.32831746113562388</v>
      </c>
      <c r="E605" s="35">
        <f>(Table143454[[#This Row],[USA]]-B593)/B593</f>
        <v>0.56329138699077397</v>
      </c>
      <c r="F605" s="34">
        <f>VLOOKUP(Table143454[[#This Row],[Date]],'Data Core CPI'!$A:$AX,MATCH($B$2,'Data Core CPI'!$B$1:$AX$1,0),FALSE)</f>
        <v>23.705279999999998</v>
      </c>
      <c r="G605" s="35">
        <f t="shared" si="36"/>
        <v>2.8064685126653499E-2</v>
      </c>
      <c r="H605" s="35">
        <f t="shared" si="37"/>
        <v>0.39394388928617197</v>
      </c>
      <c r="I605" s="35">
        <f>(Table143454[[#This Row],[Core CPI]]-F593)/F593</f>
        <v>0.52899312106347773</v>
      </c>
    </row>
    <row r="606" spans="1:9" x14ac:dyDescent="0.35">
      <c r="A606" s="33">
        <f>IF(Data!A633="",#N/A,Data!A633)</f>
        <v>37104</v>
      </c>
      <c r="B606" s="34">
        <f>VLOOKUP(A606,Data!A:AX,MATCH($B$2,Data!$B$1:$AX$1,0),FALSE)</f>
        <v>22.61055</v>
      </c>
      <c r="C606" s="35">
        <f t="shared" si="38"/>
        <v>2.9389469888700281E-2</v>
      </c>
      <c r="D606" s="35">
        <f t="shared" si="35"/>
        <v>0.41565248619258988</v>
      </c>
      <c r="E606" s="35">
        <f>(Table143454[[#This Row],[USA]]-B594)/B594</f>
        <v>0.57502356208583505</v>
      </c>
      <c r="F606" s="34">
        <f>VLOOKUP(Table143454[[#This Row],[Date]],'Data Core CPI'!$A:$AX,MATCH($B$2,'Data Core CPI'!$B$1:$AX$1,0),FALSE)</f>
        <v>24.600770000000001</v>
      </c>
      <c r="G606" s="35">
        <f t="shared" si="36"/>
        <v>3.7775972272843905E-2</v>
      </c>
      <c r="H606" s="35">
        <f t="shared" si="37"/>
        <v>0.56042656264514656</v>
      </c>
      <c r="I606" s="35">
        <f>(Table143454[[#This Row],[Core CPI]]-F594)/F594</f>
        <v>0.54290296259455473</v>
      </c>
    </row>
    <row r="607" spans="1:9" x14ac:dyDescent="0.35">
      <c r="A607" s="33">
        <f>IF(Data!A634="",#N/A,Data!A634)</f>
        <v>37135</v>
      </c>
      <c r="B607" s="34">
        <f>VLOOKUP(A607,Data!A:AX,MATCH($B$2,Data!$B$1:$AX$1,0),FALSE)</f>
        <v>23.941980000000001</v>
      </c>
      <c r="C607" s="35">
        <f t="shared" si="38"/>
        <v>5.888534334635831E-2</v>
      </c>
      <c r="D607" s="35">
        <f t="shared" si="35"/>
        <v>0.9869513985479077</v>
      </c>
      <c r="E607" s="35">
        <f>(Table143454[[#This Row],[USA]]-B595)/B595</f>
        <v>0.6180151150932649</v>
      </c>
      <c r="F607" s="34">
        <f>VLOOKUP(Table143454[[#This Row],[Date]],'Data Core CPI'!$A:$AX,MATCH($B$2,'Data Core CPI'!$B$1:$AX$1,0),FALSE)</f>
        <v>25.889690000000002</v>
      </c>
      <c r="G607" s="35">
        <f t="shared" si="36"/>
        <v>5.2393481992636826E-2</v>
      </c>
      <c r="H607" s="35">
        <f t="shared" si="37"/>
        <v>0.84560090889500406</v>
      </c>
      <c r="I607" s="35">
        <f>(Table143454[[#This Row],[Core CPI]]-F595)/F595</f>
        <v>0.56739453409260165</v>
      </c>
    </row>
    <row r="608" spans="1:9" x14ac:dyDescent="0.35">
      <c r="A608" s="33">
        <f>IF(Data!A635="",#N/A,Data!A635)</f>
        <v>37165</v>
      </c>
      <c r="B608" s="34">
        <f>VLOOKUP(A608,Data!A:AX,MATCH($B$2,Data!$B$1:$AX$1,0),FALSE)</f>
        <v>25.395869999999999</v>
      </c>
      <c r="C608" s="35">
        <f t="shared" si="38"/>
        <v>6.0725554026859863E-2</v>
      </c>
      <c r="D608" s="35">
        <f t="shared" si="35"/>
        <v>1.0287866537115908</v>
      </c>
      <c r="E608" s="35">
        <f>(Table143454[[#This Row],[USA]]-B596)/B596</f>
        <v>0.66468510703568362</v>
      </c>
      <c r="F608" s="34">
        <f>VLOOKUP(Table143454[[#This Row],[Date]],'Data Core CPI'!$A:$AX,MATCH($B$2,'Data Core CPI'!$B$1:$AX$1,0),FALSE)</f>
        <v>27.09083</v>
      </c>
      <c r="G608" s="35">
        <f t="shared" si="36"/>
        <v>4.6394530023341263E-2</v>
      </c>
      <c r="H608" s="35">
        <f t="shared" si="37"/>
        <v>0.72323905500515129</v>
      </c>
      <c r="I608" s="35">
        <f>(Table143454[[#This Row],[Core CPI]]-F596)/F596</f>
        <v>0.59596843272336086</v>
      </c>
    </row>
    <row r="609" spans="1:9" x14ac:dyDescent="0.35">
      <c r="A609" s="33">
        <f>IF(Data!A636="",#N/A,Data!A636)</f>
        <v>37196</v>
      </c>
      <c r="B609" s="34">
        <f>VLOOKUP(A609,Data!A:AX,MATCH($B$2,Data!$B$1:$AX$1,0),FALSE)</f>
        <v>26.469080000000002</v>
      </c>
      <c r="C609" s="35">
        <f t="shared" si="38"/>
        <v>4.2259233489539971E-2</v>
      </c>
      <c r="D609" s="35">
        <f t="shared" si="35"/>
        <v>0.64327033530928546</v>
      </c>
      <c r="E609" s="35">
        <f>(Table143454[[#This Row],[USA]]-B597)/B597</f>
        <v>0.67293623470714392</v>
      </c>
      <c r="F609" s="34">
        <f>VLOOKUP(Table143454[[#This Row],[Date]],'Data Core CPI'!$A:$AX,MATCH($B$2,'Data Core CPI'!$B$1:$AX$1,0),FALSE)</f>
        <v>27.949259999999999</v>
      </c>
      <c r="G609" s="35">
        <f t="shared" si="36"/>
        <v>3.1687105932154846E-2</v>
      </c>
      <c r="H609" s="35">
        <f t="shared" si="37"/>
        <v>0.45403892529777568</v>
      </c>
      <c r="I609" s="35">
        <f>(Table143454[[#This Row],[Core CPI]]-F597)/F597</f>
        <v>0.59195083788954705</v>
      </c>
    </row>
    <row r="610" spans="1:9" x14ac:dyDescent="0.35">
      <c r="A610" s="33">
        <f>IF(Data!A637="",#N/A,Data!A637)</f>
        <v>37226</v>
      </c>
      <c r="B610" s="34">
        <f>VLOOKUP(A610,Data!A:AX,MATCH($B$2,Data!$B$1:$AX$1,0),FALSE)</f>
        <v>27.32253</v>
      </c>
      <c r="C610" s="35">
        <f t="shared" si="38"/>
        <v>3.2243281594978024E-2</v>
      </c>
      <c r="D610" s="35">
        <f t="shared" si="35"/>
        <v>0.46347321810172804</v>
      </c>
      <c r="E610" s="35">
        <f>(Table143454[[#This Row],[USA]]-B598)/B598</f>
        <v>0.68531713966728558</v>
      </c>
      <c r="F610" s="34">
        <f>VLOOKUP(Table143454[[#This Row],[Date]],'Data Core CPI'!$A:$AX,MATCH($B$2,'Data Core CPI'!$B$1:$AX$1,0),FALSE)</f>
        <v>28.573650000000001</v>
      </c>
      <c r="G610" s="35">
        <f t="shared" si="36"/>
        <v>2.2340126357549339E-2</v>
      </c>
      <c r="H610" s="35">
        <f t="shared" si="37"/>
        <v>0.3036015967184309</v>
      </c>
      <c r="I610" s="35">
        <f>(Table143454[[#This Row],[Core CPI]]-F598)/F598</f>
        <v>0.58767020684305704</v>
      </c>
    </row>
    <row r="611" spans="1:9" x14ac:dyDescent="0.35">
      <c r="A611" s="33">
        <f>IF(Data!A638="",#N/A,Data!A638)</f>
        <v>37257</v>
      </c>
      <c r="B611" s="34">
        <f>VLOOKUP(A611,Data!A:AX,MATCH($B$2,Data!$B$1:$AX$1,0),FALSE)</f>
        <v>28.775939999999999</v>
      </c>
      <c r="C611" s="35">
        <f t="shared" si="38"/>
        <v>5.319456141140666E-2</v>
      </c>
      <c r="D611" s="35">
        <f t="shared" si="35"/>
        <v>0.86253007179629737</v>
      </c>
      <c r="E611" s="35">
        <f>(Table143454[[#This Row],[USA]]-B599)/B599</f>
        <v>0.73156998774250948</v>
      </c>
      <c r="F611" s="34">
        <f>VLOOKUP(Table143454[[#This Row],[Date]],'Data Core CPI'!$A:$AX,MATCH($B$2,'Data Core CPI'!$B$1:$AX$1,0),FALSE)</f>
        <v>29.767939999999999</v>
      </c>
      <c r="G611" s="35">
        <f t="shared" si="36"/>
        <v>4.1796900291002359E-2</v>
      </c>
      <c r="H611" s="35">
        <f t="shared" si="37"/>
        <v>0.63454443388933268</v>
      </c>
      <c r="I611" s="35">
        <f>(Table143454[[#This Row],[Core CPI]]-F599)/F599</f>
        <v>0.61050814317796831</v>
      </c>
    </row>
    <row r="612" spans="1:9" x14ac:dyDescent="0.35">
      <c r="A612" s="33">
        <f>IF(Data!A639="",#N/A,Data!A639)</f>
        <v>37288</v>
      </c>
      <c r="B612" s="34">
        <f>VLOOKUP(A612,Data!A:AX,MATCH($B$2,Data!$B$1:$AX$1,0),FALSE)</f>
        <v>29.28051</v>
      </c>
      <c r="C612" s="35">
        <f t="shared" si="38"/>
        <v>1.7534440230275727E-2</v>
      </c>
      <c r="D612" s="35">
        <f t="shared" si="35"/>
        <v>0.23193958757206734</v>
      </c>
      <c r="E612" s="35">
        <f>(Table143454[[#This Row],[USA]]-B600)/B600</f>
        <v>0.73078744136971008</v>
      </c>
      <c r="F612" s="34">
        <f>VLOOKUP(Table143454[[#This Row],[Date]],'Data Core CPI'!$A:$AX,MATCH($B$2,'Data Core CPI'!$B$1:$AX$1,0),FALSE)</f>
        <v>30.17877</v>
      </c>
      <c r="G612" s="35">
        <f t="shared" si="36"/>
        <v>1.3801089359895213E-2</v>
      </c>
      <c r="H612" s="35">
        <f t="shared" si="37"/>
        <v>0.17878077058265651</v>
      </c>
      <c r="I612" s="35">
        <f>(Table143454[[#This Row],[Core CPI]]-F600)/F600</f>
        <v>0.60318067435141043</v>
      </c>
    </row>
    <row r="613" spans="1:9" x14ac:dyDescent="0.35">
      <c r="A613" s="33">
        <f>IF(Data!A640="",#N/A,Data!A640)</f>
        <v>37316</v>
      </c>
      <c r="B613" s="34">
        <f>VLOOKUP(A613,Data!A:AX,MATCH($B$2,Data!$B$1:$AX$1,0),FALSE)</f>
        <v>29.628910000000001</v>
      </c>
      <c r="C613" s="35">
        <f t="shared" si="38"/>
        <v>1.1898699851881078E-2</v>
      </c>
      <c r="D613" s="35">
        <f t="shared" si="35"/>
        <v>0.15250934317638087</v>
      </c>
      <c r="E613" s="35">
        <f>(Table143454[[#This Row],[USA]]-B601)/B601</f>
        <v>0.65113053383130992</v>
      </c>
      <c r="F613" s="34">
        <f>VLOOKUP(Table143454[[#This Row],[Date]],'Data Core CPI'!$A:$AX,MATCH($B$2,'Data Core CPI'!$B$1:$AX$1,0),FALSE)</f>
        <v>30.74061</v>
      </c>
      <c r="G613" s="35">
        <f t="shared" si="36"/>
        <v>1.8617060933894924E-2</v>
      </c>
      <c r="H613" s="35">
        <f t="shared" si="37"/>
        <v>0.24776083963979856</v>
      </c>
      <c r="I613" s="35">
        <f>(Table143454[[#This Row],[Core CPI]]-F601)/F601</f>
        <v>0.57037184993182766</v>
      </c>
    </row>
    <row r="614" spans="1:9" x14ac:dyDescent="0.35">
      <c r="A614" s="33">
        <f>IF(Data!A641="",#N/A,Data!A641)</f>
        <v>37347</v>
      </c>
      <c r="B614" s="34">
        <f>VLOOKUP(A614,Data!A:AX,MATCH($B$2,Data!$B$1:$AX$1,0),FALSE)</f>
        <v>30.2379</v>
      </c>
      <c r="C614" s="35">
        <f t="shared" si="38"/>
        <v>2.0553911703130368E-2</v>
      </c>
      <c r="D614" s="35">
        <f t="shared" si="35"/>
        <v>0.27653115890649538</v>
      </c>
      <c r="E614" s="35">
        <f>(Table143454[[#This Row],[USA]]-B602)/B602</f>
        <v>0.52723377239302927</v>
      </c>
      <c r="F614" s="34">
        <f>VLOOKUP(Table143454[[#This Row],[Date]],'Data Core CPI'!$A:$AX,MATCH($B$2,'Data Core CPI'!$B$1:$AX$1,0),FALSE)</f>
        <v>31.5685</v>
      </c>
      <c r="G614" s="35">
        <f t="shared" si="36"/>
        <v>2.6931475985674913E-2</v>
      </c>
      <c r="H614" s="35">
        <f t="shared" si="37"/>
        <v>0.37561716070161455</v>
      </c>
      <c r="I614" s="35">
        <f>(Table143454[[#This Row],[Core CPI]]-F602)/F602</f>
        <v>0.49462793737699029</v>
      </c>
    </row>
    <row r="615" spans="1:9" x14ac:dyDescent="0.35">
      <c r="A615" s="33">
        <f>IF(Data!A642="",#N/A,Data!A642)</f>
        <v>37377</v>
      </c>
      <c r="B615" s="34">
        <f>VLOOKUP(A615,Data!A:AX,MATCH($B$2,Data!$B$1:$AX$1,0),FALSE)</f>
        <v>30.413060000000002</v>
      </c>
      <c r="C615" s="35">
        <f t="shared" si="38"/>
        <v>5.7927303152667253E-3</v>
      </c>
      <c r="D615" s="35">
        <f t="shared" si="35"/>
        <v>7.1770767602653773E-2</v>
      </c>
      <c r="E615" s="35">
        <f>(Table143454[[#This Row],[USA]]-B603)/B603</f>
        <v>0.46218673241117303</v>
      </c>
      <c r="F615" s="34">
        <f>VLOOKUP(Table143454[[#This Row],[Date]],'Data Core CPI'!$A:$AX,MATCH($B$2,'Data Core CPI'!$B$1:$AX$1,0),FALSE)</f>
        <v>32.234990000000003</v>
      </c>
      <c r="G615" s="35">
        <f t="shared" si="36"/>
        <v>2.1112501385875282E-2</v>
      </c>
      <c r="H615" s="35">
        <f t="shared" si="37"/>
        <v>0.28494079935017802</v>
      </c>
      <c r="I615" s="35">
        <f>(Table143454[[#This Row],[Core CPI]]-F603)/F603</f>
        <v>0.45475850820753039</v>
      </c>
    </row>
    <row r="616" spans="1:9" x14ac:dyDescent="0.35">
      <c r="A616" s="33">
        <f>IF(Data!A643="",#N/A,Data!A643)</f>
        <v>37408</v>
      </c>
      <c r="B616" s="34">
        <f>VLOOKUP(A616,Data!A:AX,MATCH($B$2,Data!$B$1:$AX$1,0),FALSE)</f>
        <v>30.590579999999999</v>
      </c>
      <c r="C616" s="35">
        <f t="shared" si="38"/>
        <v>5.8369660928561107E-3</v>
      </c>
      <c r="D616" s="35">
        <f t="shared" si="35"/>
        <v>7.2336555148781789E-2</v>
      </c>
      <c r="E616" s="35">
        <f>(Table143454[[#This Row],[USA]]-B604)/B604</f>
        <v>0.42603919645450217</v>
      </c>
      <c r="F616" s="34">
        <f>VLOOKUP(Table143454[[#This Row],[Date]],'Data Core CPI'!$A:$AX,MATCH($B$2,'Data Core CPI'!$B$1:$AX$1,0),FALSE)</f>
        <v>32.918529999999997</v>
      </c>
      <c r="G616" s="35">
        <f t="shared" si="36"/>
        <v>2.1204908082800511E-2</v>
      </c>
      <c r="H616" s="35">
        <f t="shared" si="37"/>
        <v>0.28633687962391186</v>
      </c>
      <c r="I616" s="35">
        <f>(Table143454[[#This Row],[Core CPI]]-F604)/F604</f>
        <v>0.42763039201740277</v>
      </c>
    </row>
    <row r="617" spans="1:9" x14ac:dyDescent="0.35">
      <c r="A617" s="33">
        <f>IF(Data!A644="",#N/A,Data!A644)</f>
        <v>37438</v>
      </c>
      <c r="B617" s="34">
        <f>VLOOKUP(A617,Data!A:AX,MATCH($B$2,Data!$B$1:$AX$1,0),FALSE)</f>
        <v>31.03154</v>
      </c>
      <c r="C617" s="35">
        <f t="shared" si="38"/>
        <v>1.4414895042853093E-2</v>
      </c>
      <c r="D617" s="35">
        <f t="shared" si="35"/>
        <v>0.18737365835769082</v>
      </c>
      <c r="E617" s="35">
        <f>(Table143454[[#This Row],[USA]]-B605)/B605</f>
        <v>0.41277149429934246</v>
      </c>
      <c r="F617" s="34">
        <f>VLOOKUP(Table143454[[#This Row],[Date]],'Data Core CPI'!$A:$AX,MATCH($B$2,'Data Core CPI'!$B$1:$AX$1,0),FALSE)</f>
        <v>33.567659999999997</v>
      </c>
      <c r="G617" s="35">
        <f t="shared" si="36"/>
        <v>1.971928880177809E-2</v>
      </c>
      <c r="H617" s="35">
        <f t="shared" si="37"/>
        <v>0.26405977929482183</v>
      </c>
      <c r="I617" s="35">
        <f>(Table143454[[#This Row],[Core CPI]]-F605)/F605</f>
        <v>0.41604148949094882</v>
      </c>
    </row>
    <row r="618" spans="1:9" x14ac:dyDescent="0.35">
      <c r="A618" s="33">
        <f>IF(Data!A645="",#N/A,Data!A645)</f>
        <v>37469</v>
      </c>
      <c r="B618" s="34">
        <f>VLOOKUP(A618,Data!A:AX,MATCH($B$2,Data!$B$1:$AX$1,0),FALSE)</f>
        <v>31.70936</v>
      </c>
      <c r="C618" s="35">
        <f t="shared" si="38"/>
        <v>2.184293786257463E-2</v>
      </c>
      <c r="D618" s="35">
        <f t="shared" si="35"/>
        <v>0.29601424039821089</v>
      </c>
      <c r="E618" s="35">
        <f>(Table143454[[#This Row],[USA]]-B606)/B606</f>
        <v>0.4024143596683849</v>
      </c>
      <c r="F618" s="34">
        <f>VLOOKUP(Table143454[[#This Row],[Date]],'Data Core CPI'!$A:$AX,MATCH($B$2,'Data Core CPI'!$B$1:$AX$1,0),FALSE)</f>
        <v>34.46078</v>
      </c>
      <c r="G618" s="35">
        <f t="shared" si="36"/>
        <v>2.6606561196103717E-2</v>
      </c>
      <c r="H618" s="35">
        <f t="shared" si="37"/>
        <v>0.37040339824153889</v>
      </c>
      <c r="I618" s="35">
        <f>(Table143454[[#This Row],[Core CPI]]-F606)/F606</f>
        <v>0.40080086924108466</v>
      </c>
    </row>
    <row r="619" spans="1:9" x14ac:dyDescent="0.35">
      <c r="A619" s="33">
        <f>IF(Data!A646="",#N/A,Data!A646)</f>
        <v>37500</v>
      </c>
      <c r="B619" s="34">
        <f>VLOOKUP(A619,Data!A:AX,MATCH($B$2,Data!$B$1:$AX$1,0),FALSE)</f>
        <v>32.811999999999998</v>
      </c>
      <c r="C619" s="35">
        <f t="shared" si="38"/>
        <v>3.4773328758448629E-2</v>
      </c>
      <c r="D619" s="35">
        <f t="shared" si="35"/>
        <v>0.50710223951429945</v>
      </c>
      <c r="E619" s="35">
        <f>(Table143454[[#This Row],[USA]]-B607)/B607</f>
        <v>0.37047980158700311</v>
      </c>
      <c r="F619" s="34">
        <f>VLOOKUP(Table143454[[#This Row],[Date]],'Data Core CPI'!$A:$AX,MATCH($B$2,'Data Core CPI'!$B$1:$AX$1,0),FALSE)</f>
        <v>35.445309999999999</v>
      </c>
      <c r="G619" s="35">
        <f t="shared" si="36"/>
        <v>2.8569579678695556E-2</v>
      </c>
      <c r="H619" s="35">
        <f t="shared" si="37"/>
        <v>0.40218110039942401</v>
      </c>
      <c r="I619" s="35">
        <f>(Table143454[[#This Row],[Core CPI]]-F607)/F607</f>
        <v>0.36908978052653379</v>
      </c>
    </row>
    <row r="620" spans="1:9" x14ac:dyDescent="0.35">
      <c r="A620" s="33">
        <f>IF(Data!A647="",#N/A,Data!A647)</f>
        <v>37530</v>
      </c>
      <c r="B620" s="34">
        <f>VLOOKUP(A620,Data!A:AX,MATCH($B$2,Data!$B$1:$AX$1,0),FALSE)</f>
        <v>33.890430000000002</v>
      </c>
      <c r="C620" s="35">
        <f t="shared" si="38"/>
        <v>3.2866938924783762E-2</v>
      </c>
      <c r="D620" s="35">
        <f t="shared" si="35"/>
        <v>0.47411890399067191</v>
      </c>
      <c r="E620" s="35">
        <f>(Table143454[[#This Row],[USA]]-B608)/B608</f>
        <v>0.33448588294080905</v>
      </c>
      <c r="F620" s="34">
        <f>VLOOKUP(Table143454[[#This Row],[Date]],'Data Core CPI'!$A:$AX,MATCH($B$2,'Data Core CPI'!$B$1:$AX$1,0),FALSE)</f>
        <v>36.446899999999999</v>
      </c>
      <c r="G620" s="35">
        <f t="shared" si="36"/>
        <v>2.8257335032476849E-2</v>
      </c>
      <c r="H620" s="35">
        <f t="shared" si="37"/>
        <v>0.39708166973611969</v>
      </c>
      <c r="I620" s="35">
        <f>(Table143454[[#This Row],[Core CPI]]-F608)/F608</f>
        <v>0.34535929685432298</v>
      </c>
    </row>
    <row r="621" spans="1:9" x14ac:dyDescent="0.35">
      <c r="A621" s="33">
        <f>IF(Data!A648="",#N/A,Data!A648)</f>
        <v>37561</v>
      </c>
      <c r="B621" s="34">
        <f>VLOOKUP(A621,Data!A:AX,MATCH($B$2,Data!$B$1:$AX$1,0),FALSE)</f>
        <v>34.87726</v>
      </c>
      <c r="C621" s="35">
        <f t="shared" si="38"/>
        <v>2.9118249606157276E-2</v>
      </c>
      <c r="D621" s="35">
        <f t="shared" si="35"/>
        <v>0.41118306693857742</v>
      </c>
      <c r="E621" s="35">
        <f>(Table143454[[#This Row],[USA]]-B609)/B609</f>
        <v>0.31766045514237734</v>
      </c>
      <c r="F621" s="34">
        <f>VLOOKUP(Table143454[[#This Row],[Date]],'Data Core CPI'!$A:$AX,MATCH($B$2,'Data Core CPI'!$B$1:$AX$1,0),FALSE)</f>
        <v>37.253309999999999</v>
      </c>
      <c r="G621" s="35">
        <f t="shared" si="36"/>
        <v>2.2125612877912815E-2</v>
      </c>
      <c r="H621" s="35">
        <f t="shared" si="37"/>
        <v>0.30032302885611273</v>
      </c>
      <c r="I621" s="35">
        <f>(Table143454[[#This Row],[Core CPI]]-F609)/F609</f>
        <v>0.33289074558682413</v>
      </c>
    </row>
    <row r="622" spans="1:9" x14ac:dyDescent="0.35">
      <c r="A622" s="33">
        <f>IF(Data!A649="",#N/A,Data!A649)</f>
        <v>37591</v>
      </c>
      <c r="B622" s="34">
        <f>VLOOKUP(A622,Data!A:AX,MATCH($B$2,Data!$B$1:$AX$1,0),FALSE)</f>
        <v>35.450650000000003</v>
      </c>
      <c r="C622" s="35">
        <f t="shared" si="38"/>
        <v>1.6440224948863547E-2</v>
      </c>
      <c r="D622" s="35">
        <f t="shared" si="35"/>
        <v>0.21613594116610235</v>
      </c>
      <c r="E622" s="35">
        <f>(Table143454[[#This Row],[USA]]-B610)/B610</f>
        <v>0.29748782415098463</v>
      </c>
      <c r="F622" s="34">
        <f>VLOOKUP(Table143454[[#This Row],[Date]],'Data Core CPI'!$A:$AX,MATCH($B$2,'Data Core CPI'!$B$1:$AX$1,0),FALSE)</f>
        <v>37.72936</v>
      </c>
      <c r="G622" s="35">
        <f t="shared" si="36"/>
        <v>1.2778730265847527E-2</v>
      </c>
      <c r="H622" s="35">
        <f t="shared" si="37"/>
        <v>0.16459484637455524</v>
      </c>
      <c r="I622" s="35">
        <f>(Table143454[[#This Row],[Core CPI]]-F610)/F610</f>
        <v>0.32042493696115121</v>
      </c>
    </row>
    <row r="623" spans="1:9" x14ac:dyDescent="0.35">
      <c r="A623" s="33">
        <f>IF(Data!A650="",#N/A,Data!A650)</f>
        <v>37622</v>
      </c>
      <c r="B623" s="34">
        <f>VLOOKUP(A623,Data!A:AX,MATCH($B$2,Data!$B$1:$AX$1,0),FALSE)</f>
        <v>36.368169999999999</v>
      </c>
      <c r="C623" s="35">
        <f t="shared" si="38"/>
        <v>2.5881612890031436E-2</v>
      </c>
      <c r="D623" s="35">
        <f t="shared" si="35"/>
        <v>0.35883570868207926</v>
      </c>
      <c r="E623" s="35">
        <f>(Table143454[[#This Row],[USA]]-B611)/B611</f>
        <v>0.26383951314883203</v>
      </c>
      <c r="F623" s="34">
        <f>VLOOKUP(Table143454[[#This Row],[Date]],'Data Core CPI'!$A:$AX,MATCH($B$2,'Data Core CPI'!$B$1:$AX$1,0),FALSE)</f>
        <v>38.534550000000003</v>
      </c>
      <c r="G623" s="35">
        <f t="shared" si="36"/>
        <v>2.134120483358326E-2</v>
      </c>
      <c r="H623" s="35">
        <f t="shared" si="37"/>
        <v>0.28839858879229463</v>
      </c>
      <c r="I623" s="35">
        <f>(Table143454[[#This Row],[Core CPI]]-F611)/F611</f>
        <v>0.29449837644123189</v>
      </c>
    </row>
    <row r="624" spans="1:9" x14ac:dyDescent="0.35">
      <c r="A624" s="33">
        <f>IF(Data!A651="",#N/A,Data!A651)</f>
        <v>37653</v>
      </c>
      <c r="B624" s="34">
        <f>VLOOKUP(A624,Data!A:AX,MATCH($B$2,Data!$B$1:$AX$1,0),FALSE)</f>
        <v>36.928449999999998</v>
      </c>
      <c r="C624" s="35">
        <f t="shared" si="38"/>
        <v>1.5405779284467735E-2</v>
      </c>
      <c r="D624" s="35">
        <f t="shared" si="35"/>
        <v>0.20136664761108558</v>
      </c>
      <c r="E624" s="35">
        <f>(Table143454[[#This Row],[USA]]-B612)/B612</f>
        <v>0.26119558709872193</v>
      </c>
      <c r="F624" s="34">
        <f>VLOOKUP(Table143454[[#This Row],[Date]],'Data Core CPI'!$A:$AX,MATCH($B$2,'Data Core CPI'!$B$1:$AX$1,0),FALSE)</f>
        <v>38.8491</v>
      </c>
      <c r="G624" s="35">
        <f t="shared" si="36"/>
        <v>8.1628045481261235E-3</v>
      </c>
      <c r="H624" s="35">
        <f t="shared" si="37"/>
        <v>0.10247320994255826</v>
      </c>
      <c r="I624" s="35">
        <f>(Table143454[[#This Row],[Core CPI]]-F612)/F612</f>
        <v>0.28729898534632126</v>
      </c>
    </row>
    <row r="625" spans="1:9" x14ac:dyDescent="0.35">
      <c r="A625" s="33">
        <f>IF(Data!A652="",#N/A,Data!A652)</f>
        <v>37681</v>
      </c>
      <c r="B625" s="34">
        <f>VLOOKUP(A625,Data!A:AX,MATCH($B$2,Data!$B$1:$AX$1,0),FALSE)</f>
        <v>37.653739999999999</v>
      </c>
      <c r="C625" s="35">
        <f t="shared" si="38"/>
        <v>1.9640412744103886E-2</v>
      </c>
      <c r="D625" s="35">
        <f t="shared" si="35"/>
        <v>0.26288696657578758</v>
      </c>
      <c r="E625" s="35">
        <f>(Table143454[[#This Row],[USA]]-B613)/B613</f>
        <v>0.27084459063799504</v>
      </c>
      <c r="F625" s="34">
        <f>VLOOKUP(Table143454[[#This Row],[Date]],'Data Core CPI'!$A:$AX,MATCH($B$2,'Data Core CPI'!$B$1:$AX$1,0),FALSE)</f>
        <v>39.139139999999998</v>
      </c>
      <c r="G625" s="35">
        <f t="shared" si="36"/>
        <v>7.4658100187647847E-3</v>
      </c>
      <c r="H625" s="35">
        <f t="shared" si="37"/>
        <v>9.3361554646630651E-2</v>
      </c>
      <c r="I625" s="35">
        <f>(Table143454[[#This Row],[Core CPI]]-F613)/F613</f>
        <v>0.27320635472100252</v>
      </c>
    </row>
    <row r="626" spans="1:9" x14ac:dyDescent="0.35">
      <c r="A626" s="33">
        <f>IF(Data!A653="",#N/A,Data!A653)</f>
        <v>37712</v>
      </c>
      <c r="B626" s="34">
        <f>VLOOKUP(A626,Data!A:AX,MATCH($B$2,Data!$B$1:$AX$1,0),FALSE)</f>
        <v>38.025979999999997</v>
      </c>
      <c r="C626" s="35">
        <f t="shared" si="38"/>
        <v>9.8858705669078173E-3</v>
      </c>
      <c r="D626" s="35">
        <f t="shared" si="35"/>
        <v>0.12529801225015169</v>
      </c>
      <c r="E626" s="35">
        <f>(Table143454[[#This Row],[USA]]-B614)/B614</f>
        <v>0.25756021416831187</v>
      </c>
      <c r="F626" s="34">
        <f>VLOOKUP(Table143454[[#This Row],[Date]],'Data Core CPI'!$A:$AX,MATCH($B$2,'Data Core CPI'!$B$1:$AX$1,0),FALSE)</f>
        <v>39.608919999999998</v>
      </c>
      <c r="G626" s="35">
        <f t="shared" si="36"/>
        <v>1.2002818661830617E-2</v>
      </c>
      <c r="H626" s="35">
        <f t="shared" si="37"/>
        <v>0.15393319124058258</v>
      </c>
      <c r="I626" s="35">
        <f>(Table143454[[#This Row],[Core CPI]]-F614)/F614</f>
        <v>0.254697562443575</v>
      </c>
    </row>
    <row r="627" spans="1:9" x14ac:dyDescent="0.35">
      <c r="A627" s="33">
        <f>IF(Data!A654="",#N/A,Data!A654)</f>
        <v>37742</v>
      </c>
      <c r="B627" s="34">
        <f>VLOOKUP(A627,Data!A:AX,MATCH($B$2,Data!$B$1:$AX$1,0),FALSE)</f>
        <v>38.390540000000001</v>
      </c>
      <c r="C627" s="35">
        <f t="shared" si="38"/>
        <v>9.587129641366321E-3</v>
      </c>
      <c r="D627" s="35">
        <f t="shared" si="35"/>
        <v>0.12130992406632246</v>
      </c>
      <c r="E627" s="35">
        <f>(Table143454[[#This Row],[USA]]-B615)/B615</f>
        <v>0.26230441790467646</v>
      </c>
      <c r="F627" s="34">
        <f>VLOOKUP(Table143454[[#This Row],[Date]],'Data Core CPI'!$A:$AX,MATCH($B$2,'Data Core CPI'!$B$1:$AX$1,0),FALSE)</f>
        <v>40.082790000000003</v>
      </c>
      <c r="G627" s="35">
        <f t="shared" si="36"/>
        <v>1.1963719283434315E-2</v>
      </c>
      <c r="H627" s="35">
        <f t="shared" si="37"/>
        <v>0.15339830951716893</v>
      </c>
      <c r="I627" s="35">
        <f>(Table143454[[#This Row],[Core CPI]]-F615)/F615</f>
        <v>0.24345594647307162</v>
      </c>
    </row>
    <row r="628" spans="1:9" x14ac:dyDescent="0.35">
      <c r="A628" s="33">
        <f>IF(Data!A655="",#N/A,Data!A655)</f>
        <v>37773</v>
      </c>
      <c r="B628" s="34">
        <f>VLOOKUP(A628,Data!A:AX,MATCH($B$2,Data!$B$1:$AX$1,0),FALSE)</f>
        <v>38.421250000000001</v>
      </c>
      <c r="C628" s="35">
        <f t="shared" si="38"/>
        <v>7.9993665106026235E-4</v>
      </c>
      <c r="D628" s="35">
        <f t="shared" si="35"/>
        <v>9.6415859395306835E-3</v>
      </c>
      <c r="E628" s="35">
        <f>(Table143454[[#This Row],[USA]]-B616)/B616</f>
        <v>0.25598305099151442</v>
      </c>
      <c r="F628" s="34">
        <f>VLOOKUP(Table143454[[#This Row],[Date]],'Data Core CPI'!$A:$AX,MATCH($B$2,'Data Core CPI'!$B$1:$AX$1,0),FALSE)</f>
        <v>40.715980000000002</v>
      </c>
      <c r="G628" s="35">
        <f t="shared" si="36"/>
        <v>1.5797054047385295E-2</v>
      </c>
      <c r="H628" s="35">
        <f t="shared" si="37"/>
        <v>0.20693362755230638</v>
      </c>
      <c r="I628" s="35">
        <f>(Table143454[[#This Row],[Core CPI]]-F616)/F616</f>
        <v>0.23687114825601283</v>
      </c>
    </row>
    <row r="629" spans="1:9" x14ac:dyDescent="0.35">
      <c r="A629" s="33">
        <f>IF(Data!A656="",#N/A,Data!A656)</f>
        <v>37803</v>
      </c>
      <c r="B629" s="34">
        <f>VLOOKUP(A629,Data!A:AX,MATCH($B$2,Data!$B$1:$AX$1,0),FALSE)</f>
        <v>38.348329999999997</v>
      </c>
      <c r="C629" s="35">
        <f t="shared" si="38"/>
        <v>-1.8979080586916108E-3</v>
      </c>
      <c r="D629" s="35">
        <f t="shared" si="35"/>
        <v>-2.2538658672509038E-2</v>
      </c>
      <c r="E629" s="35">
        <f>(Table143454[[#This Row],[USA]]-B617)/B617</f>
        <v>0.2357855910470443</v>
      </c>
      <c r="F629" s="34">
        <f>VLOOKUP(Table143454[[#This Row],[Date]],'Data Core CPI'!$A:$AX,MATCH($B$2,'Data Core CPI'!$B$1:$AX$1,0),FALSE)</f>
        <v>41.022359999999999</v>
      </c>
      <c r="G629" s="35">
        <f t="shared" si="36"/>
        <v>7.5248096693238953E-3</v>
      </c>
      <c r="H629" s="35">
        <f t="shared" si="37"/>
        <v>9.4130161152077063E-2</v>
      </c>
      <c r="I629" s="35">
        <f>(Table143454[[#This Row],[Core CPI]]-F617)/F617</f>
        <v>0.22207982325845779</v>
      </c>
    </row>
    <row r="630" spans="1:9" x14ac:dyDescent="0.35">
      <c r="A630" s="33">
        <f>IF(Data!A657="",#N/A,Data!A657)</f>
        <v>37834</v>
      </c>
      <c r="B630" s="34">
        <f>VLOOKUP(A630,Data!A:AX,MATCH($B$2,Data!$B$1:$AX$1,0),FALSE)</f>
        <v>38.409730000000003</v>
      </c>
      <c r="C630" s="35">
        <f t="shared" si="38"/>
        <v>1.6011127472828068E-3</v>
      </c>
      <c r="D630" s="35">
        <f t="shared" si="35"/>
        <v>1.9383454324162441E-2</v>
      </c>
      <c r="E630" s="35">
        <f>(Table143454[[#This Row],[USA]]-B618)/B618</f>
        <v>0.21130574694664297</v>
      </c>
      <c r="F630" s="34">
        <f>VLOOKUP(Table143454[[#This Row],[Date]],'Data Core CPI'!$A:$AX,MATCH($B$2,'Data Core CPI'!$B$1:$AX$1,0),FALSE)</f>
        <v>41.45946</v>
      </c>
      <c r="G630" s="35">
        <f t="shared" si="36"/>
        <v>1.0655164646792725E-2</v>
      </c>
      <c r="H630" s="35">
        <f t="shared" si="37"/>
        <v>0.13562774921572052</v>
      </c>
      <c r="I630" s="35">
        <f>(Table143454[[#This Row],[Core CPI]]-F618)/F618</f>
        <v>0.20309116624754286</v>
      </c>
    </row>
    <row r="631" spans="1:9" x14ac:dyDescent="0.35">
      <c r="A631" s="33">
        <f>IF(Data!A658="",#N/A,Data!A658)</f>
        <v>37865</v>
      </c>
      <c r="B631" s="34">
        <f>VLOOKUP(A631,Data!A:AX,MATCH($B$2,Data!$B$1:$AX$1,0),FALSE)</f>
        <v>38.927799999999998</v>
      </c>
      <c r="C631" s="35">
        <f t="shared" si="38"/>
        <v>1.3487988590390909E-2</v>
      </c>
      <c r="D631" s="35">
        <f t="shared" si="35"/>
        <v>0.17441954947426974</v>
      </c>
      <c r="E631" s="35">
        <f>(Table143454[[#This Row],[USA]]-B619)/B619</f>
        <v>0.18638912592953799</v>
      </c>
      <c r="F631" s="34">
        <f>VLOOKUP(Table143454[[#This Row],[Date]],'Data Core CPI'!$A:$AX,MATCH($B$2,'Data Core CPI'!$B$1:$AX$1,0),FALSE)</f>
        <v>42.170270000000002</v>
      </c>
      <c r="G631" s="35">
        <f t="shared" si="36"/>
        <v>1.7144699906848748E-2</v>
      </c>
      <c r="H631" s="35">
        <f t="shared" si="37"/>
        <v>0.22628914863136362</v>
      </c>
      <c r="I631" s="35">
        <f>(Table143454[[#This Row],[Core CPI]]-F619)/F619</f>
        <v>0.18972778062880541</v>
      </c>
    </row>
    <row r="632" spans="1:9" x14ac:dyDescent="0.35">
      <c r="A632" s="33">
        <f>IF(Data!A659="",#N/A,Data!A659)</f>
        <v>37895</v>
      </c>
      <c r="B632" s="34">
        <f>VLOOKUP(A632,Data!A:AX,MATCH($B$2,Data!$B$1:$AX$1,0),FALSE)</f>
        <v>39.288519999999998</v>
      </c>
      <c r="C632" s="35">
        <f t="shared" si="38"/>
        <v>9.2663854623173947E-3</v>
      </c>
      <c r="D632" s="35">
        <f t="shared" si="35"/>
        <v>0.11704252586346264</v>
      </c>
      <c r="E632" s="35">
        <f>(Table143454[[#This Row],[USA]]-B620)/B620</f>
        <v>0.15928065828612961</v>
      </c>
      <c r="F632" s="34">
        <f>VLOOKUP(Table143454[[#This Row],[Date]],'Data Core CPI'!$A:$AX,MATCH($B$2,'Data Core CPI'!$B$1:$AX$1,0),FALSE)</f>
        <v>42.599200000000003</v>
      </c>
      <c r="G632" s="35">
        <f t="shared" si="36"/>
        <v>1.0171383773449838E-2</v>
      </c>
      <c r="H632" s="35">
        <f t="shared" si="37"/>
        <v>0.12912166215412846</v>
      </c>
      <c r="I632" s="35">
        <f>(Table143454[[#This Row],[Core CPI]]-F620)/F620</f>
        <v>0.16880173622448011</v>
      </c>
    </row>
    <row r="633" spans="1:9" x14ac:dyDescent="0.35">
      <c r="A633" s="33">
        <f>IF(Data!A660="",#N/A,Data!A660)</f>
        <v>37926</v>
      </c>
      <c r="B633" s="34">
        <f>VLOOKUP(A633,Data!A:AX,MATCH($B$2,Data!$B$1:$AX$1,0),FALSE)</f>
        <v>39.787399999999998</v>
      </c>
      <c r="C633" s="35">
        <f t="shared" si="38"/>
        <v>1.2697856778519423E-2</v>
      </c>
      <c r="D633" s="35">
        <f t="shared" si="35"/>
        <v>0.16347937872665952</v>
      </c>
      <c r="E633" s="35">
        <f>(Table143454[[#This Row],[USA]]-B621)/B621</f>
        <v>0.14078342163346544</v>
      </c>
      <c r="F633" s="34">
        <f>VLOOKUP(Table143454[[#This Row],[Date]],'Data Core CPI'!$A:$AX,MATCH($B$2,'Data Core CPI'!$B$1:$AX$1,0),FALSE)</f>
        <v>42.966859999999997</v>
      </c>
      <c r="G633" s="35">
        <f t="shared" si="36"/>
        <v>8.6306785103944517E-3</v>
      </c>
      <c r="H633" s="35">
        <f t="shared" si="37"/>
        <v>0.10862861052970674</v>
      </c>
      <c r="I633" s="35">
        <f>(Table143454[[#This Row],[Core CPI]]-F621)/F621</f>
        <v>0.15337026427987199</v>
      </c>
    </row>
    <row r="634" spans="1:9" x14ac:dyDescent="0.35">
      <c r="A634" s="33">
        <f>IF(Data!A661="",#N/A,Data!A661)</f>
        <v>37956</v>
      </c>
      <c r="B634" s="34">
        <f>VLOOKUP(A634,Data!A:AX,MATCH($B$2,Data!$B$1:$AX$1,0),FALSE)</f>
        <v>39.956249999999997</v>
      </c>
      <c r="C634" s="35">
        <f t="shared" si="38"/>
        <v>4.2438058279756774E-3</v>
      </c>
      <c r="D634" s="35">
        <f t="shared" si="35"/>
        <v>5.2131298892129863E-2</v>
      </c>
      <c r="E634" s="35">
        <f>(Table143454[[#This Row],[USA]]-B622)/B622</f>
        <v>0.12709498979567352</v>
      </c>
      <c r="F634" s="34">
        <f>VLOOKUP(Table143454[[#This Row],[Date]],'Data Core CPI'!$A:$AX,MATCH($B$2,'Data Core CPI'!$B$1:$AX$1,0),FALSE)</f>
        <v>43.056730000000002</v>
      </c>
      <c r="G634" s="35">
        <f t="shared" si="36"/>
        <v>2.0916120005047834E-3</v>
      </c>
      <c r="H634" s="35">
        <f t="shared" si="37"/>
        <v>2.5390106105237953E-2</v>
      </c>
      <c r="I634" s="35">
        <f>(Table143454[[#This Row],[Core CPI]]-F622)/F622</f>
        <v>0.14119958568075372</v>
      </c>
    </row>
    <row r="635" spans="1:9" x14ac:dyDescent="0.35">
      <c r="A635" s="33">
        <f>IF(Data!A662="",#N/A,Data!A662)</f>
        <v>37987</v>
      </c>
      <c r="B635" s="34">
        <f>VLOOKUP(A635,Data!A:AX,MATCH($B$2,Data!$B$1:$AX$1,0),FALSE)</f>
        <v>40.221040000000002</v>
      </c>
      <c r="C635" s="35">
        <f t="shared" si="38"/>
        <v>6.6269982793680793E-3</v>
      </c>
      <c r="D635" s="35">
        <f t="shared" ref="D635:D698" si="39">((1+C635)^12)-1</f>
        <v>8.2487501764716642E-2</v>
      </c>
      <c r="E635" s="35">
        <f>(Table143454[[#This Row],[USA]]-B623)/B623</f>
        <v>0.10594071684112791</v>
      </c>
      <c r="F635" s="34">
        <f>VLOOKUP(Table143454[[#This Row],[Date]],'Data Core CPI'!$A:$AX,MATCH($B$2,'Data Core CPI'!$B$1:$AX$1,0),FALSE)</f>
        <v>43.293660000000003</v>
      </c>
      <c r="G635" s="35">
        <f t="shared" si="36"/>
        <v>5.5027402220280131E-3</v>
      </c>
      <c r="H635" s="35">
        <f t="shared" si="37"/>
        <v>6.8068487677934941E-2</v>
      </c>
      <c r="I635" s="35">
        <f>(Table143454[[#This Row],[Core CPI]]-F623)/F623</f>
        <v>0.12350241536491277</v>
      </c>
    </row>
    <row r="636" spans="1:9" x14ac:dyDescent="0.35">
      <c r="A636" s="33">
        <f>IF(Data!A663="",#N/A,Data!A663)</f>
        <v>38018</v>
      </c>
      <c r="B636" s="34">
        <f>VLOOKUP(A636,Data!A:AX,MATCH($B$2,Data!$B$1:$AX$1,0),FALSE)</f>
        <v>40.428269999999998</v>
      </c>
      <c r="C636" s="35">
        <f t="shared" si="38"/>
        <v>5.1522785089592738E-3</v>
      </c>
      <c r="D636" s="35">
        <f t="shared" si="39"/>
        <v>6.3609817989490836E-2</v>
      </c>
      <c r="E636" s="35">
        <f>(Table143454[[#This Row],[USA]]-B624)/B624</f>
        <v>9.4773000220697054E-2</v>
      </c>
      <c r="F636" s="34">
        <f>VLOOKUP(Table143454[[#This Row],[Date]],'Data Core CPI'!$A:$AX,MATCH($B$2,'Data Core CPI'!$B$1:$AX$1,0),FALSE)</f>
        <v>43.38353</v>
      </c>
      <c r="G636" s="35">
        <f t="shared" si="36"/>
        <v>2.0758235732436514E-3</v>
      </c>
      <c r="H636" s="35">
        <f t="shared" si="37"/>
        <v>2.5196256831191199E-2</v>
      </c>
      <c r="I636" s="35">
        <f>(Table143454[[#This Row],[Core CPI]]-F624)/F624</f>
        <v>0.1167190488325341</v>
      </c>
    </row>
    <row r="637" spans="1:9" x14ac:dyDescent="0.35">
      <c r="A637" s="33">
        <f>IF(Data!A664="",#N/A,Data!A664)</f>
        <v>38047</v>
      </c>
      <c r="B637" s="34">
        <f>VLOOKUP(A637,Data!A:AX,MATCH($B$2,Data!$B$1:$AX$1,0),FALSE)</f>
        <v>40.815860000000001</v>
      </c>
      <c r="C637" s="35">
        <f t="shared" si="38"/>
        <v>9.5871032819361268E-3</v>
      </c>
      <c r="D637" s="35">
        <f t="shared" si="39"/>
        <v>0.12130957274940757</v>
      </c>
      <c r="E637" s="35">
        <f>(Table143454[[#This Row],[USA]]-B625)/B625</f>
        <v>8.3978908868016872E-2</v>
      </c>
      <c r="F637" s="34">
        <f>VLOOKUP(Table143454[[#This Row],[Date]],'Data Core CPI'!$A:$AX,MATCH($B$2,'Data Core CPI'!$B$1:$AX$1,0),FALSE)</f>
        <v>43.702170000000002</v>
      </c>
      <c r="G637" s="35">
        <f t="shared" si="36"/>
        <v>7.3447227553866679E-3</v>
      </c>
      <c r="H637" s="35">
        <f t="shared" si="37"/>
        <v>9.1785663830659114E-2</v>
      </c>
      <c r="I637" s="35">
        <f>(Table143454[[#This Row],[Core CPI]]-F625)/F625</f>
        <v>0.11658483042805756</v>
      </c>
    </row>
    <row r="638" spans="1:9" x14ac:dyDescent="0.35">
      <c r="A638" s="33">
        <f>IF(Data!A665="",#N/A,Data!A665)</f>
        <v>38078</v>
      </c>
      <c r="B638" s="34">
        <f>VLOOKUP(A638,Data!A:AX,MATCH($B$2,Data!$B$1:$AX$1,0),FALSE)</f>
        <v>41.01925</v>
      </c>
      <c r="C638" s="35">
        <f t="shared" si="38"/>
        <v>4.9831119569696547E-3</v>
      </c>
      <c r="D638" s="35">
        <f t="shared" si="39"/>
        <v>6.1463746150271614E-2</v>
      </c>
      <c r="E638" s="35">
        <f>(Table143454[[#This Row],[USA]]-B626)/B626</f>
        <v>7.871644596667865E-2</v>
      </c>
      <c r="F638" s="34">
        <f>VLOOKUP(Table143454[[#This Row],[Date]],'Data Core CPI'!$A:$AX,MATCH($B$2,'Data Core CPI'!$B$1:$AX$1,0),FALSE)</f>
        <v>44.00855</v>
      </c>
      <c r="G638" s="35">
        <f t="shared" si="36"/>
        <v>7.0106358562971316E-3</v>
      </c>
      <c r="H638" s="35">
        <f t="shared" si="37"/>
        <v>8.7448479016933645E-2</v>
      </c>
      <c r="I638" s="35">
        <f>(Table143454[[#This Row],[Core CPI]]-F626)/F626</f>
        <v>0.11107674735892829</v>
      </c>
    </row>
    <row r="639" spans="1:9" x14ac:dyDescent="0.35">
      <c r="A639" s="33">
        <f>IF(Data!A666="",#N/A,Data!A666)</f>
        <v>38108</v>
      </c>
      <c r="B639" s="34">
        <f>VLOOKUP(A639,Data!A:AX,MATCH($B$2,Data!$B$1:$AX$1,0),FALSE)</f>
        <v>41.195770000000003</v>
      </c>
      <c r="C639" s="35">
        <f t="shared" si="38"/>
        <v>4.3033453805225719E-3</v>
      </c>
      <c r="D639" s="35">
        <f t="shared" si="39"/>
        <v>5.2880087472325865E-2</v>
      </c>
      <c r="E639" s="35">
        <f>(Table143454[[#This Row],[USA]]-B627)/B627</f>
        <v>7.3070865895608697E-2</v>
      </c>
      <c r="F639" s="34">
        <f>VLOOKUP(Table143454[[#This Row],[Date]],'Data Core CPI'!$A:$AX,MATCH($B$2,'Data Core CPI'!$B$1:$AX$1,0),FALSE)</f>
        <v>44.547780000000003</v>
      </c>
      <c r="G639" s="35">
        <f t="shared" si="36"/>
        <v>1.225284632190804E-2</v>
      </c>
      <c r="H639" s="35">
        <f t="shared" si="37"/>
        <v>0.157358963343883</v>
      </c>
      <c r="I639" s="35">
        <f>(Table143454[[#This Row],[Core CPI]]-F627)/F627</f>
        <v>0.11139419187137423</v>
      </c>
    </row>
    <row r="640" spans="1:9" x14ac:dyDescent="0.35">
      <c r="A640" s="33">
        <f>IF(Data!A667="",#N/A,Data!A667)</f>
        <v>38139</v>
      </c>
      <c r="B640" s="34">
        <f>VLOOKUP(A640,Data!A:AX,MATCH($B$2,Data!$B$1:$AX$1,0),FALSE)</f>
        <v>41.142040000000001</v>
      </c>
      <c r="C640" s="35">
        <f t="shared" si="38"/>
        <v>-1.3042601218523631E-3</v>
      </c>
      <c r="D640" s="35">
        <f t="shared" si="39"/>
        <v>-1.5539335905429108E-2</v>
      </c>
      <c r="E640" s="35">
        <f>(Table143454[[#This Row],[USA]]-B628)/B628</f>
        <v>7.0814718417542402E-2</v>
      </c>
      <c r="F640" s="34">
        <f>VLOOKUP(Table143454[[#This Row],[Date]],'Data Core CPI'!$A:$AX,MATCH($B$2,'Data Core CPI'!$B$1:$AX$1,0),FALSE)</f>
        <v>44.886839999999999</v>
      </c>
      <c r="G640" s="35">
        <f t="shared" si="36"/>
        <v>7.6111536871197316E-3</v>
      </c>
      <c r="H640" s="35">
        <f t="shared" si="37"/>
        <v>9.5255883929294516E-2</v>
      </c>
      <c r="I640" s="35">
        <f>(Table143454[[#This Row],[Core CPI]]-F628)/F628</f>
        <v>0.10243791258370785</v>
      </c>
    </row>
    <row r="641" spans="1:9" x14ac:dyDescent="0.35">
      <c r="A641" s="33">
        <f>IF(Data!A668="",#N/A,Data!A668)</f>
        <v>38169</v>
      </c>
      <c r="B641" s="34">
        <f>VLOOKUP(A641,Data!A:AX,MATCH($B$2,Data!$B$1:$AX$1,0),FALSE)</f>
        <v>41.337760000000003</v>
      </c>
      <c r="C641" s="35">
        <f t="shared" si="38"/>
        <v>4.7571778161705769E-3</v>
      </c>
      <c r="D641" s="35">
        <f t="shared" si="39"/>
        <v>5.8603703000766449E-2</v>
      </c>
      <c r="E641" s="35">
        <f>(Table143454[[#This Row],[USA]]-B629)/B629</f>
        <v>7.7954633226531789E-2</v>
      </c>
      <c r="F641" s="34">
        <f>VLOOKUP(Table143454[[#This Row],[Date]],'Data Core CPI'!$A:$AX,MATCH($B$2,'Data Core CPI'!$B$1:$AX$1,0),FALSE)</f>
        <v>44.964460000000003</v>
      </c>
      <c r="G641" s="35">
        <f t="shared" si="36"/>
        <v>1.7292373443975606E-3</v>
      </c>
      <c r="H641" s="35">
        <f t="shared" si="37"/>
        <v>2.0949347441441502E-2</v>
      </c>
      <c r="I641" s="35">
        <f>(Table143454[[#This Row],[Core CPI]]-F629)/F629</f>
        <v>9.6096372807415356E-2</v>
      </c>
    </row>
    <row r="642" spans="1:9" x14ac:dyDescent="0.35">
      <c r="A642" s="33">
        <f>IF(Data!A669="",#N/A,Data!A669)</f>
        <v>38200</v>
      </c>
      <c r="B642" s="34">
        <f>VLOOKUP(A642,Data!A:AX,MATCH($B$2,Data!$B$1:$AX$1,0),FALSE)</f>
        <v>41.652439999999999</v>
      </c>
      <c r="C642" s="35">
        <f t="shared" si="38"/>
        <v>7.6124105418386989E-3</v>
      </c>
      <c r="D642" s="35">
        <f t="shared" si="39"/>
        <v>9.52722781936719E-2</v>
      </c>
      <c r="E642" s="35">
        <f>(Table143454[[#This Row],[USA]]-B630)/B630</f>
        <v>8.442418106037182E-2</v>
      </c>
      <c r="F642" s="34">
        <f>VLOOKUP(Table143454[[#This Row],[Date]],'Data Core CPI'!$A:$AX,MATCH($B$2,'Data Core CPI'!$B$1:$AX$1,0),FALSE)</f>
        <v>45.213650000000001</v>
      </c>
      <c r="G642" s="35">
        <f t="shared" si="36"/>
        <v>5.5419324506509327E-3</v>
      </c>
      <c r="H642" s="35">
        <f t="shared" si="37"/>
        <v>6.8568165592529651E-2</v>
      </c>
      <c r="I642" s="35">
        <f>(Table143454[[#This Row],[Core CPI]]-F630)/F630</f>
        <v>9.0550865833756669E-2</v>
      </c>
    </row>
    <row r="643" spans="1:9" x14ac:dyDescent="0.35">
      <c r="A643" s="33">
        <f>IF(Data!A670="",#N/A,Data!A670)</f>
        <v>38231</v>
      </c>
      <c r="B643" s="34">
        <f>VLOOKUP(A643,Data!A:AX,MATCH($B$2,Data!$B$1:$AX$1,0),FALSE)</f>
        <v>42.047699999999999</v>
      </c>
      <c r="C643" s="35">
        <f t="shared" si="38"/>
        <v>9.4894800880813701E-3</v>
      </c>
      <c r="D643" s="35">
        <f t="shared" si="39"/>
        <v>0.12000914856871914</v>
      </c>
      <c r="E643" s="35">
        <f>(Table143454[[#This Row],[USA]]-B631)/B631</f>
        <v>8.0145808394001233E-2</v>
      </c>
      <c r="F643" s="34">
        <f>VLOOKUP(Table143454[[#This Row],[Date]],'Data Core CPI'!$A:$AX,MATCH($B$2,'Data Core CPI'!$B$1:$AX$1,0),FALSE)</f>
        <v>45.761049999999997</v>
      </c>
      <c r="G643" s="35">
        <f t="shared" ref="G643:G706" si="40">(F643/F642)-1</f>
        <v>1.2106963273259108E-2</v>
      </c>
      <c r="H643" s="35">
        <f t="shared" ref="H643:H706" si="41">((1+G643)^12)-1</f>
        <v>0.15535900505912115</v>
      </c>
      <c r="I643" s="35">
        <f>(Table143454[[#This Row],[Core CPI]]-F631)/F631</f>
        <v>8.5149561527587916E-2</v>
      </c>
    </row>
    <row r="644" spans="1:9" x14ac:dyDescent="0.35">
      <c r="A644" s="33">
        <f>IF(Data!A671="",#N/A,Data!A671)</f>
        <v>38261</v>
      </c>
      <c r="B644" s="34">
        <f>VLOOKUP(A644,Data!A:AX,MATCH($B$2,Data!$B$1:$AX$1,0),FALSE)</f>
        <v>42.991729999999997</v>
      </c>
      <c r="C644" s="35">
        <f t="shared" ref="C644:C707" si="42">(B644/B643)-1</f>
        <v>2.2451406378945826E-2</v>
      </c>
      <c r="D644" s="35">
        <f t="shared" si="39"/>
        <v>0.30530535483219556</v>
      </c>
      <c r="E644" s="35">
        <f>(Table143454[[#This Row],[USA]]-B632)/B632</f>
        <v>9.4256795623759784E-2</v>
      </c>
      <c r="F644" s="34">
        <f>VLOOKUP(Table143454[[#This Row],[Date]],'Data Core CPI'!$A:$AX,MATCH($B$2,'Data Core CPI'!$B$1:$AX$1,0),FALSE)</f>
        <v>46.565809999999999</v>
      </c>
      <c r="G644" s="35">
        <f t="shared" si="40"/>
        <v>1.7586134933529785E-2</v>
      </c>
      <c r="H644" s="35">
        <f t="shared" si="41"/>
        <v>0.2326908452802936</v>
      </c>
      <c r="I644" s="35">
        <f>(Table143454[[#This Row],[Core CPI]]-F632)/F632</f>
        <v>9.3114659430223928E-2</v>
      </c>
    </row>
    <row r="645" spans="1:9" x14ac:dyDescent="0.35">
      <c r="A645" s="33">
        <f>IF(Data!A672="",#N/A,Data!A672)</f>
        <v>38292</v>
      </c>
      <c r="B645" s="34">
        <f>VLOOKUP(A645,Data!A:AX,MATCH($B$2,Data!$B$1:$AX$1,0),FALSE)</f>
        <v>43.55585</v>
      </c>
      <c r="C645" s="35">
        <f t="shared" si="42"/>
        <v>1.312159338551866E-2</v>
      </c>
      <c r="D645" s="35">
        <f t="shared" si="39"/>
        <v>0.16933476740590137</v>
      </c>
      <c r="E645" s="35">
        <f>(Table143454[[#This Row],[USA]]-B633)/B633</f>
        <v>9.4714658409446248E-2</v>
      </c>
      <c r="F645" s="34">
        <f>VLOOKUP(Table143454[[#This Row],[Date]],'Data Core CPI'!$A:$AX,MATCH($B$2,'Data Core CPI'!$B$1:$AX$1,0),FALSE)</f>
        <v>47.162230000000001</v>
      </c>
      <c r="G645" s="35">
        <f t="shared" si="40"/>
        <v>1.2808109640957577E-2</v>
      </c>
      <c r="H645" s="35">
        <f t="shared" si="41"/>
        <v>0.16500031138623283</v>
      </c>
      <c r="I645" s="35">
        <f>(Table143454[[#This Row],[Core CPI]]-F633)/F633</f>
        <v>9.7641996645787113E-2</v>
      </c>
    </row>
    <row r="646" spans="1:9" x14ac:dyDescent="0.35">
      <c r="A646" s="33">
        <f>IF(Data!A673="",#N/A,Data!A673)</f>
        <v>38322</v>
      </c>
      <c r="B646" s="34">
        <f>VLOOKUP(A646,Data!A:AX,MATCH($B$2,Data!$B$1:$AX$1,0),FALSE)</f>
        <v>43.694000000000003</v>
      </c>
      <c r="C646" s="35">
        <f t="shared" si="42"/>
        <v>3.1717897825436214E-3</v>
      </c>
      <c r="D646" s="35">
        <f t="shared" si="39"/>
        <v>3.8732524251903433E-2</v>
      </c>
      <c r="E646" s="35">
        <f>(Table143454[[#This Row],[USA]]-B634)/B634</f>
        <v>9.3546066009698253E-2</v>
      </c>
      <c r="F646" s="34">
        <f>VLOOKUP(Table143454[[#This Row],[Date]],'Data Core CPI'!$A:$AX,MATCH($B$2,'Data Core CPI'!$B$1:$AX$1,0),FALSE)</f>
        <v>47.248019999999997</v>
      </c>
      <c r="G646" s="35">
        <f t="shared" si="40"/>
        <v>1.8190403634432695E-3</v>
      </c>
      <c r="H646" s="35">
        <f t="shared" si="41"/>
        <v>2.2048201902635345E-2</v>
      </c>
      <c r="I646" s="35">
        <f>(Table143454[[#This Row],[Core CPI]]-F634)/F634</f>
        <v>9.7343435044881368E-2</v>
      </c>
    </row>
    <row r="647" spans="1:9" x14ac:dyDescent="0.35">
      <c r="A647" s="33">
        <f>IF(Data!A674="",#N/A,Data!A674)</f>
        <v>38353</v>
      </c>
      <c r="B647" s="34">
        <f>VLOOKUP(A647,Data!A:AX,MATCH($B$2,Data!$B$1:$AX$1,0),FALSE)</f>
        <v>43.935760000000002</v>
      </c>
      <c r="C647" s="35">
        <f t="shared" si="42"/>
        <v>5.5330251293084221E-3</v>
      </c>
      <c r="D647" s="35">
        <f t="shared" si="39"/>
        <v>6.8454583660114254E-2</v>
      </c>
      <c r="E647" s="35">
        <f>(Table143454[[#This Row],[USA]]-B635)/B635</f>
        <v>9.2357631727076173E-2</v>
      </c>
      <c r="F647" s="34">
        <f>VLOOKUP(Table143454[[#This Row],[Date]],'Data Core CPI'!$A:$AX,MATCH($B$2,'Data Core CPI'!$B$1:$AX$1,0),FALSE)</f>
        <v>47.337890000000002</v>
      </c>
      <c r="G647" s="35">
        <f t="shared" si="40"/>
        <v>1.9020902886512925E-3</v>
      </c>
      <c r="H647" s="35">
        <f t="shared" si="41"/>
        <v>2.3065388461473546E-2</v>
      </c>
      <c r="I647" s="35">
        <f>(Table143454[[#This Row],[Core CPI]]-F635)/F635</f>
        <v>9.3413908641588592E-2</v>
      </c>
    </row>
    <row r="648" spans="1:9" x14ac:dyDescent="0.35">
      <c r="A648" s="33">
        <f>IF(Data!A675="",#N/A,Data!A675)</f>
        <v>38384</v>
      </c>
      <c r="B648" s="34">
        <f>VLOOKUP(A648,Data!A:AX,MATCH($B$2,Data!$B$1:$AX$1,0),FALSE)</f>
        <v>43.943440000000002</v>
      </c>
      <c r="C648" s="35">
        <f t="shared" si="42"/>
        <v>1.7480066351427404E-4</v>
      </c>
      <c r="D648" s="35">
        <f t="shared" si="39"/>
        <v>2.0996257856202849E-3</v>
      </c>
      <c r="E648" s="35">
        <f>(Table143454[[#This Row],[USA]]-B636)/B636</f>
        <v>8.6948316116420635E-2</v>
      </c>
      <c r="F648" s="34">
        <f>VLOOKUP(Table143454[[#This Row],[Date]],'Data Core CPI'!$A:$AX,MATCH($B$2,'Data Core CPI'!$B$1:$AX$1,0),FALSE)</f>
        <v>47.113210000000002</v>
      </c>
      <c r="G648" s="35">
        <f t="shared" si="40"/>
        <v>-4.7463036480924758E-3</v>
      </c>
      <c r="H648" s="35">
        <f t="shared" si="41"/>
        <v>-5.5492108992747147E-2</v>
      </c>
      <c r="I648" s="35">
        <f>(Table143454[[#This Row],[Core CPI]]-F636)/F636</f>
        <v>8.5969952191534485E-2</v>
      </c>
    </row>
    <row r="649" spans="1:9" x14ac:dyDescent="0.35">
      <c r="A649" s="33">
        <f>IF(Data!A676="",#N/A,Data!A676)</f>
        <v>38412</v>
      </c>
      <c r="B649" s="34">
        <f>VLOOKUP(A649,Data!A:AX,MATCH($B$2,Data!$B$1:$AX$1,0),FALSE)</f>
        <v>44.05856</v>
      </c>
      <c r="C649" s="35">
        <f t="shared" si="42"/>
        <v>2.6197311817190982E-3</v>
      </c>
      <c r="D649" s="35">
        <f t="shared" si="39"/>
        <v>3.1893710452534973E-2</v>
      </c>
      <c r="E649" s="35">
        <f>(Table143454[[#This Row],[USA]]-B637)/B637</f>
        <v>7.9447058079873831E-2</v>
      </c>
      <c r="F649" s="34">
        <f>VLOOKUP(Table143454[[#This Row],[Date]],'Data Core CPI'!$A:$AX,MATCH($B$2,'Data Core CPI'!$B$1:$AX$1,0),FALSE)</f>
        <v>47.3093</v>
      </c>
      <c r="G649" s="35">
        <f t="shared" si="40"/>
        <v>4.1621023063382889E-3</v>
      </c>
      <c r="H649" s="35">
        <f t="shared" si="41"/>
        <v>5.1104563633780575E-2</v>
      </c>
      <c r="I649" s="35">
        <f>(Table143454[[#This Row],[Core CPI]]-F637)/F637</f>
        <v>8.2538921980304353E-2</v>
      </c>
    </row>
    <row r="650" spans="1:9" x14ac:dyDescent="0.35">
      <c r="A650" s="33">
        <f>IF(Data!A677="",#N/A,Data!A677)</f>
        <v>38443</v>
      </c>
      <c r="B650" s="34">
        <f>VLOOKUP(A650,Data!A:AX,MATCH($B$2,Data!$B$1:$AX$1,0),FALSE)</f>
        <v>44.373240000000003</v>
      </c>
      <c r="C650" s="35">
        <f t="shared" si="42"/>
        <v>7.1423124132972138E-3</v>
      </c>
      <c r="D650" s="35">
        <f t="shared" si="39"/>
        <v>8.9156041877752168E-2</v>
      </c>
      <c r="E650" s="35">
        <f>(Table143454[[#This Row],[USA]]-B638)/B638</f>
        <v>8.1766243897682264E-2</v>
      </c>
      <c r="F650" s="34">
        <f>VLOOKUP(Table143454[[#This Row],[Date]],'Data Core CPI'!$A:$AX,MATCH($B$2,'Data Core CPI'!$B$1:$AX$1,0),FALSE)</f>
        <v>47.509459999999997</v>
      </c>
      <c r="G650" s="35">
        <f t="shared" si="40"/>
        <v>4.2308806090980422E-3</v>
      </c>
      <c r="H650" s="35">
        <f t="shared" si="41"/>
        <v>5.1968811679722116E-2</v>
      </c>
      <c r="I650" s="35">
        <f>(Table143454[[#This Row],[Core CPI]]-F638)/F638</f>
        <v>7.9550678220482104E-2</v>
      </c>
    </row>
    <row r="651" spans="1:9" x14ac:dyDescent="0.35">
      <c r="A651" s="33">
        <f>IF(Data!A678="",#N/A,Data!A678)</f>
        <v>38473</v>
      </c>
      <c r="B651" s="34">
        <f>VLOOKUP(A651,Data!A:AX,MATCH($B$2,Data!$B$1:$AX$1,0),FALSE)</f>
        <v>44.780009999999997</v>
      </c>
      <c r="C651" s="35">
        <f t="shared" si="42"/>
        <v>9.1670114690745041E-3</v>
      </c>
      <c r="D651" s="35">
        <f t="shared" si="39"/>
        <v>0.11572341070140868</v>
      </c>
      <c r="E651" s="35">
        <f>(Table143454[[#This Row],[USA]]-B639)/B639</f>
        <v>8.7005049304819254E-2</v>
      </c>
      <c r="F651" s="34">
        <f>VLOOKUP(Table143454[[#This Row],[Date]],'Data Core CPI'!$A:$AX,MATCH($B$2,'Data Core CPI'!$B$1:$AX$1,0),FALSE)</f>
        <v>48.538899999999998</v>
      </c>
      <c r="G651" s="35">
        <f t="shared" si="40"/>
        <v>2.166810567832167E-2</v>
      </c>
      <c r="H651" s="35">
        <f t="shared" si="41"/>
        <v>0.2933558447630551</v>
      </c>
      <c r="I651" s="35">
        <f>(Table143454[[#This Row],[Core CPI]]-F639)/F639</f>
        <v>8.9591894366004204E-2</v>
      </c>
    </row>
    <row r="652" spans="1:9" x14ac:dyDescent="0.35">
      <c r="A652" s="33">
        <f>IF(Data!A679="",#N/A,Data!A679)</f>
        <v>38504</v>
      </c>
      <c r="B652" s="34">
        <f>VLOOKUP(A652,Data!A:AX,MATCH($B$2,Data!$B$1:$AX$1,0),FALSE)</f>
        <v>44.826070000000001</v>
      </c>
      <c r="C652" s="35">
        <f t="shared" si="42"/>
        <v>1.0285839596730906E-3</v>
      </c>
      <c r="D652" s="35">
        <f t="shared" si="39"/>
        <v>1.2413074488357489E-2</v>
      </c>
      <c r="E652" s="35">
        <f>(Table143454[[#This Row],[USA]]-B640)/B640</f>
        <v>8.9544174280128064E-2</v>
      </c>
      <c r="F652" s="34">
        <f>VLOOKUP(Table143454[[#This Row],[Date]],'Data Core CPI'!$A:$AX,MATCH($B$2,'Data Core CPI'!$B$1:$AX$1,0),FALSE)</f>
        <v>48.967840000000002</v>
      </c>
      <c r="G652" s="35">
        <f t="shared" si="40"/>
        <v>8.8370358619582756E-3</v>
      </c>
      <c r="H652" s="35">
        <f t="shared" si="41"/>
        <v>0.11135346837361304</v>
      </c>
      <c r="I652" s="35">
        <f>(Table143454[[#This Row],[Core CPI]]-F640)/F640</f>
        <v>9.0917516136132623E-2</v>
      </c>
    </row>
    <row r="653" spans="1:9" x14ac:dyDescent="0.35">
      <c r="A653" s="33">
        <f>IF(Data!A680="",#N/A,Data!A680)</f>
        <v>38534</v>
      </c>
      <c r="B653" s="34">
        <f>VLOOKUP(A653,Data!A:AX,MATCH($B$2,Data!$B$1:$AX$1,0),FALSE)</f>
        <v>44.568950000000001</v>
      </c>
      <c r="C653" s="35">
        <f t="shared" si="42"/>
        <v>-5.7359478535593533E-3</v>
      </c>
      <c r="D653" s="35">
        <f t="shared" si="39"/>
        <v>-6.670088902129867E-2</v>
      </c>
      <c r="E653" s="35">
        <f>(Table143454[[#This Row],[USA]]-B641)/B641</f>
        <v>7.8165580331396714E-2</v>
      </c>
      <c r="F653" s="34">
        <f>VLOOKUP(Table143454[[#This Row],[Date]],'Data Core CPI'!$A:$AX,MATCH($B$2,'Data Core CPI'!$B$1:$AX$1,0),FALSE)</f>
        <v>48.645110000000003</v>
      </c>
      <c r="G653" s="35">
        <f t="shared" si="40"/>
        <v>-6.590652150472609E-3</v>
      </c>
      <c r="H653" s="35">
        <f t="shared" si="41"/>
        <v>-7.6283060472067343E-2</v>
      </c>
      <c r="I653" s="35">
        <f>(Table143454[[#This Row],[Core CPI]]-F641)/F641</f>
        <v>8.1856870959864741E-2</v>
      </c>
    </row>
    <row r="654" spans="1:9" x14ac:dyDescent="0.35">
      <c r="A654" s="33">
        <f>IF(Data!A681="",#N/A,Data!A681)</f>
        <v>38565</v>
      </c>
      <c r="B654" s="34">
        <f>VLOOKUP(A654,Data!A:AX,MATCH($B$2,Data!$B$1:$AX$1,0),FALSE)</f>
        <v>44.948860000000003</v>
      </c>
      <c r="C654" s="35">
        <f t="shared" si="42"/>
        <v>8.5240958110972542E-3</v>
      </c>
      <c r="D654" s="35">
        <f t="shared" si="39"/>
        <v>0.10722363267732726</v>
      </c>
      <c r="E654" s="35">
        <f>(Table143454[[#This Row],[USA]]-B642)/B642</f>
        <v>7.9141101937845779E-2</v>
      </c>
      <c r="F654" s="34">
        <f>VLOOKUP(Table143454[[#This Row],[Date]],'Data Core CPI'!$A:$AX,MATCH($B$2,'Data Core CPI'!$B$1:$AX$1,0),FALSE)</f>
        <v>49.298729999999999</v>
      </c>
      <c r="G654" s="35">
        <f t="shared" si="40"/>
        <v>1.3436499578272088E-2</v>
      </c>
      <c r="H654" s="35">
        <f t="shared" si="41"/>
        <v>0.17370377019161909</v>
      </c>
      <c r="I654" s="35">
        <f>(Table143454[[#This Row],[Core CPI]]-F642)/F642</f>
        <v>9.0350591027267155E-2</v>
      </c>
    </row>
    <row r="655" spans="1:9" x14ac:dyDescent="0.35">
      <c r="A655" s="33">
        <f>IF(Data!A682="",#N/A,Data!A682)</f>
        <v>38596</v>
      </c>
      <c r="B655" s="34">
        <f>VLOOKUP(A655,Data!A:AX,MATCH($B$2,Data!$B$1:$AX$1,0),FALSE)</f>
        <v>45.409370000000003</v>
      </c>
      <c r="C655" s="35">
        <f t="shared" si="42"/>
        <v>1.0245198654648791E-2</v>
      </c>
      <c r="D655" s="35">
        <f t="shared" si="39"/>
        <v>0.13011214143836769</v>
      </c>
      <c r="E655" s="35">
        <f>(Table143454[[#This Row],[USA]]-B643)/B643</f>
        <v>7.9948962725666414E-2</v>
      </c>
      <c r="F655" s="34">
        <f>VLOOKUP(Table143454[[#This Row],[Date]],'Data Core CPI'!$A:$AX,MATCH($B$2,'Data Core CPI'!$B$1:$AX$1,0),FALSE)</f>
        <v>49.576520000000002</v>
      </c>
      <c r="G655" s="35">
        <f t="shared" si="40"/>
        <v>5.6348307552751553E-3</v>
      </c>
      <c r="H655" s="35">
        <f t="shared" si="41"/>
        <v>6.9753420515053177E-2</v>
      </c>
      <c r="I655" s="35">
        <f>(Table143454[[#This Row],[Core CPI]]-F643)/F643</f>
        <v>8.337811304592016E-2</v>
      </c>
    </row>
    <row r="656" spans="1:9" x14ac:dyDescent="0.35">
      <c r="A656" s="33">
        <f>IF(Data!A683="",#N/A,Data!A683)</f>
        <v>38626</v>
      </c>
      <c r="B656" s="34">
        <f>VLOOKUP(A656,Data!A:AX,MATCH($B$2,Data!$B$1:$AX$1,0),FALSE)</f>
        <v>46.222920000000002</v>
      </c>
      <c r="C656" s="35">
        <f t="shared" si="42"/>
        <v>1.7915905902240015E-2</v>
      </c>
      <c r="D656" s="35">
        <f t="shared" si="39"/>
        <v>0.23749316296586342</v>
      </c>
      <c r="E656" s="35">
        <f>(Table143454[[#This Row],[USA]]-B644)/B644</f>
        <v>7.5158408372959298E-2</v>
      </c>
      <c r="F656" s="34">
        <f>VLOOKUP(Table143454[[#This Row],[Date]],'Data Core CPI'!$A:$AX,MATCH($B$2,'Data Core CPI'!$B$1:$AX$1,0),FALSE)</f>
        <v>50.393529999999998</v>
      </c>
      <c r="G656" s="35">
        <f t="shared" si="40"/>
        <v>1.6479777120298023E-2</v>
      </c>
      <c r="H656" s="35">
        <f t="shared" si="41"/>
        <v>0.21670393655056497</v>
      </c>
      <c r="I656" s="35">
        <f>(Table143454[[#This Row],[Core CPI]]-F644)/F644</f>
        <v>8.220022372637778E-2</v>
      </c>
    </row>
    <row r="657" spans="1:9" x14ac:dyDescent="0.35">
      <c r="A657" s="33">
        <f>IF(Data!A684="",#N/A,Data!A684)</f>
        <v>38657</v>
      </c>
      <c r="B657" s="34">
        <f>VLOOKUP(A657,Data!A:AX,MATCH($B$2,Data!$B$1:$AX$1,0),FALSE)</f>
        <v>46.871459999999999</v>
      </c>
      <c r="C657" s="35">
        <f t="shared" si="42"/>
        <v>1.4030701651907673E-2</v>
      </c>
      <c r="D657" s="35">
        <f t="shared" si="39"/>
        <v>0.18198850002608036</v>
      </c>
      <c r="E657" s="35">
        <f>(Table143454[[#This Row],[USA]]-B645)/B645</f>
        <v>7.612318437133013E-2</v>
      </c>
      <c r="F657" s="34">
        <f>VLOOKUP(Table143454[[#This Row],[Date]],'Data Core CPI'!$A:$AX,MATCH($B$2,'Data Core CPI'!$B$1:$AX$1,0),FALSE)</f>
        <v>50.802039999999998</v>
      </c>
      <c r="G657" s="35">
        <f t="shared" si="40"/>
        <v>8.1063977855886371E-3</v>
      </c>
      <c r="H657" s="35">
        <f t="shared" si="41"/>
        <v>0.10173323646189258</v>
      </c>
      <c r="I657" s="35">
        <f>(Table143454[[#This Row],[Core CPI]]-F645)/F645</f>
        <v>7.7176376095871566E-2</v>
      </c>
    </row>
    <row r="658" spans="1:9" x14ac:dyDescent="0.35">
      <c r="A658" s="33">
        <f>IF(Data!A685="",#N/A,Data!A685)</f>
        <v>38687</v>
      </c>
      <c r="B658" s="34">
        <f>VLOOKUP(A658,Data!A:AX,MATCH($B$2,Data!$B$1:$AX$1,0),FALSE)</f>
        <v>47.06718</v>
      </c>
      <c r="C658" s="35">
        <f t="shared" si="42"/>
        <v>4.175675347002139E-3</v>
      </c>
      <c r="D658" s="35">
        <f t="shared" si="39"/>
        <v>5.127506692942152E-2</v>
      </c>
      <c r="E658" s="35">
        <f>(Table143454[[#This Row],[USA]]-B646)/B646</f>
        <v>7.7200073236599942E-2</v>
      </c>
      <c r="F658" s="34">
        <f>VLOOKUP(Table143454[[#This Row],[Date]],'Data Core CPI'!$A:$AX,MATCH($B$2,'Data Core CPI'!$B$1:$AX$1,0),FALSE)</f>
        <v>51.226889999999997</v>
      </c>
      <c r="G658" s="35">
        <f t="shared" si="40"/>
        <v>8.3628531452673016E-3</v>
      </c>
      <c r="H658" s="35">
        <f t="shared" si="41"/>
        <v>0.10510122686053736</v>
      </c>
      <c r="I658" s="35">
        <f>(Table143454[[#This Row],[Core CPI]]-F646)/F646</f>
        <v>8.4212417790205829E-2</v>
      </c>
    </row>
    <row r="659" spans="1:9" x14ac:dyDescent="0.35">
      <c r="A659" s="33">
        <f>IF(Data!A686="",#N/A,Data!A686)</f>
        <v>38718</v>
      </c>
      <c r="B659" s="34">
        <f>VLOOKUP(A659,Data!A:AX,MATCH($B$2,Data!$B$1:$AX$1,0),FALSE)</f>
        <v>47.420229999999997</v>
      </c>
      <c r="C659" s="35">
        <f t="shared" si="42"/>
        <v>7.5009805133852137E-3</v>
      </c>
      <c r="D659" s="35">
        <f t="shared" si="39"/>
        <v>9.3819671841242736E-2</v>
      </c>
      <c r="E659" s="35">
        <f>(Table143454[[#This Row],[USA]]-B647)/B647</f>
        <v>7.930829010355106E-2</v>
      </c>
      <c r="F659" s="34">
        <f>VLOOKUP(Table143454[[#This Row],[Date]],'Data Core CPI'!$A:$AX,MATCH($B$2,'Data Core CPI'!$B$1:$AX$1,0),FALSE)</f>
        <v>51.431139999999999</v>
      </c>
      <c r="G659" s="35">
        <f t="shared" si="40"/>
        <v>3.9871637727764142E-3</v>
      </c>
      <c r="H659" s="35">
        <f t="shared" si="41"/>
        <v>4.890926940705298E-2</v>
      </c>
      <c r="I659" s="35">
        <f>(Table143454[[#This Row],[Core CPI]]-F647)/F647</f>
        <v>8.646878853282218E-2</v>
      </c>
    </row>
    <row r="660" spans="1:9" x14ac:dyDescent="0.35">
      <c r="A660" s="33">
        <f>IF(Data!A687="",#N/A,Data!A687)</f>
        <v>38749</v>
      </c>
      <c r="B660" s="34">
        <f>VLOOKUP(A660,Data!A:AX,MATCH($B$2,Data!$B$1:$AX$1,0),FALSE)</f>
        <v>47.52384</v>
      </c>
      <c r="C660" s="35">
        <f t="shared" si="42"/>
        <v>2.1849324644778179E-3</v>
      </c>
      <c r="D660" s="35">
        <f t="shared" si="39"/>
        <v>2.6536575023389908E-2</v>
      </c>
      <c r="E660" s="35">
        <f>(Table143454[[#This Row],[USA]]-B648)/B648</f>
        <v>8.1477462847696885E-2</v>
      </c>
      <c r="F660" s="34">
        <f>VLOOKUP(Table143454[[#This Row],[Date]],'Data Core CPI'!$A:$AX,MATCH($B$2,'Data Core CPI'!$B$1:$AX$1,0),FALSE)</f>
        <v>51.01446</v>
      </c>
      <c r="G660" s="35">
        <f t="shared" si="40"/>
        <v>-8.1017064758821533E-3</v>
      </c>
      <c r="H660" s="35">
        <f t="shared" si="41"/>
        <v>-9.3003278660831468E-2</v>
      </c>
      <c r="I660" s="35">
        <f>(Table143454[[#This Row],[Core CPI]]-F648)/F648</f>
        <v>8.2805862729370322E-2</v>
      </c>
    </row>
    <row r="661" spans="1:9" x14ac:dyDescent="0.35">
      <c r="A661" s="33">
        <f>IF(Data!A688="",#N/A,Data!A688)</f>
        <v>38777</v>
      </c>
      <c r="B661" s="34">
        <f>VLOOKUP(A661,Data!A:AX,MATCH($B$2,Data!$B$1:$AX$1,0),FALSE)</f>
        <v>47.654319999999998</v>
      </c>
      <c r="C661" s="35">
        <f t="shared" si="42"/>
        <v>2.7455693815987559E-3</v>
      </c>
      <c r="D661" s="35">
        <f t="shared" si="39"/>
        <v>3.3448932045799351E-2</v>
      </c>
      <c r="E661" s="35">
        <f>(Table143454[[#This Row],[USA]]-B649)/B649</f>
        <v>8.1613198434084058E-2</v>
      </c>
      <c r="F661" s="34">
        <f>VLOOKUP(Table143454[[#This Row],[Date]],'Data Core CPI'!$A:$AX,MATCH($B$2,'Data Core CPI'!$B$1:$AX$1,0),FALSE)</f>
        <v>50.875570000000003</v>
      </c>
      <c r="G661" s="35">
        <f t="shared" si="40"/>
        <v>-2.7225614070990334E-3</v>
      </c>
      <c r="H661" s="35">
        <f t="shared" si="41"/>
        <v>-3.2185935047532754E-2</v>
      </c>
      <c r="I661" s="35">
        <f>(Table143454[[#This Row],[Core CPI]]-F649)/F649</f>
        <v>7.538200734316515E-2</v>
      </c>
    </row>
    <row r="662" spans="1:9" x14ac:dyDescent="0.35">
      <c r="A662" s="33">
        <f>IF(Data!A689="",#N/A,Data!A689)</f>
        <v>38808</v>
      </c>
      <c r="B662" s="34">
        <f>VLOOKUP(A662,Data!A:AX,MATCH($B$2,Data!$B$1:$AX$1,0),FALSE)</f>
        <v>48.291339999999998</v>
      </c>
      <c r="C662" s="35">
        <f t="shared" si="42"/>
        <v>1.3367518411762092E-2</v>
      </c>
      <c r="D662" s="35">
        <f t="shared" si="39"/>
        <v>0.17274544885075604</v>
      </c>
      <c r="E662" s="35">
        <f>(Table143454[[#This Row],[USA]]-B650)/B650</f>
        <v>8.8298713368687873E-2</v>
      </c>
      <c r="F662" s="34">
        <f>VLOOKUP(Table143454[[#This Row],[Date]],'Data Core CPI'!$A:$AX,MATCH($B$2,'Data Core CPI'!$B$1:$AX$1,0),FALSE)</f>
        <v>51.79063</v>
      </c>
      <c r="G662" s="35">
        <f t="shared" si="40"/>
        <v>1.7986235829888342E-2</v>
      </c>
      <c r="H662" s="35">
        <f t="shared" si="41"/>
        <v>0.23851956467260238</v>
      </c>
      <c r="I662" s="35">
        <f>(Table143454[[#This Row],[Core CPI]]-F650)/F650</f>
        <v>9.011194823094186E-2</v>
      </c>
    </row>
    <row r="663" spans="1:9" x14ac:dyDescent="0.35">
      <c r="A663" s="33">
        <f>IF(Data!A690="",#N/A,Data!A690)</f>
        <v>38838</v>
      </c>
      <c r="B663" s="34">
        <f>VLOOKUP(A663,Data!A:AX,MATCH($B$2,Data!$B$1:$AX$1,0),FALSE)</f>
        <v>49.197000000000003</v>
      </c>
      <c r="C663" s="35">
        <f t="shared" si="42"/>
        <v>1.8754087171737321E-2</v>
      </c>
      <c r="D663" s="35">
        <f t="shared" si="39"/>
        <v>0.24977654352181555</v>
      </c>
      <c r="E663" s="35">
        <f>(Table143454[[#This Row],[USA]]-B651)/B651</f>
        <v>9.8637539384203041E-2</v>
      </c>
      <c r="F663" s="34">
        <f>VLOOKUP(Table143454[[#This Row],[Date]],'Data Core CPI'!$A:$AX,MATCH($B$2,'Data Core CPI'!$B$1:$AX$1,0),FALSE)</f>
        <v>53.142789999999998</v>
      </c>
      <c r="G663" s="35">
        <f t="shared" si="40"/>
        <v>2.6108197563922131E-2</v>
      </c>
      <c r="H663" s="35">
        <f t="shared" si="41"/>
        <v>0.36244157083658157</v>
      </c>
      <c r="I663" s="35">
        <f>(Table143454[[#This Row],[Core CPI]]-F651)/F651</f>
        <v>9.4849491850866011E-2</v>
      </c>
    </row>
    <row r="664" spans="1:9" x14ac:dyDescent="0.35">
      <c r="A664" s="33">
        <f>IF(Data!A691="",#N/A,Data!A691)</f>
        <v>38869</v>
      </c>
      <c r="B664" s="34">
        <f>VLOOKUP(A664,Data!A:AX,MATCH($B$2,Data!$B$1:$AX$1,0),FALSE)</f>
        <v>49.362009999999998</v>
      </c>
      <c r="C664" s="35">
        <f t="shared" si="42"/>
        <v>3.3540663048559072E-3</v>
      </c>
      <c r="D664" s="35">
        <f t="shared" si="39"/>
        <v>4.0999643990442314E-2</v>
      </c>
      <c r="E664" s="35">
        <f>(Table143454[[#This Row],[USA]]-B652)/B652</f>
        <v>0.10118977639574463</v>
      </c>
      <c r="F664" s="34">
        <f>VLOOKUP(Table143454[[#This Row],[Date]],'Data Core CPI'!$A:$AX,MATCH($B$2,'Data Core CPI'!$B$1:$AX$1,0),FALSE)</f>
        <v>53.714700000000001</v>
      </c>
      <c r="G664" s="35">
        <f t="shared" si="40"/>
        <v>1.0761760908676532E-2</v>
      </c>
      <c r="H664" s="35">
        <f t="shared" si="41"/>
        <v>0.13706591239854626</v>
      </c>
      <c r="I664" s="35">
        <f>(Table143454[[#This Row],[Core CPI]]-F652)/F652</f>
        <v>9.6938317066874863E-2</v>
      </c>
    </row>
    <row r="665" spans="1:9" x14ac:dyDescent="0.35">
      <c r="A665" s="33">
        <f>IF(Data!A692="",#N/A,Data!A692)</f>
        <v>38899</v>
      </c>
      <c r="B665" s="34">
        <f>VLOOKUP(A665,Data!A:AX,MATCH($B$2,Data!$B$1:$AX$1,0),FALSE)</f>
        <v>49.780299999999997</v>
      </c>
      <c r="C665" s="35">
        <f t="shared" si="42"/>
        <v>8.4739255958174997E-3</v>
      </c>
      <c r="D665" s="35">
        <f t="shared" si="39"/>
        <v>0.10656285181355218</v>
      </c>
      <c r="E665" s="35">
        <f>(Table143454[[#This Row],[USA]]-B653)/B653</f>
        <v>0.11692781633850463</v>
      </c>
      <c r="F665" s="34">
        <f>VLOOKUP(Table143454[[#This Row],[Date]],'Data Core CPI'!$A:$AX,MATCH($B$2,'Data Core CPI'!$B$1:$AX$1,0),FALSE)</f>
        <v>53.886270000000003</v>
      </c>
      <c r="G665" s="35">
        <f t="shared" si="40"/>
        <v>3.1940977050974872E-3</v>
      </c>
      <c r="H665" s="35">
        <f t="shared" si="41"/>
        <v>3.900974256143086E-2</v>
      </c>
      <c r="I665" s="35">
        <f>(Table143454[[#This Row],[Core CPI]]-F653)/F653</f>
        <v>0.10774279264657846</v>
      </c>
    </row>
    <row r="666" spans="1:9" x14ac:dyDescent="0.35">
      <c r="A666" s="33">
        <f>IF(Data!A693="",#N/A,Data!A693)</f>
        <v>38930</v>
      </c>
      <c r="B666" s="34">
        <f>VLOOKUP(A666,Data!A:AX,MATCH($B$2,Data!$B$1:$AX$1,0),FALSE)</f>
        <v>49.56156</v>
      </c>
      <c r="C666" s="35">
        <f t="shared" si="42"/>
        <v>-4.3941077092745084E-3</v>
      </c>
      <c r="D666" s="35">
        <f t="shared" si="39"/>
        <v>-5.1473434505593718E-2</v>
      </c>
      <c r="E666" s="35">
        <f>(Table143454[[#This Row],[USA]]-B654)/B654</f>
        <v>0.1026210675865861</v>
      </c>
      <c r="F666" s="34">
        <f>VLOOKUP(Table143454[[#This Row],[Date]],'Data Core CPI'!$A:$AX,MATCH($B$2,'Data Core CPI'!$B$1:$AX$1,0),FALSE)</f>
        <v>53.812739999999998</v>
      </c>
      <c r="G666" s="35">
        <f t="shared" si="40"/>
        <v>-1.3645405406610411E-3</v>
      </c>
      <c r="H666" s="35">
        <f t="shared" si="41"/>
        <v>-1.6252153658638413E-2</v>
      </c>
      <c r="I666" s="35">
        <f>(Table143454[[#This Row],[Core CPI]]-F654)/F654</f>
        <v>9.156442772460871E-2</v>
      </c>
    </row>
    <row r="667" spans="1:9" x14ac:dyDescent="0.35">
      <c r="A667" s="33">
        <f>IF(Data!A694="",#N/A,Data!A694)</f>
        <v>38961</v>
      </c>
      <c r="B667" s="34">
        <f>VLOOKUP(A667,Data!A:AX,MATCH($B$2,Data!$B$1:$AX$1,0),FALSE)</f>
        <v>50.198590000000003</v>
      </c>
      <c r="C667" s="35">
        <f t="shared" si="42"/>
        <v>1.2853308087961812E-2</v>
      </c>
      <c r="D667" s="35">
        <f t="shared" si="39"/>
        <v>0.16562434822719241</v>
      </c>
      <c r="E667" s="35">
        <f>(Table143454[[#This Row],[USA]]-B655)/B655</f>
        <v>0.10546766008865571</v>
      </c>
      <c r="F667" s="34">
        <f>VLOOKUP(Table143454[[#This Row],[Date]],'Data Core CPI'!$A:$AX,MATCH($B$2,'Data Core CPI'!$B$1:$AX$1,0),FALSE)</f>
        <v>54.429589999999997</v>
      </c>
      <c r="G667" s="35">
        <f t="shared" si="40"/>
        <v>1.1462898934341492E-2</v>
      </c>
      <c r="H667" s="35">
        <f t="shared" si="41"/>
        <v>0.14656712847264619</v>
      </c>
      <c r="I667" s="35">
        <f>(Table143454[[#This Row],[Core CPI]]-F655)/F655</f>
        <v>9.7890493322241964E-2</v>
      </c>
    </row>
    <row r="668" spans="1:9" x14ac:dyDescent="0.35">
      <c r="A668" s="33">
        <f>IF(Data!A695="",#N/A,Data!A695)</f>
        <v>38991</v>
      </c>
      <c r="B668" s="34">
        <f>VLOOKUP(A668,Data!A:AX,MATCH($B$2,Data!$B$1:$AX$1,0),FALSE)</f>
        <v>50.835619999999999</v>
      </c>
      <c r="C668" s="35">
        <f t="shared" si="42"/>
        <v>1.2690197075256426E-2</v>
      </c>
      <c r="D668" s="35">
        <f t="shared" si="39"/>
        <v>0.16337378115668222</v>
      </c>
      <c r="E668" s="35">
        <f>(Table143454[[#This Row],[USA]]-B656)/B656</f>
        <v>9.9792483901925633E-2</v>
      </c>
      <c r="F668" s="34">
        <f>VLOOKUP(Table143454[[#This Row],[Date]],'Data Core CPI'!$A:$AX,MATCH($B$2,'Data Core CPI'!$B$1:$AX$1,0),FALSE)</f>
        <v>55.365070000000003</v>
      </c>
      <c r="G668" s="35">
        <f t="shared" si="40"/>
        <v>1.7186974952411171E-2</v>
      </c>
      <c r="H668" s="35">
        <f t="shared" si="41"/>
        <v>0.22690089972513805</v>
      </c>
      <c r="I668" s="35">
        <f>(Table143454[[#This Row],[Core CPI]]-F656)/F656</f>
        <v>9.8654331220694502E-2</v>
      </c>
    </row>
    <row r="669" spans="1:9" x14ac:dyDescent="0.35">
      <c r="A669" s="33">
        <f>IF(Data!A696="",#N/A,Data!A696)</f>
        <v>39022</v>
      </c>
      <c r="B669" s="34">
        <f>VLOOKUP(A669,Data!A:AX,MATCH($B$2,Data!$B$1:$AX$1,0),FALSE)</f>
        <v>51.491840000000003</v>
      </c>
      <c r="C669" s="35">
        <f t="shared" si="42"/>
        <v>1.2908665223321902E-2</v>
      </c>
      <c r="D669" s="35">
        <f t="shared" si="39"/>
        <v>0.1663890594557158</v>
      </c>
      <c r="E669" s="35">
        <f>(Table143454[[#This Row],[USA]]-B657)/B657</f>
        <v>9.8575551092285246E-2</v>
      </c>
      <c r="F669" s="34">
        <f>VLOOKUP(Table143454[[#This Row],[Date]],'Data Core CPI'!$A:$AX,MATCH($B$2,'Data Core CPI'!$B$1:$AX$1,0),FALSE)</f>
        <v>55.757240000000003</v>
      </c>
      <c r="G669" s="35">
        <f t="shared" si="40"/>
        <v>7.0833469550386496E-3</v>
      </c>
      <c r="H669" s="35">
        <f t="shared" si="41"/>
        <v>8.8391082550206335E-2</v>
      </c>
      <c r="I669" s="35">
        <f>(Table143454[[#This Row],[Core CPI]]-F657)/F657</f>
        <v>9.7539390150474373E-2</v>
      </c>
    </row>
    <row r="670" spans="1:9" x14ac:dyDescent="0.35">
      <c r="A670" s="33">
        <f>IF(Data!A697="",#N/A,Data!A697)</f>
        <v>39052</v>
      </c>
      <c r="B670" s="34">
        <f>VLOOKUP(A670,Data!A:AX,MATCH($B$2,Data!$B$1:$AX$1,0),FALSE)</f>
        <v>51.610799999999998</v>
      </c>
      <c r="C670" s="35">
        <f t="shared" si="42"/>
        <v>2.3102689668885734E-3</v>
      </c>
      <c r="D670" s="35">
        <f t="shared" si="39"/>
        <v>2.8078219127647852E-2</v>
      </c>
      <c r="E670" s="35">
        <f>(Table143454[[#This Row],[USA]]-B658)/B658</f>
        <v>9.6534782835937846E-2</v>
      </c>
      <c r="F670" s="34">
        <f>VLOOKUP(Table143454[[#This Row],[Date]],'Data Core CPI'!$A:$AX,MATCH($B$2,'Data Core CPI'!$B$1:$AX$1,0),FALSE)</f>
        <v>55.728639999999999</v>
      </c>
      <c r="G670" s="35">
        <f t="shared" si="40"/>
        <v>-5.1293787138684266E-4</v>
      </c>
      <c r="H670" s="35">
        <f t="shared" si="41"/>
        <v>-6.1379191657140453E-3</v>
      </c>
      <c r="I670" s="35">
        <f>(Table143454[[#This Row],[Core CPI]]-F658)/F658</f>
        <v>8.7878651231804258E-2</v>
      </c>
    </row>
    <row r="671" spans="1:9" x14ac:dyDescent="0.35">
      <c r="A671" s="33">
        <f>IF(Data!A698="",#N/A,Data!A698)</f>
        <v>39083</v>
      </c>
      <c r="B671" s="34">
        <f>VLOOKUP(A671,Data!A:AX,MATCH($B$2,Data!$B$1:$AX$1,0),FALSE)</f>
        <v>52.128860000000003</v>
      </c>
      <c r="C671" s="35">
        <f t="shared" si="42"/>
        <v>1.0037821541228009E-2</v>
      </c>
      <c r="D671" s="35">
        <f t="shared" si="39"/>
        <v>0.12733148998985788</v>
      </c>
      <c r="E671" s="35">
        <f>(Table143454[[#This Row],[USA]]-B659)/B659</f>
        <v>9.9295806873986203E-2</v>
      </c>
      <c r="F671" s="34">
        <f>VLOOKUP(Table143454[[#This Row],[Date]],'Data Core CPI'!$A:$AX,MATCH($B$2,'Data Core CPI'!$B$1:$AX$1,0),FALSE)</f>
        <v>55.544820000000001</v>
      </c>
      <c r="G671" s="35">
        <f t="shared" si="40"/>
        <v>-3.2984835086590225E-3</v>
      </c>
      <c r="H671" s="35">
        <f t="shared" si="41"/>
        <v>-3.887155949392751E-2</v>
      </c>
      <c r="I671" s="35">
        <f>(Table143454[[#This Row],[Core CPI]]-F659)/F659</f>
        <v>7.9984227454417745E-2</v>
      </c>
    </row>
    <row r="672" spans="1:9" x14ac:dyDescent="0.35">
      <c r="A672" s="33">
        <f>IF(Data!A699="",#N/A,Data!A699)</f>
        <v>39114</v>
      </c>
      <c r="B672" s="34">
        <f>VLOOKUP(A672,Data!A:AX,MATCH($B$2,Data!$B$1:$AX$1,0),FALSE)</f>
        <v>52.351439999999997</v>
      </c>
      <c r="C672" s="35">
        <f t="shared" si="42"/>
        <v>4.2698037133364064E-3</v>
      </c>
      <c r="D672" s="35">
        <f t="shared" si="39"/>
        <v>5.2458196608363261E-2</v>
      </c>
      <c r="E672" s="35">
        <f>(Table143454[[#This Row],[USA]]-B660)/B660</f>
        <v>0.10158270038784738</v>
      </c>
      <c r="F672" s="34">
        <f>VLOOKUP(Table143454[[#This Row],[Date]],'Data Core CPI'!$A:$AX,MATCH($B$2,'Data Core CPI'!$B$1:$AX$1,0),FALSE)</f>
        <v>55.491709999999998</v>
      </c>
      <c r="G672" s="35">
        <f t="shared" si="40"/>
        <v>-9.5616476928006566E-4</v>
      </c>
      <c r="H672" s="35">
        <f t="shared" si="41"/>
        <v>-1.1413828566313455E-2</v>
      </c>
      <c r="I672" s="35">
        <f>(Table143454[[#This Row],[Core CPI]]-F660)/F660</f>
        <v>8.7764331916872163E-2</v>
      </c>
    </row>
    <row r="673" spans="1:9" x14ac:dyDescent="0.35">
      <c r="A673" s="33">
        <f>IF(Data!A700="",#N/A,Data!A700)</f>
        <v>39142</v>
      </c>
      <c r="B673" s="34">
        <f>VLOOKUP(A673,Data!A:AX,MATCH($B$2,Data!$B$1:$AX$1,0),FALSE)</f>
        <v>52.831130000000002</v>
      </c>
      <c r="C673" s="35">
        <f t="shared" si="42"/>
        <v>9.1628807154111591E-3</v>
      </c>
      <c r="D673" s="35">
        <f t="shared" si="39"/>
        <v>0.11566860897176046</v>
      </c>
      <c r="E673" s="35">
        <f>(Table143454[[#This Row],[USA]]-B661)/B661</f>
        <v>0.10863254370222895</v>
      </c>
      <c r="F673" s="34">
        <f>VLOOKUP(Table143454[[#This Row],[Date]],'Data Core CPI'!$A:$AX,MATCH($B$2,'Data Core CPI'!$B$1:$AX$1,0),FALSE)</f>
        <v>56.043190000000003</v>
      </c>
      <c r="G673" s="35">
        <f t="shared" si="40"/>
        <v>9.9380610184838236E-3</v>
      </c>
      <c r="H673" s="35">
        <f t="shared" si="41"/>
        <v>0.1259960694372777</v>
      </c>
      <c r="I673" s="35">
        <f>(Table143454[[#This Row],[Core CPI]]-F661)/F661</f>
        <v>0.10157370227006791</v>
      </c>
    </row>
    <row r="674" spans="1:9" x14ac:dyDescent="0.35">
      <c r="A674" s="33">
        <f>IF(Data!A701="",#N/A,Data!A701)</f>
        <v>39173</v>
      </c>
      <c r="B674" s="34">
        <f>VLOOKUP(A674,Data!A:AX,MATCH($B$2,Data!$B$1:$AX$1,0),FALSE)</f>
        <v>53.468159999999997</v>
      </c>
      <c r="C674" s="35">
        <f t="shared" si="42"/>
        <v>1.205785301204032E-2</v>
      </c>
      <c r="D674" s="35">
        <f t="shared" si="39"/>
        <v>0.15468644955410937</v>
      </c>
      <c r="E674" s="35">
        <f>(Table143454[[#This Row],[USA]]-B662)/B662</f>
        <v>0.10719975879733301</v>
      </c>
      <c r="F674" s="34">
        <f>VLOOKUP(Table143454[[#This Row],[Date]],'Data Core CPI'!$A:$AX,MATCH($B$2,'Data Core CPI'!$B$1:$AX$1,0),FALSE)</f>
        <v>56.872459999999997</v>
      </c>
      <c r="G674" s="35">
        <f t="shared" si="40"/>
        <v>1.479698068578883E-2</v>
      </c>
      <c r="H674" s="35">
        <f t="shared" si="41"/>
        <v>0.19275156976486274</v>
      </c>
      <c r="I674" s="35">
        <f>(Table143454[[#This Row],[Core CPI]]-F662)/F662</f>
        <v>9.8122575454285779E-2</v>
      </c>
    </row>
    <row r="675" spans="1:9" x14ac:dyDescent="0.35">
      <c r="A675" s="33">
        <f>IF(Data!A702="",#N/A,Data!A702)</f>
        <v>39203</v>
      </c>
      <c r="B675" s="34">
        <f>VLOOKUP(A675,Data!A:AX,MATCH($B$2,Data!$B$1:$AX$1,0),FALSE)</f>
        <v>53.736789999999999</v>
      </c>
      <c r="C675" s="35">
        <f t="shared" si="42"/>
        <v>5.0241115460116781E-3</v>
      </c>
      <c r="D675" s="35">
        <f t="shared" si="39"/>
        <v>6.1983508240901708E-2</v>
      </c>
      <c r="E675" s="35">
        <f>(Table143454[[#This Row],[USA]]-B663)/B663</f>
        <v>9.2277781165518144E-2</v>
      </c>
      <c r="F675" s="34">
        <f>VLOOKUP(Table143454[[#This Row],[Date]],'Data Core CPI'!$A:$AX,MATCH($B$2,'Data Core CPI'!$B$1:$AX$1,0),FALSE)</f>
        <v>57.775260000000003</v>
      </c>
      <c r="G675" s="35">
        <f t="shared" si="40"/>
        <v>1.5874115520939425E-2</v>
      </c>
      <c r="H675" s="35">
        <f t="shared" si="41"/>
        <v>0.20803282626245134</v>
      </c>
      <c r="I675" s="35">
        <f>(Table143454[[#This Row],[Core CPI]]-F663)/F663</f>
        <v>8.7170244543051001E-2</v>
      </c>
    </row>
    <row r="676" spans="1:9" x14ac:dyDescent="0.35">
      <c r="A676" s="33">
        <f>IF(Data!A703="",#N/A,Data!A703)</f>
        <v>39234</v>
      </c>
      <c r="B676" s="34">
        <f>VLOOKUP(A676,Data!A:AX,MATCH($B$2,Data!$B$1:$AX$1,0),FALSE)</f>
        <v>53.606310000000001</v>
      </c>
      <c r="C676" s="35">
        <f t="shared" si="42"/>
        <v>-2.4281316394224595E-3</v>
      </c>
      <c r="D676" s="35">
        <f t="shared" si="39"/>
        <v>-2.8751587681812518E-2</v>
      </c>
      <c r="E676" s="35">
        <f>(Table143454[[#This Row],[USA]]-B664)/B664</f>
        <v>8.5983127510407348E-2</v>
      </c>
      <c r="F676" s="34">
        <f>VLOOKUP(Table143454[[#This Row],[Date]],'Data Core CPI'!$A:$AX,MATCH($B$2,'Data Core CPI'!$B$1:$AX$1,0),FALSE)</f>
        <v>58.106160000000003</v>
      </c>
      <c r="G676" s="35">
        <f t="shared" si="40"/>
        <v>5.7273649655578129E-3</v>
      </c>
      <c r="H676" s="35">
        <f t="shared" si="41"/>
        <v>7.0935228032314335E-2</v>
      </c>
      <c r="I676" s="35">
        <f>(Table143454[[#This Row],[Core CPI]]-F664)/F664</f>
        <v>8.1755273696027378E-2</v>
      </c>
    </row>
    <row r="677" spans="1:9" x14ac:dyDescent="0.35">
      <c r="A677" s="33">
        <f>IF(Data!A704="",#N/A,Data!A704)</f>
        <v>39264</v>
      </c>
      <c r="B677" s="34">
        <f>VLOOKUP(A677,Data!A:AX,MATCH($B$2,Data!$B$1:$AX$1,0),FALSE)</f>
        <v>53.214880000000001</v>
      </c>
      <c r="C677" s="35">
        <f t="shared" si="42"/>
        <v>-7.3019388948800668E-3</v>
      </c>
      <c r="D677" s="35">
        <f t="shared" si="39"/>
        <v>-8.4188519217494928E-2</v>
      </c>
      <c r="E677" s="35">
        <f>(Table143454[[#This Row],[USA]]-B665)/B665</f>
        <v>6.8994762988571864E-2</v>
      </c>
      <c r="F677" s="34">
        <f>VLOOKUP(Table143454[[#This Row],[Date]],'Data Core CPI'!$A:$AX,MATCH($B$2,'Data Core CPI'!$B$1:$AX$1,0),FALSE)</f>
        <v>57.607779999999998</v>
      </c>
      <c r="G677" s="35">
        <f t="shared" si="40"/>
        <v>-8.5770596439345148E-3</v>
      </c>
      <c r="H677" s="35">
        <f t="shared" si="41"/>
        <v>-9.8205535872738281E-2</v>
      </c>
      <c r="I677" s="35">
        <f>(Table143454[[#This Row],[Core CPI]]-F665)/F665</f>
        <v>6.9062304739221966E-2</v>
      </c>
    </row>
    <row r="678" spans="1:9" x14ac:dyDescent="0.35">
      <c r="A678" s="33">
        <f>IF(Data!A705="",#N/A,Data!A705)</f>
        <v>39295</v>
      </c>
      <c r="B678" s="34">
        <f>VLOOKUP(A678,Data!A:AX,MATCH($B$2,Data!$B$1:$AX$1,0),FALSE)</f>
        <v>53.226390000000002</v>
      </c>
      <c r="C678" s="35">
        <f t="shared" si="42"/>
        <v>2.1629288650104606E-4</v>
      </c>
      <c r="D678" s="35">
        <f t="shared" si="39"/>
        <v>2.5986045176613626E-3</v>
      </c>
      <c r="E678" s="35">
        <f>(Table143454[[#This Row],[USA]]-B666)/B666</f>
        <v>7.3945008994874301E-2</v>
      </c>
      <c r="F678" s="34">
        <f>VLOOKUP(Table143454[[#This Row],[Date]],'Data Core CPI'!$A:$AX,MATCH($B$2,'Data Core CPI'!$B$1:$AX$1,0),FALSE)</f>
        <v>57.162509999999997</v>
      </c>
      <c r="G678" s="35">
        <f t="shared" si="40"/>
        <v>-7.7293379470619872E-3</v>
      </c>
      <c r="H678" s="35">
        <f t="shared" si="41"/>
        <v>-8.8908884049244463E-2</v>
      </c>
      <c r="I678" s="35">
        <f>(Table143454[[#This Row],[Core CPI]]-F666)/F666</f>
        <v>6.2248642236020682E-2</v>
      </c>
    </row>
    <row r="679" spans="1:9" x14ac:dyDescent="0.35">
      <c r="A679" s="33">
        <f>IF(Data!A706="",#N/A,Data!A706)</f>
        <v>39326</v>
      </c>
      <c r="B679" s="34">
        <f>VLOOKUP(A679,Data!A:AX,MATCH($B$2,Data!$B$1:$AX$1,0),FALSE)</f>
        <v>53.77516</v>
      </c>
      <c r="C679" s="35">
        <f t="shared" si="42"/>
        <v>1.0310111206114136E-2</v>
      </c>
      <c r="D679" s="35">
        <f t="shared" si="39"/>
        <v>0.1309838235958114</v>
      </c>
      <c r="E679" s="35">
        <f>(Table143454[[#This Row],[USA]]-B667)/B667</f>
        <v>7.1248415543145663E-2</v>
      </c>
      <c r="F679" s="34">
        <f>VLOOKUP(Table143454[[#This Row],[Date]],'Data Core CPI'!$A:$AX,MATCH($B$2,'Data Core CPI'!$B$1:$AX$1,0),FALSE)</f>
        <v>57.460720000000002</v>
      </c>
      <c r="G679" s="35">
        <f t="shared" si="40"/>
        <v>5.2168807842762899E-3</v>
      </c>
      <c r="H679" s="35">
        <f t="shared" si="41"/>
        <v>6.4430420916056219E-2</v>
      </c>
      <c r="I679" s="35">
        <f>(Table143454[[#This Row],[Core CPI]]-F667)/F667</f>
        <v>5.5689010334268631E-2</v>
      </c>
    </row>
    <row r="680" spans="1:9" x14ac:dyDescent="0.35">
      <c r="A680" s="33">
        <f>IF(Data!A707="",#N/A,Data!A707)</f>
        <v>39356</v>
      </c>
      <c r="B680" s="34">
        <f>VLOOKUP(A680,Data!A:AX,MATCH($B$2,Data!$B$1:$AX$1,0),FALSE)</f>
        <v>54.749890000000001</v>
      </c>
      <c r="C680" s="35">
        <f t="shared" si="42"/>
        <v>1.8126026961147179E-2</v>
      </c>
      <c r="D680" s="35">
        <f t="shared" si="39"/>
        <v>0.24056200729758093</v>
      </c>
      <c r="E680" s="35">
        <f>(Table143454[[#This Row],[USA]]-B668)/B668</f>
        <v>7.69985691135468E-2</v>
      </c>
      <c r="F680" s="34">
        <f>VLOOKUP(Table143454[[#This Row],[Date]],'Data Core CPI'!$A:$AX,MATCH($B$2,'Data Core CPI'!$B$1:$AX$1,0),FALSE)</f>
        <v>58.232799999999997</v>
      </c>
      <c r="G680" s="35">
        <f t="shared" si="40"/>
        <v>1.3436657250379014E-2</v>
      </c>
      <c r="H680" s="35">
        <f t="shared" si="41"/>
        <v>0.17370596147450379</v>
      </c>
      <c r="I680" s="35">
        <f>(Table143454[[#This Row],[Core CPI]]-F668)/F668</f>
        <v>5.1796737545893007E-2</v>
      </c>
    </row>
    <row r="681" spans="1:9" x14ac:dyDescent="0.35">
      <c r="A681" s="33">
        <f>IF(Data!A708="",#N/A,Data!A708)</f>
        <v>39387</v>
      </c>
      <c r="B681" s="34">
        <f>VLOOKUP(A681,Data!A:AX,MATCH($B$2,Data!$B$1:$AX$1,0),FALSE)</f>
        <v>55.816719999999997</v>
      </c>
      <c r="C681" s="35">
        <f t="shared" si="42"/>
        <v>1.9485518601041862E-2</v>
      </c>
      <c r="D681" s="35">
        <f t="shared" si="39"/>
        <v>0.2605867387167411</v>
      </c>
      <c r="E681" s="35">
        <f>(Table143454[[#This Row],[USA]]-B669)/B669</f>
        <v>8.39915606045539E-2</v>
      </c>
      <c r="F681" s="34">
        <f>VLOOKUP(Table143454[[#This Row],[Date]],'Data Core CPI'!$A:$AX,MATCH($B$2,'Data Core CPI'!$B$1:$AX$1,0),FALSE)</f>
        <v>59.421550000000003</v>
      </c>
      <c r="G681" s="35">
        <f t="shared" si="40"/>
        <v>2.0413753073869056E-2</v>
      </c>
      <c r="H681" s="35">
        <f t="shared" si="41"/>
        <v>0.27442898549373096</v>
      </c>
      <c r="I681" s="35">
        <f>(Table143454[[#This Row],[Core CPI]]-F669)/F669</f>
        <v>6.5718999003537476E-2</v>
      </c>
    </row>
    <row r="682" spans="1:9" x14ac:dyDescent="0.35">
      <c r="A682" s="33">
        <f>IF(Data!A709="",#N/A,Data!A709)</f>
        <v>39417</v>
      </c>
      <c r="B682" s="34">
        <f>VLOOKUP(A682,Data!A:AX,MATCH($B$2,Data!$B$1:$AX$1,0),FALSE)</f>
        <v>55.939520000000002</v>
      </c>
      <c r="C682" s="35">
        <f t="shared" si="42"/>
        <v>2.2000576171441466E-3</v>
      </c>
      <c r="D682" s="35">
        <f t="shared" si="39"/>
        <v>2.6722502519837876E-2</v>
      </c>
      <c r="E682" s="35">
        <f>(Table143454[[#This Row],[USA]]-B670)/B670</f>
        <v>8.3872367798987893E-2</v>
      </c>
      <c r="F682" s="34">
        <f>VLOOKUP(Table143454[[#This Row],[Date]],'Data Core CPI'!$A:$AX,MATCH($B$2,'Data Core CPI'!$B$1:$AX$1,0),FALSE)</f>
        <v>59.413379999999997</v>
      </c>
      <c r="G682" s="35">
        <f t="shared" si="40"/>
        <v>-1.3749220611047885E-4</v>
      </c>
      <c r="H682" s="35">
        <f t="shared" si="41"/>
        <v>-1.648659373920891E-3</v>
      </c>
      <c r="I682" s="35">
        <f>(Table143454[[#This Row],[Core CPI]]-F670)/F670</f>
        <v>6.6119323923928483E-2</v>
      </c>
    </row>
    <row r="683" spans="1:9" x14ac:dyDescent="0.35">
      <c r="A683" s="33">
        <f>IF(Data!A710="",#N/A,Data!A710)</f>
        <v>39448</v>
      </c>
      <c r="B683" s="34">
        <f>VLOOKUP(A683,Data!A:AX,MATCH($B$2,Data!$B$1:$AX$1,0),FALSE)</f>
        <v>56.388509999999997</v>
      </c>
      <c r="C683" s="35">
        <f t="shared" si="42"/>
        <v>8.0263470262167402E-3</v>
      </c>
      <c r="D683" s="35">
        <f t="shared" si="39"/>
        <v>0.10068387014982139</v>
      </c>
      <c r="E683" s="35">
        <f>(Table143454[[#This Row],[USA]]-B671)/B671</f>
        <v>8.1713852940578272E-2</v>
      </c>
      <c r="F683" s="34">
        <f>VLOOKUP(Table143454[[#This Row],[Date]],'Data Core CPI'!$A:$AX,MATCH($B$2,'Data Core CPI'!$B$1:$AX$1,0),FALSE)</f>
        <v>59.094749999999998</v>
      </c>
      <c r="G683" s="35">
        <f t="shared" si="40"/>
        <v>-5.3629333998502782E-3</v>
      </c>
      <c r="H683" s="35">
        <f t="shared" si="41"/>
        <v>-6.2490498816209494E-2</v>
      </c>
      <c r="I683" s="35">
        <f>(Table143454[[#This Row],[Core CPI]]-F671)/F671</f>
        <v>6.3911090179066127E-2</v>
      </c>
    </row>
    <row r="684" spans="1:9" x14ac:dyDescent="0.35">
      <c r="A684" s="33">
        <f>IF(Data!A711="",#N/A,Data!A711)</f>
        <v>39479</v>
      </c>
      <c r="B684" s="34">
        <f>VLOOKUP(A684,Data!A:AX,MATCH($B$2,Data!$B$1:$AX$1,0),FALSE)</f>
        <v>57.117640000000002</v>
      </c>
      <c r="C684" s="35">
        <f t="shared" si="42"/>
        <v>1.2930471119027676E-2</v>
      </c>
      <c r="D684" s="35">
        <f t="shared" si="39"/>
        <v>0.16669041539168239</v>
      </c>
      <c r="E684" s="35">
        <f>(Table143454[[#This Row],[USA]]-B672)/B672</f>
        <v>9.1042385844591955E-2</v>
      </c>
      <c r="F684" s="34">
        <f>VLOOKUP(Table143454[[#This Row],[Date]],'Data Core CPI'!$A:$AX,MATCH($B$2,'Data Core CPI'!$B$1:$AX$1,0),FALSE)</f>
        <v>58.886409999999998</v>
      </c>
      <c r="G684" s="35">
        <f t="shared" si="40"/>
        <v>-3.5255246870491419E-3</v>
      </c>
      <c r="H684" s="35">
        <f t="shared" si="41"/>
        <v>-4.1495525173260828E-2</v>
      </c>
      <c r="I684" s="35">
        <f>(Table143454[[#This Row],[Core CPI]]-F672)/F672</f>
        <v>6.1174903422511223E-2</v>
      </c>
    </row>
    <row r="685" spans="1:9" x14ac:dyDescent="0.35">
      <c r="A685" s="33">
        <f>IF(Data!A712="",#N/A,Data!A712)</f>
        <v>39508</v>
      </c>
      <c r="B685" s="34">
        <f>VLOOKUP(A685,Data!A:AX,MATCH($B$2,Data!$B$1:$AX$1,0),FALSE)</f>
        <v>57.666400000000003</v>
      </c>
      <c r="C685" s="35">
        <f t="shared" si="42"/>
        <v>9.6075398073169893E-3</v>
      </c>
      <c r="D685" s="35">
        <f t="shared" si="39"/>
        <v>0.12158197983056018</v>
      </c>
      <c r="E685" s="35">
        <f>(Table143454[[#This Row],[USA]]-B673)/B673</f>
        <v>9.1523122825500819E-2</v>
      </c>
      <c r="F685" s="34">
        <f>VLOOKUP(Table143454[[#This Row],[Date]],'Data Core CPI'!$A:$AX,MATCH($B$2,'Data Core CPI'!$B$1:$AX$1,0),FALSE)</f>
        <v>59.413379999999997</v>
      </c>
      <c r="G685" s="35">
        <f t="shared" si="40"/>
        <v>8.9489238688518213E-3</v>
      </c>
      <c r="H685" s="35">
        <f t="shared" si="41"/>
        <v>0.11283346562701624</v>
      </c>
      <c r="I685" s="35">
        <f>(Table143454[[#This Row],[Core CPI]]-F673)/F673</f>
        <v>6.0135584716001958E-2</v>
      </c>
    </row>
    <row r="686" spans="1:9" x14ac:dyDescent="0.35">
      <c r="A686" s="33">
        <f>IF(Data!A713="",#N/A,Data!A713)</f>
        <v>39539</v>
      </c>
      <c r="B686" s="34">
        <f>VLOOKUP(A686,Data!A:AX,MATCH($B$2,Data!$B$1:$AX$1,0),FALSE)</f>
        <v>58.633459999999999</v>
      </c>
      <c r="C686" s="35">
        <f t="shared" si="42"/>
        <v>1.6769904138284941E-2</v>
      </c>
      <c r="D686" s="35">
        <f t="shared" si="39"/>
        <v>0.22087779264906859</v>
      </c>
      <c r="E686" s="35">
        <f>(Table143454[[#This Row],[USA]]-B674)/B674</f>
        <v>9.6605157162692759E-2</v>
      </c>
      <c r="F686" s="34">
        <f>VLOOKUP(Table143454[[#This Row],[Date]],'Data Core CPI'!$A:$AX,MATCH($B$2,'Data Core CPI'!$B$1:$AX$1,0),FALSE)</f>
        <v>60.610309999999998</v>
      </c>
      <c r="G686" s="35">
        <f t="shared" si="40"/>
        <v>2.0145798808282045E-2</v>
      </c>
      <c r="H686" s="35">
        <f t="shared" si="41"/>
        <v>0.27041889551300535</v>
      </c>
      <c r="I686" s="35">
        <f>(Table143454[[#This Row],[Core CPI]]-F674)/F674</f>
        <v>6.5723374723020631E-2</v>
      </c>
    </row>
    <row r="687" spans="1:9" x14ac:dyDescent="0.35">
      <c r="A687" s="33">
        <f>IF(Data!A714="",#N/A,Data!A714)</f>
        <v>39569</v>
      </c>
      <c r="B687" s="34">
        <f>VLOOKUP(A687,Data!A:AX,MATCH($B$2,Data!$B$1:$AX$1,0),FALSE)</f>
        <v>59.508420000000001</v>
      </c>
      <c r="C687" s="35">
        <f t="shared" si="42"/>
        <v>1.4922537404410408E-2</v>
      </c>
      <c r="D687" s="35">
        <f t="shared" si="39"/>
        <v>0.19452366716759739</v>
      </c>
      <c r="E687" s="35">
        <f>(Table143454[[#This Row],[USA]]-B675)/B675</f>
        <v>0.10740555958031736</v>
      </c>
      <c r="F687" s="34">
        <f>VLOOKUP(Table143454[[#This Row],[Date]],'Data Core CPI'!$A:$AX,MATCH($B$2,'Data Core CPI'!$B$1:$AX$1,0),FALSE)</f>
        <v>61.995150000000002</v>
      </c>
      <c r="G687" s="35">
        <f t="shared" si="40"/>
        <v>2.2848257994390719E-2</v>
      </c>
      <c r="H687" s="35">
        <f t="shared" si="41"/>
        <v>0.31139800390226524</v>
      </c>
      <c r="I687" s="35">
        <f>(Table143454[[#This Row],[Core CPI]]-F675)/F675</f>
        <v>7.303974053946273E-2</v>
      </c>
    </row>
    <row r="688" spans="1:9" x14ac:dyDescent="0.35">
      <c r="A688" s="33">
        <f>IF(Data!A715="",#N/A,Data!A715)</f>
        <v>39600</v>
      </c>
      <c r="B688" s="34">
        <f>VLOOKUP(A688,Data!A:AX,MATCH($B$2,Data!$B$1:$AX$1,0),FALSE)</f>
        <v>59.293509999999998</v>
      </c>
      <c r="C688" s="35">
        <f t="shared" si="42"/>
        <v>-3.6114217114150415E-3</v>
      </c>
      <c r="D688" s="35">
        <f t="shared" si="39"/>
        <v>-4.2486542940039396E-2</v>
      </c>
      <c r="E688" s="35">
        <f>(Table143454[[#This Row],[USA]]-B676)/B676</f>
        <v>0.10609198805140659</v>
      </c>
      <c r="F688" s="34">
        <f>VLOOKUP(Table143454[[#This Row],[Date]],'Data Core CPI'!$A:$AX,MATCH($B$2,'Data Core CPI'!$B$1:$AX$1,0),FALSE)</f>
        <v>62.40775</v>
      </c>
      <c r="G688" s="35">
        <f t="shared" si="40"/>
        <v>6.6553593305282988E-3</v>
      </c>
      <c r="H688" s="35">
        <f t="shared" si="41"/>
        <v>8.2853538931166426E-2</v>
      </c>
      <c r="I688" s="35">
        <f>(Table143454[[#This Row],[Core CPI]]-F676)/F676</f>
        <v>7.4029844684281268E-2</v>
      </c>
    </row>
    <row r="689" spans="1:9" x14ac:dyDescent="0.35">
      <c r="A689" s="33">
        <f>IF(Data!A716="",#N/A,Data!A716)</f>
        <v>39630</v>
      </c>
      <c r="B689" s="34">
        <f>VLOOKUP(A689,Data!A:AX,MATCH($B$2,Data!$B$1:$AX$1,0),FALSE)</f>
        <v>59.63505</v>
      </c>
      <c r="C689" s="35">
        <f t="shared" si="42"/>
        <v>5.760158236542301E-3</v>
      </c>
      <c r="D689" s="35">
        <f t="shared" si="39"/>
        <v>7.1354336859159817E-2</v>
      </c>
      <c r="E689" s="35">
        <f>(Table143454[[#This Row],[USA]]-B677)/B677</f>
        <v>0.1206461425826761</v>
      </c>
      <c r="F689" s="34">
        <f>VLOOKUP(Table143454[[#This Row],[Date]],'Data Core CPI'!$A:$AX,MATCH($B$2,'Data Core CPI'!$B$1:$AX$1,0),FALSE)</f>
        <v>61.991070000000001</v>
      </c>
      <c r="G689" s="35">
        <f t="shared" si="40"/>
        <v>-6.6767348606543431E-3</v>
      </c>
      <c r="H689" s="35">
        <f t="shared" si="41"/>
        <v>-7.7243125987995431E-2</v>
      </c>
      <c r="I689" s="35">
        <f>(Table143454[[#This Row],[Core CPI]]-F677)/F677</f>
        <v>7.6088507489787016E-2</v>
      </c>
    </row>
    <row r="690" spans="1:9" x14ac:dyDescent="0.35">
      <c r="A690" s="33">
        <f>IF(Data!A717="",#N/A,Data!A717)</f>
        <v>39661</v>
      </c>
      <c r="B690" s="34">
        <f>VLOOKUP(A690,Data!A:AX,MATCH($B$2,Data!$B$1:$AX$1,0),FALSE)</f>
        <v>59.489229999999999</v>
      </c>
      <c r="C690" s="35">
        <f t="shared" si="42"/>
        <v>-2.4452063006571434E-3</v>
      </c>
      <c r="D690" s="35">
        <f t="shared" si="39"/>
        <v>-2.8951058140632591E-2</v>
      </c>
      <c r="E690" s="35">
        <f>(Table143454[[#This Row],[USA]]-B678)/B678</f>
        <v>0.11766418876050014</v>
      </c>
      <c r="F690" s="34">
        <f>VLOOKUP(Table143454[[#This Row],[Date]],'Data Core CPI'!$A:$AX,MATCH($B$2,'Data Core CPI'!$B$1:$AX$1,0),FALSE)</f>
        <v>61.725540000000002</v>
      </c>
      <c r="G690" s="35">
        <f t="shared" si="40"/>
        <v>-4.2833588773349973E-3</v>
      </c>
      <c r="H690" s="35">
        <f t="shared" si="41"/>
        <v>-5.0206517508850523E-2</v>
      </c>
      <c r="I690" s="35">
        <f>(Table143454[[#This Row],[Core CPI]]-F678)/F678</f>
        <v>7.9825570990497183E-2</v>
      </c>
    </row>
    <row r="691" spans="1:9" x14ac:dyDescent="0.35">
      <c r="A691" s="33">
        <f>IF(Data!A718="",#N/A,Data!A718)</f>
        <v>39692</v>
      </c>
      <c r="B691" s="34">
        <f>VLOOKUP(A691,Data!A:AX,MATCH($B$2,Data!$B$1:$AX$1,0),FALSE)</f>
        <v>59.757849999999998</v>
      </c>
      <c r="C691" s="35">
        <f t="shared" si="42"/>
        <v>4.5154391811761396E-3</v>
      </c>
      <c r="D691" s="35">
        <f t="shared" si="39"/>
        <v>5.5551418608988712E-2</v>
      </c>
      <c r="E691" s="35">
        <f>(Table143454[[#This Row],[USA]]-B679)/B679</f>
        <v>0.11125378334532149</v>
      </c>
      <c r="F691" s="34">
        <f>VLOOKUP(Table143454[[#This Row],[Date]],'Data Core CPI'!$A:$AX,MATCH($B$2,'Data Core CPI'!$B$1:$AX$1,0),FALSE)</f>
        <v>61.958390000000001</v>
      </c>
      <c r="G691" s="35">
        <f t="shared" si="40"/>
        <v>3.7723444784767413E-3</v>
      </c>
      <c r="H691" s="35">
        <f t="shared" si="41"/>
        <v>4.6219263246022324E-2</v>
      </c>
      <c r="I691" s="35">
        <f>(Table143454[[#This Row],[Core CPI]]-F679)/F679</f>
        <v>7.8273819054129487E-2</v>
      </c>
    </row>
    <row r="692" spans="1:9" x14ac:dyDescent="0.35">
      <c r="A692" s="33">
        <f>IF(Data!A719="",#N/A,Data!A719)</f>
        <v>39722</v>
      </c>
      <c r="B692" s="34">
        <f>VLOOKUP(A692,Data!A:AX,MATCH($B$2,Data!$B$1:$AX$1,0),FALSE)</f>
        <v>61.312049999999999</v>
      </c>
      <c r="C692" s="35">
        <f t="shared" si="42"/>
        <v>2.6008298491327908E-2</v>
      </c>
      <c r="D692" s="35">
        <f t="shared" si="39"/>
        <v>0.36085070009180775</v>
      </c>
      <c r="E692" s="35">
        <f>(Table143454[[#This Row],[USA]]-B680)/B680</f>
        <v>0.11985704446164182</v>
      </c>
      <c r="F692" s="34">
        <f>VLOOKUP(Table143454[[#This Row],[Date]],'Data Core CPI'!$A:$AX,MATCH($B$2,'Data Core CPI'!$B$1:$AX$1,0),FALSE)</f>
        <v>62.996000000000002</v>
      </c>
      <c r="G692" s="35">
        <f t="shared" si="40"/>
        <v>1.6746884481665836E-2</v>
      </c>
      <c r="H692" s="35">
        <f t="shared" si="41"/>
        <v>0.22054614607087109</v>
      </c>
      <c r="I692" s="35">
        <f>(Table143454[[#This Row],[Core CPI]]-F680)/F680</f>
        <v>8.1795826407110861E-2</v>
      </c>
    </row>
    <row r="693" spans="1:9" x14ac:dyDescent="0.35">
      <c r="A693" s="33">
        <f>IF(Data!A720="",#N/A,Data!A720)</f>
        <v>39753</v>
      </c>
      <c r="B693" s="34">
        <f>VLOOKUP(A693,Data!A:AX,MATCH($B$2,Data!$B$1:$AX$1,0),FALSE)</f>
        <v>61.82244</v>
      </c>
      <c r="C693" s="35">
        <f t="shared" si="42"/>
        <v>8.3244647667140015E-3</v>
      </c>
      <c r="D693" s="35">
        <f t="shared" si="39"/>
        <v>0.10459647804935956</v>
      </c>
      <c r="E693" s="35">
        <f>(Table143454[[#This Row],[USA]]-B681)/B681</f>
        <v>0.10759715010126006</v>
      </c>
      <c r="F693" s="34">
        <f>VLOOKUP(Table143454[[#This Row],[Date]],'Data Core CPI'!$A:$AX,MATCH($B$2,'Data Core CPI'!$B$1:$AX$1,0),FALSE)</f>
        <v>63.498460000000001</v>
      </c>
      <c r="G693" s="35">
        <f t="shared" si="40"/>
        <v>7.9760619721886972E-3</v>
      </c>
      <c r="H693" s="35">
        <f t="shared" si="41"/>
        <v>0.10002516397622552</v>
      </c>
      <c r="I693" s="35">
        <f>(Table143454[[#This Row],[Core CPI]]-F681)/F681</f>
        <v>6.8609957162006005E-2</v>
      </c>
    </row>
    <row r="694" spans="1:9" x14ac:dyDescent="0.35">
      <c r="A694" s="33">
        <f>IF(Data!A721="",#N/A,Data!A721)</f>
        <v>39783</v>
      </c>
      <c r="B694" s="34">
        <f>VLOOKUP(A694,Data!A:AX,MATCH($B$2,Data!$B$1:$AX$1,0),FALSE)</f>
        <v>61.569159999999997</v>
      </c>
      <c r="C694" s="35">
        <f t="shared" si="42"/>
        <v>-4.0968942668714314E-3</v>
      </c>
      <c r="D694" s="35">
        <f t="shared" si="39"/>
        <v>-4.8069941035771779E-2</v>
      </c>
      <c r="E694" s="35">
        <f>(Table143454[[#This Row],[USA]]-B682)/B682</f>
        <v>0.10063797472699076</v>
      </c>
      <c r="F694" s="34">
        <f>VLOOKUP(Table143454[[#This Row],[Date]],'Data Core CPI'!$A:$AX,MATCH($B$2,'Data Core CPI'!$B$1:$AX$1,0),FALSE)</f>
        <v>63.34731</v>
      </c>
      <c r="G694" s="35">
        <f t="shared" si="40"/>
        <v>-2.3803726893534272E-3</v>
      </c>
      <c r="H694" s="35">
        <f t="shared" si="41"/>
        <v>-2.819345622046765E-2</v>
      </c>
      <c r="I694" s="35">
        <f>(Table143454[[#This Row],[Core CPI]]-F682)/F682</f>
        <v>6.6212863163146146E-2</v>
      </c>
    </row>
    <row r="695" spans="1:9" x14ac:dyDescent="0.35">
      <c r="A695" s="33">
        <f>IF(Data!A722="",#N/A,Data!A722)</f>
        <v>39814</v>
      </c>
      <c r="B695" s="34">
        <f>VLOOKUP(A695,Data!A:AX,MATCH($B$2,Data!$B$1:$AX$1,0),FALSE)</f>
        <v>61.745690000000003</v>
      </c>
      <c r="C695" s="35">
        <f t="shared" si="42"/>
        <v>2.8671822061565599E-3</v>
      </c>
      <c r="D695" s="35">
        <f t="shared" si="39"/>
        <v>3.4953973986372677E-2</v>
      </c>
      <c r="E695" s="35">
        <f>(Table143454[[#This Row],[USA]]-B683)/B683</f>
        <v>9.500481569738245E-2</v>
      </c>
      <c r="F695" s="34">
        <f>VLOOKUP(Table143454[[#This Row],[Date]],'Data Core CPI'!$A:$AX,MATCH($B$2,'Data Core CPI'!$B$1:$AX$1,0),FALSE)</f>
        <v>63.290120000000002</v>
      </c>
      <c r="G695" s="35">
        <f t="shared" si="40"/>
        <v>-9.0280076612558879E-4</v>
      </c>
      <c r="H695" s="35">
        <f t="shared" si="41"/>
        <v>-1.0779977498365345E-2</v>
      </c>
      <c r="I695" s="35">
        <f>(Table143454[[#This Row],[Core CPI]]-F683)/F683</f>
        <v>7.0993954623718755E-2</v>
      </c>
    </row>
    <row r="696" spans="1:9" x14ac:dyDescent="0.35">
      <c r="A696" s="33">
        <f>IF(Data!A723="",#N/A,Data!A723)</f>
        <v>39845</v>
      </c>
      <c r="B696" s="34">
        <f>VLOOKUP(A696,Data!A:AX,MATCH($B$2,Data!$B$1:$AX$1,0),FALSE)</f>
        <v>61.534619999999997</v>
      </c>
      <c r="C696" s="35">
        <f t="shared" si="42"/>
        <v>-3.4183762461802436E-3</v>
      </c>
      <c r="D696" s="35">
        <f t="shared" si="39"/>
        <v>-4.0258006027980686E-2</v>
      </c>
      <c r="E696" s="35">
        <f>(Table143454[[#This Row],[USA]]-B684)/B684</f>
        <v>7.7331276292227677E-2</v>
      </c>
      <c r="F696" s="34">
        <f>VLOOKUP(Table143454[[#This Row],[Date]],'Data Core CPI'!$A:$AX,MATCH($B$2,'Data Core CPI'!$B$1:$AX$1,0),FALSE)</f>
        <v>63.053190000000001</v>
      </c>
      <c r="G696" s="35">
        <f t="shared" si="40"/>
        <v>-3.7435542861982141E-3</v>
      </c>
      <c r="H696" s="35">
        <f t="shared" si="41"/>
        <v>-4.4009159524452723E-2</v>
      </c>
      <c r="I696" s="35">
        <f>(Table143454[[#This Row],[Core CPI]]-F684)/F684</f>
        <v>7.0759620088913608E-2</v>
      </c>
    </row>
    <row r="697" spans="1:9" x14ac:dyDescent="0.35">
      <c r="A697" s="33">
        <f>IF(Data!A724="",#N/A,Data!A724)</f>
        <v>39873</v>
      </c>
      <c r="B697" s="34">
        <f>VLOOKUP(A697,Data!A:AX,MATCH($B$2,Data!$B$1:$AX$1,0),FALSE)</f>
        <v>62.213859999999997</v>
      </c>
      <c r="C697" s="35">
        <f t="shared" si="42"/>
        <v>1.1038339068316416E-2</v>
      </c>
      <c r="D697" s="35">
        <f t="shared" si="39"/>
        <v>0.14080520694172916</v>
      </c>
      <c r="E697" s="35">
        <f>(Table143454[[#This Row],[USA]]-B685)/B685</f>
        <v>7.8858052522786118E-2</v>
      </c>
      <c r="F697" s="34">
        <f>VLOOKUP(Table143454[[#This Row],[Date]],'Data Core CPI'!$A:$AX,MATCH($B$2,'Data Core CPI'!$B$1:$AX$1,0),FALSE)</f>
        <v>63.049100000000003</v>
      </c>
      <c r="G697" s="35">
        <f t="shared" si="40"/>
        <v>-6.4865869593533354E-5</v>
      </c>
      <c r="H697" s="35">
        <f t="shared" si="41"/>
        <v>-7.7811279480921591E-4</v>
      </c>
      <c r="I697" s="35">
        <f>(Table143454[[#This Row],[Core CPI]]-F685)/F685</f>
        <v>6.1193623389209743E-2</v>
      </c>
    </row>
    <row r="698" spans="1:9" x14ac:dyDescent="0.35">
      <c r="A698" s="33">
        <f>IF(Data!A725="",#N/A,Data!A725)</f>
        <v>39904</v>
      </c>
      <c r="B698" s="34">
        <f>VLOOKUP(A698,Data!A:AX,MATCH($B$2,Data!$B$1:$AX$1,0),FALSE)</f>
        <v>62.225380000000001</v>
      </c>
      <c r="C698" s="35">
        <f t="shared" si="42"/>
        <v>1.8516774236476685E-4</v>
      </c>
      <c r="D698" s="35">
        <f t="shared" si="39"/>
        <v>2.2242772538343392E-3</v>
      </c>
      <c r="E698" s="35">
        <f>(Table143454[[#This Row],[USA]]-B686)/B686</f>
        <v>6.1260583973724247E-2</v>
      </c>
      <c r="F698" s="34">
        <f>VLOOKUP(Table143454[[#This Row],[Date]],'Data Core CPI'!$A:$AX,MATCH($B$2,'Data Core CPI'!$B$1:$AX$1,0),FALSE)</f>
        <v>63.424930000000003</v>
      </c>
      <c r="G698" s="35">
        <f t="shared" si="40"/>
        <v>5.9609098305923869E-3</v>
      </c>
      <c r="H698" s="35">
        <f t="shared" si="41"/>
        <v>7.3923287625966561E-2</v>
      </c>
      <c r="I698" s="35">
        <f>(Table143454[[#This Row],[Core CPI]]-F686)/F686</f>
        <v>4.643797400145297E-2</v>
      </c>
    </row>
    <row r="699" spans="1:9" x14ac:dyDescent="0.35">
      <c r="A699" s="33">
        <f>IF(Data!A726="",#N/A,Data!A726)</f>
        <v>39934</v>
      </c>
      <c r="B699" s="34">
        <f>VLOOKUP(A699,Data!A:AX,MATCH($B$2,Data!$B$1:$AX$1,0),FALSE)</f>
        <v>62.624479999999998</v>
      </c>
      <c r="C699" s="35">
        <f t="shared" si="42"/>
        <v>6.413781643438643E-3</v>
      </c>
      <c r="D699" s="35">
        <f t="shared" ref="D699:D762" si="43">((1+C699)^12)-1</f>
        <v>7.9739286348851524E-2</v>
      </c>
      <c r="E699" s="35">
        <f>(Table143454[[#This Row],[USA]]-B687)/B687</f>
        <v>5.2363346228987383E-2</v>
      </c>
      <c r="F699" s="34">
        <f>VLOOKUP(Table143454[[#This Row],[Date]],'Data Core CPI'!$A:$AX,MATCH($B$2,'Data Core CPI'!$B$1:$AX$1,0),FALSE)</f>
        <v>64.421689999999998</v>
      </c>
      <c r="G699" s="35">
        <f t="shared" si="40"/>
        <v>1.5715586915113544E-2</v>
      </c>
      <c r="H699" s="35">
        <f t="shared" si="41"/>
        <v>0.20577258388250441</v>
      </c>
      <c r="I699" s="35">
        <f>(Table143454[[#This Row],[Core CPI]]-F687)/F687</f>
        <v>3.9140803756422808E-2</v>
      </c>
    </row>
    <row r="700" spans="1:9" x14ac:dyDescent="0.35">
      <c r="A700" s="33">
        <f>IF(Data!A727="",#N/A,Data!A727)</f>
        <v>39965</v>
      </c>
      <c r="B700" s="34">
        <f>VLOOKUP(A700,Data!A:AX,MATCH($B$2,Data!$B$1:$AX$1,0),FALSE)</f>
        <v>62.693550000000002</v>
      </c>
      <c r="C700" s="35">
        <f t="shared" si="42"/>
        <v>1.102923329662886E-3</v>
      </c>
      <c r="D700" s="35">
        <f t="shared" si="43"/>
        <v>1.3315660881987101E-2</v>
      </c>
      <c r="E700" s="35">
        <f>(Table143454[[#This Row],[USA]]-B688)/B688</f>
        <v>5.7342532091623592E-2</v>
      </c>
      <c r="F700" s="34">
        <f>VLOOKUP(Table143454[[#This Row],[Date]],'Data Core CPI'!$A:$AX,MATCH($B$2,'Data Core CPI'!$B$1:$AX$1,0),FALSE)</f>
        <v>64.82611</v>
      </c>
      <c r="G700" s="35">
        <f t="shared" si="40"/>
        <v>6.27769932766431E-3</v>
      </c>
      <c r="H700" s="35">
        <f t="shared" si="41"/>
        <v>7.7988624314332178E-2</v>
      </c>
      <c r="I700" s="35">
        <f>(Table143454[[#This Row],[Core CPI]]-F688)/F688</f>
        <v>3.8750956411663616E-2</v>
      </c>
    </row>
    <row r="701" spans="1:9" x14ac:dyDescent="0.35">
      <c r="A701" s="33">
        <f>IF(Data!A728="",#N/A,Data!A728)</f>
        <v>39995</v>
      </c>
      <c r="B701" s="34">
        <f>VLOOKUP(A701,Data!A:AX,MATCH($B$2,Data!$B$1:$AX$1,0),FALSE)</f>
        <v>62.85089</v>
      </c>
      <c r="C701" s="35">
        <f t="shared" si="42"/>
        <v>2.5096680599518972E-3</v>
      </c>
      <c r="D701" s="35">
        <f t="shared" si="43"/>
        <v>3.0535210599357265E-2</v>
      </c>
      <c r="E701" s="35">
        <f>(Table143454[[#This Row],[USA]]-B689)/B689</f>
        <v>5.3925334178473901E-2</v>
      </c>
      <c r="F701" s="34">
        <f>VLOOKUP(Table143454[[#This Row],[Date]],'Data Core CPI'!$A:$AX,MATCH($B$2,'Data Core CPI'!$B$1:$AX$1,0),FALSE)</f>
        <v>65.336749999999995</v>
      </c>
      <c r="G701" s="35">
        <f t="shared" si="40"/>
        <v>7.8770729880288659E-3</v>
      </c>
      <c r="H701" s="35">
        <f t="shared" si="41"/>
        <v>9.8729519187159331E-2</v>
      </c>
      <c r="I701" s="35">
        <f>(Table143454[[#This Row],[Core CPI]]-F689)/F689</f>
        <v>5.3970354117133232E-2</v>
      </c>
    </row>
    <row r="702" spans="1:9" x14ac:dyDescent="0.35">
      <c r="A702" s="33">
        <f>IF(Data!A729="",#N/A,Data!A729)</f>
        <v>40026</v>
      </c>
      <c r="B702" s="34">
        <f>VLOOKUP(A702,Data!A:AX,MATCH($B$2,Data!$B$1:$AX$1,0),FALSE)</f>
        <v>62.662849999999999</v>
      </c>
      <c r="C702" s="35">
        <f t="shared" si="42"/>
        <v>-2.9918430749349412E-3</v>
      </c>
      <c r="D702" s="35">
        <f t="shared" si="43"/>
        <v>-3.5317194858179857E-2</v>
      </c>
      <c r="E702" s="35">
        <f>(Table143454[[#This Row],[USA]]-B690)/B690</f>
        <v>5.3347807661991924E-2</v>
      </c>
      <c r="F702" s="34">
        <f>VLOOKUP(Table143454[[#This Row],[Date]],'Data Core CPI'!$A:$AX,MATCH($B$2,'Data Core CPI'!$B$1:$AX$1,0),FALSE)</f>
        <v>65.271389999999997</v>
      </c>
      <c r="G702" s="35">
        <f t="shared" si="40"/>
        <v>-1.0003558487374775E-3</v>
      </c>
      <c r="H702" s="35">
        <f t="shared" si="41"/>
        <v>-1.1938442944490313E-2</v>
      </c>
      <c r="I702" s="35">
        <f>(Table143454[[#This Row],[Core CPI]]-F690)/F690</f>
        <v>5.7445426965887933E-2</v>
      </c>
    </row>
    <row r="703" spans="1:9" x14ac:dyDescent="0.35">
      <c r="A703" s="33">
        <f>IF(Data!A730="",#N/A,Data!A730)</f>
        <v>40057</v>
      </c>
      <c r="B703" s="34">
        <f>VLOOKUP(A703,Data!A:AX,MATCH($B$2,Data!$B$1:$AX$1,0),FALSE)</f>
        <v>62.908450000000002</v>
      </c>
      <c r="C703" s="35">
        <f t="shared" si="42"/>
        <v>3.9193876435559272E-3</v>
      </c>
      <c r="D703" s="35">
        <f t="shared" si="43"/>
        <v>4.8059880608971151E-2</v>
      </c>
      <c r="E703" s="35">
        <f>(Table143454[[#This Row],[USA]]-B691)/B691</f>
        <v>5.2722780354380293E-2</v>
      </c>
      <c r="F703" s="34">
        <f>VLOOKUP(Table143454[[#This Row],[Date]],'Data Core CPI'!$A:$AX,MATCH($B$2,'Data Core CPI'!$B$1:$AX$1,0),FALSE)</f>
        <v>65.577770000000001</v>
      </c>
      <c r="G703" s="35">
        <f t="shared" si="40"/>
        <v>4.6939401780781154E-3</v>
      </c>
      <c r="H703" s="35">
        <f t="shared" si="41"/>
        <v>5.7804459987883527E-2</v>
      </c>
      <c r="I703" s="35">
        <f>(Table143454[[#This Row],[Core CPI]]-F691)/F691</f>
        <v>5.8416301650188129E-2</v>
      </c>
    </row>
    <row r="704" spans="1:9" x14ac:dyDescent="0.35">
      <c r="A704" s="33">
        <f>IF(Data!A731="",#N/A,Data!A731)</f>
        <v>40087</v>
      </c>
      <c r="B704" s="34">
        <f>VLOOKUP(A704,Data!A:AX,MATCH($B$2,Data!$B$1:$AX$1,0),FALSE)</f>
        <v>64.424279999999996</v>
      </c>
      <c r="C704" s="35">
        <f t="shared" si="42"/>
        <v>2.4095809068575003E-2</v>
      </c>
      <c r="D704" s="35">
        <f t="shared" si="43"/>
        <v>0.33072117139390533</v>
      </c>
      <c r="E704" s="35">
        <f>(Table143454[[#This Row],[USA]]-B692)/B692</f>
        <v>5.0760494878249816E-2</v>
      </c>
      <c r="F704" s="34">
        <f>VLOOKUP(Table143454[[#This Row],[Date]],'Data Core CPI'!$A:$AX,MATCH($B$2,'Data Core CPI'!$B$1:$AX$1,0),FALSE)</f>
        <v>66.905420000000007</v>
      </c>
      <c r="G704" s="35">
        <f t="shared" si="40"/>
        <v>2.0245427680752215E-2</v>
      </c>
      <c r="H704" s="35">
        <f t="shared" si="41"/>
        <v>0.27190854622937799</v>
      </c>
      <c r="I704" s="35">
        <f>(Table143454[[#This Row],[Core CPI]]-F692)/F692</f>
        <v>6.2058225919106043E-2</v>
      </c>
    </row>
    <row r="705" spans="1:9" x14ac:dyDescent="0.35">
      <c r="A705" s="33">
        <f>IF(Data!A732="",#N/A,Data!A732)</f>
        <v>40118</v>
      </c>
      <c r="B705" s="34">
        <f>VLOOKUP(A705,Data!A:AX,MATCH($B$2,Data!$B$1:$AX$1,0),FALSE)</f>
        <v>65.241669999999999</v>
      </c>
      <c r="C705" s="35">
        <f t="shared" si="42"/>
        <v>1.2687607839777293E-2</v>
      </c>
      <c r="D705" s="35">
        <f t="shared" si="43"/>
        <v>0.16333808763872937</v>
      </c>
      <c r="E705" s="35">
        <f>(Table143454[[#This Row],[USA]]-B693)/B693</f>
        <v>5.5307263834944054E-2</v>
      </c>
      <c r="F705" s="34">
        <f>VLOOKUP(Table143454[[#This Row],[Date]],'Data Core CPI'!$A:$AX,MATCH($B$2,'Data Core CPI'!$B$1:$AX$1,0),FALSE)</f>
        <v>67.407880000000006</v>
      </c>
      <c r="G705" s="35">
        <f t="shared" si="40"/>
        <v>7.5100044211664496E-3</v>
      </c>
      <c r="H705" s="35">
        <f t="shared" si="41"/>
        <v>9.3937242118137032E-2</v>
      </c>
      <c r="I705" s="35">
        <f>(Table143454[[#This Row],[Core CPI]]-F693)/F693</f>
        <v>6.1567162416222447E-2</v>
      </c>
    </row>
    <row r="706" spans="1:9" x14ac:dyDescent="0.35">
      <c r="A706" s="33">
        <f>IF(Data!A733="",#N/A,Data!A733)</f>
        <v>40148</v>
      </c>
      <c r="B706" s="34">
        <f>VLOOKUP(A706,Data!A:AX,MATCH($B$2,Data!$B$1:$AX$1,0),FALSE)</f>
        <v>65.587040000000002</v>
      </c>
      <c r="C706" s="35">
        <f t="shared" si="42"/>
        <v>5.2937026290100775E-3</v>
      </c>
      <c r="D706" s="35">
        <f t="shared" si="43"/>
        <v>6.5406996892620084E-2</v>
      </c>
      <c r="E706" s="35">
        <f>(Table143454[[#This Row],[USA]]-B694)/B694</f>
        <v>6.5257996048671205E-2</v>
      </c>
      <c r="F706" s="34">
        <f>VLOOKUP(Table143454[[#This Row],[Date]],'Data Core CPI'!$A:$AX,MATCH($B$2,'Data Core CPI'!$B$1:$AX$1,0),FALSE)</f>
        <v>67.179119999999998</v>
      </c>
      <c r="G706" s="35">
        <f t="shared" si="40"/>
        <v>-3.3936685147197831E-3</v>
      </c>
      <c r="H706" s="35">
        <f t="shared" si="41"/>
        <v>-3.9972434462468343E-2</v>
      </c>
      <c r="I706" s="35">
        <f>(Table143454[[#This Row],[Core CPI]]-F694)/F694</f>
        <v>6.0488914209616752E-2</v>
      </c>
    </row>
    <row r="707" spans="1:9" x14ac:dyDescent="0.35">
      <c r="A707" s="33">
        <f>IF(Data!A734="",#N/A,Data!A734)</f>
        <v>40179</v>
      </c>
      <c r="B707" s="34">
        <f>VLOOKUP(A707,Data!A:AX,MATCH($B$2,Data!$B$1:$AX$1,0),FALSE)</f>
        <v>66.799700000000001</v>
      </c>
      <c r="C707" s="35">
        <f t="shared" si="42"/>
        <v>1.8489323500496369E-2</v>
      </c>
      <c r="D707" s="35">
        <f t="shared" si="43"/>
        <v>0.24588446169508726</v>
      </c>
      <c r="E707" s="35">
        <f>(Table143454[[#This Row],[USA]]-B695)/B695</f>
        <v>8.1852028862257398E-2</v>
      </c>
      <c r="F707" s="34">
        <f>VLOOKUP(Table143454[[#This Row],[Date]],'Data Core CPI'!$A:$AX,MATCH($B$2,'Data Core CPI'!$B$1:$AX$1,0),FALSE)</f>
        <v>68.22081</v>
      </c>
      <c r="G707" s="35">
        <f t="shared" ref="G707:G770" si="44">(F707/F706)-1</f>
        <v>1.5506157270294807E-2</v>
      </c>
      <c r="H707" s="35">
        <f t="shared" ref="H707:H770" si="45">((1+G707)^12)-1</f>
        <v>0.20279255658969508</v>
      </c>
      <c r="I707" s="35">
        <f>(Table143454[[#This Row],[Core CPI]]-F695)/F695</f>
        <v>7.7906156600745874E-2</v>
      </c>
    </row>
    <row r="708" spans="1:9" x14ac:dyDescent="0.35">
      <c r="A708" s="33">
        <f>IF(Data!A735="",#N/A,Data!A735)</f>
        <v>40210</v>
      </c>
      <c r="B708" s="34">
        <f>VLOOKUP(A708,Data!A:AX,MATCH($B$2,Data!$B$1:$AX$1,0),FALSE)</f>
        <v>67.766750000000002</v>
      </c>
      <c r="C708" s="35">
        <f t="shared" ref="C708:C771" si="46">(B708/B707)-1</f>
        <v>1.4476861423030396E-2</v>
      </c>
      <c r="D708" s="35">
        <f t="shared" si="43"/>
        <v>0.18824433136718666</v>
      </c>
      <c r="E708" s="35">
        <f>(Table143454[[#This Row],[USA]]-B696)/B696</f>
        <v>0.10127843480629287</v>
      </c>
      <c r="F708" s="34">
        <f>VLOOKUP(Table143454[[#This Row],[Date]],'Data Core CPI'!$A:$AX,MATCH($B$2,'Data Core CPI'!$B$1:$AX$1,0),FALSE)</f>
        <v>68.208560000000006</v>
      </c>
      <c r="G708" s="35">
        <f t="shared" si="44"/>
        <v>-1.7956397761909049E-4</v>
      </c>
      <c r="H708" s="35">
        <f t="shared" si="45"/>
        <v>-2.1526409519972978E-3</v>
      </c>
      <c r="I708" s="35">
        <f>(Table143454[[#This Row],[Core CPI]]-F696)/F696</f>
        <v>8.1762239150786897E-2</v>
      </c>
    </row>
    <row r="709" spans="1:9" x14ac:dyDescent="0.35">
      <c r="A709" s="33">
        <f>IF(Data!A736="",#N/A,Data!A736)</f>
        <v>40238</v>
      </c>
      <c r="B709" s="34">
        <f>VLOOKUP(A709,Data!A:AX,MATCH($B$2,Data!$B$1:$AX$1,0),FALSE)</f>
        <v>68.162019999999998</v>
      </c>
      <c r="C709" s="35">
        <f t="shared" si="46"/>
        <v>5.8328014845037135E-3</v>
      </c>
      <c r="D709" s="35">
        <f t="shared" si="43"/>
        <v>7.2283277010543268E-2</v>
      </c>
      <c r="E709" s="35">
        <f>(Table143454[[#This Row],[USA]]-B697)/B697</f>
        <v>9.5608277641027278E-2</v>
      </c>
      <c r="F709" s="34">
        <f>VLOOKUP(Table143454[[#This Row],[Date]],'Data Core CPI'!$A:$AX,MATCH($B$2,'Data Core CPI'!$B$1:$AX$1,0),FALSE)</f>
        <v>68.612979999999993</v>
      </c>
      <c r="G709" s="35">
        <f t="shared" si="44"/>
        <v>5.9291678346529153E-3</v>
      </c>
      <c r="H709" s="35">
        <f t="shared" si="45"/>
        <v>7.3516720496086041E-2</v>
      </c>
      <c r="I709" s="35">
        <f>(Table143454[[#This Row],[Core CPI]]-F697)/F697</f>
        <v>8.8246779097560318E-2</v>
      </c>
    </row>
    <row r="710" spans="1:9" x14ac:dyDescent="0.35">
      <c r="A710" s="33">
        <f>IF(Data!A737="",#N/A,Data!A737)</f>
        <v>40269</v>
      </c>
      <c r="B710" s="34">
        <f>VLOOKUP(A710,Data!A:AX,MATCH($B$2,Data!$B$1:$AX$1,0),FALSE)</f>
        <v>68.568790000000007</v>
      </c>
      <c r="C710" s="35">
        <f t="shared" si="46"/>
        <v>5.9676928588678901E-3</v>
      </c>
      <c r="D710" s="35">
        <f t="shared" si="43"/>
        <v>7.4010186296983749E-2</v>
      </c>
      <c r="E710" s="35">
        <f>(Table143454[[#This Row],[USA]]-B698)/B698</f>
        <v>0.10194248713306381</v>
      </c>
      <c r="F710" s="34">
        <f>VLOOKUP(Table143454[[#This Row],[Date]],'Data Core CPI'!$A:$AX,MATCH($B$2,'Data Core CPI'!$B$1:$AX$1,0),FALSE)</f>
        <v>69.258420000000001</v>
      </c>
      <c r="G710" s="35">
        <f t="shared" si="44"/>
        <v>9.4069664369629269E-3</v>
      </c>
      <c r="H710" s="35">
        <f t="shared" si="45"/>
        <v>0.11891107461181538</v>
      </c>
      <c r="I710" s="35">
        <f>(Table143454[[#This Row],[Core CPI]]-F698)/F698</f>
        <v>9.1974717197165171E-2</v>
      </c>
    </row>
    <row r="711" spans="1:9" x14ac:dyDescent="0.35">
      <c r="A711" s="33">
        <f>IF(Data!A738="",#N/A,Data!A738)</f>
        <v>40299</v>
      </c>
      <c r="B711" s="34">
        <f>VLOOKUP(A711,Data!A:AX,MATCH($B$2,Data!$B$1:$AX$1,0),FALSE)</f>
        <v>68.3232</v>
      </c>
      <c r="C711" s="35">
        <f t="shared" si="46"/>
        <v>-3.5816586525736493E-3</v>
      </c>
      <c r="D711" s="35">
        <f t="shared" si="43"/>
        <v>-4.2143264675168934E-2</v>
      </c>
      <c r="E711" s="35">
        <f>(Table143454[[#This Row],[USA]]-B699)/B699</f>
        <v>9.0998280544604945E-2</v>
      </c>
      <c r="F711" s="34">
        <f>VLOOKUP(Table143454[[#This Row],[Date]],'Data Core CPI'!$A:$AX,MATCH($B$2,'Data Core CPI'!$B$1:$AX$1,0),FALSE)</f>
        <v>70.304199999999994</v>
      </c>
      <c r="G711" s="35">
        <f t="shared" si="44"/>
        <v>1.5099680298799711E-2</v>
      </c>
      <c r="H711" s="35">
        <f t="shared" si="45"/>
        <v>0.19702795240256887</v>
      </c>
      <c r="I711" s="35">
        <f>(Table143454[[#This Row],[Core CPI]]-F699)/F699</f>
        <v>9.131256879476457E-2</v>
      </c>
    </row>
    <row r="712" spans="1:9" x14ac:dyDescent="0.35">
      <c r="A712" s="33">
        <f>IF(Data!A739="",#N/A,Data!A739)</f>
        <v>40330</v>
      </c>
      <c r="B712" s="34">
        <f>VLOOKUP(A712,Data!A:AX,MATCH($B$2,Data!$B$1:$AX$1,0),FALSE)</f>
        <v>67.939449999999994</v>
      </c>
      <c r="C712" s="35">
        <f t="shared" si="46"/>
        <v>-5.6166865720576054E-3</v>
      </c>
      <c r="D712" s="35">
        <f t="shared" si="43"/>
        <v>-6.5356619458122545E-2</v>
      </c>
      <c r="E712" s="35">
        <f>(Table143454[[#This Row],[USA]]-B700)/B700</f>
        <v>8.3675274410206335E-2</v>
      </c>
      <c r="F712" s="34">
        <f>VLOOKUP(Table143454[[#This Row],[Date]],'Data Core CPI'!$A:$AX,MATCH($B$2,'Data Core CPI'!$B$1:$AX$1,0),FALSE)</f>
        <v>70.463520000000003</v>
      </c>
      <c r="G712" s="35">
        <f t="shared" si="44"/>
        <v>2.2661519510926986E-3</v>
      </c>
      <c r="H712" s="35">
        <f t="shared" si="45"/>
        <v>2.7535336156571777E-2</v>
      </c>
      <c r="I712" s="35">
        <f>(Table143454[[#This Row],[Core CPI]]-F700)/F700</f>
        <v>8.6962028108735864E-2</v>
      </c>
    </row>
    <row r="713" spans="1:9" x14ac:dyDescent="0.35">
      <c r="A713" s="33">
        <f>IF(Data!A740="",#N/A,Data!A740)</f>
        <v>40360</v>
      </c>
      <c r="B713" s="34">
        <f>VLOOKUP(A713,Data!A:AX,MATCH($B$2,Data!$B$1:$AX$1,0),FALSE)</f>
        <v>67.613259999999997</v>
      </c>
      <c r="C713" s="35">
        <f t="shared" si="46"/>
        <v>-4.8011869392524664E-3</v>
      </c>
      <c r="D713" s="35">
        <f t="shared" si="43"/>
        <v>-5.6116938409550565E-2</v>
      </c>
      <c r="E713" s="35">
        <f>(Table143454[[#This Row],[USA]]-B701)/B701</f>
        <v>7.5772514915858749E-2</v>
      </c>
      <c r="F713" s="34">
        <f>VLOOKUP(Table143454[[#This Row],[Date]],'Data Core CPI'!$A:$AX,MATCH($B$2,'Data Core CPI'!$B$1:$AX$1,0),FALSE)</f>
        <v>70.120379999999997</v>
      </c>
      <c r="G713" s="35">
        <f t="shared" si="44"/>
        <v>-4.8697538811572905E-3</v>
      </c>
      <c r="H713" s="35">
        <f t="shared" si="45"/>
        <v>-5.6897019599041809E-2</v>
      </c>
      <c r="I713" s="35">
        <f>(Table143454[[#This Row],[Core CPI]]-F701)/F701</f>
        <v>7.3214997685070088E-2</v>
      </c>
    </row>
    <row r="714" spans="1:9" x14ac:dyDescent="0.35">
      <c r="A714" s="33">
        <f>IF(Data!A741="",#N/A,Data!A741)</f>
        <v>40391</v>
      </c>
      <c r="B714" s="34">
        <f>VLOOKUP(A714,Data!A:AX,MATCH($B$2,Data!$B$1:$AX$1,0),FALSE)</f>
        <v>67.885720000000006</v>
      </c>
      <c r="C714" s="35">
        <f t="shared" si="46"/>
        <v>4.0296829349746321E-3</v>
      </c>
      <c r="D714" s="35">
        <f t="shared" si="43"/>
        <v>4.9442453113025309E-2</v>
      </c>
      <c r="E714" s="35">
        <f>(Table143454[[#This Row],[USA]]-B702)/B702</f>
        <v>8.3348746506103813E-2</v>
      </c>
      <c r="F714" s="34">
        <f>VLOOKUP(Table143454[[#This Row],[Date]],'Data Core CPI'!$A:$AX,MATCH($B$2,'Data Core CPI'!$B$1:$AX$1,0),FALSE)</f>
        <v>69.695530000000005</v>
      </c>
      <c r="G714" s="35">
        <f t="shared" si="44"/>
        <v>-6.058866195533863E-3</v>
      </c>
      <c r="H714" s="35">
        <f t="shared" si="45"/>
        <v>-7.033181539480915E-2</v>
      </c>
      <c r="I714" s="35">
        <f>(Table143454[[#This Row],[Core CPI]]-F702)/F702</f>
        <v>6.7780692275743001E-2</v>
      </c>
    </row>
    <row r="715" spans="1:9" x14ac:dyDescent="0.35">
      <c r="A715" s="33">
        <f>IF(Data!A742="",#N/A,Data!A742)</f>
        <v>40422</v>
      </c>
      <c r="B715" s="34">
        <f>VLOOKUP(A715,Data!A:AX,MATCH($B$2,Data!$B$1:$AX$1,0),FALSE)</f>
        <v>68.718459999999993</v>
      </c>
      <c r="C715" s="35">
        <f t="shared" si="46"/>
        <v>1.2266791896734519E-2</v>
      </c>
      <c r="D715" s="35">
        <f t="shared" si="43"/>
        <v>0.15755031386393381</v>
      </c>
      <c r="E715" s="35">
        <f>(Table143454[[#This Row],[USA]]-B703)/B703</f>
        <v>9.2356591205155922E-2</v>
      </c>
      <c r="F715" s="34">
        <f>VLOOKUP(Table143454[[#This Row],[Date]],'Data Core CPI'!$A:$AX,MATCH($B$2,'Data Core CPI'!$B$1:$AX$1,0),FALSE)</f>
        <v>69.556629999999998</v>
      </c>
      <c r="G715" s="35">
        <f t="shared" si="44"/>
        <v>-1.9929542109803355E-3</v>
      </c>
      <c r="H715" s="35">
        <f t="shared" si="45"/>
        <v>-2.3655041024046586E-2</v>
      </c>
      <c r="I715" s="35">
        <f>(Table143454[[#This Row],[Core CPI]]-F703)/F703</f>
        <v>6.0673914346279195E-2</v>
      </c>
    </row>
    <row r="716" spans="1:9" x14ac:dyDescent="0.35">
      <c r="A716" s="33">
        <f>IF(Data!A743="",#N/A,Data!A743)</f>
        <v>40452</v>
      </c>
      <c r="B716" s="34">
        <f>VLOOKUP(A716,Data!A:AX,MATCH($B$2,Data!$B$1:$AX$1,0),FALSE)</f>
        <v>69.977170000000001</v>
      </c>
      <c r="C716" s="35">
        <f t="shared" si="46"/>
        <v>1.8316912224168203E-2</v>
      </c>
      <c r="D716" s="35">
        <f t="shared" si="43"/>
        <v>0.2433559562529668</v>
      </c>
      <c r="E716" s="35">
        <f>(Table143454[[#This Row],[USA]]-B704)/B704</f>
        <v>8.6192503819988442E-2</v>
      </c>
      <c r="F716" s="34">
        <f>VLOOKUP(Table143454[[#This Row],[Date]],'Data Core CPI'!$A:$AX,MATCH($B$2,'Data Core CPI'!$B$1:$AX$1,0),FALSE)</f>
        <v>70.169399999999996</v>
      </c>
      <c r="G716" s="35">
        <f t="shared" si="44"/>
        <v>8.8096562470032502E-3</v>
      </c>
      <c r="H716" s="35">
        <f t="shared" si="45"/>
        <v>0.11099157973522122</v>
      </c>
      <c r="I716" s="35">
        <f>(Table143454[[#This Row],[Core CPI]]-F704)/F704</f>
        <v>4.8784986328461719E-2</v>
      </c>
    </row>
    <row r="717" spans="1:9" x14ac:dyDescent="0.35">
      <c r="A717" s="33">
        <f>IF(Data!A744="",#N/A,Data!A744)</f>
        <v>40483</v>
      </c>
      <c r="B717" s="34">
        <f>VLOOKUP(A717,Data!A:AX,MATCH($B$2,Data!$B$1:$AX$1,0),FALSE)</f>
        <v>69.996350000000007</v>
      </c>
      <c r="C717" s="35">
        <f t="shared" si="46"/>
        <v>2.7408939229767171E-4</v>
      </c>
      <c r="D717" s="35">
        <f t="shared" si="43"/>
        <v>3.2940354900468094E-3</v>
      </c>
      <c r="E717" s="35">
        <f>(Table143454[[#This Row],[USA]]-B705)/B705</f>
        <v>7.2877962811191188E-2</v>
      </c>
      <c r="F717" s="34">
        <f>VLOOKUP(Table143454[[#This Row],[Date]],'Data Core CPI'!$A:$AX,MATCH($B$2,'Data Core CPI'!$B$1:$AX$1,0),FALSE)</f>
        <v>70.704539999999994</v>
      </c>
      <c r="G717" s="35">
        <f t="shared" si="44"/>
        <v>7.6264012518276747E-3</v>
      </c>
      <c r="H717" s="35">
        <f t="shared" si="45"/>
        <v>9.545478655016737E-2</v>
      </c>
      <c r="I717" s="35">
        <f>(Table143454[[#This Row],[Core CPI]]-F705)/F705</f>
        <v>4.8906151625002718E-2</v>
      </c>
    </row>
    <row r="718" spans="1:9" x14ac:dyDescent="0.35">
      <c r="A718" s="33">
        <f>IF(Data!A745="",#N/A,Data!A745)</f>
        <v>40513</v>
      </c>
      <c r="B718" s="34">
        <f>VLOOKUP(A718,Data!A:AX,MATCH($B$2,Data!$B$1:$AX$1,0),FALSE)</f>
        <v>69.785290000000003</v>
      </c>
      <c r="C718" s="35">
        <f t="shared" si="46"/>
        <v>-3.0153000835043686E-3</v>
      </c>
      <c r="D718" s="35">
        <f t="shared" si="43"/>
        <v>-3.5589517343163735E-2</v>
      </c>
      <c r="E718" s="35">
        <f>(Table143454[[#This Row],[USA]]-B706)/B706</f>
        <v>6.4010359363679187E-2</v>
      </c>
      <c r="F718" s="34">
        <f>VLOOKUP(Table143454[[#This Row],[Date]],'Data Core CPI'!$A:$AX,MATCH($B$2,'Data Core CPI'!$B$1:$AX$1,0),FALSE)</f>
        <v>70.839349999999996</v>
      </c>
      <c r="G718" s="35">
        <f t="shared" si="44"/>
        <v>1.9066668137577292E-3</v>
      </c>
      <c r="H718" s="35">
        <f t="shared" si="45"/>
        <v>2.3121468217506269E-2</v>
      </c>
      <c r="I718" s="35">
        <f>(Table143454[[#This Row],[Core CPI]]-F706)/F706</f>
        <v>5.4484637488552971E-2</v>
      </c>
    </row>
    <row r="719" spans="1:9" x14ac:dyDescent="0.35">
      <c r="A719" s="33">
        <f>IF(Data!A746="",#N/A,Data!A746)</f>
        <v>40544</v>
      </c>
      <c r="B719" s="34">
        <f>VLOOKUP(A719,Data!A:AX,MATCH($B$2,Data!$B$1:$AX$1,0),FALSE)</f>
        <v>70.073099999999997</v>
      </c>
      <c r="C719" s="35">
        <f t="shared" si="46"/>
        <v>4.1242215945509475E-3</v>
      </c>
      <c r="D719" s="35">
        <f t="shared" si="43"/>
        <v>5.0628843681947533E-2</v>
      </c>
      <c r="E719" s="35">
        <f>(Table143454[[#This Row],[USA]]-B707)/B707</f>
        <v>4.9003214086290735E-2</v>
      </c>
      <c r="F719" s="34">
        <f>VLOOKUP(Table143454[[#This Row],[Date]],'Data Core CPI'!$A:$AX,MATCH($B$2,'Data Core CPI'!$B$1:$AX$1,0),FALSE)</f>
        <v>70.712710000000001</v>
      </c>
      <c r="G719" s="35">
        <f t="shared" si="44"/>
        <v>-1.7877069735958706E-3</v>
      </c>
      <c r="H719" s="35">
        <f t="shared" si="45"/>
        <v>-2.1242806422739235E-2</v>
      </c>
      <c r="I719" s="35">
        <f>(Table143454[[#This Row],[Core CPI]]-F707)/F707</f>
        <v>3.6526977618706095E-2</v>
      </c>
    </row>
    <row r="720" spans="1:9" x14ac:dyDescent="0.35">
      <c r="A720" s="33">
        <f>IF(Data!A747="",#N/A,Data!A747)</f>
        <v>40575</v>
      </c>
      <c r="B720" s="34">
        <f>VLOOKUP(A720,Data!A:AX,MATCH($B$2,Data!$B$1:$AX$1,0),FALSE)</f>
        <v>70.583500000000001</v>
      </c>
      <c r="C720" s="35">
        <f t="shared" si="46"/>
        <v>7.2838221799806924E-3</v>
      </c>
      <c r="D720" s="35">
        <f t="shared" si="43"/>
        <v>9.0993860159222839E-2</v>
      </c>
      <c r="E720" s="35">
        <f>(Table143454[[#This Row],[USA]]-B708)/B708</f>
        <v>4.1565369447405978E-2</v>
      </c>
      <c r="F720" s="34">
        <f>VLOOKUP(Table143454[[#This Row],[Date]],'Data Core CPI'!$A:$AX,MATCH($B$2,'Data Core CPI'!$B$1:$AX$1,0),FALSE)</f>
        <v>70.720879999999994</v>
      </c>
      <c r="G720" s="35">
        <f t="shared" si="44"/>
        <v>1.1553792804708252E-4</v>
      </c>
      <c r="H720" s="35">
        <f t="shared" si="45"/>
        <v>1.3873365108085789E-3</v>
      </c>
      <c r="I720" s="35">
        <f>(Table143454[[#This Row],[Core CPI]]-F708)/F708</f>
        <v>3.6832913640164638E-2</v>
      </c>
    </row>
    <row r="721" spans="1:9" x14ac:dyDescent="0.35">
      <c r="A721" s="33">
        <f>IF(Data!A748="",#N/A,Data!A748)</f>
        <v>40603</v>
      </c>
      <c r="B721" s="34">
        <f>VLOOKUP(A721,Data!A:AX,MATCH($B$2,Data!$B$1:$AX$1,0),FALSE)</f>
        <v>70.878979999999999</v>
      </c>
      <c r="C721" s="35">
        <f t="shared" si="46"/>
        <v>4.1862474941027905E-3</v>
      </c>
      <c r="D721" s="35">
        <f t="shared" si="43"/>
        <v>5.1407890838818027E-2</v>
      </c>
      <c r="E721" s="35">
        <f>(Table143454[[#This Row],[USA]]-B709)/B709</f>
        <v>3.986032104095507E-2</v>
      </c>
      <c r="F721" s="34">
        <f>VLOOKUP(Table143454[[#This Row],[Date]],'Data Core CPI'!$A:$AX,MATCH($B$2,'Data Core CPI'!$B$1:$AX$1,0),FALSE)</f>
        <v>71.121219999999994</v>
      </c>
      <c r="G721" s="35">
        <f t="shared" si="44"/>
        <v>5.6608458492033442E-3</v>
      </c>
      <c r="H721" s="35">
        <f t="shared" si="45"/>
        <v>7.0085553351214358E-2</v>
      </c>
      <c r="I721" s="35">
        <f>(Table143454[[#This Row],[Core CPI]]-F709)/F709</f>
        <v>3.6556348376065299E-2</v>
      </c>
    </row>
    <row r="722" spans="1:9" x14ac:dyDescent="0.35">
      <c r="A722" s="33">
        <f>IF(Data!A749="",#N/A,Data!A749)</f>
        <v>40634</v>
      </c>
      <c r="B722" s="34">
        <f>VLOOKUP(A722,Data!A:AX,MATCH($B$2,Data!$B$1:$AX$1,0),FALSE)</f>
        <v>71.492990000000006</v>
      </c>
      <c r="C722" s="35">
        <f t="shared" si="46"/>
        <v>8.6627939623284966E-3</v>
      </c>
      <c r="D722" s="35">
        <f t="shared" si="43"/>
        <v>0.10905227812649176</v>
      </c>
      <c r="E722" s="35">
        <f>(Table143454[[#This Row],[USA]]-B710)/B710</f>
        <v>4.26462243245068E-2</v>
      </c>
      <c r="F722" s="34">
        <f>VLOOKUP(Table143454[[#This Row],[Date]],'Data Core CPI'!$A:$AX,MATCH($B$2,'Data Core CPI'!$B$1:$AX$1,0),FALSE)</f>
        <v>72.199680000000001</v>
      </c>
      <c r="G722" s="35">
        <f t="shared" si="44"/>
        <v>1.5163688136958342E-2</v>
      </c>
      <c r="H722" s="35">
        <f t="shared" si="45"/>
        <v>0.19793402005930538</v>
      </c>
      <c r="I722" s="35">
        <f>(Table143454[[#This Row],[Core CPI]]-F710)/F710</f>
        <v>4.2467904985415486E-2</v>
      </c>
    </row>
    <row r="723" spans="1:9" x14ac:dyDescent="0.35">
      <c r="A723" s="33">
        <f>IF(Data!A750="",#N/A,Data!A750)</f>
        <v>40664</v>
      </c>
      <c r="B723" s="34">
        <f>VLOOKUP(A723,Data!A:AX,MATCH($B$2,Data!$B$1:$AX$1,0),FALSE)</f>
        <v>73.223709999999997</v>
      </c>
      <c r="C723" s="35">
        <f t="shared" si="46"/>
        <v>2.4208247549864614E-2</v>
      </c>
      <c r="D723" s="35">
        <f t="shared" si="43"/>
        <v>0.33247547584345782</v>
      </c>
      <c r="E723" s="35">
        <f>(Table143454[[#This Row],[USA]]-B711)/B711</f>
        <v>7.1725416842302422E-2</v>
      </c>
      <c r="F723" s="34">
        <f>VLOOKUP(Table143454[[#This Row],[Date]],'Data Core CPI'!$A:$AX,MATCH($B$2,'Data Core CPI'!$B$1:$AX$1,0),FALSE)</f>
        <v>73.433369999999996</v>
      </c>
      <c r="G723" s="35">
        <f t="shared" si="44"/>
        <v>1.7087194846292952E-2</v>
      </c>
      <c r="H723" s="35">
        <f t="shared" si="45"/>
        <v>0.22545745683452645</v>
      </c>
      <c r="I723" s="35">
        <f>(Table143454[[#This Row],[Core CPI]]-F711)/F711</f>
        <v>4.4509005151897076E-2</v>
      </c>
    </row>
    <row r="724" spans="1:9" x14ac:dyDescent="0.35">
      <c r="A724" s="33">
        <f>IF(Data!A751="",#N/A,Data!A751)</f>
        <v>40695</v>
      </c>
      <c r="B724" s="34">
        <f>VLOOKUP(A724,Data!A:AX,MATCH($B$2,Data!$B$1:$AX$1,0),FALSE)</f>
        <v>72.176060000000007</v>
      </c>
      <c r="C724" s="35">
        <f t="shared" si="46"/>
        <v>-1.4307524161231266E-2</v>
      </c>
      <c r="D724" s="35">
        <f t="shared" si="43"/>
        <v>-0.15880380956496198</v>
      </c>
      <c r="E724" s="35">
        <f>(Table143454[[#This Row],[USA]]-B712)/B712</f>
        <v>6.2358614913721168E-2</v>
      </c>
      <c r="F724" s="34">
        <f>VLOOKUP(Table143454[[#This Row],[Date]],'Data Core CPI'!$A:$AX,MATCH($B$2,'Data Core CPI'!$B$1:$AX$1,0),FALSE)</f>
        <v>73.890900000000002</v>
      </c>
      <c r="G724" s="35">
        <f t="shared" si="44"/>
        <v>6.2305461399907447E-3</v>
      </c>
      <c r="H724" s="35">
        <f t="shared" si="45"/>
        <v>7.7382618615959631E-2</v>
      </c>
      <c r="I724" s="35">
        <f>(Table143454[[#This Row],[Core CPI]]-F712)/F712</f>
        <v>4.8640488014223521E-2</v>
      </c>
    </row>
    <row r="725" spans="1:9" x14ac:dyDescent="0.35">
      <c r="A725" s="33">
        <f>IF(Data!A752="",#N/A,Data!A752)</f>
        <v>40725</v>
      </c>
      <c r="B725" s="34">
        <f>VLOOKUP(A725,Data!A:AX,MATCH($B$2,Data!$B$1:$AX$1,0),FALSE)</f>
        <v>71.880579999999995</v>
      </c>
      <c r="C725" s="35">
        <f t="shared" si="46"/>
        <v>-4.0938782194540613E-3</v>
      </c>
      <c r="D725" s="35">
        <f t="shared" si="43"/>
        <v>-4.8035345935082963E-2</v>
      </c>
      <c r="E725" s="35">
        <f>(Table143454[[#This Row],[USA]]-B713)/B713</f>
        <v>6.3113655516684131E-2</v>
      </c>
      <c r="F725" s="34">
        <f>VLOOKUP(Table143454[[#This Row],[Date]],'Data Core CPI'!$A:$AX,MATCH($B$2,'Data Core CPI'!$B$1:$AX$1,0),FALSE)</f>
        <v>73.707070000000002</v>
      </c>
      <c r="G725" s="35">
        <f t="shared" si="44"/>
        <v>-2.4878570974233849E-3</v>
      </c>
      <c r="H725" s="35">
        <f t="shared" si="45"/>
        <v>-2.9449151360921411E-2</v>
      </c>
      <c r="I725" s="35">
        <f>(Table143454[[#This Row],[Core CPI]]-F713)/F713</f>
        <v>5.1150464387101219E-2</v>
      </c>
    </row>
    <row r="726" spans="1:9" x14ac:dyDescent="0.35">
      <c r="A726" s="33">
        <f>IF(Data!A753="",#N/A,Data!A753)</f>
        <v>40756</v>
      </c>
      <c r="B726" s="34">
        <f>VLOOKUP(A726,Data!A:AX,MATCH($B$2,Data!$B$1:$AX$1,0),FALSE)</f>
        <v>72.402479999999997</v>
      </c>
      <c r="C726" s="35">
        <f t="shared" si="46"/>
        <v>7.2606537120318837E-3</v>
      </c>
      <c r="D726" s="35">
        <f t="shared" si="43"/>
        <v>9.0692771727024946E-2</v>
      </c>
      <c r="E726" s="35">
        <f>(Table143454[[#This Row],[USA]]-B714)/B714</f>
        <v>6.6534758709195257E-2</v>
      </c>
      <c r="F726" s="34">
        <f>VLOOKUP(Table143454[[#This Row],[Date]],'Data Core CPI'!$A:$AX,MATCH($B$2,'Data Core CPI'!$B$1:$AX$1,0),FALSE)</f>
        <v>73.919489999999996</v>
      </c>
      <c r="G726" s="35">
        <f t="shared" si="44"/>
        <v>2.8819487737063998E-3</v>
      </c>
      <c r="H726" s="35">
        <f t="shared" si="45"/>
        <v>3.5136857092981533E-2</v>
      </c>
      <c r="I726" s="35">
        <f>(Table143454[[#This Row],[Core CPI]]-F714)/F714</f>
        <v>6.0605895385256285E-2</v>
      </c>
    </row>
    <row r="727" spans="1:9" x14ac:dyDescent="0.35">
      <c r="A727" s="33">
        <f>IF(Data!A754="",#N/A,Data!A754)</f>
        <v>40787</v>
      </c>
      <c r="B727" s="34">
        <f>VLOOKUP(A727,Data!A:AX,MATCH($B$2,Data!$B$1:$AX$1,0),FALSE)</f>
        <v>72.947410000000005</v>
      </c>
      <c r="C727" s="35">
        <f t="shared" si="46"/>
        <v>7.5263996481889084E-3</v>
      </c>
      <c r="D727" s="35">
        <f t="shared" si="43"/>
        <v>9.4150881145246501E-2</v>
      </c>
      <c r="E727" s="35">
        <f>(Table143454[[#This Row],[USA]]-B715)/B715</f>
        <v>6.1540232420808208E-2</v>
      </c>
      <c r="F727" s="34">
        <f>VLOOKUP(Table143454[[#This Row],[Date]],'Data Core CPI'!$A:$AX,MATCH($B$2,'Data Core CPI'!$B$1:$AX$1,0),FALSE)</f>
        <v>74.397450000000006</v>
      </c>
      <c r="G727" s="35">
        <f t="shared" si="44"/>
        <v>6.4659537017910385E-3</v>
      </c>
      <c r="H727" s="35">
        <f t="shared" si="45"/>
        <v>8.0411156541800866E-2</v>
      </c>
      <c r="I727" s="35">
        <f>(Table143454[[#This Row],[Core CPI]]-F715)/F715</f>
        <v>6.9595378614518963E-2</v>
      </c>
    </row>
    <row r="728" spans="1:9" x14ac:dyDescent="0.35">
      <c r="A728" s="33">
        <f>IF(Data!A755="",#N/A,Data!A755)</f>
        <v>40817</v>
      </c>
      <c r="B728" s="34">
        <f>VLOOKUP(A728,Data!A:AX,MATCH($B$2,Data!$B$1:$AX$1,0),FALSE)</f>
        <v>75.334339999999997</v>
      </c>
      <c r="C728" s="35">
        <f t="shared" si="46"/>
        <v>3.2721243975625702E-2</v>
      </c>
      <c r="D728" s="35">
        <f t="shared" si="43"/>
        <v>0.47162559000257231</v>
      </c>
      <c r="E728" s="35">
        <f>(Table143454[[#This Row],[USA]]-B716)/B716</f>
        <v>7.655596818219422E-2</v>
      </c>
      <c r="F728" s="34">
        <f>VLOOKUP(Table143454[[#This Row],[Date]],'Data Core CPI'!$A:$AX,MATCH($B$2,'Data Core CPI'!$B$1:$AX$1,0),FALSE)</f>
        <v>76.44408</v>
      </c>
      <c r="G728" s="35">
        <f t="shared" si="44"/>
        <v>2.7509410604798834E-2</v>
      </c>
      <c r="H728" s="35">
        <f t="shared" si="45"/>
        <v>0.38493597762493126</v>
      </c>
      <c r="I728" s="35">
        <f>(Table143454[[#This Row],[Core CPI]]-F716)/F716</f>
        <v>8.9421884753183065E-2</v>
      </c>
    </row>
    <row r="729" spans="1:9" x14ac:dyDescent="0.35">
      <c r="A729" s="33">
        <f>IF(Data!A756="",#N/A,Data!A756)</f>
        <v>40848</v>
      </c>
      <c r="B729" s="34">
        <f>VLOOKUP(A729,Data!A:AX,MATCH($B$2,Data!$B$1:$AX$1,0),FALSE)</f>
        <v>76.635260000000002</v>
      </c>
      <c r="C729" s="35">
        <f t="shared" si="46"/>
        <v>1.7268618799872737E-2</v>
      </c>
      <c r="D729" s="35">
        <f t="shared" si="43"/>
        <v>0.22808313832037785</v>
      </c>
      <c r="E729" s="35">
        <f>(Table143454[[#This Row],[USA]]-B717)/B717</f>
        <v>9.4846516996957633E-2</v>
      </c>
      <c r="F729" s="34">
        <f>VLOOKUP(Table143454[[#This Row],[Date]],'Data Core CPI'!$A:$AX,MATCH($B$2,'Data Core CPI'!$B$1:$AX$1,0),FALSE)</f>
        <v>77.596069999999997</v>
      </c>
      <c r="G729" s="35">
        <f t="shared" si="44"/>
        <v>1.5069708471865839E-2</v>
      </c>
      <c r="H729" s="35">
        <f t="shared" si="45"/>
        <v>0.19660389999034189</v>
      </c>
      <c r="I729" s="35">
        <f>(Table143454[[#This Row],[Core CPI]]-F717)/F717</f>
        <v>9.7469412855242438E-2</v>
      </c>
    </row>
    <row r="730" spans="1:9" x14ac:dyDescent="0.35">
      <c r="A730" s="33">
        <f>IF(Data!A757="",#N/A,Data!A757)</f>
        <v>40878</v>
      </c>
      <c r="B730" s="34">
        <f>VLOOKUP(A730,Data!A:AX,MATCH($B$2,Data!$B$1:$AX$1,0),FALSE)</f>
        <v>77.076580000000007</v>
      </c>
      <c r="C730" s="35">
        <f t="shared" si="46"/>
        <v>5.7587068928846019E-3</v>
      </c>
      <c r="D730" s="35">
        <f t="shared" si="43"/>
        <v>7.1335785028863841E-2</v>
      </c>
      <c r="E730" s="35">
        <f>(Table143454[[#This Row],[USA]]-B718)/B718</f>
        <v>0.10448176112759584</v>
      </c>
      <c r="F730" s="34">
        <f>VLOOKUP(Table143454[[#This Row],[Date]],'Data Core CPI'!$A:$AX,MATCH($B$2,'Data Core CPI'!$B$1:$AX$1,0),FALSE)</f>
        <v>77.58381</v>
      </c>
      <c r="G730" s="35">
        <f t="shared" si="44"/>
        <v>-1.5799769240887329E-4</v>
      </c>
      <c r="H730" s="35">
        <f t="shared" si="45"/>
        <v>-1.8943256004355646E-3</v>
      </c>
      <c r="I730" s="35">
        <f>(Table143454[[#This Row],[Core CPI]]-F718)/F718</f>
        <v>9.5207818818213386E-2</v>
      </c>
    </row>
    <row r="731" spans="1:9" x14ac:dyDescent="0.35">
      <c r="A731" s="33">
        <f>IF(Data!A758="",#N/A,Data!A758)</f>
        <v>40909</v>
      </c>
      <c r="B731" s="34">
        <f>VLOOKUP(A731,Data!A:AX,MATCH($B$2,Data!$B$1:$AX$1,0),FALSE)</f>
        <v>77.510220000000004</v>
      </c>
      <c r="C731" s="35">
        <f t="shared" si="46"/>
        <v>5.6260929065612419E-3</v>
      </c>
      <c r="D731" s="35">
        <f t="shared" si="43"/>
        <v>6.9641886229513839E-2</v>
      </c>
      <c r="E731" s="35">
        <f>(Table143454[[#This Row],[USA]]-B719)/B719</f>
        <v>0.10613373748271458</v>
      </c>
      <c r="F731" s="34">
        <f>VLOOKUP(Table143454[[#This Row],[Date]],'Data Core CPI'!$A:$AX,MATCH($B$2,'Data Core CPI'!$B$1:$AX$1,0),FALSE)</f>
        <v>77.624660000000006</v>
      </c>
      <c r="G731" s="35">
        <f t="shared" si="44"/>
        <v>5.265273772969703E-4</v>
      </c>
      <c r="H731" s="35">
        <f t="shared" si="45"/>
        <v>6.3366579302024384E-3</v>
      </c>
      <c r="I731" s="35">
        <f>(Table143454[[#This Row],[Core CPI]]-F719)/F719</f>
        <v>9.7746925552704797E-2</v>
      </c>
    </row>
    <row r="732" spans="1:9" x14ac:dyDescent="0.35">
      <c r="A732" s="33">
        <f>IF(Data!A759="",#N/A,Data!A759)</f>
        <v>40940</v>
      </c>
      <c r="B732" s="34">
        <f>VLOOKUP(A732,Data!A:AX,MATCH($B$2,Data!$B$1:$AX$1,0),FALSE)</f>
        <v>77.947689999999994</v>
      </c>
      <c r="C732" s="35">
        <f t="shared" si="46"/>
        <v>5.6440299098621249E-3</v>
      </c>
      <c r="D732" s="35">
        <f t="shared" si="43"/>
        <v>6.9870854660047277E-2</v>
      </c>
      <c r="E732" s="35">
        <f>(Table143454[[#This Row],[USA]]-B720)/B720</f>
        <v>0.10433302400702704</v>
      </c>
      <c r="F732" s="34">
        <f>VLOOKUP(Table143454[[#This Row],[Date]],'Data Core CPI'!$A:$AX,MATCH($B$2,'Data Core CPI'!$B$1:$AX$1,0),FALSE)</f>
        <v>77.502110000000002</v>
      </c>
      <c r="G732" s="35">
        <f t="shared" si="44"/>
        <v>-1.5787508763324132E-3</v>
      </c>
      <c r="H732" s="35">
        <f t="shared" si="45"/>
        <v>-1.8781371155072279E-2</v>
      </c>
      <c r="I732" s="35">
        <f>(Table143454[[#This Row],[Core CPI]]-F720)/F720</f>
        <v>9.5887240090903963E-2</v>
      </c>
    </row>
    <row r="733" spans="1:9" x14ac:dyDescent="0.35">
      <c r="A733" s="33">
        <f>IF(Data!A760="",#N/A,Data!A760)</f>
        <v>40969</v>
      </c>
      <c r="B733" s="34">
        <f>VLOOKUP(A733,Data!A:AX,MATCH($B$2,Data!$B$1:$AX$1,0),FALSE)</f>
        <v>78.270049999999998</v>
      </c>
      <c r="C733" s="35">
        <f t="shared" si="46"/>
        <v>4.1355940118303902E-3</v>
      </c>
      <c r="D733" s="35">
        <f t="shared" si="43"/>
        <v>5.077164195717998E-2</v>
      </c>
      <c r="E733" s="35">
        <f>(Table143454[[#This Row],[USA]]-B721)/B721</f>
        <v>0.10427731888918265</v>
      </c>
      <c r="F733" s="34">
        <f>VLOOKUP(Table143454[[#This Row],[Date]],'Data Core CPI'!$A:$AX,MATCH($B$2,'Data Core CPI'!$B$1:$AX$1,0),FALSE)</f>
        <v>77.771730000000005</v>
      </c>
      <c r="G733" s="35">
        <f t="shared" si="44"/>
        <v>3.478873026811824E-3</v>
      </c>
      <c r="H733" s="35">
        <f t="shared" si="45"/>
        <v>4.2554580745377546E-2</v>
      </c>
      <c r="I733" s="35">
        <f>(Table143454[[#This Row],[Core CPI]]-F721)/F721</f>
        <v>9.3509503914584305E-2</v>
      </c>
    </row>
    <row r="734" spans="1:9" x14ac:dyDescent="0.35">
      <c r="A734" s="33">
        <f>IF(Data!A761="",#N/A,Data!A761)</f>
        <v>41000</v>
      </c>
      <c r="B734" s="34">
        <f>VLOOKUP(A734,Data!A:AX,MATCH($B$2,Data!$B$1:$AX$1,0),FALSE)</f>
        <v>79.455839999999995</v>
      </c>
      <c r="C734" s="35">
        <f t="shared" si="46"/>
        <v>1.5149983933829159E-2</v>
      </c>
      <c r="D734" s="35">
        <f t="shared" si="43"/>
        <v>0.19773997633025231</v>
      </c>
      <c r="E734" s="35">
        <f>(Table143454[[#This Row],[USA]]-B722)/B722</f>
        <v>0.11137945132802514</v>
      </c>
      <c r="F734" s="34">
        <f>VLOOKUP(Table143454[[#This Row],[Date]],'Data Core CPI'!$A:$AX,MATCH($B$2,'Data Core CPI'!$B$1:$AX$1,0),FALSE)</f>
        <v>79.176990000000004</v>
      </c>
      <c r="G734" s="35">
        <f t="shared" si="44"/>
        <v>1.8069033567853054E-2</v>
      </c>
      <c r="H734" s="35">
        <f t="shared" si="45"/>
        <v>0.23972892292016978</v>
      </c>
      <c r="I734" s="35">
        <f>(Table143454[[#This Row],[Core CPI]]-F722)/F722</f>
        <v>9.6639070976491895E-2</v>
      </c>
    </row>
    <row r="735" spans="1:9" x14ac:dyDescent="0.35">
      <c r="A735" s="33">
        <f>IF(Data!A762="",#N/A,Data!A762)</f>
        <v>41030</v>
      </c>
      <c r="B735" s="34">
        <f>VLOOKUP(A735,Data!A:AX,MATCH($B$2,Data!$B$1:$AX$1,0),FALSE)</f>
        <v>79.286990000000003</v>
      </c>
      <c r="C735" s="35">
        <f t="shared" si="46"/>
        <v>-2.1250797927502285E-3</v>
      </c>
      <c r="D735" s="35">
        <f t="shared" si="43"/>
        <v>-2.520500511246293E-2</v>
      </c>
      <c r="E735" s="35">
        <f>(Table143454[[#This Row],[USA]]-B723)/B723</f>
        <v>8.2804872902506668E-2</v>
      </c>
      <c r="F735" s="34">
        <f>VLOOKUP(Table143454[[#This Row],[Date]],'Data Core CPI'!$A:$AX,MATCH($B$2,'Data Core CPI'!$B$1:$AX$1,0),FALSE)</f>
        <v>80.112470000000002</v>
      </c>
      <c r="G735" s="35">
        <f t="shared" si="44"/>
        <v>1.1815048791321781E-2</v>
      </c>
      <c r="H735" s="35">
        <f t="shared" si="45"/>
        <v>0.15136656309264818</v>
      </c>
      <c r="I735" s="35">
        <f>(Table143454[[#This Row],[Core CPI]]-F723)/F723</f>
        <v>9.095456193825785E-2</v>
      </c>
    </row>
    <row r="736" spans="1:9" x14ac:dyDescent="0.35">
      <c r="A736" s="33">
        <f>IF(Data!A763="",#N/A,Data!A763)</f>
        <v>41061</v>
      </c>
      <c r="B736" s="34">
        <f>VLOOKUP(A736,Data!A:AX,MATCH($B$2,Data!$B$1:$AX$1,0),FALSE)</f>
        <v>78.57705</v>
      </c>
      <c r="C736" s="35">
        <f t="shared" si="46"/>
        <v>-8.9540541266606155E-3</v>
      </c>
      <c r="D736" s="35">
        <f t="shared" si="43"/>
        <v>-0.1023118933723618</v>
      </c>
      <c r="E736" s="35">
        <f>(Table143454[[#This Row],[USA]]-B724)/B724</f>
        <v>8.8685777527894874E-2</v>
      </c>
      <c r="F736" s="34">
        <f>VLOOKUP(Table143454[[#This Row],[Date]],'Data Core CPI'!$A:$AX,MATCH($B$2,'Data Core CPI'!$B$1:$AX$1,0),FALSE)</f>
        <v>80.471959999999996</v>
      </c>
      <c r="G736" s="35">
        <f t="shared" si="44"/>
        <v>4.4873163940644112E-3</v>
      </c>
      <c r="H736" s="35">
        <f t="shared" si="45"/>
        <v>5.5196853896153808E-2</v>
      </c>
      <c r="I736" s="35">
        <f>(Table143454[[#This Row],[Core CPI]]-F724)/F724</f>
        <v>8.90645532805798E-2</v>
      </c>
    </row>
    <row r="737" spans="1:9" x14ac:dyDescent="0.35">
      <c r="A737" s="33">
        <f>IF(Data!A764="",#N/A,Data!A764)</f>
        <v>41091</v>
      </c>
      <c r="B737" s="34">
        <f>VLOOKUP(A737,Data!A:AX,MATCH($B$2,Data!$B$1:$AX$1,0),FALSE)</f>
        <v>78.396680000000003</v>
      </c>
      <c r="C737" s="35">
        <f t="shared" si="46"/>
        <v>-2.295453952521731E-3</v>
      </c>
      <c r="D737" s="35">
        <f t="shared" si="43"/>
        <v>-2.7200333452966685E-2</v>
      </c>
      <c r="E737" s="35">
        <f>(Table143454[[#This Row],[USA]]-B725)/B725</f>
        <v>9.06517448801889E-2</v>
      </c>
      <c r="F737" s="34">
        <f>VLOOKUP(Table143454[[#This Row],[Date]],'Data Core CPI'!$A:$AX,MATCH($B$2,'Data Core CPI'!$B$1:$AX$1,0),FALSE)</f>
        <v>80.120639999999995</v>
      </c>
      <c r="G737" s="35">
        <f t="shared" si="44"/>
        <v>-4.3657442915520095E-3</v>
      </c>
      <c r="H737" s="35">
        <f t="shared" si="45"/>
        <v>-5.1149117368825769E-2</v>
      </c>
      <c r="I737" s="35">
        <f>(Table143454[[#This Row],[Core CPI]]-F725)/F725</f>
        <v>8.7014312195559981E-2</v>
      </c>
    </row>
    <row r="738" spans="1:9" x14ac:dyDescent="0.35">
      <c r="A738" s="33">
        <f>IF(Data!A765="",#N/A,Data!A765)</f>
        <v>41122</v>
      </c>
      <c r="B738" s="34">
        <f>VLOOKUP(A738,Data!A:AX,MATCH($B$2,Data!$B$1:$AX$1,0),FALSE)</f>
        <v>78.834159999999997</v>
      </c>
      <c r="C738" s="35">
        <f t="shared" si="46"/>
        <v>5.5803383510626414E-3</v>
      </c>
      <c r="D738" s="35">
        <f t="shared" si="43"/>
        <v>6.9058026154877661E-2</v>
      </c>
      <c r="E738" s="35">
        <f>(Table143454[[#This Row],[USA]]-B726)/B726</f>
        <v>8.8832316241101134E-2</v>
      </c>
      <c r="F738" s="34">
        <f>VLOOKUP(Table143454[[#This Row],[Date]],'Data Core CPI'!$A:$AX,MATCH($B$2,'Data Core CPI'!$B$1:$AX$1,0),FALSE)</f>
        <v>79.932730000000006</v>
      </c>
      <c r="G738" s="35">
        <f t="shared" si="44"/>
        <v>-2.3453382299490899E-3</v>
      </c>
      <c r="H738" s="35">
        <f t="shared" si="45"/>
        <v>-2.7783841659840824E-2</v>
      </c>
      <c r="I738" s="35">
        <f>(Table143454[[#This Row],[Core CPI]]-F726)/F726</f>
        <v>8.1348504974804489E-2</v>
      </c>
    </row>
    <row r="739" spans="1:9" x14ac:dyDescent="0.35">
      <c r="A739" s="33">
        <f>IF(Data!A766="",#N/A,Data!A766)</f>
        <v>41153</v>
      </c>
      <c r="B739" s="34">
        <f>VLOOKUP(A739,Data!A:AX,MATCH($B$2,Data!$B$1:$AX$1,0),FALSE)</f>
        <v>79.647710000000004</v>
      </c>
      <c r="C739" s="35">
        <f t="shared" si="46"/>
        <v>1.0319764934388909E-2</v>
      </c>
      <c r="D739" s="35">
        <f t="shared" si="43"/>
        <v>0.1311135119068203</v>
      </c>
      <c r="E739" s="35">
        <f>(Table143454[[#This Row],[USA]]-B727)/B727</f>
        <v>9.1851102047351627E-2</v>
      </c>
      <c r="F739" s="34">
        <f>VLOOKUP(Table143454[[#This Row],[Date]],'Data Core CPI'!$A:$AX,MATCH($B$2,'Data Core CPI'!$B$1:$AX$1,0),FALSE)</f>
        <v>80.087969999999999</v>
      </c>
      <c r="G739" s="35">
        <f t="shared" si="44"/>
        <v>1.9421330911628676E-3</v>
      </c>
      <c r="H739" s="35">
        <f t="shared" si="45"/>
        <v>2.3556159909440488E-2</v>
      </c>
      <c r="I739" s="35">
        <f>(Table143454[[#This Row],[Core CPI]]-F727)/F727</f>
        <v>7.6488105439097606E-2</v>
      </c>
    </row>
    <row r="740" spans="1:9" x14ac:dyDescent="0.35">
      <c r="A740" s="33">
        <f>IF(Data!A767="",#N/A,Data!A767)</f>
        <v>41183</v>
      </c>
      <c r="B740" s="34">
        <f>VLOOKUP(A740,Data!A:AX,MATCH($B$2,Data!$B$1:$AX$1,0),FALSE)</f>
        <v>81.209590000000006</v>
      </c>
      <c r="C740" s="35">
        <f t="shared" si="46"/>
        <v>1.9609854445281627E-2</v>
      </c>
      <c r="D740" s="35">
        <f t="shared" si="43"/>
        <v>0.26243286158428436</v>
      </c>
      <c r="E740" s="35">
        <f>(Table143454[[#This Row],[USA]]-B728)/B728</f>
        <v>7.7989002093865945E-2</v>
      </c>
      <c r="F740" s="34">
        <f>VLOOKUP(Table143454[[#This Row],[Date]],'Data Core CPI'!$A:$AX,MATCH($B$2,'Data Core CPI'!$B$1:$AX$1,0),FALSE)</f>
        <v>81.039789999999996</v>
      </c>
      <c r="G740" s="35">
        <f t="shared" si="44"/>
        <v>1.1884681307317457E-2</v>
      </c>
      <c r="H740" s="35">
        <f t="shared" si="45"/>
        <v>0.15231775950189919</v>
      </c>
      <c r="I740" s="35">
        <f>(Table143454[[#This Row],[Core CPI]]-F728)/F728</f>
        <v>6.0118586030468241E-2</v>
      </c>
    </row>
    <row r="741" spans="1:9" x14ac:dyDescent="0.35">
      <c r="A741" s="33">
        <f>IF(Data!A768="",#N/A,Data!A768)</f>
        <v>41214</v>
      </c>
      <c r="B741" s="34">
        <f>VLOOKUP(A741,Data!A:AX,MATCH($B$2,Data!$B$1:$AX$1,0),FALSE)</f>
        <v>81.516589999999994</v>
      </c>
      <c r="C741" s="35">
        <f t="shared" si="46"/>
        <v>3.7803417059485422E-3</v>
      </c>
      <c r="D741" s="35">
        <f t="shared" si="43"/>
        <v>4.6319292541950663E-2</v>
      </c>
      <c r="E741" s="35">
        <f>(Table143454[[#This Row],[USA]]-B729)/B729</f>
        <v>6.3695614786196217E-2</v>
      </c>
      <c r="F741" s="34">
        <f>VLOOKUP(Table143454[[#This Row],[Date]],'Data Core CPI'!$A:$AX,MATCH($B$2,'Data Core CPI'!$B$1:$AX$1,0),FALSE)</f>
        <v>81.6648</v>
      </c>
      <c r="G741" s="35">
        <f t="shared" si="44"/>
        <v>7.7123842497617279E-3</v>
      </c>
      <c r="H741" s="35">
        <f t="shared" si="45"/>
        <v>9.6577044227416087E-2</v>
      </c>
      <c r="I741" s="35">
        <f>(Table143454[[#This Row],[Core CPI]]-F729)/F729</f>
        <v>5.2434743151296224E-2</v>
      </c>
    </row>
    <row r="742" spans="1:9" x14ac:dyDescent="0.35">
      <c r="A742" s="33">
        <f>IF(Data!A769="",#N/A,Data!A769)</f>
        <v>41244</v>
      </c>
      <c r="B742" s="34">
        <f>VLOOKUP(A742,Data!A:AX,MATCH($B$2,Data!$B$1:$AX$1,0),FALSE)</f>
        <v>81.827420000000004</v>
      </c>
      <c r="C742" s="35">
        <f t="shared" si="46"/>
        <v>3.8130888448597577E-3</v>
      </c>
      <c r="D742" s="35">
        <f t="shared" si="43"/>
        <v>4.6728985106891052E-2</v>
      </c>
      <c r="E742" s="35">
        <f>(Table143454[[#This Row],[USA]]-B730)/B730</f>
        <v>6.1637919066985021E-2</v>
      </c>
      <c r="F742" s="34">
        <f>VLOOKUP(Table143454[[#This Row],[Date]],'Data Core CPI'!$A:$AX,MATCH($B$2,'Data Core CPI'!$B$1:$AX$1,0),FALSE)</f>
        <v>81.668890000000005</v>
      </c>
      <c r="G742" s="35">
        <f t="shared" si="44"/>
        <v>5.0082777402371548E-5</v>
      </c>
      <c r="H742" s="35">
        <f t="shared" si="45"/>
        <v>6.0115890325196375E-4</v>
      </c>
      <c r="I742" s="35">
        <f>(Table143454[[#This Row],[Core CPI]]-F730)/F730</f>
        <v>5.2653768872655327E-2</v>
      </c>
    </row>
    <row r="743" spans="1:9" x14ac:dyDescent="0.35">
      <c r="A743" s="33">
        <f>IF(Data!A770="",#N/A,Data!A770)</f>
        <v>41275</v>
      </c>
      <c r="B743" s="34">
        <f>VLOOKUP(A743,Data!A:AX,MATCH($B$2,Data!$B$1:$AX$1,0),FALSE)</f>
        <v>83.174390000000002</v>
      </c>
      <c r="C743" s="35">
        <f t="shared" si="46"/>
        <v>1.6461108024669491E-2</v>
      </c>
      <c r="D743" s="35">
        <f t="shared" si="43"/>
        <v>0.21643580567470311</v>
      </c>
      <c r="E743" s="35">
        <f>(Table143454[[#This Row],[USA]]-B731)/B731</f>
        <v>7.3076427856868395E-2</v>
      </c>
      <c r="F743" s="34">
        <f>VLOOKUP(Table143454[[#This Row],[Date]],'Data Core CPI'!$A:$AX,MATCH($B$2,'Data Core CPI'!$B$1:$AX$1,0),FALSE)</f>
        <v>82.571690000000004</v>
      </c>
      <c r="G743" s="35">
        <f t="shared" si="44"/>
        <v>1.1054392927343448E-2</v>
      </c>
      <c r="H743" s="35">
        <f t="shared" si="45"/>
        <v>0.14102259840684628</v>
      </c>
      <c r="I743" s="35">
        <f>(Table143454[[#This Row],[Core CPI]]-F731)/F731</f>
        <v>6.3730134212504091E-2</v>
      </c>
    </row>
    <row r="744" spans="1:9" x14ac:dyDescent="0.35">
      <c r="A744" s="33">
        <f>IF(Data!A771="",#N/A,Data!A771)</f>
        <v>41306</v>
      </c>
      <c r="B744" s="34">
        <f>VLOOKUP(A744,Data!A:AX,MATCH($B$2,Data!$B$1:$AX$1,0),FALSE)</f>
        <v>83.423839999999998</v>
      </c>
      <c r="C744" s="35">
        <f t="shared" si="46"/>
        <v>2.9991202820964791E-3</v>
      </c>
      <c r="D744" s="35">
        <f t="shared" si="43"/>
        <v>3.6589070084792397E-2</v>
      </c>
      <c r="E744" s="35">
        <f>(Table143454[[#This Row],[USA]]-B732)/B732</f>
        <v>7.0254166608401156E-2</v>
      </c>
      <c r="F744" s="34">
        <f>VLOOKUP(Table143454[[#This Row],[Date]],'Data Core CPI'!$A:$AX,MATCH($B$2,'Data Core CPI'!$B$1:$AX$1,0),FALSE)</f>
        <v>82.579859999999996</v>
      </c>
      <c r="G744" s="35">
        <f t="shared" si="44"/>
        <v>9.8944323411398472E-5</v>
      </c>
      <c r="H744" s="35">
        <f t="shared" si="45"/>
        <v>1.1879782327126609E-3</v>
      </c>
      <c r="I744" s="35">
        <f>(Table143454[[#This Row],[Core CPI]]-F732)/F732</f>
        <v>6.5517571070000474E-2</v>
      </c>
    </row>
    <row r="745" spans="1:9" x14ac:dyDescent="0.35">
      <c r="A745" s="33">
        <f>IF(Data!A772="",#N/A,Data!A772)</f>
        <v>41334</v>
      </c>
      <c r="B745" s="34">
        <f>VLOOKUP(A745,Data!A:AX,MATCH($B$2,Data!$B$1:$AX$1,0),FALSE)</f>
        <v>83.976439999999997</v>
      </c>
      <c r="C745" s="35">
        <f t="shared" si="46"/>
        <v>6.6240057997810631E-3</v>
      </c>
      <c r="D745" s="35">
        <f t="shared" si="43"/>
        <v>8.2448886442920477E-2</v>
      </c>
      <c r="E745" s="35">
        <f>(Table143454[[#This Row],[USA]]-B733)/B733</f>
        <v>7.2906431003940828E-2</v>
      </c>
      <c r="F745" s="34">
        <f>VLOOKUP(Table143454[[#This Row],[Date]],'Data Core CPI'!$A:$AX,MATCH($B$2,'Data Core CPI'!$B$1:$AX$1,0),FALSE)</f>
        <v>82.857650000000007</v>
      </c>
      <c r="G745" s="35">
        <f t="shared" si="44"/>
        <v>3.3638952645356213E-3</v>
      </c>
      <c r="H745" s="35">
        <f t="shared" si="45"/>
        <v>4.112202345952265E-2</v>
      </c>
      <c r="I745" s="35">
        <f>(Table143454[[#This Row],[Core CPI]]-F733)/F733</f>
        <v>6.539548496606673E-2</v>
      </c>
    </row>
    <row r="746" spans="1:9" x14ac:dyDescent="0.35">
      <c r="A746" s="33">
        <f>IF(Data!A773="",#N/A,Data!A773)</f>
        <v>41365</v>
      </c>
      <c r="B746" s="34">
        <f>VLOOKUP(A746,Data!A:AX,MATCH($B$2,Data!$B$1:$AX$1,0),FALSE)</f>
        <v>84.329490000000007</v>
      </c>
      <c r="C746" s="35">
        <f t="shared" si="46"/>
        <v>4.2041553559546418E-3</v>
      </c>
      <c r="D746" s="35">
        <f t="shared" si="43"/>
        <v>5.1632912611362825E-2</v>
      </c>
      <c r="E746" s="35">
        <f>(Table143454[[#This Row],[USA]]-B734)/B734</f>
        <v>6.1337845021838699E-2</v>
      </c>
      <c r="F746" s="34">
        <f>VLOOKUP(Table143454[[#This Row],[Date]],'Data Core CPI'!$A:$AX,MATCH($B$2,'Data Core CPI'!$B$1:$AX$1,0),FALSE)</f>
        <v>84.042320000000004</v>
      </c>
      <c r="G746" s="35">
        <f t="shared" si="44"/>
        <v>1.4297653867808124E-2</v>
      </c>
      <c r="H746" s="35">
        <f t="shared" si="45"/>
        <v>0.18572793378214936</v>
      </c>
      <c r="I746" s="35">
        <f>(Table143454[[#This Row],[Core CPI]]-F734)/F734</f>
        <v>6.1448787078165007E-2</v>
      </c>
    </row>
    <row r="747" spans="1:9" x14ac:dyDescent="0.35">
      <c r="A747" s="33">
        <f>IF(Data!A774="",#N/A,Data!A774)</f>
        <v>41395</v>
      </c>
      <c r="B747" s="34">
        <f>VLOOKUP(A747,Data!A:AX,MATCH($B$2,Data!$B$1:$AX$1,0),FALSE)</f>
        <v>84.452290000000005</v>
      </c>
      <c r="C747" s="35">
        <f t="shared" si="46"/>
        <v>1.4561928454683848E-3</v>
      </c>
      <c r="D747" s="35">
        <f t="shared" si="43"/>
        <v>1.7614948546155418E-2</v>
      </c>
      <c r="E747" s="35">
        <f>(Table143454[[#This Row],[USA]]-B735)/B735</f>
        <v>6.5146879708764344E-2</v>
      </c>
      <c r="F747" s="34">
        <f>VLOOKUP(Table143454[[#This Row],[Date]],'Data Core CPI'!$A:$AX,MATCH($B$2,'Data Core CPI'!$B$1:$AX$1,0),FALSE)</f>
        <v>85.079930000000004</v>
      </c>
      <c r="G747" s="35">
        <f t="shared" si="44"/>
        <v>1.2346279826639828E-2</v>
      </c>
      <c r="H747" s="35">
        <f t="shared" si="45"/>
        <v>0.15864154033954025</v>
      </c>
      <c r="I747" s="35">
        <f>(Table143454[[#This Row],[Core CPI]]-F735)/F735</f>
        <v>6.2006077206207752E-2</v>
      </c>
    </row>
    <row r="748" spans="1:9" x14ac:dyDescent="0.35">
      <c r="A748" s="33">
        <f>IF(Data!A775="",#N/A,Data!A775)</f>
        <v>41426</v>
      </c>
      <c r="B748" s="34">
        <f>VLOOKUP(A748,Data!A:AX,MATCH($B$2,Data!$B$1:$AX$1,0),FALSE)</f>
        <v>85.096990000000005</v>
      </c>
      <c r="C748" s="35">
        <f t="shared" si="46"/>
        <v>7.6338960139505918E-3</v>
      </c>
      <c r="D748" s="35">
        <f t="shared" si="43"/>
        <v>9.5552566944703488E-2</v>
      </c>
      <c r="E748" s="35">
        <f>(Table143454[[#This Row],[USA]]-B736)/B736</f>
        <v>8.297511805291756E-2</v>
      </c>
      <c r="F748" s="34">
        <f>VLOOKUP(Table143454[[#This Row],[Date]],'Data Core CPI'!$A:$AX,MATCH($B$2,'Data Core CPI'!$B$1:$AX$1,0),FALSE)</f>
        <v>85.3904</v>
      </c>
      <c r="G748" s="35">
        <f t="shared" si="44"/>
        <v>3.6491567400207536E-3</v>
      </c>
      <c r="H748" s="35">
        <f t="shared" si="45"/>
        <v>4.4679538489654114E-2</v>
      </c>
      <c r="I748" s="35">
        <f>(Table143454[[#This Row],[Core CPI]]-F736)/F736</f>
        <v>6.1119923014177908E-2</v>
      </c>
    </row>
    <row r="749" spans="1:9" x14ac:dyDescent="0.35">
      <c r="A749" s="33">
        <f>IF(Data!A776="",#N/A,Data!A776)</f>
        <v>41456</v>
      </c>
      <c r="B749" s="34">
        <f>VLOOKUP(A749,Data!A:AX,MATCH($B$2,Data!$B$1:$AX$1,0),FALSE)</f>
        <v>85.361789999999999</v>
      </c>
      <c r="C749" s="35">
        <f t="shared" si="46"/>
        <v>3.1117434353435947E-3</v>
      </c>
      <c r="D749" s="35">
        <f t="shared" si="43"/>
        <v>3.7986671169088604E-2</v>
      </c>
      <c r="E749" s="35">
        <f>(Table143454[[#This Row],[USA]]-B737)/B737</f>
        <v>8.8844451066039984E-2</v>
      </c>
      <c r="F749" s="34">
        <f>VLOOKUP(Table143454[[#This Row],[Date]],'Data Core CPI'!$A:$AX,MATCH($B$2,'Data Core CPI'!$B$1:$AX$1,0),FALSE)</f>
        <v>85.517039999999994</v>
      </c>
      <c r="G749" s="35">
        <f t="shared" si="44"/>
        <v>1.4830706964716889E-3</v>
      </c>
      <c r="H749" s="35">
        <f t="shared" si="45"/>
        <v>1.7942735314301572E-2</v>
      </c>
      <c r="I749" s="35">
        <f>(Table143454[[#This Row],[Core CPI]]-F737)/F737</f>
        <v>6.7353431026012781E-2</v>
      </c>
    </row>
    <row r="750" spans="1:9" x14ac:dyDescent="0.35">
      <c r="A750" s="33">
        <f>IF(Data!A777="",#N/A,Data!A777)</f>
        <v>41487</v>
      </c>
      <c r="B750" s="34">
        <f>VLOOKUP(A750,Data!A:AX,MATCH($B$2,Data!$B$1:$AX$1,0),FALSE)</f>
        <v>85.273520000000005</v>
      </c>
      <c r="C750" s="35">
        <f t="shared" si="46"/>
        <v>-1.0340692246495475E-3</v>
      </c>
      <c r="D750" s="35">
        <f t="shared" si="43"/>
        <v>-1.2338499646554535E-2</v>
      </c>
      <c r="E750" s="35">
        <f>(Table143454[[#This Row],[USA]]-B738)/B738</f>
        <v>8.1682356988391935E-2</v>
      </c>
      <c r="F750" s="34">
        <f>VLOOKUP(Table143454[[#This Row],[Date]],'Data Core CPI'!$A:$AX,MATCH($B$2,'Data Core CPI'!$B$1:$AX$1,0),FALSE)</f>
        <v>85.57423</v>
      </c>
      <c r="G750" s="35">
        <f t="shared" si="44"/>
        <v>6.6875560706969317E-4</v>
      </c>
      <c r="H750" s="35">
        <f t="shared" si="45"/>
        <v>8.054650631905691E-3</v>
      </c>
      <c r="I750" s="35">
        <f>(Table143454[[#This Row],[Core CPI]]-F738)/F738</f>
        <v>7.0578097357615499E-2</v>
      </c>
    </row>
    <row r="751" spans="1:9" x14ac:dyDescent="0.35">
      <c r="A751" s="33">
        <f>IF(Data!A778="",#N/A,Data!A778)</f>
        <v>41518</v>
      </c>
      <c r="B751" s="34">
        <f>VLOOKUP(A751,Data!A:AX,MATCH($B$2,Data!$B$1:$AX$1,0),FALSE)</f>
        <v>85.925899999999999</v>
      </c>
      <c r="C751" s="35">
        <f t="shared" si="46"/>
        <v>7.6504406057120722E-3</v>
      </c>
      <c r="D751" s="35">
        <f t="shared" si="43"/>
        <v>9.5768444242649187E-2</v>
      </c>
      <c r="E751" s="35">
        <f>(Table143454[[#This Row],[USA]]-B739)/B739</f>
        <v>7.8824488488118419E-2</v>
      </c>
      <c r="F751" s="34">
        <f>VLOOKUP(Table143454[[#This Row],[Date]],'Data Core CPI'!$A:$AX,MATCH($B$2,'Data Core CPI'!$B$1:$AX$1,0),FALSE)</f>
        <v>86.097110000000001</v>
      </c>
      <c r="G751" s="35">
        <f t="shared" si="44"/>
        <v>6.1102507144965568E-3</v>
      </c>
      <c r="H751" s="35">
        <f t="shared" si="45"/>
        <v>7.5838014152429745E-2</v>
      </c>
      <c r="I751" s="35">
        <f>(Table143454[[#This Row],[Core CPI]]-F739)/F739</f>
        <v>7.5031743219362443E-2</v>
      </c>
    </row>
    <row r="752" spans="1:9" x14ac:dyDescent="0.35">
      <c r="A752" s="33">
        <f>IF(Data!A779="",#N/A,Data!A779)</f>
        <v>41548</v>
      </c>
      <c r="B752" s="34">
        <f>VLOOKUP(A752,Data!A:AX,MATCH($B$2,Data!$B$1:$AX$1,0),FALSE)</f>
        <v>87.47242</v>
      </c>
      <c r="C752" s="35">
        <f t="shared" si="46"/>
        <v>1.7998298533969503E-2</v>
      </c>
      <c r="D752" s="35">
        <f t="shared" si="43"/>
        <v>0.23869568731386415</v>
      </c>
      <c r="E752" s="35">
        <f>(Table143454[[#This Row],[USA]]-B740)/B740</f>
        <v>7.7119340215853732E-2</v>
      </c>
      <c r="F752" s="34">
        <f>VLOOKUP(Table143454[[#This Row],[Date]],'Data Core CPI'!$A:$AX,MATCH($B$2,'Data Core CPI'!$B$1:$AX$1,0),FALSE)</f>
        <v>87.343059999999994</v>
      </c>
      <c r="G752" s="35">
        <f t="shared" si="44"/>
        <v>1.4471449738556741E-2</v>
      </c>
      <c r="H752" s="35">
        <f t="shared" si="45"/>
        <v>0.18816826992134938</v>
      </c>
      <c r="I752" s="35">
        <f>(Table143454[[#This Row],[Core CPI]]-F740)/F740</f>
        <v>7.7779939952953944E-2</v>
      </c>
    </row>
    <row r="753" spans="1:9" x14ac:dyDescent="0.35">
      <c r="A753" s="33">
        <f>IF(Data!A780="",#N/A,Data!A780)</f>
        <v>41579</v>
      </c>
      <c r="B753" s="34">
        <f>VLOOKUP(A753,Data!A:AX,MATCH($B$2,Data!$B$1:$AX$1,0),FALSE)</f>
        <v>87.480090000000004</v>
      </c>
      <c r="C753" s="35">
        <f t="shared" si="46"/>
        <v>8.7684781100216824E-5</v>
      </c>
      <c r="D753" s="35">
        <f t="shared" si="43"/>
        <v>1.0527249705256647E-3</v>
      </c>
      <c r="E753" s="35">
        <f>(Table143454[[#This Row],[USA]]-B741)/B741</f>
        <v>7.3156887450763222E-2</v>
      </c>
      <c r="F753" s="34">
        <f>VLOOKUP(Table143454[[#This Row],[Date]],'Data Core CPI'!$A:$AX,MATCH($B$2,'Data Core CPI'!$B$1:$AX$1,0),FALSE)</f>
        <v>87.788340000000005</v>
      </c>
      <c r="G753" s="35">
        <f t="shared" si="44"/>
        <v>5.0980581628352617E-3</v>
      </c>
      <c r="H753" s="35">
        <f t="shared" si="45"/>
        <v>6.2921537967474572E-2</v>
      </c>
      <c r="I753" s="35">
        <f>(Table143454[[#This Row],[Core CPI]]-F741)/F741</f>
        <v>7.4983836365239434E-2</v>
      </c>
    </row>
    <row r="754" spans="1:9" x14ac:dyDescent="0.35">
      <c r="A754" s="33">
        <f>IF(Data!A781="",#N/A,Data!A781)</f>
        <v>41609</v>
      </c>
      <c r="B754" s="34">
        <f>VLOOKUP(A754,Data!A:AX,MATCH($B$2,Data!$B$1:$AX$1,0),FALSE)</f>
        <v>87.883030000000005</v>
      </c>
      <c r="C754" s="35">
        <f t="shared" si="46"/>
        <v>4.6060766512701079E-3</v>
      </c>
      <c r="D754" s="35">
        <f t="shared" si="43"/>
        <v>5.6694895349632235E-2</v>
      </c>
      <c r="E754" s="35">
        <f>(Table143454[[#This Row],[USA]]-B742)/B742</f>
        <v>7.4004655163269248E-2</v>
      </c>
      <c r="F754" s="34">
        <f>VLOOKUP(Table143454[[#This Row],[Date]],'Data Core CPI'!$A:$AX,MATCH($B$2,'Data Core CPI'!$B$1:$AX$1,0),FALSE)</f>
        <v>87.486050000000006</v>
      </c>
      <c r="G754" s="35">
        <f t="shared" si="44"/>
        <v>-3.4433957858184261E-3</v>
      </c>
      <c r="H754" s="35">
        <f t="shared" si="45"/>
        <v>-4.0547102117569178E-2</v>
      </c>
      <c r="I754" s="35">
        <f>(Table143454[[#This Row],[Core CPI]]-F742)/F742</f>
        <v>7.1228591450183801E-2</v>
      </c>
    </row>
    <row r="755" spans="1:9" x14ac:dyDescent="0.35">
      <c r="A755" s="33">
        <f>IF(Data!A782="",#N/A,Data!A782)</f>
        <v>41640</v>
      </c>
      <c r="B755" s="34">
        <f>VLOOKUP(A755,Data!A:AX,MATCH($B$2,Data!$B$1:$AX$1,0),FALSE)</f>
        <v>89.621430000000004</v>
      </c>
      <c r="C755" s="35">
        <f t="shared" si="46"/>
        <v>1.978083823463983E-2</v>
      </c>
      <c r="D755" s="35">
        <f t="shared" si="43"/>
        <v>0.26497565483414642</v>
      </c>
      <c r="E755" s="35">
        <f>(Table143454[[#This Row],[USA]]-B743)/B743</f>
        <v>7.7512320799707712E-2</v>
      </c>
      <c r="F755" s="34">
        <f>VLOOKUP(Table143454[[#This Row],[Date]],'Data Core CPI'!$A:$AX,MATCH($B$2,'Data Core CPI'!$B$1:$AX$1,0),FALSE)</f>
        <v>88.347989999999996</v>
      </c>
      <c r="G755" s="35">
        <f t="shared" si="44"/>
        <v>9.8523135974248888E-3</v>
      </c>
      <c r="H755" s="35">
        <f t="shared" si="45"/>
        <v>0.12484939097434089</v>
      </c>
      <c r="I755" s="35">
        <f>(Table143454[[#This Row],[Core CPI]]-F743)/F743</f>
        <v>6.9954968827693753E-2</v>
      </c>
    </row>
    <row r="756" spans="1:9" x14ac:dyDescent="0.35">
      <c r="A756" s="33">
        <f>IF(Data!A783="",#N/A,Data!A783)</f>
        <v>41671</v>
      </c>
      <c r="B756" s="34">
        <f>VLOOKUP(A756,Data!A:AX,MATCH($B$2,Data!$B$1:$AX$1,0),FALSE)</f>
        <v>90.005179999999996</v>
      </c>
      <c r="C756" s="35">
        <f t="shared" si="46"/>
        <v>4.2818999875364749E-3</v>
      </c>
      <c r="D756" s="35">
        <f t="shared" si="43"/>
        <v>5.2610327037355464E-2</v>
      </c>
      <c r="E756" s="35">
        <f>(Table143454[[#This Row],[USA]]-B744)/B744</f>
        <v>7.8890398715762755E-2</v>
      </c>
      <c r="F756" s="34">
        <f>VLOOKUP(Table143454[[#This Row],[Date]],'Data Core CPI'!$A:$AX,MATCH($B$2,'Data Core CPI'!$B$1:$AX$1,0),FALSE)</f>
        <v>88.944410000000005</v>
      </c>
      <c r="G756" s="35">
        <f t="shared" si="44"/>
        <v>6.7508044042654536E-3</v>
      </c>
      <c r="H756" s="35">
        <f t="shared" si="45"/>
        <v>8.4086218396401069E-2</v>
      </c>
      <c r="I756" s="35">
        <f>(Table143454[[#This Row],[Core CPI]]-F744)/F744</f>
        <v>7.7071455437197497E-2</v>
      </c>
    </row>
    <row r="757" spans="1:9" x14ac:dyDescent="0.35">
      <c r="A757" s="33">
        <f>IF(Data!A784="",#N/A,Data!A784)</f>
        <v>41699</v>
      </c>
      <c r="B757" s="34">
        <f>VLOOKUP(A757,Data!A:AX,MATCH($B$2,Data!$B$1:$AX$1,0),FALSE)</f>
        <v>91.018289999999993</v>
      </c>
      <c r="C757" s="35">
        <f t="shared" si="46"/>
        <v>1.1256129924966496E-2</v>
      </c>
      <c r="D757" s="35">
        <f t="shared" si="43"/>
        <v>0.14375763527122776</v>
      </c>
      <c r="E757" s="35">
        <f>(Table143454[[#This Row],[USA]]-B745)/B745</f>
        <v>8.3855066968783115E-2</v>
      </c>
      <c r="F757" s="34">
        <f>VLOOKUP(Table143454[[#This Row],[Date]],'Data Core CPI'!$A:$AX,MATCH($B$2,'Data Core CPI'!$B$1:$AX$1,0),FALSE)</f>
        <v>89.90849</v>
      </c>
      <c r="G757" s="35">
        <f t="shared" si="44"/>
        <v>1.083912974407264E-2</v>
      </c>
      <c r="H757" s="35">
        <f t="shared" si="45"/>
        <v>0.13811079377311186</v>
      </c>
      <c r="I757" s="35">
        <f>(Table143454[[#This Row],[Core CPI]]-F745)/F745</f>
        <v>8.5095823982456575E-2</v>
      </c>
    </row>
    <row r="758" spans="1:9" x14ac:dyDescent="0.35">
      <c r="A758" s="33">
        <f>IF(Data!A785="",#N/A,Data!A785)</f>
        <v>41730</v>
      </c>
      <c r="B758" s="34">
        <f>VLOOKUP(A758,Data!A:AX,MATCH($B$2,Data!$B$1:$AX$1,0),FALSE)</f>
        <v>92.242450000000005</v>
      </c>
      <c r="C758" s="35">
        <f t="shared" si="46"/>
        <v>1.3449604469607301E-2</v>
      </c>
      <c r="D758" s="35">
        <f t="shared" si="43"/>
        <v>0.17388591110748264</v>
      </c>
      <c r="E758" s="35">
        <f>(Table143454[[#This Row],[USA]]-B746)/B746</f>
        <v>9.3833841518548233E-2</v>
      </c>
      <c r="F758" s="34">
        <f>VLOOKUP(Table143454[[#This Row],[Date]],'Data Core CPI'!$A:$AX,MATCH($B$2,'Data Core CPI'!$B$1:$AX$1,0),FALSE)</f>
        <v>91.534360000000007</v>
      </c>
      <c r="G758" s="35">
        <f t="shared" si="44"/>
        <v>1.8083609234233577E-2</v>
      </c>
      <c r="H758" s="35">
        <f t="shared" si="45"/>
        <v>0.23994192967162453</v>
      </c>
      <c r="I758" s="35">
        <f>(Table143454[[#This Row],[Core CPI]]-F746)/F746</f>
        <v>8.9146039757112883E-2</v>
      </c>
    </row>
    <row r="759" spans="1:9" x14ac:dyDescent="0.35">
      <c r="A759" s="33">
        <f>IF(Data!A786="",#N/A,Data!A786)</f>
        <v>41760</v>
      </c>
      <c r="B759" s="34">
        <f>VLOOKUP(A759,Data!A:AX,MATCH($B$2,Data!$B$1:$AX$1,0),FALSE)</f>
        <v>92.607020000000006</v>
      </c>
      <c r="C759" s="35">
        <f t="shared" si="46"/>
        <v>3.9523017873006605E-3</v>
      </c>
      <c r="D759" s="35">
        <f t="shared" si="43"/>
        <v>4.8472290788770911E-2</v>
      </c>
      <c r="E759" s="35">
        <f>(Table143454[[#This Row],[USA]]-B747)/B747</f>
        <v>9.6560199847748357E-2</v>
      </c>
      <c r="F759" s="34">
        <f>VLOOKUP(Table143454[[#This Row],[Date]],'Data Core CPI'!$A:$AX,MATCH($B$2,'Data Core CPI'!$B$1:$AX$1,0),FALSE)</f>
        <v>92.772130000000004</v>
      </c>
      <c r="G759" s="35">
        <f t="shared" si="44"/>
        <v>1.3522463040108734E-2</v>
      </c>
      <c r="H759" s="35">
        <f t="shared" si="45"/>
        <v>0.1748990228611651</v>
      </c>
      <c r="I759" s="35">
        <f>(Table143454[[#This Row],[Core CPI]]-F747)/F747</f>
        <v>9.0411451913512381E-2</v>
      </c>
    </row>
    <row r="760" spans="1:9" x14ac:dyDescent="0.35">
      <c r="A760" s="33">
        <f>IF(Data!A787="",#N/A,Data!A787)</f>
        <v>41791</v>
      </c>
      <c r="B760" s="34">
        <f>VLOOKUP(A760,Data!A:AX,MATCH($B$2,Data!$B$1:$AX$1,0),FALSE)</f>
        <v>92.894840000000002</v>
      </c>
      <c r="C760" s="35">
        <f t="shared" si="46"/>
        <v>3.107971728277148E-3</v>
      </c>
      <c r="D760" s="35">
        <f t="shared" si="43"/>
        <v>3.7939838093185907E-2</v>
      </c>
      <c r="E760" s="35">
        <f>(Table143454[[#This Row],[USA]]-B748)/B748</f>
        <v>9.1634851009418733E-2</v>
      </c>
      <c r="F760" s="34">
        <f>VLOOKUP(Table143454[[#This Row],[Date]],'Data Core CPI'!$A:$AX,MATCH($B$2,'Data Core CPI'!$B$1:$AX$1,0),FALSE)</f>
        <v>93.025409999999994</v>
      </c>
      <c r="G760" s="35">
        <f t="shared" si="44"/>
        <v>2.730130266492603E-3</v>
      </c>
      <c r="H760" s="35">
        <f t="shared" si="45"/>
        <v>3.3258006015293828E-2</v>
      </c>
      <c r="I760" s="35">
        <f>(Table143454[[#This Row],[Core CPI]]-F748)/F748</f>
        <v>8.9412978508122617E-2</v>
      </c>
    </row>
    <row r="761" spans="1:9" x14ac:dyDescent="0.35">
      <c r="A761" s="33">
        <f>IF(Data!A788="",#N/A,Data!A788)</f>
        <v>41821</v>
      </c>
      <c r="B761" s="34">
        <f>VLOOKUP(A761,Data!A:AX,MATCH($B$2,Data!$B$1:$AX$1,0),FALSE)</f>
        <v>93.316959999999995</v>
      </c>
      <c r="C761" s="35">
        <f t="shared" si="46"/>
        <v>4.5440629425701484E-3</v>
      </c>
      <c r="D761" s="35">
        <f t="shared" si="43"/>
        <v>5.59124116182248E-2</v>
      </c>
      <c r="E761" s="35">
        <f>(Table143454[[#This Row],[USA]]-B749)/B749</f>
        <v>9.319357056594052E-2</v>
      </c>
      <c r="F761" s="34">
        <f>VLOOKUP(Table143454[[#This Row],[Date]],'Data Core CPI'!$A:$AX,MATCH($B$2,'Data Core CPI'!$B$1:$AX$1,0),FALSE)</f>
        <v>93.491110000000006</v>
      </c>
      <c r="G761" s="35">
        <f t="shared" si="44"/>
        <v>5.006159069871563E-3</v>
      </c>
      <c r="H761" s="35">
        <f t="shared" si="45"/>
        <v>6.1755891485191006E-2</v>
      </c>
      <c r="I761" s="35">
        <f>(Table143454[[#This Row],[Core CPI]]-F749)/F749</f>
        <v>9.3245392964957777E-2</v>
      </c>
    </row>
    <row r="762" spans="1:9" x14ac:dyDescent="0.35">
      <c r="A762" s="33">
        <f>IF(Data!A789="",#N/A,Data!A789)</f>
        <v>41852</v>
      </c>
      <c r="B762" s="34">
        <f>VLOOKUP(A762,Data!A:AX,MATCH($B$2,Data!$B$1:$AX$1,0),FALSE)</f>
        <v>93.40522</v>
      </c>
      <c r="C762" s="35">
        <f t="shared" si="46"/>
        <v>9.4580877902594729E-4</v>
      </c>
      <c r="D762" s="35">
        <f t="shared" si="43"/>
        <v>1.1408932462288579E-2</v>
      </c>
      <c r="E762" s="35">
        <f>(Table143454[[#This Row],[USA]]-B750)/B750</f>
        <v>9.5360200915829377E-2</v>
      </c>
      <c r="F762" s="34">
        <f>VLOOKUP(Table143454[[#This Row],[Date]],'Data Core CPI'!$A:$AX,MATCH($B$2,'Data Core CPI'!$B$1:$AX$1,0),FALSE)</f>
        <v>93.417580000000001</v>
      </c>
      <c r="G762" s="35">
        <f t="shared" si="44"/>
        <v>-7.8649189211688064E-4</v>
      </c>
      <c r="H762" s="35">
        <f t="shared" si="45"/>
        <v>-9.3971839594559903E-3</v>
      </c>
      <c r="I762" s="35">
        <f>(Table143454[[#This Row],[Core CPI]]-F750)/F750</f>
        <v>9.1655513581600456E-2</v>
      </c>
    </row>
    <row r="763" spans="1:9" x14ac:dyDescent="0.35">
      <c r="A763" s="33">
        <f>IF(Data!A790="",#N/A,Data!A790)</f>
        <v>41883</v>
      </c>
      <c r="B763" s="34">
        <f>VLOOKUP(A763,Data!A:AX,MATCH($B$2,Data!$B$1:$AX$1,0),FALSE)</f>
        <v>93.535700000000006</v>
      </c>
      <c r="C763" s="35">
        <f t="shared" si="46"/>
        <v>1.3969240691260598E-3</v>
      </c>
      <c r="D763" s="35">
        <f t="shared" ref="D763:D826" si="47">((1+C763)^12)-1</f>
        <v>1.6892482620803673E-2</v>
      </c>
      <c r="E763" s="35">
        <f>(Table143454[[#This Row],[USA]]-B751)/B751</f>
        <v>8.8562354307606991E-2</v>
      </c>
      <c r="F763" s="34">
        <f>VLOOKUP(Table143454[[#This Row],[Date]],'Data Core CPI'!$A:$AX,MATCH($B$2,'Data Core CPI'!$B$1:$AX$1,0),FALSE)</f>
        <v>93.548299999999998</v>
      </c>
      <c r="G763" s="35">
        <f t="shared" si="44"/>
        <v>1.3993083528818229E-3</v>
      </c>
      <c r="H763" s="35">
        <f t="shared" si="45"/>
        <v>1.6921537137586817E-2</v>
      </c>
      <c r="I763" s="35">
        <f>(Table143454[[#This Row],[Core CPI]]-F751)/F751</f>
        <v>8.6544019886381746E-2</v>
      </c>
    </row>
    <row r="764" spans="1:9" x14ac:dyDescent="0.35">
      <c r="A764" s="33">
        <f>IF(Data!A791="",#N/A,Data!A791)</f>
        <v>41913</v>
      </c>
      <c r="B764" s="34">
        <f>VLOOKUP(A764,Data!A:AX,MATCH($B$2,Data!$B$1:$AX$1,0),FALSE)</f>
        <v>95.312470000000005</v>
      </c>
      <c r="C764" s="35">
        <f t="shared" si="46"/>
        <v>1.8995634821784568E-2</v>
      </c>
      <c r="D764" s="35">
        <f t="shared" si="47"/>
        <v>0.25333706402083678</v>
      </c>
      <c r="E764" s="35">
        <f>(Table143454[[#This Row],[USA]]-B752)/B752</f>
        <v>8.9628822433402491E-2</v>
      </c>
      <c r="F764" s="34">
        <f>VLOOKUP(Table143454[[#This Row],[Date]],'Data Core CPI'!$A:$AX,MATCH($B$2,'Data Core CPI'!$B$1:$AX$1,0),FALSE)</f>
        <v>94.892290000000003</v>
      </c>
      <c r="G764" s="35">
        <f t="shared" si="44"/>
        <v>1.4366803031161446E-2</v>
      </c>
      <c r="H764" s="35">
        <f t="shared" si="45"/>
        <v>0.18669833348638298</v>
      </c>
      <c r="I764" s="35">
        <f>(Table143454[[#This Row],[Core CPI]]-F752)/F752</f>
        <v>8.6431938610806738E-2</v>
      </c>
    </row>
    <row r="765" spans="1:9" x14ac:dyDescent="0.35">
      <c r="A765" s="33">
        <f>IF(Data!A792="",#N/A,Data!A792)</f>
        <v>41944</v>
      </c>
      <c r="B765" s="34">
        <f>VLOOKUP(A765,Data!A:AX,MATCH($B$2,Data!$B$1:$AX$1,0),FALSE)</f>
        <v>95.485159999999993</v>
      </c>
      <c r="C765" s="35">
        <f t="shared" si="46"/>
        <v>1.8118300784775165E-3</v>
      </c>
      <c r="D765" s="35">
        <f t="shared" si="47"/>
        <v>2.1959934858959196E-2</v>
      </c>
      <c r="E765" s="35">
        <f>(Table143454[[#This Row],[USA]]-B753)/B753</f>
        <v>9.1507336126425892E-2</v>
      </c>
      <c r="F765" s="34">
        <f>VLOOKUP(Table143454[[#This Row],[Date]],'Data Core CPI'!$A:$AX,MATCH($B$2,'Data Core CPI'!$B$1:$AX$1,0),FALSE)</f>
        <v>95.402919999999995</v>
      </c>
      <c r="G765" s="35">
        <f t="shared" si="44"/>
        <v>5.3811537270307408E-3</v>
      </c>
      <c r="H765" s="35">
        <f t="shared" si="45"/>
        <v>6.651969383177514E-2</v>
      </c>
      <c r="I765" s="35">
        <f>(Table143454[[#This Row],[Core CPI]]-F753)/F753</f>
        <v>8.6737942647053007E-2</v>
      </c>
    </row>
    <row r="766" spans="1:9" x14ac:dyDescent="0.35">
      <c r="A766" s="33">
        <f>IF(Data!A793="",#N/A,Data!A793)</f>
        <v>41974</v>
      </c>
      <c r="B766" s="34">
        <f>VLOOKUP(A766,Data!A:AX,MATCH($B$2,Data!$B$1:$AX$1,0),FALSE)</f>
        <v>95.063029999999998</v>
      </c>
      <c r="C766" s="35">
        <f t="shared" si="46"/>
        <v>-4.4208963989796901E-3</v>
      </c>
      <c r="D766" s="35">
        <f t="shared" si="47"/>
        <v>-5.1779652345756211E-2</v>
      </c>
      <c r="E766" s="35">
        <f>(Table143454[[#This Row],[USA]]-B754)/B754</f>
        <v>8.1699504443576793E-2</v>
      </c>
      <c r="F766" s="34">
        <f>VLOOKUP(Table143454[[#This Row],[Date]],'Data Core CPI'!$A:$AX,MATCH($B$2,'Data Core CPI'!$B$1:$AX$1,0),FALSE)</f>
        <v>95.104709999999997</v>
      </c>
      <c r="G766" s="35">
        <f t="shared" si="44"/>
        <v>-3.1257953110869208E-3</v>
      </c>
      <c r="H766" s="35">
        <f t="shared" si="45"/>
        <v>-3.6871356350516082E-2</v>
      </c>
      <c r="I766" s="35">
        <f>(Table143454[[#This Row],[Core CPI]]-F754)/F754</f>
        <v>8.7084283722947728E-2</v>
      </c>
    </row>
    <row r="767" spans="1:9" x14ac:dyDescent="0.35">
      <c r="A767" s="33">
        <f>IF(Data!A794="",#N/A,Data!A794)</f>
        <v>42005</v>
      </c>
      <c r="B767" s="34">
        <f>VLOOKUP(A767,Data!A:AX,MATCH($B$2,Data!$B$1:$AX$1,0),FALSE)</f>
        <v>96.110669999999999</v>
      </c>
      <c r="C767" s="35">
        <f t="shared" si="46"/>
        <v>1.1020477676758178E-2</v>
      </c>
      <c r="D767" s="35">
        <f t="shared" si="47"/>
        <v>0.14056338360486831</v>
      </c>
      <c r="E767" s="35">
        <f>(Table143454[[#This Row],[USA]]-B755)/B755</f>
        <v>7.2407235635494713E-2</v>
      </c>
      <c r="F767" s="34">
        <f>VLOOKUP(Table143454[[#This Row],[Date]],'Data Core CPI'!$A:$AX,MATCH($B$2,'Data Core CPI'!$B$1:$AX$1,0),FALSE)</f>
        <v>95.856369999999998</v>
      </c>
      <c r="G767" s="35">
        <f t="shared" si="44"/>
        <v>7.9034992062958498E-3</v>
      </c>
      <c r="H767" s="35">
        <f t="shared" si="45"/>
        <v>9.9075269132583355E-2</v>
      </c>
      <c r="I767" s="35">
        <f>(Table143454[[#This Row],[Core CPI]]-F755)/F755</f>
        <v>8.4986426969079917E-2</v>
      </c>
    </row>
    <row r="768" spans="1:9" x14ac:dyDescent="0.35">
      <c r="A768" s="33">
        <f>IF(Data!A795="",#N/A,Data!A795)</f>
        <v>42036</v>
      </c>
      <c r="B768" s="34">
        <f>VLOOKUP(A768,Data!A:AX,MATCH($B$2,Data!$B$1:$AX$1,0),FALSE)</f>
        <v>96.79759</v>
      </c>
      <c r="C768" s="35">
        <f t="shared" si="46"/>
        <v>7.1471773113225279E-3</v>
      </c>
      <c r="D768" s="35">
        <f t="shared" si="47"/>
        <v>8.9219176238616749E-2</v>
      </c>
      <c r="E768" s="35">
        <f>(Table143454[[#This Row],[USA]]-B756)/B756</f>
        <v>7.5466878684093561E-2</v>
      </c>
      <c r="F768" s="34">
        <f>VLOOKUP(Table143454[[#This Row],[Date]],'Data Core CPI'!$A:$AX,MATCH($B$2,'Data Core CPI'!$B$1:$AX$1,0),FALSE)</f>
        <v>95.786919999999995</v>
      </c>
      <c r="G768" s="35">
        <f t="shared" si="44"/>
        <v>-7.2452148980817199E-4</v>
      </c>
      <c r="H768" s="35">
        <f t="shared" si="45"/>
        <v>-8.6596959410661922E-3</v>
      </c>
      <c r="I768" s="35">
        <f>(Table143454[[#This Row],[Core CPI]]-F756)/F756</f>
        <v>7.6930185944231788E-2</v>
      </c>
    </row>
    <row r="769" spans="1:9" x14ac:dyDescent="0.35">
      <c r="A769" s="33">
        <f>IF(Data!A796="",#N/A,Data!A796)</f>
        <v>42064</v>
      </c>
      <c r="B769" s="34">
        <f>VLOOKUP(A769,Data!A:AX,MATCH($B$2,Data!$B$1:$AX$1,0),FALSE)</f>
        <v>97.945009999999996</v>
      </c>
      <c r="C769" s="35">
        <f t="shared" si="46"/>
        <v>1.1853807517315129E-2</v>
      </c>
      <c r="D769" s="35">
        <f t="shared" si="47"/>
        <v>0.15189592747708391</v>
      </c>
      <c r="E769" s="35">
        <f>(Table143454[[#This Row],[USA]]-B757)/B757</f>
        <v>7.6102506430301031E-2</v>
      </c>
      <c r="F769" s="34">
        <f>VLOOKUP(Table143454[[#This Row],[Date]],'Data Core CPI'!$A:$AX,MATCH($B$2,'Data Core CPI'!$B$1:$AX$1,0),FALSE)</f>
        <v>96.330240000000003</v>
      </c>
      <c r="G769" s="35">
        <f t="shared" si="44"/>
        <v>5.6721731944195941E-3</v>
      </c>
      <c r="H769" s="35">
        <f t="shared" si="45"/>
        <v>7.0230198291406198E-2</v>
      </c>
      <c r="I769" s="35">
        <f>(Table143454[[#This Row],[Core CPI]]-F757)/F757</f>
        <v>7.1425401538831354E-2</v>
      </c>
    </row>
    <row r="770" spans="1:9" x14ac:dyDescent="0.35">
      <c r="A770" s="33">
        <f>IF(Data!A797="",#N/A,Data!A797)</f>
        <v>42095</v>
      </c>
      <c r="B770" s="34">
        <f>VLOOKUP(A770,Data!A:AX,MATCH($B$2,Data!$B$1:$AX$1,0),FALSE)</f>
        <v>99.541420000000002</v>
      </c>
      <c r="C770" s="35">
        <f t="shared" si="46"/>
        <v>1.6299043718511097E-2</v>
      </c>
      <c r="D770" s="35">
        <f t="shared" si="47"/>
        <v>0.21411046684577273</v>
      </c>
      <c r="E770" s="35">
        <f>(Table143454[[#This Row],[USA]]-B758)/B758</f>
        <v>7.9128102083151491E-2</v>
      </c>
      <c r="F770" s="34">
        <f>VLOOKUP(Table143454[[#This Row],[Date]],'Data Core CPI'!$A:$AX,MATCH($B$2,'Data Core CPI'!$B$1:$AX$1,0),FALSE)</f>
        <v>98.107249999999993</v>
      </c>
      <c r="G770" s="35">
        <f t="shared" si="44"/>
        <v>1.8447062936830516E-2</v>
      </c>
      <c r="H770" s="35">
        <f t="shared" si="45"/>
        <v>0.24526425177190569</v>
      </c>
      <c r="I770" s="35">
        <f>(Table143454[[#This Row],[Core CPI]]-F758)/F758</f>
        <v>7.1807898148847998E-2</v>
      </c>
    </row>
    <row r="771" spans="1:9" x14ac:dyDescent="0.35">
      <c r="A771" s="33">
        <f>IF(Data!A798="",#N/A,Data!A798)</f>
        <v>42125</v>
      </c>
      <c r="B771" s="34">
        <f>VLOOKUP(A771,Data!A:AX,MATCH($B$2,Data!$B$1:$AX$1,0),FALSE)</f>
        <v>100.10169999999999</v>
      </c>
      <c r="C771" s="35">
        <f t="shared" si="46"/>
        <v>5.6286116874764147E-3</v>
      </c>
      <c r="D771" s="35">
        <f t="shared" si="47"/>
        <v>6.9674036119455218E-2</v>
      </c>
      <c r="E771" s="35">
        <f>(Table143454[[#This Row],[USA]]-B759)/B759</f>
        <v>8.0929933821431543E-2</v>
      </c>
      <c r="F771" s="34">
        <f>VLOOKUP(Table143454[[#This Row],[Date]],'Data Core CPI'!$A:$AX,MATCH($B$2,'Data Core CPI'!$B$1:$AX$1,0),FALSE)</f>
        <v>99.831149999999994</v>
      </c>
      <c r="G771" s="35">
        <f t="shared" ref="G771:G834" si="48">(F771/F770)-1</f>
        <v>1.7571586197758116E-2</v>
      </c>
      <c r="H771" s="35">
        <f t="shared" ref="H771:H834" si="49">((1+G771)^12)-1</f>
        <v>0.23247937207800806</v>
      </c>
      <c r="I771" s="35">
        <f>(Table143454[[#This Row],[Core CPI]]-F759)/F759</f>
        <v>7.6089877423316563E-2</v>
      </c>
    </row>
    <row r="772" spans="1:9" x14ac:dyDescent="0.35">
      <c r="A772" s="33">
        <f>IF(Data!A799="",#N/A,Data!A799)</f>
        <v>42156</v>
      </c>
      <c r="B772" s="34">
        <f>VLOOKUP(A772,Data!A:AX,MATCH($B$2,Data!$B$1:$AX$1,0),FALSE)</f>
        <v>99.587459999999993</v>
      </c>
      <c r="C772" s="35">
        <f t="shared" ref="C772:C835" si="50">(B772/B771)-1</f>
        <v>-5.1371754925241264E-3</v>
      </c>
      <c r="D772" s="35">
        <f t="shared" si="47"/>
        <v>-5.9933812283480048E-2</v>
      </c>
      <c r="E772" s="35">
        <f>(Table143454[[#This Row],[USA]]-B760)/B760</f>
        <v>7.2045121128363976E-2</v>
      </c>
      <c r="F772" s="34">
        <f>VLOOKUP(Table143454[[#This Row],[Date]],'Data Core CPI'!$A:$AX,MATCH($B$2,'Data Core CPI'!$B$1:$AX$1,0),FALSE)</f>
        <v>100.158</v>
      </c>
      <c r="G772" s="35">
        <f t="shared" si="48"/>
        <v>3.274028196610157E-3</v>
      </c>
      <c r="H772" s="35">
        <f t="shared" si="49"/>
        <v>4.0003587672438501E-2</v>
      </c>
      <c r="I772" s="35">
        <f>(Table143454[[#This Row],[Core CPI]]-F760)/F760</f>
        <v>7.6673566931873854E-2</v>
      </c>
    </row>
    <row r="773" spans="1:9" x14ac:dyDescent="0.35">
      <c r="A773" s="33">
        <f>IF(Data!A800="",#N/A,Data!A800)</f>
        <v>42186</v>
      </c>
      <c r="B773" s="34">
        <f>VLOOKUP(A773,Data!A:AX,MATCH($B$2,Data!$B$1:$AX$1,0),FALSE)</f>
        <v>99.675730000000001</v>
      </c>
      <c r="C773" s="35">
        <f t="shared" si="50"/>
        <v>8.8635657541624724E-4</v>
      </c>
      <c r="D773" s="35">
        <f t="shared" si="47"/>
        <v>1.0688283853783842E-2</v>
      </c>
      <c r="E773" s="35">
        <f>(Table143454[[#This Row],[USA]]-B761)/B761</f>
        <v>6.8141632560683577E-2</v>
      </c>
      <c r="F773" s="34">
        <f>VLOOKUP(Table143454[[#This Row],[Date]],'Data Core CPI'!$A:$AX,MATCH($B$2,'Data Core CPI'!$B$1:$AX$1,0),FALSE)</f>
        <v>100.2846</v>
      </c>
      <c r="G773" s="35">
        <f t="shared" si="48"/>
        <v>1.2640028754566934E-3</v>
      </c>
      <c r="H773" s="35">
        <f t="shared" si="49"/>
        <v>1.5273928477705256E-2</v>
      </c>
      <c r="I773" s="35">
        <f>(Table143454[[#This Row],[Core CPI]]-F761)/F761</f>
        <v>7.2664556020353072E-2</v>
      </c>
    </row>
    <row r="774" spans="1:9" x14ac:dyDescent="0.35">
      <c r="A774" s="33">
        <f>IF(Data!A801="",#N/A,Data!A801)</f>
        <v>42217</v>
      </c>
      <c r="B774" s="34">
        <f>VLOOKUP(A774,Data!A:AX,MATCH($B$2,Data!$B$1:$AX$1,0),FALSE)</f>
        <v>100.0748</v>
      </c>
      <c r="C774" s="35">
        <f t="shared" si="50"/>
        <v>4.0036827420275589E-3</v>
      </c>
      <c r="D774" s="35">
        <f t="shared" si="47"/>
        <v>4.9116385218713088E-2</v>
      </c>
      <c r="E774" s="35">
        <f>(Table143454[[#This Row],[USA]]-B762)/B762</f>
        <v>7.1404788725940541E-2</v>
      </c>
      <c r="F774" s="34">
        <f>VLOOKUP(Table143454[[#This Row],[Date]],'Data Core CPI'!$A:$AX,MATCH($B$2,'Data Core CPI'!$B$1:$AX$1,0),FALSE)</f>
        <v>100.5787</v>
      </c>
      <c r="G774" s="35">
        <f t="shared" si="48"/>
        <v>2.932653667661933E-3</v>
      </c>
      <c r="H774" s="35">
        <f t="shared" si="49"/>
        <v>3.5765059871636806E-2</v>
      </c>
      <c r="I774" s="35">
        <f>(Table143454[[#This Row],[Core CPI]]-F762)/F762</f>
        <v>7.665709173797905E-2</v>
      </c>
    </row>
    <row r="775" spans="1:9" x14ac:dyDescent="0.35">
      <c r="A775" s="33">
        <f>IF(Data!A802="",#N/A,Data!A802)</f>
        <v>42248</v>
      </c>
      <c r="B775" s="34">
        <f>VLOOKUP(A775,Data!A:AX,MATCH($B$2,Data!$B$1:$AX$1,0),FALSE)</f>
        <v>100.96899999999999</v>
      </c>
      <c r="C775" s="35">
        <f t="shared" si="50"/>
        <v>8.9353163833452154E-3</v>
      </c>
      <c r="D775" s="35">
        <f t="shared" si="47"/>
        <v>0.11265337632787431</v>
      </c>
      <c r="E775" s="35">
        <f>(Table143454[[#This Row],[USA]]-B763)/B763</f>
        <v>7.9470191595294504E-2</v>
      </c>
      <c r="F775" s="34">
        <f>VLOOKUP(Table143454[[#This Row],[Date]],'Data Core CPI'!$A:$AX,MATCH($B$2,'Data Core CPI'!$B$1:$AX$1,0),FALSE)</f>
        <v>101.4162</v>
      </c>
      <c r="G775" s="35">
        <f t="shared" si="48"/>
        <v>8.3268127347042586E-3</v>
      </c>
      <c r="H775" s="35">
        <f t="shared" si="49"/>
        <v>0.10462734418992881</v>
      </c>
      <c r="I775" s="35">
        <f>(Table143454[[#This Row],[Core CPI]]-F763)/F763</f>
        <v>8.4105216235891039E-2</v>
      </c>
    </row>
    <row r="776" spans="1:9" x14ac:dyDescent="0.35">
      <c r="A776" s="33">
        <f>IF(Data!A803="",#N/A,Data!A803)</f>
        <v>42278</v>
      </c>
      <c r="B776" s="34">
        <f>VLOOKUP(A776,Data!A:AX,MATCH($B$2,Data!$B$1:$AX$1,0),FALSE)</f>
        <v>102.5385</v>
      </c>
      <c r="C776" s="35">
        <f t="shared" si="50"/>
        <v>1.5544375006190103E-2</v>
      </c>
      <c r="D776" s="35">
        <f t="shared" si="47"/>
        <v>0.20333586229733758</v>
      </c>
      <c r="E776" s="35">
        <f>(Table143454[[#This Row],[USA]]-B764)/B764</f>
        <v>7.5814109108703134E-2</v>
      </c>
      <c r="F776" s="34">
        <f>VLOOKUP(Table143454[[#This Row],[Date]],'Data Core CPI'!$A:$AX,MATCH($B$2,'Data Core CPI'!$B$1:$AX$1,0),FALSE)</f>
        <v>103.40560000000001</v>
      </c>
      <c r="G776" s="35">
        <f t="shared" si="48"/>
        <v>1.9616195440176343E-2</v>
      </c>
      <c r="H776" s="35">
        <f t="shared" si="49"/>
        <v>0.26252707825877963</v>
      </c>
      <c r="I776" s="35">
        <f>(Table143454[[#This Row],[Core CPI]]-F764)/F764</f>
        <v>8.971550797224942E-2</v>
      </c>
    </row>
    <row r="777" spans="1:9" x14ac:dyDescent="0.35">
      <c r="A777" s="33">
        <f>IF(Data!A804="",#N/A,Data!A804)</f>
        <v>42309</v>
      </c>
      <c r="B777" s="34">
        <f>VLOOKUP(A777,Data!A:AX,MATCH($B$2,Data!$B$1:$AX$1,0),FALSE)</f>
        <v>103.2216</v>
      </c>
      <c r="C777" s="35">
        <f t="shared" si="50"/>
        <v>6.6618879737854186E-3</v>
      </c>
      <c r="D777" s="35">
        <f t="shared" si="47"/>
        <v>8.2937815837668571E-2</v>
      </c>
      <c r="E777" s="35">
        <f>(Table143454[[#This Row],[USA]]-B765)/B765</f>
        <v>8.1022433224178528E-2</v>
      </c>
      <c r="F777" s="34">
        <f>VLOOKUP(Table143454[[#This Row],[Date]],'Data Core CPI'!$A:$AX,MATCH($B$2,'Data Core CPI'!$B$1:$AX$1,0),FALSE)</f>
        <v>104.1572</v>
      </c>
      <c r="G777" s="35">
        <f t="shared" si="48"/>
        <v>7.2684651508234666E-3</v>
      </c>
      <c r="H777" s="35">
        <f t="shared" si="49"/>
        <v>9.0794277646531141E-2</v>
      </c>
      <c r="I777" s="35">
        <f>(Table143454[[#This Row],[Core CPI]]-F765)/F765</f>
        <v>9.1761132678119375E-2</v>
      </c>
    </row>
    <row r="778" spans="1:9" x14ac:dyDescent="0.35">
      <c r="A778" s="33">
        <f>IF(Data!A805="",#N/A,Data!A805)</f>
        <v>42339</v>
      </c>
      <c r="B778" s="34">
        <f>VLOOKUP(A778,Data!A:AX,MATCH($B$2,Data!$B$1:$AX$1,0),FALSE)</f>
        <v>103.4365</v>
      </c>
      <c r="C778" s="35">
        <f t="shared" si="50"/>
        <v>2.0819285885900207E-3</v>
      </c>
      <c r="D778" s="35">
        <f t="shared" si="47"/>
        <v>2.5271209825277641E-2</v>
      </c>
      <c r="E778" s="35">
        <f>(Table143454[[#This Row],[USA]]-B766)/B766</f>
        <v>8.8083348489943966E-2</v>
      </c>
      <c r="F778" s="34">
        <f>VLOOKUP(Table143454[[#This Row],[Date]],'Data Core CPI'!$A:$AX,MATCH($B$2,'Data Core CPI'!$B$1:$AX$1,0),FALSE)</f>
        <v>104.0878</v>
      </c>
      <c r="G778" s="35">
        <f t="shared" si="48"/>
        <v>-6.6630055339433891E-4</v>
      </c>
      <c r="H778" s="35">
        <f t="shared" si="49"/>
        <v>-7.9663704969121785E-3</v>
      </c>
      <c r="I778" s="35">
        <f>(Table143454[[#This Row],[Core CPI]]-F766)/F766</f>
        <v>9.4454733104175431E-2</v>
      </c>
    </row>
    <row r="779" spans="1:9" x14ac:dyDescent="0.35">
      <c r="A779" s="33">
        <f>IF(Data!A806="",#N/A,Data!A806)</f>
        <v>42370</v>
      </c>
      <c r="B779" s="34">
        <f>VLOOKUP(A779,Data!A:AX,MATCH($B$2,Data!$B$1:$AX$1,0),FALSE)</f>
        <v>105.3169</v>
      </c>
      <c r="C779" s="35">
        <f t="shared" si="50"/>
        <v>1.817926940683412E-2</v>
      </c>
      <c r="D779" s="35">
        <f t="shared" si="47"/>
        <v>0.24134072687830943</v>
      </c>
      <c r="E779" s="35">
        <f>(Table143454[[#This Row],[USA]]-B767)/B767</f>
        <v>9.5787803789111087E-2</v>
      </c>
      <c r="F779" s="34">
        <f>VLOOKUP(Table143454[[#This Row],[Date]],'Data Core CPI'!$A:$AX,MATCH($B$2,'Data Core CPI'!$B$1:$AX$1,0),FALSE)</f>
        <v>105.2602</v>
      </c>
      <c r="G779" s="35">
        <f t="shared" si="48"/>
        <v>1.1263567872507485E-2</v>
      </c>
      <c r="H779" s="35">
        <f t="shared" si="49"/>
        <v>0.14385858955799158</v>
      </c>
      <c r="I779" s="35">
        <f>(Table143454[[#This Row],[Core CPI]]-F767)/F767</f>
        <v>9.81033394024831E-2</v>
      </c>
    </row>
    <row r="780" spans="1:9" x14ac:dyDescent="0.35">
      <c r="A780" s="33">
        <f>IF(Data!A807="",#N/A,Data!A807)</f>
        <v>42401</v>
      </c>
      <c r="B780" s="34">
        <f>VLOOKUP(A780,Data!A:AX,MATCH($B$2,Data!$B$1:$AX$1,0),FALSE)</f>
        <v>105.29389999999999</v>
      </c>
      <c r="C780" s="35">
        <f t="shared" si="50"/>
        <v>-2.183885017504883E-4</v>
      </c>
      <c r="D780" s="35">
        <f t="shared" si="47"/>
        <v>-2.6175165378510279E-3</v>
      </c>
      <c r="E780" s="35">
        <f>(Table143454[[#This Row],[USA]]-B768)/B768</f>
        <v>8.7773982802670958E-2</v>
      </c>
      <c r="F780" s="34">
        <f>VLOOKUP(Table143454[[#This Row],[Date]],'Data Core CPI'!$A:$AX,MATCH($B$2,'Data Core CPI'!$B$1:$AX$1,0),FALSE)</f>
        <v>105.4032</v>
      </c>
      <c r="G780" s="35">
        <f t="shared" si="48"/>
        <v>1.3585381749228187E-3</v>
      </c>
      <c r="H780" s="35">
        <f t="shared" si="49"/>
        <v>1.6424822720815246E-2</v>
      </c>
      <c r="I780" s="35">
        <f>(Table143454[[#This Row],[Core CPI]]-F768)/F768</f>
        <v>0.100392412659265</v>
      </c>
    </row>
    <row r="781" spans="1:9" x14ac:dyDescent="0.35">
      <c r="A781" s="33">
        <f>IF(Data!A808="",#N/A,Data!A808)</f>
        <v>42430</v>
      </c>
      <c r="B781" s="34">
        <f>VLOOKUP(A781,Data!A:AX,MATCH($B$2,Data!$B$1:$AX$1,0),FALSE)</f>
        <v>105.2516</v>
      </c>
      <c r="C781" s="35">
        <f t="shared" si="50"/>
        <v>-4.0173267397258794E-4</v>
      </c>
      <c r="D781" s="35">
        <f t="shared" si="47"/>
        <v>-4.8101546552219432E-3</v>
      </c>
      <c r="E781" s="35">
        <f>(Table143454[[#This Row],[USA]]-B769)/B769</f>
        <v>7.4598899933748547E-2</v>
      </c>
      <c r="F781" s="34">
        <f>VLOOKUP(Table143454[[#This Row],[Date]],'Data Core CPI'!$A:$AX,MATCH($B$2,'Data Core CPI'!$B$1:$AX$1,0),FALSE)</f>
        <v>105.8117</v>
      </c>
      <c r="G781" s="35">
        <f t="shared" si="48"/>
        <v>3.8755939098622516E-3</v>
      </c>
      <c r="H781" s="35">
        <f t="shared" si="49"/>
        <v>4.7511381054795354E-2</v>
      </c>
      <c r="I781" s="35">
        <f>(Table143454[[#This Row],[Core CPI]]-F769)/F769</f>
        <v>9.8426620757926048E-2</v>
      </c>
    </row>
    <row r="782" spans="1:9" x14ac:dyDescent="0.35">
      <c r="A782" s="33">
        <f>IF(Data!A809="",#N/A,Data!A809)</f>
        <v>42461</v>
      </c>
      <c r="B782" s="34">
        <f>VLOOKUP(A782,Data!A:AX,MATCH($B$2,Data!$B$1:$AX$1,0),FALSE)</f>
        <v>106.0767</v>
      </c>
      <c r="C782" s="35">
        <f t="shared" si="50"/>
        <v>7.8393107563210496E-3</v>
      </c>
      <c r="D782" s="35">
        <f t="shared" si="47"/>
        <v>9.8235626458013536E-2</v>
      </c>
      <c r="E782" s="35">
        <f>(Table143454[[#This Row],[USA]]-B770)/B770</f>
        <v>6.5653875542462631E-2</v>
      </c>
      <c r="F782" s="34">
        <f>VLOOKUP(Table143454[[#This Row],[Date]],'Data Core CPI'!$A:$AX,MATCH($B$2,'Data Core CPI'!$B$1:$AX$1,0),FALSE)</f>
        <v>107.5928</v>
      </c>
      <c r="G782" s="35">
        <f t="shared" si="48"/>
        <v>1.683273210807501E-2</v>
      </c>
      <c r="H782" s="35">
        <f t="shared" si="49"/>
        <v>0.22178338216462512</v>
      </c>
      <c r="I782" s="35">
        <f>(Table143454[[#This Row],[Core CPI]]-F770)/F770</f>
        <v>9.6685515086805549E-2</v>
      </c>
    </row>
    <row r="783" spans="1:9" x14ac:dyDescent="0.35">
      <c r="A783" s="33">
        <f>IF(Data!A810="",#N/A,Data!A810)</f>
        <v>42491</v>
      </c>
      <c r="B783" s="34">
        <f>VLOOKUP(A783,Data!A:AX,MATCH($B$2,Data!$B$1:$AX$1,0),FALSE)</f>
        <v>106.69070000000001</v>
      </c>
      <c r="C783" s="35">
        <f t="shared" si="50"/>
        <v>5.7882645293452217E-3</v>
      </c>
      <c r="D783" s="35">
        <f t="shared" si="47"/>
        <v>7.1713664204158478E-2</v>
      </c>
      <c r="E783" s="35">
        <f>(Table143454[[#This Row],[USA]]-B771)/B771</f>
        <v>6.582305795006492E-2</v>
      </c>
      <c r="F783" s="34">
        <f>VLOOKUP(Table143454[[#This Row],[Date]],'Data Core CPI'!$A:$AX,MATCH($B$2,'Data Core CPI'!$B$1:$AX$1,0),FALSE)</f>
        <v>108.9409</v>
      </c>
      <c r="G783" s="35">
        <f t="shared" si="48"/>
        <v>1.2529648824084916E-2</v>
      </c>
      <c r="H783" s="35">
        <f t="shared" si="49"/>
        <v>0.1611624649794543</v>
      </c>
      <c r="I783" s="35">
        <f>(Table143454[[#This Row],[Core CPI]]-F771)/F771</f>
        <v>9.1251578289942625E-2</v>
      </c>
    </row>
    <row r="784" spans="1:9" x14ac:dyDescent="0.35">
      <c r="A784" s="33">
        <f>IF(Data!A811="",#N/A,Data!A811)</f>
        <v>42522</v>
      </c>
      <c r="B784" s="34">
        <f>VLOOKUP(A784,Data!A:AX,MATCH($B$2,Data!$B$1:$AX$1,0),FALSE)</f>
        <v>107.1934</v>
      </c>
      <c r="C784" s="35">
        <f t="shared" si="50"/>
        <v>4.7117508836289623E-3</v>
      </c>
      <c r="D784" s="35">
        <f t="shared" si="47"/>
        <v>5.8029508593063328E-2</v>
      </c>
      <c r="E784" s="35">
        <f>(Table143454[[#This Row],[USA]]-B772)/B772</f>
        <v>7.6374475260238633E-2</v>
      </c>
      <c r="F784" s="34">
        <f>VLOOKUP(Table143454[[#This Row],[Date]],'Data Core CPI'!$A:$AX,MATCH($B$2,'Data Core CPI'!$B$1:$AX$1,0),FALSE)</f>
        <v>109.20229999999999</v>
      </c>
      <c r="G784" s="35">
        <f t="shared" si="48"/>
        <v>2.3994661325543731E-3</v>
      </c>
      <c r="H784" s="35">
        <f t="shared" si="49"/>
        <v>2.9176640202631887E-2</v>
      </c>
      <c r="I784" s="35">
        <f>(Table143454[[#This Row],[Core CPI]]-F772)/F772</f>
        <v>9.0300325485732469E-2</v>
      </c>
    </row>
    <row r="785" spans="1:9" x14ac:dyDescent="0.35">
      <c r="A785" s="33">
        <f>IF(Data!A812="",#N/A,Data!A812)</f>
        <v>42552</v>
      </c>
      <c r="B785" s="34">
        <f>VLOOKUP(A785,Data!A:AX,MATCH($B$2,Data!$B$1:$AX$1,0),FALSE)</f>
        <v>108.4406</v>
      </c>
      <c r="C785" s="35">
        <f t="shared" si="50"/>
        <v>1.1635044694916052E-2</v>
      </c>
      <c r="D785" s="35">
        <f t="shared" si="47"/>
        <v>0.14891099932511964</v>
      </c>
      <c r="E785" s="35">
        <f>(Table143454[[#This Row],[USA]]-B773)/B773</f>
        <v>8.7933843072932616E-2</v>
      </c>
      <c r="F785" s="34">
        <f>VLOOKUP(Table143454[[#This Row],[Date]],'Data Core CPI'!$A:$AX,MATCH($B$2,'Data Core CPI'!$B$1:$AX$1,0),FALSE)</f>
        <v>110.0275</v>
      </c>
      <c r="G785" s="35">
        <f t="shared" si="48"/>
        <v>7.5566173972527739E-3</v>
      </c>
      <c r="H785" s="35">
        <f t="shared" si="49"/>
        <v>9.4544735613708353E-2</v>
      </c>
      <c r="I785" s="35">
        <f>(Table143454[[#This Row],[Core CPI]]-F773)/F773</f>
        <v>9.7152503973690935E-2</v>
      </c>
    </row>
    <row r="786" spans="1:9" x14ac:dyDescent="0.35">
      <c r="A786" s="33">
        <f>IF(Data!A813="",#N/A,Data!A813)</f>
        <v>42583</v>
      </c>
      <c r="B786" s="34">
        <f>VLOOKUP(A786,Data!A:AX,MATCH($B$2,Data!$B$1:$AX$1,0),FALSE)</f>
        <v>108.1259</v>
      </c>
      <c r="C786" s="35">
        <f t="shared" si="50"/>
        <v>-2.9020496013485442E-3</v>
      </c>
      <c r="D786" s="35">
        <f t="shared" si="47"/>
        <v>-3.4274092369071196E-2</v>
      </c>
      <c r="E786" s="35">
        <f>(Table143454[[#This Row],[USA]]-B774)/B774</f>
        <v>8.0450822784557202E-2</v>
      </c>
      <c r="F786" s="34">
        <f>VLOOKUP(Table143454[[#This Row],[Date]],'Data Core CPI'!$A:$AX,MATCH($B$2,'Data Core CPI'!$B$1:$AX$1,0),FALSE)</f>
        <v>110.3747</v>
      </c>
      <c r="G786" s="35">
        <f t="shared" si="48"/>
        <v>3.1555747426779135E-3</v>
      </c>
      <c r="H786" s="35">
        <f t="shared" si="49"/>
        <v>3.8531064136940518E-2</v>
      </c>
      <c r="I786" s="35">
        <f>(Table143454[[#This Row],[Core CPI]]-F774)/F774</f>
        <v>9.7396367222881253E-2</v>
      </c>
    </row>
    <row r="787" spans="1:9" x14ac:dyDescent="0.35">
      <c r="A787" s="33">
        <f>IF(Data!A814="",#N/A,Data!A814)</f>
        <v>42614</v>
      </c>
      <c r="B787" s="34">
        <f>VLOOKUP(A787,Data!A:AX,MATCH($B$2,Data!$B$1:$AX$1,0),FALSE)</f>
        <v>108.32170000000001</v>
      </c>
      <c r="C787" s="35">
        <f t="shared" si="50"/>
        <v>1.8108519790356326E-3</v>
      </c>
      <c r="D787" s="35">
        <f t="shared" si="47"/>
        <v>2.1947961675441219E-2</v>
      </c>
      <c r="E787" s="35">
        <f>(Table143454[[#This Row],[USA]]-B775)/B775</f>
        <v>7.2821361011795829E-2</v>
      </c>
      <c r="F787" s="34">
        <f>VLOOKUP(Table143454[[#This Row],[Date]],'Data Core CPI'!$A:$AX,MATCH($B$2,'Data Core CPI'!$B$1:$AX$1,0),FALSE)</f>
        <v>110.4973</v>
      </c>
      <c r="G787" s="35">
        <f t="shared" si="48"/>
        <v>1.1107617959549287E-3</v>
      </c>
      <c r="H787" s="35">
        <f t="shared" si="49"/>
        <v>1.3410874061682287E-2</v>
      </c>
      <c r="I787" s="35">
        <f>(Table143454[[#This Row],[Core CPI]]-F775)/F775</f>
        <v>8.9542893541662893E-2</v>
      </c>
    </row>
    <row r="788" spans="1:9" x14ac:dyDescent="0.35">
      <c r="A788" s="33">
        <f>IF(Data!A815="",#N/A,Data!A815)</f>
        <v>42644</v>
      </c>
      <c r="B788" s="34">
        <f>VLOOKUP(A788,Data!A:AX,MATCH($B$2,Data!$B$1:$AX$1,0),FALSE)</f>
        <v>109.8797</v>
      </c>
      <c r="C788" s="35">
        <f t="shared" si="50"/>
        <v>1.4383082983372653E-2</v>
      </c>
      <c r="D788" s="35">
        <f t="shared" si="47"/>
        <v>0.18692690284663382</v>
      </c>
      <c r="E788" s="35">
        <f>(Table143454[[#This Row],[USA]]-B776)/B776</f>
        <v>7.1594571794984324E-2</v>
      </c>
      <c r="F788" s="34">
        <f>VLOOKUP(Table143454[[#This Row],[Date]],'Data Core CPI'!$A:$AX,MATCH($B$2,'Data Core CPI'!$B$1:$AX$1,0),FALSE)</f>
        <v>112.02509999999999</v>
      </c>
      <c r="G788" s="35">
        <f t="shared" si="48"/>
        <v>1.3826582187981051E-2</v>
      </c>
      <c r="H788" s="35">
        <f t="shared" si="49"/>
        <v>0.17913651624794413</v>
      </c>
      <c r="I788" s="35">
        <f>(Table143454[[#This Row],[Core CPI]]-F776)/F776</f>
        <v>8.3356220552851953E-2</v>
      </c>
    </row>
    <row r="789" spans="1:9" x14ac:dyDescent="0.35">
      <c r="A789" s="33">
        <f>IF(Data!A816="",#N/A,Data!A816)</f>
        <v>42675</v>
      </c>
      <c r="B789" s="34">
        <f>VLOOKUP(A789,Data!A:AX,MATCH($B$2,Data!$B$1:$AX$1,0),FALSE)</f>
        <v>110.44759999999999</v>
      </c>
      <c r="C789" s="35">
        <f t="shared" si="50"/>
        <v>5.1683796005994598E-3</v>
      </c>
      <c r="D789" s="35">
        <f t="shared" si="47"/>
        <v>6.3814285969536089E-2</v>
      </c>
      <c r="E789" s="35">
        <f>(Table143454[[#This Row],[USA]]-B777)/B777</f>
        <v>7.0004727692653465E-2</v>
      </c>
      <c r="F789" s="34">
        <f>VLOOKUP(Table143454[[#This Row],[Date]],'Data Core CPI'!$A:$AX,MATCH($B$2,'Data Core CPI'!$B$1:$AX$1,0),FALSE)</f>
        <v>112.91970000000001</v>
      </c>
      <c r="G789" s="35">
        <f t="shared" si="48"/>
        <v>7.9857103452709577E-3</v>
      </c>
      <c r="H789" s="35">
        <f t="shared" si="49"/>
        <v>0.10015152426223839</v>
      </c>
      <c r="I789" s="35">
        <f>(Table143454[[#This Row],[Core CPI]]-F777)/F777</f>
        <v>8.4127645520424926E-2</v>
      </c>
    </row>
    <row r="790" spans="1:9" x14ac:dyDescent="0.35">
      <c r="A790" s="33">
        <f>IF(Data!A817="",#N/A,Data!A817)</f>
        <v>42705</v>
      </c>
      <c r="B790" s="34">
        <f>VLOOKUP(A790,Data!A:AX,MATCH($B$2,Data!$B$1:$AX$1,0),FALSE)</f>
        <v>112.2628</v>
      </c>
      <c r="C790" s="35">
        <f t="shared" si="50"/>
        <v>1.6434942905051875E-2</v>
      </c>
      <c r="D790" s="35">
        <f t="shared" si="47"/>
        <v>0.2160601059179077</v>
      </c>
      <c r="E790" s="35">
        <f>(Table143454[[#This Row],[USA]]-B778)/B778</f>
        <v>8.5330613468166491E-2</v>
      </c>
      <c r="F790" s="34">
        <f>VLOOKUP(Table143454[[#This Row],[Date]],'Data Core CPI'!$A:$AX,MATCH($B$2,'Data Core CPI'!$B$1:$AX$1,0),FALSE)</f>
        <v>113.9819</v>
      </c>
      <c r="G790" s="35">
        <f t="shared" si="48"/>
        <v>9.4066845731965998E-3</v>
      </c>
      <c r="H790" s="35">
        <f t="shared" si="49"/>
        <v>0.11890732532120363</v>
      </c>
      <c r="I790" s="35">
        <f>(Table143454[[#This Row],[Core CPI]]-F778)/F778</f>
        <v>9.5055328290154992E-2</v>
      </c>
    </row>
    <row r="791" spans="1:9" x14ac:dyDescent="0.35">
      <c r="A791" s="33">
        <f>IF(Data!A818="",#N/A,Data!A818)</f>
        <v>42736</v>
      </c>
      <c r="B791" s="34">
        <f>VLOOKUP(A791,Data!A:AX,MATCH($B$2,Data!$B$1:$AX$1,0),FALSE)</f>
        <v>115.0258</v>
      </c>
      <c r="C791" s="35">
        <f t="shared" si="50"/>
        <v>2.461189280865983E-2</v>
      </c>
      <c r="D791" s="35">
        <f t="shared" si="47"/>
        <v>0.33879077081325071</v>
      </c>
      <c r="E791" s="35">
        <f>(Table143454[[#This Row],[USA]]-B779)/B779</f>
        <v>9.2187483680207072E-2</v>
      </c>
      <c r="F791" s="34">
        <f>VLOOKUP(Table143454[[#This Row],[Date]],'Data Core CPI'!$A:$AX,MATCH($B$2,'Data Core CPI'!$B$1:$AX$1,0),FALSE)</f>
        <v>115.1747</v>
      </c>
      <c r="G791" s="35">
        <f t="shared" si="48"/>
        <v>1.0464819414310655E-2</v>
      </c>
      <c r="H791" s="35">
        <f t="shared" si="49"/>
        <v>0.13306381766551412</v>
      </c>
      <c r="I791" s="35">
        <f>(Table143454[[#This Row],[Core CPI]]-F779)/F779</f>
        <v>9.4190396750148717E-2</v>
      </c>
    </row>
    <row r="792" spans="1:9" x14ac:dyDescent="0.35">
      <c r="A792" s="33">
        <f>IF(Data!A819="",#N/A,Data!A819)</f>
        <v>42767</v>
      </c>
      <c r="B792" s="34">
        <f>VLOOKUP(A792,Data!A:AX,MATCH($B$2,Data!$B$1:$AX$1,0),FALSE)</f>
        <v>115.95829999999999</v>
      </c>
      <c r="C792" s="35">
        <f t="shared" si="50"/>
        <v>8.1068768919667633E-3</v>
      </c>
      <c r="D792" s="35">
        <f t="shared" si="47"/>
        <v>0.10173951971296491</v>
      </c>
      <c r="E792" s="35">
        <f>(Table143454[[#This Row],[USA]]-B780)/B780</f>
        <v>0.10128222052749496</v>
      </c>
      <c r="F792" s="34">
        <f>VLOOKUP(Table143454[[#This Row],[Date]],'Data Core CPI'!$A:$AX,MATCH($B$2,'Data Core CPI'!$B$1:$AX$1,0),FALSE)</f>
        <v>115.9631</v>
      </c>
      <c r="G792" s="35">
        <f t="shared" si="48"/>
        <v>6.845253341228652E-3</v>
      </c>
      <c r="H792" s="35">
        <f t="shared" si="49"/>
        <v>8.5307298796976072E-2</v>
      </c>
      <c r="I792" s="35">
        <f>(Table143454[[#This Row],[Core CPI]]-F780)/F780</f>
        <v>0.1001857628610896</v>
      </c>
    </row>
    <row r="793" spans="1:9" x14ac:dyDescent="0.35">
      <c r="A793" s="33">
        <f>IF(Data!A820="",#N/A,Data!A820)</f>
        <v>42795</v>
      </c>
      <c r="B793" s="34">
        <f>VLOOKUP(A793,Data!A:AX,MATCH($B$2,Data!$B$1:$AX$1,0),FALSE)</f>
        <v>117.13639999999999</v>
      </c>
      <c r="C793" s="35">
        <f t="shared" si="50"/>
        <v>1.0159686714965588E-2</v>
      </c>
      <c r="D793" s="35">
        <f t="shared" si="47"/>
        <v>0.1289647791392019</v>
      </c>
      <c r="E793" s="35">
        <f>(Table143454[[#This Row],[USA]]-B781)/B781</f>
        <v>0.11291799839622389</v>
      </c>
      <c r="F793" s="34">
        <f>VLOOKUP(Table143454[[#This Row],[Date]],'Data Core CPI'!$A:$AX,MATCH($B$2,'Data Core CPI'!$B$1:$AX$1,0),FALSE)</f>
        <v>117.22539999999999</v>
      </c>
      <c r="G793" s="35">
        <f t="shared" si="48"/>
        <v>1.0885359222028379E-2</v>
      </c>
      <c r="H793" s="35">
        <f t="shared" si="49"/>
        <v>0.13873555198859178</v>
      </c>
      <c r="I793" s="35">
        <f>(Table143454[[#This Row],[Core CPI]]-F781)/F781</f>
        <v>0.10786803349724076</v>
      </c>
    </row>
    <row r="794" spans="1:9" x14ac:dyDescent="0.35">
      <c r="A794" s="33">
        <f>IF(Data!A821="",#N/A,Data!A821)</f>
        <v>42826</v>
      </c>
      <c r="B794" s="34">
        <f>VLOOKUP(A794,Data!A:AX,MATCH($B$2,Data!$B$1:$AX$1,0),FALSE)</f>
        <v>118.66759999999999</v>
      </c>
      <c r="C794" s="35">
        <f t="shared" si="50"/>
        <v>1.307194006303769E-2</v>
      </c>
      <c r="D794" s="35">
        <f t="shared" si="47"/>
        <v>0.1686472403596615</v>
      </c>
      <c r="E794" s="35">
        <f>(Table143454[[#This Row],[USA]]-B782)/B782</f>
        <v>0.11869618870119442</v>
      </c>
      <c r="F794" s="34">
        <f>VLOOKUP(Table143454[[#This Row],[Date]],'Data Core CPI'!$A:$AX,MATCH($B$2,'Data Core CPI'!$B$1:$AX$1,0),FALSE)</f>
        <v>119.2189</v>
      </c>
      <c r="G794" s="35">
        <f t="shared" si="48"/>
        <v>1.7005700129835377E-2</v>
      </c>
      <c r="H794" s="35">
        <f t="shared" si="49"/>
        <v>0.22427968986399738</v>
      </c>
      <c r="I794" s="35">
        <f>(Table143454[[#This Row],[Core CPI]]-F782)/F782</f>
        <v>0.10805648705117822</v>
      </c>
    </row>
    <row r="795" spans="1:9" x14ac:dyDescent="0.35">
      <c r="A795" s="33">
        <f>IF(Data!A822="",#N/A,Data!A822)</f>
        <v>42856</v>
      </c>
      <c r="B795" s="34">
        <f>VLOOKUP(A795,Data!A:AX,MATCH($B$2,Data!$B$1:$AX$1,0),FALSE)</f>
        <v>119.1972</v>
      </c>
      <c r="C795" s="35">
        <f t="shared" si="50"/>
        <v>4.4628862469622277E-3</v>
      </c>
      <c r="D795" s="35">
        <f t="shared" si="47"/>
        <v>5.4888933635572679E-2</v>
      </c>
      <c r="E795" s="35">
        <f>(Table143454[[#This Row],[USA]]-B783)/B783</f>
        <v>0.11722202591228652</v>
      </c>
      <c r="F795" s="34">
        <f>VLOOKUP(Table143454[[#This Row],[Date]],'Data Core CPI'!$A:$AX,MATCH($B$2,'Data Core CPI'!$B$1:$AX$1,0),FALSE)</f>
        <v>120.518</v>
      </c>
      <c r="G795" s="35">
        <f t="shared" si="48"/>
        <v>1.0896762174453789E-2</v>
      </c>
      <c r="H795" s="35">
        <f t="shared" si="49"/>
        <v>0.13888970303451287</v>
      </c>
      <c r="I795" s="35">
        <f>(Table143454[[#This Row],[Core CPI]]-F783)/F783</f>
        <v>0.10626954614841627</v>
      </c>
    </row>
    <row r="796" spans="1:9" x14ac:dyDescent="0.35">
      <c r="A796" s="33">
        <f>IF(Data!A823="",#N/A,Data!A823)</f>
        <v>42887</v>
      </c>
      <c r="B796" s="34">
        <f>VLOOKUP(A796,Data!A:AX,MATCH($B$2,Data!$B$1:$AX$1,0),FALSE)</f>
        <v>118.87869999999999</v>
      </c>
      <c r="C796" s="35">
        <f t="shared" si="50"/>
        <v>-2.6720426318739277E-3</v>
      </c>
      <c r="D796" s="35">
        <f t="shared" si="47"/>
        <v>-3.1597456009856306E-2</v>
      </c>
      <c r="E796" s="35">
        <f>(Table143454[[#This Row],[USA]]-B784)/B784</f>
        <v>0.1090113757003696</v>
      </c>
      <c r="F796" s="34">
        <f>VLOOKUP(Table143454[[#This Row],[Date]],'Data Core CPI'!$A:$AX,MATCH($B$2,'Data Core CPI'!$B$1:$AX$1,0),FALSE)</f>
        <v>120.61190000000001</v>
      </c>
      <c r="G796" s="35">
        <f t="shared" si="48"/>
        <v>7.7913672646423571E-4</v>
      </c>
      <c r="H796" s="35">
        <f t="shared" si="49"/>
        <v>9.3898105219372141E-3</v>
      </c>
      <c r="I796" s="35">
        <f>(Table143454[[#This Row],[Core CPI]]-F784)/F784</f>
        <v>0.1044813158697208</v>
      </c>
    </row>
    <row r="797" spans="1:9" x14ac:dyDescent="0.35">
      <c r="A797" s="33">
        <f>IF(Data!A824="",#N/A,Data!A824)</f>
        <v>42917</v>
      </c>
      <c r="B797" s="34">
        <f>VLOOKUP(A797,Data!A:AX,MATCH($B$2,Data!$B$1:$AX$1,0),FALSE)</f>
        <v>119.0552</v>
      </c>
      <c r="C797" s="35">
        <f t="shared" si="50"/>
        <v>1.4847066800023345E-3</v>
      </c>
      <c r="D797" s="35">
        <f t="shared" si="47"/>
        <v>1.7962689950316024E-2</v>
      </c>
      <c r="E797" s="35">
        <f>(Table143454[[#This Row],[USA]]-B785)/B785</f>
        <v>9.7884002855019206E-2</v>
      </c>
      <c r="F797" s="34">
        <f>VLOOKUP(Table143454[[#This Row],[Date]],'Data Core CPI'!$A:$AX,MATCH($B$2,'Data Core CPI'!$B$1:$AX$1,0),FALSE)</f>
        <v>121.1553</v>
      </c>
      <c r="G797" s="35">
        <f t="shared" si="48"/>
        <v>4.5053597530591016E-3</v>
      </c>
      <c r="H797" s="35">
        <f t="shared" si="49"/>
        <v>5.542432727211577E-2</v>
      </c>
      <c r="I797" s="35">
        <f>(Table143454[[#This Row],[Core CPI]]-F785)/F785</f>
        <v>0.10113653404830604</v>
      </c>
    </row>
    <row r="798" spans="1:9" x14ac:dyDescent="0.35">
      <c r="A798" s="33">
        <f>IF(Data!A825="",#N/A,Data!A825)</f>
        <v>42948</v>
      </c>
      <c r="B798" s="34">
        <f>VLOOKUP(A798,Data!A:AX,MATCH($B$2,Data!$B$1:$AX$1,0),FALSE)</f>
        <v>119.673</v>
      </c>
      <c r="C798" s="35">
        <f t="shared" si="50"/>
        <v>5.1891895524094345E-3</v>
      </c>
      <c r="D798" s="35">
        <f t="shared" si="47"/>
        <v>6.4078605206922656E-2</v>
      </c>
      <c r="E798" s="35">
        <f>(Table143454[[#This Row],[USA]]-B786)/B786</f>
        <v>0.10679309952564557</v>
      </c>
      <c r="F798" s="34">
        <f>VLOOKUP(Table143454[[#This Row],[Date]],'Data Core CPI'!$A:$AX,MATCH($B$2,'Data Core CPI'!$B$1:$AX$1,0),FALSE)</f>
        <v>121.7231</v>
      </c>
      <c r="G798" s="35">
        <f t="shared" si="48"/>
        <v>4.6865469360399814E-3</v>
      </c>
      <c r="H798" s="35">
        <f t="shared" si="49"/>
        <v>5.7711054970798203E-2</v>
      </c>
      <c r="I798" s="35">
        <f>(Table143454[[#This Row],[Core CPI]]-F786)/F786</f>
        <v>0.10281704049931731</v>
      </c>
    </row>
    <row r="799" spans="1:9" x14ac:dyDescent="0.35">
      <c r="A799" s="33">
        <f>IF(Data!A826="",#N/A,Data!A826)</f>
        <v>42979</v>
      </c>
      <c r="B799" s="34">
        <f>VLOOKUP(A799,Data!A:AX,MATCH($B$2,Data!$B$1:$AX$1,0),FALSE)</f>
        <v>120.4521</v>
      </c>
      <c r="C799" s="35">
        <f t="shared" si="50"/>
        <v>6.5102404051038398E-3</v>
      </c>
      <c r="D799" s="35">
        <f t="shared" si="47"/>
        <v>8.0981780074049103E-2</v>
      </c>
      <c r="E799" s="35">
        <f>(Table143454[[#This Row],[USA]]-B787)/B787</f>
        <v>0.11198494853755059</v>
      </c>
      <c r="F799" s="34">
        <f>VLOOKUP(Table143454[[#This Row],[Date]],'Data Core CPI'!$A:$AX,MATCH($B$2,'Data Core CPI'!$B$1:$AX$1,0),FALSE)</f>
        <v>122.6994</v>
      </c>
      <c r="G799" s="35">
        <f t="shared" si="48"/>
        <v>8.0206632923414123E-3</v>
      </c>
      <c r="H799" s="35">
        <f t="shared" si="49"/>
        <v>0.10060939828452886</v>
      </c>
      <c r="I799" s="35">
        <f>(Table143454[[#This Row],[Core CPI]]-F787)/F787</f>
        <v>0.11042894260764745</v>
      </c>
    </row>
    <row r="800" spans="1:9" x14ac:dyDescent="0.35">
      <c r="A800" s="33">
        <f>IF(Data!A827="",#N/A,Data!A827)</f>
        <v>43009</v>
      </c>
      <c r="B800" s="34">
        <f>VLOOKUP(A800,Data!A:AX,MATCH($B$2,Data!$B$1:$AX$1,0),FALSE)</f>
        <v>122.9541</v>
      </c>
      <c r="C800" s="35">
        <f t="shared" si="50"/>
        <v>2.0771742460280906E-2</v>
      </c>
      <c r="D800" s="35">
        <f t="shared" si="47"/>
        <v>0.27980460968168641</v>
      </c>
      <c r="E800" s="35">
        <f>(Table143454[[#This Row],[USA]]-B788)/B788</f>
        <v>0.11898831176277326</v>
      </c>
      <c r="F800" s="34">
        <f>VLOOKUP(Table143454[[#This Row],[Date]],'Data Core CPI'!$A:$AX,MATCH($B$2,'Data Core CPI'!$B$1:$AX$1,0),FALSE)</f>
        <v>125.2894</v>
      </c>
      <c r="G800" s="35">
        <f t="shared" si="48"/>
        <v>2.110849767806533E-2</v>
      </c>
      <c r="H800" s="35">
        <f t="shared" si="49"/>
        <v>0.28488034274153651</v>
      </c>
      <c r="I800" s="35">
        <f>(Table143454[[#This Row],[Core CPI]]-F788)/F788</f>
        <v>0.11840471465769731</v>
      </c>
    </row>
    <row r="801" spans="1:9" x14ac:dyDescent="0.35">
      <c r="A801" s="33">
        <f>IF(Data!A828="",#N/A,Data!A828)</f>
        <v>43040</v>
      </c>
      <c r="B801" s="34">
        <f>VLOOKUP(A801,Data!A:AX,MATCH($B$2,Data!$B$1:$AX$1,0),FALSE)</f>
        <v>124.7885</v>
      </c>
      <c r="C801" s="35">
        <f t="shared" si="50"/>
        <v>1.4919388617378404E-2</v>
      </c>
      <c r="D801" s="35">
        <f t="shared" si="47"/>
        <v>0.19447919595353369</v>
      </c>
      <c r="E801" s="35">
        <f>(Table143454[[#This Row],[USA]]-B789)/B789</f>
        <v>0.12984347328506918</v>
      </c>
      <c r="F801" s="34">
        <f>VLOOKUP(Table143454[[#This Row],[Date]],'Data Core CPI'!$A:$AX,MATCH($B$2,'Data Core CPI'!$B$1:$AX$1,0),FALSE)</f>
        <v>126.64149999999999</v>
      </c>
      <c r="G801" s="35">
        <f t="shared" si="48"/>
        <v>1.0791814790397147E-2</v>
      </c>
      <c r="H801" s="35">
        <f t="shared" si="49"/>
        <v>0.13747169150359739</v>
      </c>
      <c r="I801" s="35">
        <f>(Table143454[[#This Row],[Core CPI]]-F789)/F789</f>
        <v>0.12151821161409379</v>
      </c>
    </row>
    <row r="802" spans="1:9" x14ac:dyDescent="0.35">
      <c r="A802" s="33">
        <f>IF(Data!A829="",#N/A,Data!A829)</f>
        <v>43070</v>
      </c>
      <c r="B802" s="34">
        <f>VLOOKUP(A802,Data!A:AX,MATCH($B$2,Data!$B$1:$AX$1,0),FALSE)</f>
        <v>125.6442</v>
      </c>
      <c r="C802" s="35">
        <f t="shared" si="50"/>
        <v>6.8572023864379439E-3</v>
      </c>
      <c r="D802" s="35">
        <f t="shared" si="47"/>
        <v>8.5461871497649611E-2</v>
      </c>
      <c r="E802" s="35">
        <f>(Table143454[[#This Row],[USA]]-B790)/B790</f>
        <v>0.11919709823735021</v>
      </c>
      <c r="F802" s="34">
        <f>VLOOKUP(Table143454[[#This Row],[Date]],'Data Core CPI'!$A:$AX,MATCH($B$2,'Data Core CPI'!$B$1:$AX$1,0),FALSE)</f>
        <v>127.193</v>
      </c>
      <c r="G802" s="35">
        <f t="shared" si="48"/>
        <v>4.3548126009247401E-3</v>
      </c>
      <c r="H802" s="35">
        <f t="shared" si="49"/>
        <v>5.3527749410666514E-2</v>
      </c>
      <c r="I802" s="35">
        <f>(Table143454[[#This Row],[Core CPI]]-F790)/F790</f>
        <v>0.11590524460462584</v>
      </c>
    </row>
    <row r="803" spans="1:9" x14ac:dyDescent="0.35">
      <c r="A803" s="33">
        <f>IF(Data!A830="",#N/A,Data!A830)</f>
        <v>43101</v>
      </c>
      <c r="B803" s="34">
        <f>VLOOKUP(A803,Data!A:AX,MATCH($B$2,Data!$B$1:$AX$1,0),FALSE)</f>
        <v>126.926</v>
      </c>
      <c r="C803" s="35">
        <f t="shared" si="50"/>
        <v>1.0201823880449767E-2</v>
      </c>
      <c r="D803" s="35">
        <f t="shared" si="47"/>
        <v>0.12953002392409396</v>
      </c>
      <c r="E803" s="35">
        <f>(Table143454[[#This Row],[USA]]-B791)/B791</f>
        <v>0.10345678969413817</v>
      </c>
      <c r="F803" s="34">
        <f>VLOOKUP(Table143454[[#This Row],[Date]],'Data Core CPI'!$A:$AX,MATCH($B$2,'Data Core CPI'!$B$1:$AX$1,0),FALSE)</f>
        <v>127.87520000000001</v>
      </c>
      <c r="G803" s="35">
        <f t="shared" si="48"/>
        <v>5.3635027084824038E-3</v>
      </c>
      <c r="H803" s="35">
        <f t="shared" si="49"/>
        <v>6.629502272679022E-2</v>
      </c>
      <c r="I803" s="35">
        <f>(Table143454[[#This Row],[Core CPI]]-F791)/F791</f>
        <v>0.11027161347066677</v>
      </c>
    </row>
    <row r="804" spans="1:9" x14ac:dyDescent="0.35">
      <c r="A804" s="33">
        <f>IF(Data!A831="",#N/A,Data!A831)</f>
        <v>43132</v>
      </c>
      <c r="B804" s="34">
        <f>VLOOKUP(A804,Data!A:AX,MATCH($B$2,Data!$B$1:$AX$1,0),FALSE)</f>
        <v>127.8546</v>
      </c>
      <c r="C804" s="35">
        <f t="shared" si="50"/>
        <v>7.316073932842837E-3</v>
      </c>
      <c r="D804" s="35">
        <f t="shared" si="47"/>
        <v>9.1413118294535023E-2</v>
      </c>
      <c r="E804" s="35">
        <f>(Table143454[[#This Row],[USA]]-B792)/B792</f>
        <v>0.1025911901088582</v>
      </c>
      <c r="F804" s="34">
        <f>VLOOKUP(Table143454[[#This Row],[Date]],'Data Core CPI'!$A:$AX,MATCH($B$2,'Data Core CPI'!$B$1:$AX$1,0),FALSE)</f>
        <v>128.4675</v>
      </c>
      <c r="G804" s="35">
        <f t="shared" si="48"/>
        <v>4.631859813317929E-3</v>
      </c>
      <c r="H804" s="35">
        <f t="shared" si="49"/>
        <v>5.702038151783384E-2</v>
      </c>
      <c r="I804" s="35">
        <f>(Table143454[[#This Row],[Core CPI]]-F792)/F792</f>
        <v>0.10783085309033653</v>
      </c>
    </row>
    <row r="805" spans="1:9" x14ac:dyDescent="0.35">
      <c r="A805" s="33">
        <f>IF(Data!A832="",#N/A,Data!A832)</f>
        <v>43160</v>
      </c>
      <c r="B805" s="34">
        <f>VLOOKUP(A805,Data!A:AX,MATCH($B$2,Data!$B$1:$AX$1,0),FALSE)</f>
        <v>129.12479999999999</v>
      </c>
      <c r="C805" s="35">
        <f t="shared" si="50"/>
        <v>9.934722724094236E-3</v>
      </c>
      <c r="D805" s="35">
        <f t="shared" si="47"/>
        <v>0.12595140723664855</v>
      </c>
      <c r="E805" s="35">
        <f>(Table143454[[#This Row],[USA]]-B793)/B793</f>
        <v>0.10234564149145782</v>
      </c>
      <c r="F805" s="34">
        <f>VLOOKUP(Table143454[[#This Row],[Date]],'Data Core CPI'!$A:$AX,MATCH($B$2,'Data Core CPI'!$B$1:$AX$1,0),FALSE)</f>
        <v>129.42349999999999</v>
      </c>
      <c r="G805" s="35">
        <f t="shared" si="48"/>
        <v>7.4415708253059432E-3</v>
      </c>
      <c r="H805" s="35">
        <f t="shared" si="49"/>
        <v>9.304592671816736E-2</v>
      </c>
      <c r="I805" s="35">
        <f>(Table143454[[#This Row],[Core CPI]]-F793)/F793</f>
        <v>0.10405679997679682</v>
      </c>
    </row>
    <row r="806" spans="1:9" x14ac:dyDescent="0.35">
      <c r="A806" s="33">
        <f>IF(Data!A833="",#N/A,Data!A833)</f>
        <v>43191</v>
      </c>
      <c r="B806" s="34">
        <f>VLOOKUP(A806,Data!A:AX,MATCH($B$2,Data!$B$1:$AX$1,0),FALSE)</f>
        <v>131.54249999999999</v>
      </c>
      <c r="C806" s="35">
        <f t="shared" si="50"/>
        <v>1.8723746329132762E-2</v>
      </c>
      <c r="D806" s="35">
        <f t="shared" si="47"/>
        <v>0.24932996199780977</v>
      </c>
      <c r="E806" s="35">
        <f>(Table143454[[#This Row],[USA]]-B794)/B794</f>
        <v>0.10849549497925295</v>
      </c>
      <c r="F806" s="34">
        <f>VLOOKUP(Table143454[[#This Row],[Date]],'Data Core CPI'!$A:$AX,MATCH($B$2,'Data Core CPI'!$B$1:$AX$1,0),FALSE)</f>
        <v>132.56489999999999</v>
      </c>
      <c r="G806" s="35">
        <f t="shared" si="48"/>
        <v>2.4272253493376361E-2</v>
      </c>
      <c r="H806" s="35">
        <f t="shared" si="49"/>
        <v>0.33347506556900042</v>
      </c>
      <c r="I806" s="35">
        <f>(Table143454[[#This Row],[Core CPI]]-F794)/F794</f>
        <v>0.11194533752618074</v>
      </c>
    </row>
    <row r="807" spans="1:9" x14ac:dyDescent="0.35">
      <c r="A807" s="33">
        <f>IF(Data!A834="",#N/A,Data!A834)</f>
        <v>43221</v>
      </c>
      <c r="B807" s="34">
        <f>VLOOKUP(A807,Data!A:AX,MATCH($B$2,Data!$B$1:$AX$1,0),FALSE)</f>
        <v>133.67609999999999</v>
      </c>
      <c r="C807" s="35">
        <f t="shared" si="50"/>
        <v>1.6219852899253207E-2</v>
      </c>
      <c r="D807" s="35">
        <f t="shared" si="47"/>
        <v>0.21297569996097243</v>
      </c>
      <c r="E807" s="35">
        <f>(Table143454[[#This Row],[USA]]-B795)/B795</f>
        <v>0.1214701352045182</v>
      </c>
      <c r="F807" s="34">
        <f>VLOOKUP(Table143454[[#This Row],[Date]],'Data Core CPI'!$A:$AX,MATCH($B$2,'Data Core CPI'!$B$1:$AX$1,0),FALSE)</f>
        <v>134.7422</v>
      </c>
      <c r="G807" s="35">
        <f t="shared" si="48"/>
        <v>1.6424407969228616E-2</v>
      </c>
      <c r="H807" s="35">
        <f t="shared" si="49"/>
        <v>0.21590886690370437</v>
      </c>
      <c r="I807" s="35">
        <f>(Table143454[[#This Row],[Core CPI]]-F795)/F795</f>
        <v>0.11802552315836635</v>
      </c>
    </row>
    <row r="808" spans="1:9" x14ac:dyDescent="0.35">
      <c r="A808" s="33">
        <f>IF(Data!A835="",#N/A,Data!A835)</f>
        <v>43252</v>
      </c>
      <c r="B808" s="34">
        <f>VLOOKUP(A808,Data!A:AX,MATCH($B$2,Data!$B$1:$AX$1,0),FALSE)</f>
        <v>137.16829999999999</v>
      </c>
      <c r="C808" s="35">
        <f t="shared" si="50"/>
        <v>2.6124340850757877E-2</v>
      </c>
      <c r="D808" s="35">
        <f t="shared" si="47"/>
        <v>0.36269880906977847</v>
      </c>
      <c r="E808" s="35">
        <f>(Table143454[[#This Row],[USA]]-B796)/B796</f>
        <v>0.1538509421788764</v>
      </c>
      <c r="F808" s="34">
        <f>VLOOKUP(Table143454[[#This Row],[Date]],'Data Core CPI'!$A:$AX,MATCH($B$2,'Data Core CPI'!$B$1:$AX$1,0),FALSE)</f>
        <v>137.02170000000001</v>
      </c>
      <c r="G808" s="35">
        <f t="shared" si="48"/>
        <v>1.6917491327884004E-2</v>
      </c>
      <c r="H808" s="35">
        <f t="shared" si="49"/>
        <v>0.22300605991234623</v>
      </c>
      <c r="I808" s="35">
        <f>(Table143454[[#This Row],[Core CPI]]-F796)/F796</f>
        <v>0.13605456841323288</v>
      </c>
    </row>
    <row r="809" spans="1:9" x14ac:dyDescent="0.35">
      <c r="A809" s="33">
        <f>IF(Data!A836="",#N/A,Data!A836)</f>
        <v>43282</v>
      </c>
      <c r="B809" s="34">
        <f>VLOOKUP(A809,Data!A:AX,MATCH($B$2,Data!$B$1:$AX$1,0),FALSE)</f>
        <v>137.92429999999999</v>
      </c>
      <c r="C809" s="35">
        <f t="shared" si="50"/>
        <v>5.5114775061002597E-3</v>
      </c>
      <c r="D809" s="35">
        <f t="shared" si="47"/>
        <v>6.8179864366488152E-2</v>
      </c>
      <c r="E809" s="35">
        <f>(Table143454[[#This Row],[USA]]-B797)/B797</f>
        <v>0.15849034733468165</v>
      </c>
      <c r="F809" s="34">
        <f>VLOOKUP(Table143454[[#This Row],[Date]],'Data Core CPI'!$A:$AX,MATCH($B$2,'Data Core CPI'!$B$1:$AX$1,0),FALSE)</f>
        <v>138.24719999999999</v>
      </c>
      <c r="G809" s="35">
        <f t="shared" si="48"/>
        <v>8.9438388226097398E-3</v>
      </c>
      <c r="H809" s="35">
        <f t="shared" si="49"/>
        <v>0.11276616407023021</v>
      </c>
      <c r="I809" s="35">
        <f>(Table143454[[#This Row],[Core CPI]]-F797)/F797</f>
        <v>0.14107430710831467</v>
      </c>
    </row>
    <row r="810" spans="1:9" x14ac:dyDescent="0.35">
      <c r="A810" s="33">
        <f>IF(Data!A837="",#N/A,Data!A837)</f>
        <v>43313</v>
      </c>
      <c r="B810" s="34">
        <f>VLOOKUP(A810,Data!A:AX,MATCH($B$2,Data!$B$1:$AX$1,0),FALSE)</f>
        <v>141.09020000000001</v>
      </c>
      <c r="C810" s="35">
        <f t="shared" si="50"/>
        <v>2.2953895723958784E-2</v>
      </c>
      <c r="D810" s="35">
        <f t="shared" si="47"/>
        <v>0.31302419028367545</v>
      </c>
      <c r="E810" s="35">
        <f>(Table143454[[#This Row],[USA]]-B798)/B798</f>
        <v>0.17896434450544407</v>
      </c>
      <c r="F810" s="34">
        <f>VLOOKUP(Table143454[[#This Row],[Date]],'Data Core CPI'!$A:$AX,MATCH($B$2,'Data Core CPI'!$B$1:$AX$1,0),FALSE)</f>
        <v>141.64189999999999</v>
      </c>
      <c r="G810" s="35">
        <f t="shared" si="48"/>
        <v>2.4555289365715938E-2</v>
      </c>
      <c r="H810" s="35">
        <f t="shared" si="49"/>
        <v>0.33790352193389039</v>
      </c>
      <c r="I810" s="35">
        <f>(Table143454[[#This Row],[Core CPI]]-F798)/F798</f>
        <v>0.16364026220166911</v>
      </c>
    </row>
    <row r="811" spans="1:9" x14ac:dyDescent="0.35">
      <c r="A811" s="33">
        <f>IF(Data!A838="",#N/A,Data!A838)</f>
        <v>43344</v>
      </c>
      <c r="B811" s="34">
        <f>VLOOKUP(A811,Data!A:AX,MATCH($B$2,Data!$B$1:$AX$1,0),FALSE)</f>
        <v>149.98560000000001</v>
      </c>
      <c r="C811" s="35">
        <f t="shared" si="50"/>
        <v>6.3047610677424704E-2</v>
      </c>
      <c r="D811" s="35">
        <f t="shared" si="47"/>
        <v>1.0827281563888076</v>
      </c>
      <c r="E811" s="35">
        <f>(Table143454[[#This Row],[USA]]-B799)/B799</f>
        <v>0.24518875137917898</v>
      </c>
      <c r="F811" s="34">
        <f>VLOOKUP(Table143454[[#This Row],[Date]],'Data Core CPI'!$A:$AX,MATCH($B$2,'Data Core CPI'!$B$1:$AX$1,0),FALSE)</f>
        <v>150.3186</v>
      </c>
      <c r="G811" s="35">
        <f t="shared" si="48"/>
        <v>6.1258003458016352E-2</v>
      </c>
      <c r="H811" s="35">
        <f t="shared" si="49"/>
        <v>1.041041061286319</v>
      </c>
      <c r="I811" s="35">
        <f>(Table143454[[#This Row],[Core CPI]]-F799)/F799</f>
        <v>0.22509645523938998</v>
      </c>
    </row>
    <row r="812" spans="1:9" x14ac:dyDescent="0.35">
      <c r="A812" s="33">
        <f>IF(Data!A839="",#N/A,Data!A839)</f>
        <v>43374</v>
      </c>
      <c r="B812" s="34">
        <f>VLOOKUP(A812,Data!A:AX,MATCH($B$2,Data!$B$1:$AX$1,0),FALSE)</f>
        <v>153.9881</v>
      </c>
      <c r="C812" s="35">
        <f t="shared" si="50"/>
        <v>2.6685895179270558E-2</v>
      </c>
      <c r="D812" s="35">
        <f t="shared" si="47"/>
        <v>0.37167476102110153</v>
      </c>
      <c r="E812" s="35">
        <f>(Table143454[[#This Row],[USA]]-B800)/B800</f>
        <v>0.25240313255109026</v>
      </c>
      <c r="F812" s="34">
        <f>VLOOKUP(Table143454[[#This Row],[Date]],'Data Core CPI'!$A:$AX,MATCH($B$2,'Data Core CPI'!$B$1:$AX$1,0),FALSE)</f>
        <v>153.65610000000001</v>
      </c>
      <c r="G812" s="35">
        <f t="shared" si="48"/>
        <v>2.2202841165364751E-2</v>
      </c>
      <c r="H812" s="35">
        <f t="shared" si="49"/>
        <v>0.30150249401679807</v>
      </c>
      <c r="I812" s="35">
        <f>(Table143454[[#This Row],[Core CPI]]-F800)/F800</f>
        <v>0.22640941691795163</v>
      </c>
    </row>
    <row r="813" spans="1:9" x14ac:dyDescent="0.35">
      <c r="A813" s="33">
        <f>IF(Data!A840="",#N/A,Data!A840)</f>
        <v>43405</v>
      </c>
      <c r="B813" s="34">
        <f>VLOOKUP(A813,Data!A:AX,MATCH($B$2,Data!$B$1:$AX$1,0),FALSE)</f>
        <v>151.7662</v>
      </c>
      <c r="C813" s="35">
        <f t="shared" si="50"/>
        <v>-1.4429037048966808E-2</v>
      </c>
      <c r="D813" s="35">
        <f t="shared" si="47"/>
        <v>-0.16004736458164714</v>
      </c>
      <c r="E813" s="35">
        <f>(Table143454[[#This Row],[USA]]-B801)/B801</f>
        <v>0.2161873890622934</v>
      </c>
      <c r="F813" s="34">
        <f>VLOOKUP(Table143454[[#This Row],[Date]],'Data Core CPI'!$A:$AX,MATCH($B$2,'Data Core CPI'!$B$1:$AX$1,0),FALSE)</f>
        <v>150.9273</v>
      </c>
      <c r="G813" s="35">
        <f t="shared" si="48"/>
        <v>-1.7759138752057368E-2</v>
      </c>
      <c r="H813" s="35">
        <f t="shared" si="49"/>
        <v>-0.19347847614718172</v>
      </c>
      <c r="I813" s="35">
        <f>(Table143454[[#This Row],[Core CPI]]-F801)/F801</f>
        <v>0.19176810129380978</v>
      </c>
    </row>
    <row r="814" spans="1:9" x14ac:dyDescent="0.35">
      <c r="A814" s="33">
        <f>IF(Data!A841="",#N/A,Data!A841)</f>
        <v>43435</v>
      </c>
      <c r="B814" s="34">
        <f>VLOOKUP(A814,Data!A:AX,MATCH($B$2,Data!$B$1:$AX$1,0),FALSE)</f>
        <v>151.15219999999999</v>
      </c>
      <c r="C814" s="35">
        <f t="shared" si="50"/>
        <v>-4.045696604382254E-3</v>
      </c>
      <c r="D814" s="35">
        <f t="shared" si="47"/>
        <v>-4.7482529959249842E-2</v>
      </c>
      <c r="E814" s="35">
        <f>(Table143454[[#This Row],[USA]]-B802)/B802</f>
        <v>0.20301772783781499</v>
      </c>
      <c r="F814" s="34">
        <f>VLOOKUP(Table143454[[#This Row],[Date]],'Data Core CPI'!$A:$AX,MATCH($B$2,'Data Core CPI'!$B$1:$AX$1,0),FALSE)</f>
        <v>150.36359999999999</v>
      </c>
      <c r="G814" s="35">
        <f t="shared" si="48"/>
        <v>-3.7349107815485283E-3</v>
      </c>
      <c r="H814" s="35">
        <f t="shared" si="49"/>
        <v>-4.3909624843958661E-2</v>
      </c>
      <c r="I814" s="35">
        <f>(Table143454[[#This Row],[Core CPI]]-F802)/F802</f>
        <v>0.18216883004567858</v>
      </c>
    </row>
    <row r="815" spans="1:9" x14ac:dyDescent="0.35">
      <c r="A815" s="33">
        <f>IF(Data!A842="",#N/A,Data!A842)</f>
        <v>43466</v>
      </c>
      <c r="B815" s="34">
        <f>VLOOKUP(A815,Data!A:AX,MATCH($B$2,Data!$B$1:$AX$1,0),FALSE)</f>
        <v>152.76009999999999</v>
      </c>
      <c r="C815" s="35">
        <f t="shared" si="50"/>
        <v>1.0637622211254527E-2</v>
      </c>
      <c r="D815" s="35">
        <f t="shared" si="47"/>
        <v>0.13539123204690195</v>
      </c>
      <c r="E815" s="35">
        <f>(Table143454[[#This Row],[USA]]-B803)/B803</f>
        <v>0.20353670642736707</v>
      </c>
      <c r="F815" s="34">
        <f>VLOOKUP(Table143454[[#This Row],[Date]],'Data Core CPI'!$A:$AX,MATCH($B$2,'Data Core CPI'!$B$1:$AX$1,0),FALSE)</f>
        <v>150.36770000000001</v>
      </c>
      <c r="G815" s="35">
        <f t="shared" si="48"/>
        <v>2.7267237549644108E-5</v>
      </c>
      <c r="H815" s="35">
        <f t="shared" si="49"/>
        <v>3.272559262037511E-4</v>
      </c>
      <c r="I815" s="35">
        <f>(Table143454[[#This Row],[Core CPI]]-F803)/F803</f>
        <v>0.17589415304922304</v>
      </c>
    </row>
    <row r="816" spans="1:9" x14ac:dyDescent="0.35">
      <c r="A816" s="33">
        <f>IF(Data!A843="",#N/A,Data!A843)</f>
        <v>43497</v>
      </c>
      <c r="B816" s="34">
        <f>VLOOKUP(A816,Data!A:AX,MATCH($B$2,Data!$B$1:$AX$1,0),FALSE)</f>
        <v>153.00569999999999</v>
      </c>
      <c r="C816" s="35">
        <f t="shared" si="50"/>
        <v>1.6077496676161207E-3</v>
      </c>
      <c r="D816" s="35">
        <f t="shared" si="47"/>
        <v>1.9464514298204616E-2</v>
      </c>
      <c r="E816" s="35">
        <f>(Table143454[[#This Row],[USA]]-B804)/B804</f>
        <v>0.19671642631551767</v>
      </c>
      <c r="F816" s="34">
        <f>VLOOKUP(Table143454[[#This Row],[Date]],'Data Core CPI'!$A:$AX,MATCH($B$2,'Data Core CPI'!$B$1:$AX$1,0),FALSE)</f>
        <v>149.9469</v>
      </c>
      <c r="G816" s="35">
        <f t="shared" si="48"/>
        <v>-2.7984733423468411E-3</v>
      </c>
      <c r="H816" s="35">
        <f t="shared" si="49"/>
        <v>-3.3069595528096629E-2</v>
      </c>
      <c r="I816" s="35">
        <f>(Table143454[[#This Row],[Core CPI]]-F804)/F804</f>
        <v>0.16719715103041624</v>
      </c>
    </row>
    <row r="817" spans="1:9" x14ac:dyDescent="0.35">
      <c r="A817" s="33">
        <f>IF(Data!A844="",#N/A,Data!A844)</f>
        <v>43525</v>
      </c>
      <c r="B817" s="34">
        <f>VLOOKUP(A817,Data!A:AX,MATCH($B$2,Data!$B$1:$AX$1,0),FALSE)</f>
        <v>154.57910000000001</v>
      </c>
      <c r="C817" s="35">
        <f t="shared" si="50"/>
        <v>1.02832770282415E-2</v>
      </c>
      <c r="D817" s="35">
        <f t="shared" si="47"/>
        <v>0.13062340450023346</v>
      </c>
      <c r="E817" s="35">
        <f>(Table143454[[#This Row],[USA]]-B805)/B805</f>
        <v>0.19712944376293337</v>
      </c>
      <c r="F817" s="34">
        <f>VLOOKUP(Table143454[[#This Row],[Date]],'Data Core CPI'!$A:$AX,MATCH($B$2,'Data Core CPI'!$B$1:$AX$1,0),FALSE)</f>
        <v>150.38399999999999</v>
      </c>
      <c r="G817" s="35">
        <f t="shared" si="48"/>
        <v>2.9150319213000486E-3</v>
      </c>
      <c r="H817" s="35">
        <f t="shared" si="49"/>
        <v>3.5546697546998018E-2</v>
      </c>
      <c r="I817" s="35">
        <f>(Table143454[[#This Row],[Core CPI]]-F805)/F805</f>
        <v>0.16195281382438273</v>
      </c>
    </row>
    <row r="818" spans="1:9" x14ac:dyDescent="0.35">
      <c r="A818" s="33">
        <f>IF(Data!A845="",#N/A,Data!A845)</f>
        <v>43556</v>
      </c>
      <c r="B818" s="34">
        <f>VLOOKUP(A818,Data!A:AX,MATCH($B$2,Data!$B$1:$AX$1,0),FALSE)</f>
        <v>157.19630000000001</v>
      </c>
      <c r="C818" s="35">
        <f t="shared" si="50"/>
        <v>1.6931137521178474E-2</v>
      </c>
      <c r="D818" s="35">
        <f t="shared" si="47"/>
        <v>0.22320301522946906</v>
      </c>
      <c r="E818" s="35">
        <f>(Table143454[[#This Row],[USA]]-B806)/B806</f>
        <v>0.19502290134367234</v>
      </c>
      <c r="F818" s="34">
        <f>VLOOKUP(Table143454[[#This Row],[Date]],'Data Core CPI'!$A:$AX,MATCH($B$2,'Data Core CPI'!$B$1:$AX$1,0),FALSE)</f>
        <v>153.2517</v>
      </c>
      <c r="G818" s="35">
        <f t="shared" si="48"/>
        <v>1.9069182891797043E-2</v>
      </c>
      <c r="H818" s="35">
        <f t="shared" si="49"/>
        <v>0.25442304069461374</v>
      </c>
      <c r="I818" s="35">
        <f>(Table143454[[#This Row],[Core CPI]]-F806)/F806</f>
        <v>0.15605035722125546</v>
      </c>
    </row>
    <row r="819" spans="1:9" x14ac:dyDescent="0.35">
      <c r="A819" s="33">
        <f>IF(Data!A846="",#N/A,Data!A846)</f>
        <v>43586</v>
      </c>
      <c r="B819" s="34">
        <f>VLOOKUP(A819,Data!A:AX,MATCH($B$2,Data!$B$1:$AX$1,0),FALSE)</f>
        <v>158.6891</v>
      </c>
      <c r="C819" s="35">
        <f t="shared" si="50"/>
        <v>9.4964067220411064E-3</v>
      </c>
      <c r="D819" s="35">
        <f t="shared" si="47"/>
        <v>0.12010137165375867</v>
      </c>
      <c r="E819" s="35">
        <f>(Table143454[[#This Row],[USA]]-B807)/B807</f>
        <v>0.1871164703338892</v>
      </c>
      <c r="F819" s="34">
        <f>VLOOKUP(Table143454[[#This Row],[Date]],'Data Core CPI'!$A:$AX,MATCH($B$2,'Data Core CPI'!$B$1:$AX$1,0),FALSE)</f>
        <v>156.0582</v>
      </c>
      <c r="G819" s="35">
        <f t="shared" si="48"/>
        <v>1.8313010557142295E-2</v>
      </c>
      <c r="H819" s="35">
        <f t="shared" si="49"/>
        <v>0.24329879064587923</v>
      </c>
      <c r="I819" s="35">
        <f>(Table143454[[#This Row],[Core CPI]]-F807)/F807</f>
        <v>0.15819839664188357</v>
      </c>
    </row>
    <row r="820" spans="1:9" x14ac:dyDescent="0.35">
      <c r="A820" s="33">
        <f>IF(Data!A847="",#N/A,Data!A847)</f>
        <v>43617</v>
      </c>
      <c r="B820" s="34">
        <f>VLOOKUP(A820,Data!A:AX,MATCH($B$2,Data!$B$1:$AX$1,0),FALSE)</f>
        <v>158.7313</v>
      </c>
      <c r="C820" s="35">
        <f t="shared" si="50"/>
        <v>2.6592878779951867E-4</v>
      </c>
      <c r="D820" s="35">
        <f t="shared" si="47"/>
        <v>3.1958169893198107E-3</v>
      </c>
      <c r="E820" s="35">
        <f>(Table143454[[#This Row],[USA]]-B808)/B808</f>
        <v>0.15720104426460063</v>
      </c>
      <c r="F820" s="34">
        <f>VLOOKUP(Table143454[[#This Row],[Date]],'Data Core CPI'!$A:$AX,MATCH($B$2,'Data Core CPI'!$B$1:$AX$1,0),FALSE)</f>
        <v>157.30410000000001</v>
      </c>
      <c r="G820" s="35">
        <f t="shared" si="48"/>
        <v>7.9835599795461398E-3</v>
      </c>
      <c r="H820" s="35">
        <f t="shared" si="49"/>
        <v>0.10012336076331652</v>
      </c>
      <c r="I820" s="35">
        <f>(Table143454[[#This Row],[Core CPI]]-F808)/F808</f>
        <v>0.14802326930697834</v>
      </c>
    </row>
    <row r="821" spans="1:9" s="26" customFormat="1" x14ac:dyDescent="0.35">
      <c r="A821" s="33">
        <f>IF(Data!A848="",#N/A,Data!A848)</f>
        <v>43647</v>
      </c>
      <c r="B821" s="34">
        <f>VLOOKUP(A821,Data!A:AX,MATCH($B$2,Data!$B$1:$AX$1,0),FALSE)</f>
        <v>160.88419999999999</v>
      </c>
      <c r="C821" s="35">
        <f t="shared" si="50"/>
        <v>1.3563172480789865E-2</v>
      </c>
      <c r="D821" s="35">
        <f t="shared" si="47"/>
        <v>0.17546544404828457</v>
      </c>
      <c r="E821" s="35">
        <f>(Table143454[[#This Row],[USA]]-B809)/B809</f>
        <v>0.16646740277094033</v>
      </c>
      <c r="F821" s="34">
        <f>VLOOKUP(Table143454[[#This Row],[Date]],'Data Core CPI'!$A:$AX,MATCH($B$2,'Data Core CPI'!$B$1:$AX$1,0),FALSE)</f>
        <v>160.30670000000001</v>
      </c>
      <c r="G821" s="35">
        <f t="shared" si="48"/>
        <v>1.9087868656951779E-2</v>
      </c>
      <c r="H821" s="35">
        <f t="shared" si="49"/>
        <v>0.25469908340603586</v>
      </c>
      <c r="I821" s="35">
        <f>(Table143454[[#This Row],[Core CPI]]-F809)/F809</f>
        <v>0.15956561868884156</v>
      </c>
    </row>
    <row r="822" spans="1:9" s="26" customFormat="1" x14ac:dyDescent="0.35">
      <c r="A822" s="33">
        <f>IF(Data!A849="",#N/A,Data!A849)</f>
        <v>43678</v>
      </c>
      <c r="B822" s="34">
        <f>VLOOKUP(A822,Data!A:AX,MATCH($B$2,Data!$B$1:$AX$1,0),FALSE)</f>
        <v>162.26570000000001</v>
      </c>
      <c r="C822" s="35">
        <f t="shared" si="50"/>
        <v>8.5869215249230191E-3</v>
      </c>
      <c r="D822" s="35">
        <f t="shared" si="47"/>
        <v>0.10805160639171296</v>
      </c>
      <c r="E822" s="35">
        <f>(Table143454[[#This Row],[USA]]-B810)/B810</f>
        <v>0.15008483934390907</v>
      </c>
      <c r="F822" s="34">
        <f>VLOOKUP(Table143454[[#This Row],[Date]],'Data Core CPI'!$A:$AX,MATCH($B$2,'Data Core CPI'!$B$1:$AX$1,0),FALSE)</f>
        <v>162.76179999999999</v>
      </c>
      <c r="G822" s="35">
        <f t="shared" si="48"/>
        <v>1.5315018024823601E-2</v>
      </c>
      <c r="H822" s="35">
        <f t="shared" si="49"/>
        <v>0.20007868217949754</v>
      </c>
      <c r="I822" s="35">
        <f>(Table143454[[#This Row],[Core CPI]]-F810)/F810</f>
        <v>0.1491077145957517</v>
      </c>
    </row>
    <row r="823" spans="1:9" s="26" customFormat="1" x14ac:dyDescent="0.35">
      <c r="A823" s="33">
        <f>IF(Data!A850="",#N/A,Data!A850)</f>
        <v>43709</v>
      </c>
      <c r="B823" s="34">
        <f>VLOOKUP(A823,Data!A:AX,MATCH($B$2,Data!$B$1:$AX$1,0),FALSE)</f>
        <v>163.87739999999999</v>
      </c>
      <c r="C823" s="35">
        <f t="shared" si="50"/>
        <v>9.9324749469542617E-3</v>
      </c>
      <c r="D823" s="35">
        <f t="shared" si="47"/>
        <v>0.12592133570672259</v>
      </c>
      <c r="E823" s="35">
        <f>(Table143454[[#This Row],[USA]]-B811)/B811</f>
        <v>9.2620891605594058E-2</v>
      </c>
      <c r="F823" s="34">
        <f>VLOOKUP(Table143454[[#This Row],[Date]],'Data Core CPI'!$A:$AX,MATCH($B$2,'Data Core CPI'!$B$1:$AX$1,0),FALSE)</f>
        <v>164.60820000000001</v>
      </c>
      <c r="G823" s="35">
        <f t="shared" si="48"/>
        <v>1.1344185183501443E-2</v>
      </c>
      <c r="H823" s="35">
        <f t="shared" si="49"/>
        <v>0.14495332192469856</v>
      </c>
      <c r="I823" s="35">
        <f>(Table143454[[#This Row],[Core CPI]]-F811)/F811</f>
        <v>9.5062088124822919E-2</v>
      </c>
    </row>
    <row r="824" spans="1:9" s="26" customFormat="1" x14ac:dyDescent="0.35">
      <c r="A824" s="33">
        <f>IF(Data!A851="",#N/A,Data!A851)</f>
        <v>43739</v>
      </c>
      <c r="B824" s="34">
        <f>VLOOKUP(A824,Data!A:AX,MATCH($B$2,Data!$B$1:$AX$1,0),FALSE)</f>
        <v>167.1585</v>
      </c>
      <c r="C824" s="35">
        <f t="shared" si="50"/>
        <v>2.0021674739775008E-2</v>
      </c>
      <c r="D824" s="35">
        <f t="shared" si="47"/>
        <v>0.26856523013681266</v>
      </c>
      <c r="E824" s="35">
        <f>(Table143454[[#This Row],[USA]]-B812)/B812</f>
        <v>8.5528686956979141E-2</v>
      </c>
      <c r="F824" s="34">
        <f>VLOOKUP(Table143454[[#This Row],[Date]],'Data Core CPI'!$A:$AX,MATCH($B$2,'Data Core CPI'!$B$1:$AX$1,0),FALSE)</f>
        <v>167.19820000000001</v>
      </c>
      <c r="G824" s="35">
        <f t="shared" si="48"/>
        <v>1.5734331582509364E-2</v>
      </c>
      <c r="H824" s="35">
        <f t="shared" si="49"/>
        <v>0.20603963620188304</v>
      </c>
      <c r="I824" s="35">
        <f>(Table143454[[#This Row],[Core CPI]]-F812)/F812</f>
        <v>8.8132524514158594E-2</v>
      </c>
    </row>
    <row r="825" spans="1:9" s="26" customFormat="1" x14ac:dyDescent="0.35">
      <c r="A825" s="33">
        <f>IF(Data!A852="",#N/A,Data!A852)</f>
        <v>43770</v>
      </c>
      <c r="B825" s="34">
        <f>VLOOKUP(A825,Data!A:AX,MATCH($B$2,Data!$B$1:$AX$1,0),FALSE)</f>
        <v>167.7955</v>
      </c>
      <c r="C825" s="35">
        <f t="shared" si="50"/>
        <v>3.8107544635779256E-3</v>
      </c>
      <c r="D825" s="35">
        <f t="shared" si="47"/>
        <v>4.669977528696001E-2</v>
      </c>
      <c r="E825" s="35">
        <f>(Table143454[[#This Row],[USA]]-B813)/B813</f>
        <v>0.1056183787958057</v>
      </c>
      <c r="F825" s="34">
        <f>VLOOKUP(Table143454[[#This Row],[Date]],'Data Core CPI'!$A:$AX,MATCH($B$2,'Data Core CPI'!$B$1:$AX$1,0),FALSE)</f>
        <v>167.8518</v>
      </c>
      <c r="G825" s="35">
        <f t="shared" si="48"/>
        <v>3.9091329930585061E-3</v>
      </c>
      <c r="H825" s="35">
        <f t="shared" si="49"/>
        <v>4.7931421482103609E-2</v>
      </c>
      <c r="I825" s="35">
        <f>(Table143454[[#This Row],[Core CPI]]-F813)/F813</f>
        <v>0.11213677048486255</v>
      </c>
    </row>
    <row r="826" spans="1:9" s="26" customFormat="1" x14ac:dyDescent="0.35">
      <c r="A826" s="33">
        <f>IF(Data!A853="",#N/A,Data!A853)</f>
        <v>43800</v>
      </c>
      <c r="B826" s="34">
        <f>VLOOKUP(A826,Data!A:AX,MATCH($B$2,Data!$B$1:$AX$1,0),FALSE)</f>
        <v>169.0427</v>
      </c>
      <c r="C826" s="35">
        <f t="shared" si="50"/>
        <v>7.4328572577928576E-3</v>
      </c>
      <c r="D826" s="35">
        <f t="shared" si="47"/>
        <v>9.2932484390338743E-2</v>
      </c>
      <c r="E826" s="35">
        <f>(Table143454[[#This Row],[USA]]-B814)/B814</f>
        <v>0.11836083100345217</v>
      </c>
      <c r="F826" s="34">
        <f>VLOOKUP(Table143454[[#This Row],[Date]],'Data Core CPI'!$A:$AX,MATCH($B$2,'Data Core CPI'!$B$1:$AX$1,0),FALSE)</f>
        <v>167.9948</v>
      </c>
      <c r="G826" s="35">
        <f t="shared" si="48"/>
        <v>8.5194201075000642E-4</v>
      </c>
      <c r="H826" s="35">
        <f t="shared" si="49"/>
        <v>1.0271343568303282E-2</v>
      </c>
      <c r="I826" s="35">
        <f>(Table143454[[#This Row],[Core CPI]]-F814)/F814</f>
        <v>0.11725710211779984</v>
      </c>
    </row>
    <row r="827" spans="1:9" s="26" customFormat="1" x14ac:dyDescent="0.35">
      <c r="A827" s="33">
        <f>IF(Data!A854="",#N/A,Data!A854)</f>
        <v>43831</v>
      </c>
      <c r="B827" s="34">
        <f>VLOOKUP(A827,Data!A:AX,MATCH($B$2,Data!$B$1:$AX$1,0),FALSE)</f>
        <v>171.32599999999999</v>
      </c>
      <c r="C827" s="35">
        <f t="shared" si="50"/>
        <v>1.3507238112027364E-2</v>
      </c>
      <c r="D827" s="35">
        <f t="shared" ref="D827:D890" si="51">((1+C827)^12)-1</f>
        <v>0.17468725123141082</v>
      </c>
      <c r="E827" s="35">
        <f>(Table143454[[#This Row],[USA]]-B815)/B815</f>
        <v>0.1215363174022536</v>
      </c>
      <c r="F827" s="34">
        <f>VLOOKUP(Table143454[[#This Row],[Date]],'Data Core CPI'!$A:$AX,MATCH($B$2,'Data Core CPI'!$B$1:$AX$1,0),FALSE)</f>
        <v>168.64019999999999</v>
      </c>
      <c r="G827" s="35">
        <f t="shared" si="48"/>
        <v>3.8417855790773281E-3</v>
      </c>
      <c r="H827" s="35">
        <f t="shared" si="49"/>
        <v>4.7088124797384001E-2</v>
      </c>
      <c r="I827" s="35">
        <f>(Table143454[[#This Row],[Core CPI]]-F815)/F815</f>
        <v>0.12151878362174841</v>
      </c>
    </row>
    <row r="828" spans="1:9" s="26" customFormat="1" x14ac:dyDescent="0.35">
      <c r="A828" s="33">
        <f>IF(Data!A855="",#N/A,Data!A855)</f>
        <v>43862</v>
      </c>
      <c r="B828" s="34">
        <f>VLOOKUP(A828,Data!A:AX,MATCH($B$2,Data!$B$1:$AX$1,0),FALSE)</f>
        <v>171.92850000000001</v>
      </c>
      <c r="C828" s="35">
        <f t="shared" si="50"/>
        <v>3.5166874846783713E-3</v>
      </c>
      <c r="D828" s="35">
        <f t="shared" si="51"/>
        <v>4.3026122011311285E-2</v>
      </c>
      <c r="E828" s="35">
        <f>(Table143454[[#This Row],[USA]]-B816)/B816</f>
        <v>0.12367382391636406</v>
      </c>
      <c r="F828" s="34">
        <f>VLOOKUP(Table143454[[#This Row],[Date]],'Data Core CPI'!$A:$AX,MATCH($B$2,'Data Core CPI'!$B$1:$AX$1,0),FALSE)</f>
        <v>168.3869</v>
      </c>
      <c r="G828" s="35">
        <f t="shared" si="48"/>
        <v>-1.5020143477059156E-3</v>
      </c>
      <c r="H828" s="35">
        <f t="shared" si="49"/>
        <v>-1.7876016045767829E-2</v>
      </c>
      <c r="I828" s="35">
        <f>(Table143454[[#This Row],[Core CPI]]-F816)/F816</f>
        <v>0.12297686714430241</v>
      </c>
    </row>
    <row r="829" spans="1:9" s="26" customFormat="1" x14ac:dyDescent="0.35">
      <c r="A829" s="33">
        <f>IF(Data!A856="",#N/A,Data!A856)</f>
        <v>43891</v>
      </c>
      <c r="B829" s="34">
        <f>VLOOKUP(A829,Data!A:AX,MATCH($B$2,Data!$B$1:$AX$1,0),FALSE)</f>
        <v>172.9109</v>
      </c>
      <c r="C829" s="35">
        <f t="shared" si="50"/>
        <v>5.7140032048204059E-3</v>
      </c>
      <c r="D829" s="35">
        <f t="shared" si="51"/>
        <v>7.0764503417960922E-2</v>
      </c>
      <c r="E829" s="35">
        <f>(Table143454[[#This Row],[USA]]-B817)/B817</f>
        <v>0.11859171129861661</v>
      </c>
      <c r="F829" s="34">
        <f>VLOOKUP(Table143454[[#This Row],[Date]],'Data Core CPI'!$A:$AX,MATCH($B$2,'Data Core CPI'!$B$1:$AX$1,0),FALSE)</f>
        <v>169.61250000000001</v>
      </c>
      <c r="G829" s="35">
        <f t="shared" si="48"/>
        <v>7.2784759384489917E-3</v>
      </c>
      <c r="H829" s="35">
        <f t="shared" si="49"/>
        <v>9.0924375714495742E-2</v>
      </c>
      <c r="I829" s="35">
        <f>(Table143454[[#This Row],[Core CPI]]-F817)/F817</f>
        <v>0.12786267156080453</v>
      </c>
    </row>
    <row r="830" spans="1:9" s="26" customFormat="1" x14ac:dyDescent="0.35">
      <c r="A830" s="33">
        <f>IF(Data!A857="",#N/A,Data!A857)</f>
        <v>43922</v>
      </c>
      <c r="B830" s="34">
        <f>VLOOKUP(A830,Data!A:AX,MATCH($B$2,Data!$B$1:$AX$1,0),FALSE)</f>
        <v>174.38839999999999</v>
      </c>
      <c r="C830" s="35">
        <f t="shared" si="50"/>
        <v>8.5448632792959334E-3</v>
      </c>
      <c r="D830" s="35">
        <f t="shared" si="51"/>
        <v>0.10749726226434664</v>
      </c>
      <c r="E830" s="35">
        <f>(Table143454[[#This Row],[USA]]-B818)/B818</f>
        <v>0.10936707797829835</v>
      </c>
      <c r="F830" s="34">
        <f>VLOOKUP(Table143454[[#This Row],[Date]],'Data Core CPI'!$A:$AX,MATCH($B$2,'Data Core CPI'!$B$1:$AX$1,0),FALSE)</f>
        <v>171.64680000000001</v>
      </c>
      <c r="G830" s="35">
        <f t="shared" si="48"/>
        <v>1.1993809418527457E-2</v>
      </c>
      <c r="H830" s="35">
        <f t="shared" si="49"/>
        <v>0.1538099241230424</v>
      </c>
      <c r="I830" s="35">
        <f>(Table143454[[#This Row],[Core CPI]]-F818)/F818</f>
        <v>0.12003194744332372</v>
      </c>
    </row>
    <row r="831" spans="1:9" s="26" customFormat="1" x14ac:dyDescent="0.35">
      <c r="A831" s="33">
        <f>IF(Data!A858="",#N/A,Data!A858)</f>
        <v>43952</v>
      </c>
      <c r="B831" s="34">
        <f>VLOOKUP(A831,Data!A:AX,MATCH($B$2,Data!$B$1:$AX$1,0),FALSE)</f>
        <v>176.7638</v>
      </c>
      <c r="C831" s="35">
        <f t="shared" si="50"/>
        <v>1.3621318849189601E-2</v>
      </c>
      <c r="D831" s="35">
        <f t="shared" si="51"/>
        <v>0.17627491248911209</v>
      </c>
      <c r="E831" s="35">
        <f>(Table143454[[#This Row],[USA]]-B819)/B819</f>
        <v>0.11390007253176183</v>
      </c>
      <c r="F831" s="34">
        <f>VLOOKUP(Table143454[[#This Row],[Date]],'Data Core CPI'!$A:$AX,MATCH($B$2,'Data Core CPI'!$B$1:$AX$1,0),FALSE)</f>
        <v>174.40020000000001</v>
      </c>
      <c r="G831" s="35">
        <f t="shared" si="48"/>
        <v>1.6041079705534811E-2</v>
      </c>
      <c r="H831" s="35">
        <f t="shared" si="49"/>
        <v>0.21041753875932478</v>
      </c>
      <c r="I831" s="35">
        <f>(Table143454[[#This Row],[Core CPI]]-F819)/F819</f>
        <v>0.11753307419924114</v>
      </c>
    </row>
    <row r="832" spans="1:9" s="26" customFormat="1" x14ac:dyDescent="0.35">
      <c r="A832" s="33">
        <f>IF(Data!A859="",#N/A,Data!A859)</f>
        <v>43983</v>
      </c>
      <c r="B832" s="34">
        <f>VLOOKUP(A832,Data!A:AX,MATCH($B$2,Data!$B$1:$AX$1,0),FALSE)</f>
        <v>178.767</v>
      </c>
      <c r="C832" s="35">
        <f t="shared" si="50"/>
        <v>1.1332637112349886E-2</v>
      </c>
      <c r="D832" s="35">
        <f t="shared" si="51"/>
        <v>0.14479644747244591</v>
      </c>
      <c r="E832" s="35">
        <f>(Table143454[[#This Row],[USA]]-B820)/B820</f>
        <v>0.12622400244942233</v>
      </c>
      <c r="F832" s="34">
        <f>VLOOKUP(Table143454[[#This Row],[Date]],'Data Core CPI'!$A:$AX,MATCH($B$2,'Data Core CPI'!$B$1:$AX$1,0),FALSE)</f>
        <v>177.73769999999999</v>
      </c>
      <c r="G832" s="35">
        <f t="shared" si="48"/>
        <v>1.9137019338280492E-2</v>
      </c>
      <c r="H832" s="35">
        <f t="shared" si="49"/>
        <v>0.25542544679126888</v>
      </c>
      <c r="I832" s="35">
        <f>(Table143454[[#This Row],[Core CPI]]-F820)/F820</f>
        <v>0.12989871211239876</v>
      </c>
    </row>
    <row r="833" spans="1:9" s="26" customFormat="1" x14ac:dyDescent="0.35">
      <c r="A833" s="33">
        <f>IF(Data!A860="",#N/A,Data!A860)</f>
        <v>44013</v>
      </c>
      <c r="B833" s="34">
        <f>VLOOKUP(A833,Data!A:AX,MATCH($B$2,Data!$B$1:$AX$1,0),FALSE)</f>
        <v>179.8108</v>
      </c>
      <c r="C833" s="35">
        <f t="shared" si="50"/>
        <v>5.8388852528710178E-3</v>
      </c>
      <c r="D833" s="35">
        <f t="shared" si="51"/>
        <v>7.2361107919525436E-2</v>
      </c>
      <c r="E833" s="35">
        <f>(Table143454[[#This Row],[USA]]-B821)/B821</f>
        <v>0.11764113567398171</v>
      </c>
      <c r="F833" s="34">
        <f>VLOOKUP(Table143454[[#This Row],[Date]],'Data Core CPI'!$A:$AX,MATCH($B$2,'Data Core CPI'!$B$1:$AX$1,0),FALSE)</f>
        <v>179.47380000000001</v>
      </c>
      <c r="G833" s="35">
        <f t="shared" si="48"/>
        <v>9.7677645204141683E-3</v>
      </c>
      <c r="H833" s="35">
        <f t="shared" si="49"/>
        <v>0.12371978584906196</v>
      </c>
      <c r="I833" s="35">
        <f>(Table143454[[#This Row],[Core CPI]]-F821)/F821</f>
        <v>0.11956518348889975</v>
      </c>
    </row>
    <row r="834" spans="1:9" s="26" customFormat="1" x14ac:dyDescent="0.35">
      <c r="A834" s="33">
        <f>IF(Data!A861="",#N/A,Data!A861)</f>
        <v>44044</v>
      </c>
      <c r="B834" s="34">
        <f>VLOOKUP(A834,Data!A:AX,MATCH($B$2,Data!$B$1:$AX$1,0),FALSE)</f>
        <v>181.36500000000001</v>
      </c>
      <c r="C834" s="35">
        <f t="shared" si="50"/>
        <v>8.643529754608803E-3</v>
      </c>
      <c r="D834" s="35">
        <f t="shared" si="51"/>
        <v>0.10879812655695109</v>
      </c>
      <c r="E834" s="35">
        <f>(Table143454[[#This Row],[USA]]-B822)/B822</f>
        <v>0.1177038647107799</v>
      </c>
      <c r="F834" s="34">
        <f>VLOOKUP(Table143454[[#This Row],[Date]],'Data Core CPI'!$A:$AX,MATCH($B$2,'Data Core CPI'!$B$1:$AX$1,0),FALSE)</f>
        <v>181.56950000000001</v>
      </c>
      <c r="G834" s="35">
        <f t="shared" si="48"/>
        <v>1.1676913287621993E-2</v>
      </c>
      <c r="H834" s="35">
        <f t="shared" si="49"/>
        <v>0.14948172970630291</v>
      </c>
      <c r="I834" s="35">
        <f>(Table143454[[#This Row],[Core CPI]]-F822)/F822</f>
        <v>0.11555352668746605</v>
      </c>
    </row>
    <row r="835" spans="1:9" s="26" customFormat="1" x14ac:dyDescent="0.35">
      <c r="A835" s="33">
        <f>IF(Data!A862="",#N/A,Data!A862)</f>
        <v>44075</v>
      </c>
      <c r="B835" s="34">
        <f>VLOOKUP(A835,Data!A:AX,MATCH($B$2,Data!$B$1:$AX$1,0),FALSE)</f>
        <v>183.13030000000001</v>
      </c>
      <c r="C835" s="35">
        <f t="shared" si="50"/>
        <v>9.7334105257353976E-3</v>
      </c>
      <c r="D835" s="35">
        <f t="shared" si="51"/>
        <v>0.12326110167887716</v>
      </c>
      <c r="E835" s="35">
        <f>(Table143454[[#This Row],[USA]]-B823)/B823</f>
        <v>0.11748355783042697</v>
      </c>
      <c r="F835" s="34">
        <f>VLOOKUP(Table143454[[#This Row],[Date]],'Data Core CPI'!$A:$AX,MATCH($B$2,'Data Core CPI'!$B$1:$AX$1,0),FALSE)</f>
        <v>183.6815</v>
      </c>
      <c r="G835" s="35">
        <f t="shared" ref="G835:G898" si="52">(F835/F834)-1</f>
        <v>1.1631909544279173E-2</v>
      </c>
      <c r="H835" s="35">
        <f t="shared" ref="H835:H898" si="53">((1+G835)^12)-1</f>
        <v>0.14886827307508166</v>
      </c>
      <c r="I835" s="35">
        <f>(Table143454[[#This Row],[Core CPI]]-F823)/F823</f>
        <v>0.11587089829060757</v>
      </c>
    </row>
    <row r="836" spans="1:9" s="26" customFormat="1" x14ac:dyDescent="0.35">
      <c r="A836" s="33">
        <f>IF(Data!A863="",#N/A,Data!A863)</f>
        <v>44105</v>
      </c>
      <c r="B836" s="34">
        <f>VLOOKUP(A836,Data!A:AX,MATCH($B$2,Data!$B$1:$AX$1,0),FALSE)</f>
        <v>187.03299999999999</v>
      </c>
      <c r="C836" s="35">
        <f t="shared" ref="C836:C899" si="54">(B836/B835)-1</f>
        <v>2.1311055570814696E-2</v>
      </c>
      <c r="D836" s="35">
        <f t="shared" si="51"/>
        <v>0.28794227161125918</v>
      </c>
      <c r="E836" s="35">
        <f>(Table143454[[#This Row],[USA]]-B824)/B824</f>
        <v>0.11889613749824259</v>
      </c>
      <c r="F836" s="34">
        <f>VLOOKUP(Table143454[[#This Row],[Date]],'Data Core CPI'!$A:$AX,MATCH($B$2,'Data Core CPI'!$B$1:$AX$1,0),FALSE)</f>
        <v>186.95359999999999</v>
      </c>
      <c r="G836" s="35">
        <f t="shared" si="52"/>
        <v>1.781398779953336E-2</v>
      </c>
      <c r="H836" s="35">
        <f t="shared" si="53"/>
        <v>0.23600714404559731</v>
      </c>
      <c r="I836" s="35">
        <f>(Table143454[[#This Row],[Core CPI]]-F824)/F824</f>
        <v>0.11815557822990905</v>
      </c>
    </row>
    <row r="837" spans="1:9" s="26" customFormat="1" x14ac:dyDescent="0.35">
      <c r="A837" s="33">
        <f>IF(Data!A864="",#N/A,Data!A864)</f>
        <v>44136</v>
      </c>
      <c r="B837" s="34">
        <f>VLOOKUP(A837,Data!A:AX,MATCH($B$2,Data!$B$1:$AX$1,0),FALSE)</f>
        <v>191.33099999999999</v>
      </c>
      <c r="C837" s="35">
        <f t="shared" si="54"/>
        <v>2.297990194243793E-2</v>
      </c>
      <c r="D837" s="35">
        <f t="shared" si="51"/>
        <v>0.313424813252974</v>
      </c>
      <c r="E837" s="35">
        <f>(Table143454[[#This Row],[USA]]-B825)/B825</f>
        <v>0.14026299870973885</v>
      </c>
      <c r="F837" s="34">
        <f>VLOOKUP(Table143454[[#This Row],[Date]],'Data Core CPI'!$A:$AX,MATCH($B$2,'Data Core CPI'!$B$1:$AX$1,0),FALSE)</f>
        <v>190.4178</v>
      </c>
      <c r="G837" s="35">
        <f t="shared" si="52"/>
        <v>1.8529731441384367E-2</v>
      </c>
      <c r="H837" s="35">
        <f t="shared" si="53"/>
        <v>0.24647774759110952</v>
      </c>
      <c r="I837" s="35">
        <f>(Table143454[[#This Row],[Core CPI]]-F825)/F825</f>
        <v>0.13444002387820686</v>
      </c>
    </row>
    <row r="838" spans="1:9" s="26" customFormat="1" x14ac:dyDescent="0.35">
      <c r="A838" s="33">
        <f>IF(Data!A865="",#N/A,Data!A865)</f>
        <v>44166</v>
      </c>
      <c r="B838" s="34">
        <f>VLOOKUP(A838,Data!A:AX,MATCH($B$2,Data!$B$1:$AX$1,0),FALSE)</f>
        <v>193.7218</v>
      </c>
      <c r="C838" s="35">
        <f t="shared" si="54"/>
        <v>1.2495622768918802E-2</v>
      </c>
      <c r="D838" s="35">
        <f t="shared" si="51"/>
        <v>0.16069430119033856</v>
      </c>
      <c r="E838" s="35">
        <f>(Table143454[[#This Row],[USA]]-B826)/B826</f>
        <v>0.14599329045264897</v>
      </c>
      <c r="F838" s="34">
        <f>VLOOKUP(Table143454[[#This Row],[Date]],'Data Core CPI'!$A:$AX,MATCH($B$2,'Data Core CPI'!$B$1:$AX$1,0),FALSE)</f>
        <v>191.83529999999999</v>
      </c>
      <c r="G838" s="35">
        <f t="shared" si="52"/>
        <v>7.4441570063301654E-3</v>
      </c>
      <c r="H838" s="35">
        <f t="shared" si="53"/>
        <v>9.3079598402497465E-2</v>
      </c>
      <c r="I838" s="35">
        <f>(Table143454[[#This Row],[Core CPI]]-F826)/F826</f>
        <v>0.14191213061356656</v>
      </c>
    </row>
    <row r="839" spans="1:9" s="26" customFormat="1" x14ac:dyDescent="0.35">
      <c r="A839" s="33">
        <f>IF(Data!A866="",#N/A,Data!A866)</f>
        <v>44197</v>
      </c>
      <c r="B839" s="34">
        <f>VLOOKUP(A839,Data!A:AX,MATCH($B$2,Data!$B$1:$AX$1,0),FALSE)</f>
        <v>196.97989999999999</v>
      </c>
      <c r="C839" s="35">
        <f t="shared" si="54"/>
        <v>1.6818447897964939E-2</v>
      </c>
      <c r="D839" s="35">
        <f t="shared" si="51"/>
        <v>0.22157743841420929</v>
      </c>
      <c r="E839" s="35">
        <f>(Table143454[[#This Row],[USA]]-B827)/B827</f>
        <v>0.14973734284346799</v>
      </c>
      <c r="F839" s="34">
        <f>VLOOKUP(Table143454[[#This Row],[Date]],'Data Core CPI'!$A:$AX,MATCH($B$2,'Data Core CPI'!$B$1:$AX$1,0),FALSE)</f>
        <v>194.2782</v>
      </c>
      <c r="G839" s="35">
        <f t="shared" si="52"/>
        <v>1.2734361194211896E-2</v>
      </c>
      <c r="H839" s="35">
        <f t="shared" si="53"/>
        <v>0.16398275361988901</v>
      </c>
      <c r="I839" s="35">
        <f>(Table143454[[#This Row],[Core CPI]]-F827)/F827</f>
        <v>0.15202780831616663</v>
      </c>
    </row>
    <row r="840" spans="1:9" s="26" customFormat="1" x14ac:dyDescent="0.35">
      <c r="A840" s="33">
        <f>IF(Data!A867="",#N/A,Data!A867)</f>
        <v>44228</v>
      </c>
      <c r="B840" s="34">
        <f>VLOOKUP(A840,Data!A:AX,MATCH($B$2,Data!$B$1:$AX$1,0),FALSE)</f>
        <v>198.76820000000001</v>
      </c>
      <c r="C840" s="35">
        <f t="shared" si="54"/>
        <v>9.0785912674340441E-3</v>
      </c>
      <c r="D840" s="35">
        <f t="shared" si="51"/>
        <v>0.11455089957044251</v>
      </c>
      <c r="E840" s="35">
        <f>(Table143454[[#This Row],[USA]]-B828)/B828</f>
        <v>0.15610966186525208</v>
      </c>
      <c r="F840" s="34">
        <f>VLOOKUP(Table143454[[#This Row],[Date]],'Data Core CPI'!$A:$AX,MATCH($B$2,'Data Core CPI'!$B$1:$AX$1,0),FALSE)</f>
        <v>194.94</v>
      </c>
      <c r="G840" s="35">
        <f t="shared" si="52"/>
        <v>3.4064552790791236E-3</v>
      </c>
      <c r="H840" s="35">
        <f t="shared" si="53"/>
        <v>4.1652086470379324E-2</v>
      </c>
      <c r="I840" s="35">
        <f>(Table143454[[#This Row],[Core CPI]]-F828)/F828</f>
        <v>0.15769100802972202</v>
      </c>
    </row>
    <row r="841" spans="1:9" s="26" customFormat="1" x14ac:dyDescent="0.35">
      <c r="A841" s="33">
        <f>IF(Data!A868="",#N/A,Data!A868)</f>
        <v>44256</v>
      </c>
      <c r="B841" s="34">
        <f>VLOOKUP(A841,Data!A:AX,MATCH($B$2,Data!$B$1:$AX$1,0),FALSE)</f>
        <v>200.9057</v>
      </c>
      <c r="C841" s="35">
        <f t="shared" si="54"/>
        <v>1.0753732236846725E-2</v>
      </c>
      <c r="D841" s="35">
        <f t="shared" si="51"/>
        <v>0.13695753397830157</v>
      </c>
      <c r="E841" s="35">
        <f>(Table143454[[#This Row],[USA]]-B829)/B829</f>
        <v>0.16190303792299965</v>
      </c>
      <c r="F841" s="34">
        <f>VLOOKUP(Table143454[[#This Row],[Date]],'Data Core CPI'!$A:$AX,MATCH($B$2,'Data Core CPI'!$B$1:$AX$1,0),FALSE)</f>
        <v>197.29300000000001</v>
      </c>
      <c r="G841" s="35">
        <f t="shared" si="52"/>
        <v>1.2070380629937372E-2</v>
      </c>
      <c r="H841" s="35">
        <f t="shared" si="53"/>
        <v>0.15485797874626428</v>
      </c>
      <c r="I841" s="35">
        <f>(Table143454[[#This Row],[Core CPI]]-F829)/F829</f>
        <v>0.16319846709411154</v>
      </c>
    </row>
    <row r="842" spans="1:9" s="26" customFormat="1" x14ac:dyDescent="0.35">
      <c r="A842" s="33">
        <f>IF(Data!A869="",#N/A,Data!A869)</f>
        <v>44287</v>
      </c>
      <c r="B842" s="34">
        <f>VLOOKUP(A842,Data!A:AX,MATCH($B$2,Data!$B$1:$AX$1,0),FALSE)</f>
        <v>204.27879999999999</v>
      </c>
      <c r="C842" s="35">
        <f t="shared" si="54"/>
        <v>1.678946889013111E-2</v>
      </c>
      <c r="D842" s="35">
        <f t="shared" si="51"/>
        <v>0.22115972899299474</v>
      </c>
      <c r="E842" s="35">
        <f>(Table143454[[#This Row],[USA]]-B830)/B830</f>
        <v>0.17140130880264973</v>
      </c>
      <c r="F842" s="34">
        <f>VLOOKUP(Table143454[[#This Row],[Date]],'Data Core CPI'!$A:$AX,MATCH($B$2,'Data Core CPI'!$B$1:$AX$1,0),FALSE)</f>
        <v>200.7244</v>
      </c>
      <c r="G842" s="35">
        <f t="shared" si="52"/>
        <v>1.7392406218162737E-2</v>
      </c>
      <c r="H842" s="35">
        <f t="shared" si="53"/>
        <v>0.22987762630567166</v>
      </c>
      <c r="I842" s="35">
        <f>(Table143454[[#This Row],[Core CPI]]-F830)/F830</f>
        <v>0.16940368244558004</v>
      </c>
    </row>
    <row r="843" spans="1:9" s="26" customFormat="1" x14ac:dyDescent="0.35">
      <c r="A843" s="33">
        <f>IF(Data!A870="",#N/A,Data!A870)</f>
        <v>44317</v>
      </c>
      <c r="B843" s="34">
        <f>VLOOKUP(A843,Data!A:AX,MATCH($B$2,Data!$B$1:$AX$1,0),FALSE)</f>
        <v>206.09399999999999</v>
      </c>
      <c r="C843" s="35">
        <f t="shared" si="54"/>
        <v>8.8858951589689816E-3</v>
      </c>
      <c r="D843" s="35">
        <f t="shared" si="51"/>
        <v>0.1119995320718663</v>
      </c>
      <c r="E843" s="35">
        <f>(Table143454[[#This Row],[USA]]-B831)/B831</f>
        <v>0.16592877048354918</v>
      </c>
      <c r="F843" s="34">
        <f>VLOOKUP(Table143454[[#This Row],[Date]],'Data Core CPI'!$A:$AX,MATCH($B$2,'Data Core CPI'!$B$1:$AX$1,0),FALSE)</f>
        <v>202.73840000000001</v>
      </c>
      <c r="G843" s="35">
        <f t="shared" si="52"/>
        <v>1.003365809039658E-2</v>
      </c>
      <c r="H843" s="35">
        <f t="shared" si="53"/>
        <v>0.12727572792566155</v>
      </c>
      <c r="I843" s="35">
        <f>(Table143454[[#This Row],[Core CPI]]-F831)/F831</f>
        <v>0.16248949255792136</v>
      </c>
    </row>
    <row r="844" spans="1:9" s="26" customFormat="1" x14ac:dyDescent="0.35">
      <c r="A844" s="33">
        <f>IF(Data!A871="",#N/A,Data!A871)</f>
        <v>44348</v>
      </c>
      <c r="B844" s="34">
        <f>VLOOKUP(A844,Data!A:AX,MATCH($B$2,Data!$B$1:$AX$1,0),FALSE)</f>
        <v>210.09649999999999</v>
      </c>
      <c r="C844" s="35">
        <f t="shared" si="54"/>
        <v>1.9420749754966105E-2</v>
      </c>
      <c r="D844" s="35">
        <f t="shared" si="51"/>
        <v>0.25962603972901066</v>
      </c>
      <c r="E844" s="35">
        <f>(Table143454[[#This Row],[USA]]-B832)/B832</f>
        <v>0.17525326262677113</v>
      </c>
      <c r="F844" s="34">
        <f>VLOOKUP(Table143454[[#This Row],[Date]],'Data Core CPI'!$A:$AX,MATCH($B$2,'Data Core CPI'!$B$1:$AX$1,0),FALSE)</f>
        <v>207.33</v>
      </c>
      <c r="G844" s="35">
        <f t="shared" si="52"/>
        <v>2.2647904886296866E-2</v>
      </c>
      <c r="H844" s="35">
        <f t="shared" si="53"/>
        <v>0.30831883994299747</v>
      </c>
      <c r="I844" s="35">
        <f>(Table143454[[#This Row],[Core CPI]]-F832)/F832</f>
        <v>0.1664942215410688</v>
      </c>
    </row>
    <row r="845" spans="1:9" s="26" customFormat="1" x14ac:dyDescent="0.35">
      <c r="A845" s="33">
        <f>IF(Data!A872="",#N/A,Data!A872)</f>
        <v>44378</v>
      </c>
      <c r="B845" s="34">
        <f>VLOOKUP(A845,Data!A:AX,MATCH($B$2,Data!$B$1:$AX$1,0),FALSE)</f>
        <v>213.88800000000001</v>
      </c>
      <c r="C845" s="35">
        <f t="shared" si="54"/>
        <v>1.8046469122522391E-2</v>
      </c>
      <c r="D845" s="35">
        <f t="shared" si="51"/>
        <v>0.23939923542614383</v>
      </c>
      <c r="E845" s="35">
        <f>(Table143454[[#This Row],[USA]]-B833)/B833</f>
        <v>0.1895169811824429</v>
      </c>
      <c r="F845" s="34">
        <f>VLOOKUP(Table143454[[#This Row],[Date]],'Data Core CPI'!$A:$AX,MATCH($B$2,'Data Core CPI'!$B$1:$AX$1,0),FALSE)</f>
        <v>208.46969999999999</v>
      </c>
      <c r="G845" s="35">
        <f t="shared" si="52"/>
        <v>5.4970337143682713E-3</v>
      </c>
      <c r="H845" s="35">
        <f t="shared" si="53"/>
        <v>6.7995750920272657E-2</v>
      </c>
      <c r="I845" s="35">
        <f>(Table143454[[#This Row],[Core CPI]]-F833)/F833</f>
        <v>0.16156062890516595</v>
      </c>
    </row>
    <row r="846" spans="1:9" s="26" customFormat="1" x14ac:dyDescent="0.35">
      <c r="A846" s="33">
        <f>IF(Data!A873="",#N/A,Data!A873)</f>
        <v>44409</v>
      </c>
      <c r="B846" s="34">
        <f>VLOOKUP(A846,Data!A:AX,MATCH($B$2,Data!$B$1:$AX$1,0),FALSE)</f>
        <v>216.2826</v>
      </c>
      <c r="C846" s="35">
        <f t="shared" si="54"/>
        <v>1.1195578994614097E-2</v>
      </c>
      <c r="D846" s="35">
        <f t="shared" si="51"/>
        <v>0.14293608926787837</v>
      </c>
      <c r="E846" s="35">
        <f>(Table143454[[#This Row],[USA]]-B834)/B834</f>
        <v>0.19252667273178392</v>
      </c>
      <c r="F846" s="34">
        <f>VLOOKUP(Table143454[[#This Row],[Date]],'Data Core CPI'!$A:$AX,MATCH($B$2,'Data Core CPI'!$B$1:$AX$1,0),FALSE)</f>
        <v>209.1765</v>
      </c>
      <c r="G846" s="35">
        <f t="shared" si="52"/>
        <v>3.3904207661834551E-3</v>
      </c>
      <c r="H846" s="35">
        <f t="shared" si="53"/>
        <v>4.1452355852852563E-2</v>
      </c>
      <c r="I846" s="35">
        <f>(Table143454[[#This Row],[Core CPI]]-F834)/F834</f>
        <v>0.15204646154778198</v>
      </c>
    </row>
    <row r="847" spans="1:9" s="26" customFormat="1" x14ac:dyDescent="0.35">
      <c r="A847" s="33">
        <f>IF(Data!A874="",#N/A,Data!A874)</f>
        <v>44440</v>
      </c>
      <c r="B847" s="34">
        <f>VLOOKUP(A847,Data!A:AX,MATCH($B$2,Data!$B$1:$AX$1,0),FALSE)</f>
        <v>218.99189999999999</v>
      </c>
      <c r="C847" s="35">
        <f t="shared" si="54"/>
        <v>1.252666650021772E-2</v>
      </c>
      <c r="D847" s="35">
        <f t="shared" si="51"/>
        <v>0.16112142432720278</v>
      </c>
      <c r="E847" s="35">
        <f>(Table143454[[#This Row],[USA]]-B835)/B835</f>
        <v>0.19582559521826798</v>
      </c>
      <c r="F847" s="34">
        <f>VLOOKUP(Table143454[[#This Row],[Date]],'Data Core CPI'!$A:$AX,MATCH($B$2,'Data Core CPI'!$B$1:$AX$1,0),FALSE)</f>
        <v>212.40369999999999</v>
      </c>
      <c r="G847" s="35">
        <f t="shared" si="52"/>
        <v>1.5428119315506139E-2</v>
      </c>
      <c r="H847" s="35">
        <f t="shared" si="53"/>
        <v>0.20168386246184733</v>
      </c>
      <c r="I847" s="35">
        <f>(Table143454[[#This Row],[Core CPI]]-F835)/F835</f>
        <v>0.15636958539646065</v>
      </c>
    </row>
    <row r="848" spans="1:9" s="26" customFormat="1" x14ac:dyDescent="0.35">
      <c r="A848" s="33">
        <f>IF(Data!A875="",#N/A,Data!A875)</f>
        <v>44470</v>
      </c>
      <c r="B848" s="34">
        <f>VLOOKUP(A848,Data!A:AX,MATCH($B$2,Data!$B$1:$AX$1,0),FALSE)</f>
        <v>224.23390000000001</v>
      </c>
      <c r="C848" s="35">
        <f t="shared" si="54"/>
        <v>2.3936958398917962E-2</v>
      </c>
      <c r="D848" s="35">
        <f t="shared" si="51"/>
        <v>0.32824633609976495</v>
      </c>
      <c r="E848" s="35">
        <f>(Table143454[[#This Row],[USA]]-B836)/B836</f>
        <v>0.19890019408339715</v>
      </c>
      <c r="F848" s="34">
        <f>VLOOKUP(Table143454[[#This Row],[Date]],'Data Core CPI'!$A:$AX,MATCH($B$2,'Data Core CPI'!$B$1:$AX$1,0),FALSE)</f>
        <v>216.8278</v>
      </c>
      <c r="G848" s="35">
        <f t="shared" si="52"/>
        <v>2.082873320944989E-2</v>
      </c>
      <c r="H848" s="35">
        <f t="shared" si="53"/>
        <v>0.28066230690962723</v>
      </c>
      <c r="I848" s="35">
        <f>(Table143454[[#This Row],[Core CPI]]-F836)/F836</f>
        <v>0.15979472981531248</v>
      </c>
    </row>
    <row r="849" spans="1:9" s="26" customFormat="1" x14ac:dyDescent="0.35">
      <c r="A849" s="33">
        <f>IF(Data!A876="",#N/A,Data!A876)</f>
        <v>44501</v>
      </c>
      <c r="B849" s="34">
        <f>VLOOKUP(A849,Data!A:AX,MATCH($B$2,Data!$B$1:$AX$1,0),FALSE)</f>
        <v>232.10849999999999</v>
      </c>
      <c r="C849" s="35">
        <f t="shared" si="54"/>
        <v>3.5117794410211678E-2</v>
      </c>
      <c r="D849" s="35">
        <f t="shared" si="51"/>
        <v>0.51313366490230661</v>
      </c>
      <c r="E849" s="35">
        <f>(Table143454[[#This Row],[USA]]-B837)/B837</f>
        <v>0.21312542139015636</v>
      </c>
      <c r="F849" s="34">
        <f>VLOOKUP(Table143454[[#This Row],[Date]],'Data Core CPI'!$A:$AX,MATCH($B$2,'Data Core CPI'!$B$1:$AX$1,0),FALSE)</f>
        <v>222.76339999999999</v>
      </c>
      <c r="G849" s="35">
        <f t="shared" si="52"/>
        <v>2.737471855546203E-2</v>
      </c>
      <c r="H849" s="35">
        <f t="shared" si="53"/>
        <v>0.38275899979842043</v>
      </c>
      <c r="I849" s="35">
        <f>(Table143454[[#This Row],[Core CPI]]-F837)/F837</f>
        <v>0.16986647256716542</v>
      </c>
    </row>
    <row r="850" spans="1:9" s="26" customFormat="1" x14ac:dyDescent="0.35">
      <c r="A850" s="33">
        <f>IF(Data!A877="",#N/A,Data!A877)</f>
        <v>44531</v>
      </c>
      <c r="B850" s="34">
        <f>VLOOKUP(A850,Data!A:AX,MATCH($B$2,Data!$B$1:$AX$1,0),FALSE)</f>
        <v>263.61840000000001</v>
      </c>
      <c r="C850" s="35">
        <f t="shared" si="54"/>
        <v>0.13575504559290175</v>
      </c>
      <c r="D850" s="35">
        <f t="shared" si="51"/>
        <v>3.6069775734775309</v>
      </c>
      <c r="E850" s="35">
        <f>(Table143454[[#This Row],[USA]]-B838)/B838</f>
        <v>0.36080916035262944</v>
      </c>
      <c r="F850" s="34">
        <f>VLOOKUP(Table143454[[#This Row],[Date]],'Data Core CPI'!$A:$AX,MATCH($B$2,'Data Core CPI'!$B$1:$AX$1,0),FALSE)</f>
        <v>251.44069999999999</v>
      </c>
      <c r="G850" s="35">
        <f t="shared" si="52"/>
        <v>0.1287343432538739</v>
      </c>
      <c r="H850" s="35">
        <f t="shared" si="53"/>
        <v>3.2766220502223895</v>
      </c>
      <c r="I850" s="35">
        <f>(Table143454[[#This Row],[Core CPI]]-F838)/F838</f>
        <v>0.31071132372404875</v>
      </c>
    </row>
    <row r="851" spans="1:9" s="26" customFormat="1" x14ac:dyDescent="0.35">
      <c r="A851" s="33">
        <f>IF(Data!A878="",#N/A,Data!A878)</f>
        <v>44562</v>
      </c>
      <c r="B851" s="34">
        <f>VLOOKUP(A851,Data!A:AX,MATCH($B$2,Data!$B$1:$AX$1,0),FALSE)</f>
        <v>292.89100000000002</v>
      </c>
      <c r="C851" s="35">
        <f t="shared" si="54"/>
        <v>0.11104156614257588</v>
      </c>
      <c r="D851" s="35">
        <f t="shared" si="51"/>
        <v>2.5380477031393531</v>
      </c>
      <c r="E851" s="35">
        <f>(Table143454[[#This Row],[USA]]-B839)/B839</f>
        <v>0.48690805508582369</v>
      </c>
      <c r="F851" s="34">
        <f>VLOOKUP(Table143454[[#This Row],[Date]],'Data Core CPI'!$A:$AX,MATCH($B$2,'Data Core CPI'!$B$1:$AX$1,0),FALSE)</f>
        <v>271.48610000000002</v>
      </c>
      <c r="G851" s="35">
        <f t="shared" si="52"/>
        <v>7.9722177038164643E-2</v>
      </c>
      <c r="H851" s="35">
        <f t="shared" si="53"/>
        <v>1.510407711271228</v>
      </c>
      <c r="I851" s="35">
        <f>(Table143454[[#This Row],[Core CPI]]-F839)/F839</f>
        <v>0.39740897331764463</v>
      </c>
    </row>
    <row r="852" spans="1:9" s="26" customFormat="1" x14ac:dyDescent="0.35">
      <c r="A852" s="33">
        <f>IF(Data!A879="",#N/A,Data!A879)</f>
        <v>44593</v>
      </c>
      <c r="B852" s="34">
        <f>VLOOKUP(A852,Data!A:AX,MATCH($B$2,Data!$B$1:$AX$1,0),FALSE)</f>
        <v>306.97469999999998</v>
      </c>
      <c r="C852" s="35">
        <f t="shared" si="54"/>
        <v>4.8085123817392716E-2</v>
      </c>
      <c r="D852" s="35">
        <f t="shared" si="51"/>
        <v>0.75694708381790887</v>
      </c>
      <c r="E852" s="35">
        <f>(Table143454[[#This Row],[USA]]-B840)/B840</f>
        <v>0.54438536949069305</v>
      </c>
      <c r="F852" s="34">
        <f>VLOOKUP(Table143454[[#This Row],[Date]],'Data Core CPI'!$A:$AX,MATCH($B$2,'Data Core CPI'!$B$1:$AX$1,0),FALSE)</f>
        <v>280.91039999999998</v>
      </c>
      <c r="G852" s="35">
        <f t="shared" si="52"/>
        <v>3.4713747775668713E-2</v>
      </c>
      <c r="H852" s="35">
        <f t="shared" si="53"/>
        <v>0.50606124397546037</v>
      </c>
      <c r="I852" s="35">
        <f>(Table143454[[#This Row],[Core CPI]]-F840)/F840</f>
        <v>0.44100954139735293</v>
      </c>
    </row>
    <row r="853" spans="1:9" s="26" customFormat="1" x14ac:dyDescent="0.35">
      <c r="A853" s="33">
        <f>IF(Data!A880="",#N/A,Data!A880)</f>
        <v>44621</v>
      </c>
      <c r="B853" s="34">
        <f>VLOOKUP(A853,Data!A:AX,MATCH($B$2,Data!$B$1:$AX$1,0),FALSE)</f>
        <v>323.74849999999998</v>
      </c>
      <c r="C853" s="35">
        <f t="shared" si="54"/>
        <v>5.4642288110388293E-2</v>
      </c>
      <c r="D853" s="35">
        <f t="shared" si="51"/>
        <v>0.89348633656661458</v>
      </c>
      <c r="E853" s="35">
        <f>(Table143454[[#This Row],[USA]]-B841)/B841</f>
        <v>0.61144507099599454</v>
      </c>
      <c r="F853" s="34">
        <f>VLOOKUP(Table143454[[#This Row],[Date]],'Data Core CPI'!$A:$AX,MATCH($B$2,'Data Core CPI'!$B$1:$AX$1,0),FALSE)</f>
        <v>293.2801</v>
      </c>
      <c r="G853" s="35">
        <f t="shared" si="52"/>
        <v>4.4034325535829311E-2</v>
      </c>
      <c r="H853" s="35">
        <f t="shared" si="53"/>
        <v>0.67717094630684405</v>
      </c>
      <c r="I853" s="35">
        <f>(Table143454[[#This Row],[Core CPI]]-F841)/F841</f>
        <v>0.48652055572169312</v>
      </c>
    </row>
    <row r="854" spans="1:9" s="26" customFormat="1" x14ac:dyDescent="0.35">
      <c r="A854" s="33">
        <f>IF(Data!A881="",#N/A,Data!A881)</f>
        <v>44652</v>
      </c>
      <c r="B854" s="34">
        <f>VLOOKUP(A854,Data!A:AX,MATCH($B$2,Data!$B$1:$AX$1,0),FALSE)</f>
        <v>347.2149</v>
      </c>
      <c r="C854" s="35">
        <f t="shared" si="54"/>
        <v>7.2483424633627669E-2</v>
      </c>
      <c r="D854" s="35">
        <f t="shared" si="51"/>
        <v>1.3157254360681807</v>
      </c>
      <c r="E854" s="35">
        <f>(Table143454[[#This Row],[USA]]-B842)/B842</f>
        <v>0.69971088531947523</v>
      </c>
      <c r="F854" s="34">
        <f>VLOOKUP(Table143454[[#This Row],[Date]],'Data Core CPI'!$A:$AX,MATCH($B$2,'Data Core CPI'!$B$1:$AX$1,0),FALSE)</f>
        <v>307.19380000000001</v>
      </c>
      <c r="G854" s="35">
        <f t="shared" si="52"/>
        <v>4.7441677768113255E-2</v>
      </c>
      <c r="H854" s="35">
        <f t="shared" si="53"/>
        <v>0.74404708707018052</v>
      </c>
      <c r="I854" s="35">
        <f>(Table143454[[#This Row],[Core CPI]]-F842)/F842</f>
        <v>0.53042579776051146</v>
      </c>
    </row>
    <row r="855" spans="1:9" s="26" customFormat="1" x14ac:dyDescent="0.35">
      <c r="A855" s="33">
        <f>IF(Data!A882="",#N/A,Data!A882)</f>
        <v>44682</v>
      </c>
      <c r="B855" s="34">
        <f>VLOOKUP(A855,Data!A:AX,MATCH($B$2,Data!$B$1:$AX$1,0),FALSE)</f>
        <v>357.56470000000002</v>
      </c>
      <c r="C855" s="35">
        <f t="shared" si="54"/>
        <v>2.9808052592213086E-2</v>
      </c>
      <c r="D855" s="35">
        <f t="shared" si="51"/>
        <v>0.42257575156766136</v>
      </c>
      <c r="E855" s="35">
        <f>(Table143454[[#This Row],[USA]]-B843)/B843</f>
        <v>0.73495929042087604</v>
      </c>
      <c r="F855" s="34">
        <f>VLOOKUP(Table143454[[#This Row],[Date]],'Data Core CPI'!$A:$AX,MATCH($B$2,'Data Core CPI'!$B$1:$AX$1,0),FALSE)</f>
        <v>318.68920000000003</v>
      </c>
      <c r="G855" s="35">
        <f t="shared" si="52"/>
        <v>3.742067711001984E-2</v>
      </c>
      <c r="H855" s="35">
        <f t="shared" si="53"/>
        <v>0.554027849299491</v>
      </c>
      <c r="I855" s="35">
        <f>(Table143454[[#This Row],[Core CPI]]-F843)/F843</f>
        <v>0.57192322717353994</v>
      </c>
    </row>
    <row r="856" spans="1:9" s="26" customFormat="1" x14ac:dyDescent="0.35">
      <c r="A856" s="33">
        <f>IF(Data!A883="",#N/A,Data!A883)</f>
        <v>44713</v>
      </c>
      <c r="B856" s="34">
        <f>VLOOKUP(A856,Data!A:AX,MATCH($B$2,Data!$B$1:$AX$1,0),FALSE)</f>
        <v>375.27100000000002</v>
      </c>
      <c r="C856" s="35">
        <f t="shared" si="54"/>
        <v>4.9519149960832287E-2</v>
      </c>
      <c r="D856" s="35">
        <f t="shared" si="51"/>
        <v>0.78601214457877111</v>
      </c>
      <c r="E856" s="35">
        <f>(Table143454[[#This Row],[USA]]-B844)/B844</f>
        <v>0.78618396784334832</v>
      </c>
      <c r="F856" s="34">
        <f>VLOOKUP(Table143454[[#This Row],[Date]],'Data Core CPI'!$A:$AX,MATCH($B$2,'Data Core CPI'!$B$1:$AX$1,0),FALSE)</f>
        <v>329.32679999999999</v>
      </c>
      <c r="G856" s="35">
        <f t="shared" si="52"/>
        <v>3.3379229669533661E-2</v>
      </c>
      <c r="H856" s="35">
        <f t="shared" si="53"/>
        <v>0.48291664082864405</v>
      </c>
      <c r="I856" s="35">
        <f>(Table143454[[#This Row],[Core CPI]]-F844)/F844</f>
        <v>0.58841846331934589</v>
      </c>
    </row>
    <row r="857" spans="1:9" s="26" customFormat="1" x14ac:dyDescent="0.35">
      <c r="A857" s="33">
        <f>IF(Data!A884="",#N/A,Data!A884)</f>
        <v>44743</v>
      </c>
      <c r="B857" s="34">
        <f>VLOOKUP(A857,Data!A:AX,MATCH($B$2,Data!$B$1:$AX$1,0),FALSE)</f>
        <v>384.1472</v>
      </c>
      <c r="C857" s="35">
        <f t="shared" si="54"/>
        <v>2.3652773595614907E-2</v>
      </c>
      <c r="D857" s="35">
        <f t="shared" si="51"/>
        <v>0.3238293638479075</v>
      </c>
      <c r="E857" s="35">
        <f>(Table143454[[#This Row],[USA]]-B845)/B845</f>
        <v>0.79602034709754632</v>
      </c>
      <c r="F857" s="34">
        <f>VLOOKUP(Table143454[[#This Row],[Date]],'Data Core CPI'!$A:$AX,MATCH($B$2,'Data Core CPI'!$B$1:$AX$1,0),FALSE)</f>
        <v>341.40629999999999</v>
      </c>
      <c r="G857" s="35">
        <f t="shared" si="52"/>
        <v>3.667937137214472E-2</v>
      </c>
      <c r="H857" s="35">
        <f t="shared" si="53"/>
        <v>0.54075462630894378</v>
      </c>
      <c r="I857" s="35">
        <f>(Table143454[[#This Row],[Core CPI]]-F845)/F845</f>
        <v>0.63767828130418958</v>
      </c>
    </row>
    <row r="858" spans="1:9" s="26" customFormat="1" x14ac:dyDescent="0.35">
      <c r="A858" s="33">
        <f>IF(Data!A885="",#N/A,Data!A885)</f>
        <v>44774</v>
      </c>
      <c r="B858" s="34">
        <f>VLOOKUP(A858,Data!A:AX,MATCH($B$2,Data!$B$1:$AX$1,0),FALSE)</f>
        <v>389.7577</v>
      </c>
      <c r="C858" s="35">
        <f t="shared" si="54"/>
        <v>1.4605078469919874E-2</v>
      </c>
      <c r="D858" s="35">
        <f t="shared" si="51"/>
        <v>0.19004773331645475</v>
      </c>
      <c r="E858" s="35">
        <f>(Table143454[[#This Row],[USA]]-B846)/B846</f>
        <v>0.80207608009150988</v>
      </c>
      <c r="F858" s="34">
        <f>VLOOKUP(Table143454[[#This Row],[Date]],'Data Core CPI'!$A:$AX,MATCH($B$2,'Data Core CPI'!$B$1:$AX$1,0),FALSE)</f>
        <v>351.25139999999999</v>
      </c>
      <c r="G858" s="35">
        <f t="shared" si="52"/>
        <v>2.883690195523636E-2</v>
      </c>
      <c r="H858" s="35">
        <f t="shared" si="53"/>
        <v>0.40656043087890215</v>
      </c>
      <c r="I858" s="35">
        <f>(Table143454[[#This Row],[Core CPI]]-F846)/F846</f>
        <v>0.67921061878365874</v>
      </c>
    </row>
    <row r="859" spans="1:9" s="26" customFormat="1" x14ac:dyDescent="0.35">
      <c r="A859" s="33">
        <f>IF(Data!A886="",#N/A,Data!A886)</f>
        <v>44805</v>
      </c>
      <c r="B859" s="34">
        <f>VLOOKUP(A859,Data!A:AX,MATCH($B$2,Data!$B$1:$AX$1,0),FALSE)</f>
        <v>401.74610000000001</v>
      </c>
      <c r="C859" s="35">
        <f t="shared" si="54"/>
        <v>3.0758596943690986E-2</v>
      </c>
      <c r="D859" s="35">
        <f t="shared" si="51"/>
        <v>0.43841296262464602</v>
      </c>
      <c r="E859" s="35">
        <f>(Table143454[[#This Row],[USA]]-B847)/B847</f>
        <v>0.83452492991749938</v>
      </c>
      <c r="F859" s="34">
        <f>VLOOKUP(Table143454[[#This Row],[Date]],'Data Core CPI'!$A:$AX,MATCH($B$2,'Data Core CPI'!$B$1:$AX$1,0),FALSE)</f>
        <v>360.38159999999999</v>
      </c>
      <c r="G859" s="35">
        <f t="shared" si="52"/>
        <v>2.5993348353914092E-2</v>
      </c>
      <c r="H859" s="35">
        <f t="shared" si="53"/>
        <v>0.3606127689802674</v>
      </c>
      <c r="I859" s="35">
        <f>(Table143454[[#This Row],[Core CPI]]-F847)/F847</f>
        <v>0.69668230826487498</v>
      </c>
    </row>
    <row r="860" spans="1:9" s="26" customFormat="1" x14ac:dyDescent="0.35">
      <c r="A860" s="33">
        <f>IF(Data!A887="",#N/A,Data!A887)</f>
        <v>44835</v>
      </c>
      <c r="B860" s="34">
        <f>VLOOKUP(A860,Data!A:AX,MATCH($B$2,Data!$B$1:$AX$1,0),FALSE)</f>
        <v>415.9871</v>
      </c>
      <c r="C860" s="35">
        <f t="shared" si="54"/>
        <v>3.5447761658420562E-2</v>
      </c>
      <c r="D860" s="35">
        <f t="shared" si="51"/>
        <v>0.51893197140082048</v>
      </c>
      <c r="E860" s="35">
        <f>(Table143454[[#This Row],[USA]]-B848)/B848</f>
        <v>0.85514812880657198</v>
      </c>
      <c r="F860" s="34">
        <f>VLOOKUP(Table143454[[#This Row],[Date]],'Data Core CPI'!$A:$AX,MATCH($B$2,'Data Core CPI'!$B$1:$AX$1,0),FALSE)</f>
        <v>372.33449999999999</v>
      </c>
      <c r="G860" s="35">
        <f t="shared" si="52"/>
        <v>3.316734261682619E-2</v>
      </c>
      <c r="H860" s="35">
        <f t="shared" si="53"/>
        <v>0.47927201485575432</v>
      </c>
      <c r="I860" s="35">
        <f>(Table143454[[#This Row],[Core CPI]]-F848)/F848</f>
        <v>0.71718986218556846</v>
      </c>
    </row>
    <row r="861" spans="1:9" s="26" customFormat="1" x14ac:dyDescent="0.35">
      <c r="A861" s="33">
        <f>IF(Data!A888="",#N/A,Data!A888)</f>
        <v>44866</v>
      </c>
      <c r="B861" s="34">
        <f>VLOOKUP(A861,Data!A:AX,MATCH($B$2,Data!$B$1:$AX$1,0),FALSE)</f>
        <v>427.98320000000001</v>
      </c>
      <c r="C861" s="35">
        <f t="shared" si="54"/>
        <v>2.8837673091304916E-2</v>
      </c>
      <c r="D861" s="35">
        <f t="shared" si="51"/>
        <v>0.40657308190979102</v>
      </c>
      <c r="E861" s="35">
        <f>(Table143454[[#This Row],[USA]]-B849)/B849</f>
        <v>0.84389283460105957</v>
      </c>
      <c r="F861" s="34">
        <f>VLOOKUP(Table143454[[#This Row],[Date]],'Data Core CPI'!$A:$AX,MATCH($B$2,'Data Core CPI'!$B$1:$AX$1,0),FALSE)</f>
        <v>379.98989999999998</v>
      </c>
      <c r="G861" s="35">
        <f t="shared" si="52"/>
        <v>2.0560544349234267E-2</v>
      </c>
      <c r="H861" s="35">
        <f t="shared" si="53"/>
        <v>0.27663071757130542</v>
      </c>
      <c r="I861" s="35">
        <f>(Table143454[[#This Row],[Core CPI]]-F849)/F849</f>
        <v>0.70580041425117412</v>
      </c>
    </row>
    <row r="862" spans="1:9" s="26" customFormat="1" x14ac:dyDescent="0.35">
      <c r="A862" s="33">
        <f>IF(Data!A889="",#N/A,Data!A889)</f>
        <v>44896</v>
      </c>
      <c r="B862" s="34">
        <f>VLOOKUP(A862,Data!A:AX,MATCH($B$2,Data!$B$1:$AX$1,0),FALSE)</f>
        <v>433.04489999999998</v>
      </c>
      <c r="C862" s="35">
        <f t="shared" si="54"/>
        <v>1.1826866101286138E-2</v>
      </c>
      <c r="D862" s="35">
        <f t="shared" si="51"/>
        <v>0.15152793957675237</v>
      </c>
      <c r="E862" s="35">
        <f>(Table143454[[#This Row],[USA]]-B850)/B850</f>
        <v>0.64269603335730729</v>
      </c>
      <c r="F862" s="34">
        <f>VLOOKUP(Table143454[[#This Row],[Date]],'Data Core CPI'!$A:$AX,MATCH($B$2,'Data Core CPI'!$B$1:$AX$1,0),FALSE)</f>
        <v>387.91910000000001</v>
      </c>
      <c r="G862" s="35">
        <f t="shared" si="52"/>
        <v>2.0866870408924099E-2</v>
      </c>
      <c r="H862" s="35">
        <f t="shared" si="53"/>
        <v>0.28123655693713445</v>
      </c>
      <c r="I862" s="35">
        <f>(Table143454[[#This Row],[Core CPI]]-F850)/F850</f>
        <v>0.54278563494295085</v>
      </c>
    </row>
    <row r="863" spans="1:9" s="26" customFormat="1" x14ac:dyDescent="0.35">
      <c r="A863" s="31"/>
      <c r="B863" s="29"/>
      <c r="C863" s="30"/>
      <c r="D863" s="30"/>
      <c r="E863" s="30"/>
      <c r="F863" s="31"/>
      <c r="G863" s="31"/>
      <c r="H863" s="31"/>
      <c r="I863" s="31"/>
    </row>
    <row r="864" spans="1:9" s="26" customFormat="1" x14ac:dyDescent="0.35">
      <c r="A864" s="31"/>
      <c r="B864" s="29"/>
      <c r="C864" s="30"/>
      <c r="D864" s="30"/>
      <c r="E864" s="30"/>
      <c r="F864" s="31"/>
      <c r="G864" s="31"/>
      <c r="H864" s="31"/>
      <c r="I864" s="31"/>
    </row>
    <row r="865" spans="1:9" s="26" customFormat="1" x14ac:dyDescent="0.35">
      <c r="A865" s="31"/>
      <c r="B865" s="29"/>
      <c r="C865" s="30"/>
      <c r="D865" s="30"/>
      <c r="E865" s="30"/>
      <c r="F865" s="31"/>
      <c r="G865" s="31"/>
      <c r="H865" s="31"/>
      <c r="I865" s="31"/>
    </row>
    <row r="866" spans="1:9" s="26" customFormat="1" x14ac:dyDescent="0.35">
      <c r="A866" s="31"/>
      <c r="B866" s="29"/>
      <c r="C866" s="30"/>
      <c r="D866" s="30"/>
      <c r="E866" s="30"/>
      <c r="F866" s="31"/>
      <c r="G866" s="31"/>
      <c r="H866" s="31"/>
      <c r="I866" s="31"/>
    </row>
    <row r="867" spans="1:9" s="26" customFormat="1" x14ac:dyDescent="0.35">
      <c r="A867" s="31"/>
      <c r="B867" s="29"/>
      <c r="C867" s="30"/>
      <c r="D867" s="30"/>
      <c r="E867" s="30"/>
      <c r="F867" s="31"/>
      <c r="G867" s="31"/>
      <c r="H867" s="31"/>
      <c r="I867" s="31"/>
    </row>
    <row r="868" spans="1:9" s="26" customFormat="1" x14ac:dyDescent="0.35">
      <c r="A868" s="31"/>
      <c r="B868" s="29"/>
      <c r="C868" s="30"/>
      <c r="D868" s="30"/>
      <c r="E868" s="30"/>
      <c r="F868" s="31"/>
      <c r="G868" s="31"/>
      <c r="H868" s="31"/>
      <c r="I868" s="31"/>
    </row>
    <row r="869" spans="1:9" s="26" customFormat="1" x14ac:dyDescent="0.35">
      <c r="A869" s="31"/>
      <c r="B869" s="29"/>
      <c r="C869" s="30"/>
      <c r="D869" s="30"/>
      <c r="E869" s="30"/>
      <c r="F869" s="31"/>
      <c r="G869" s="31"/>
      <c r="H869" s="31"/>
      <c r="I869" s="31"/>
    </row>
    <row r="870" spans="1:9" s="26" customFormat="1" x14ac:dyDescent="0.35">
      <c r="A870" s="31"/>
      <c r="B870" s="29"/>
      <c r="C870" s="30"/>
      <c r="D870" s="30"/>
      <c r="E870" s="30"/>
      <c r="F870" s="31"/>
      <c r="G870" s="31"/>
      <c r="H870" s="31"/>
      <c r="I870" s="31"/>
    </row>
    <row r="871" spans="1:9" s="26" customFormat="1" x14ac:dyDescent="0.35">
      <c r="A871" s="31"/>
      <c r="B871" s="29"/>
      <c r="C871" s="30"/>
      <c r="D871" s="30"/>
      <c r="E871" s="30"/>
      <c r="F871" s="31"/>
      <c r="G871" s="31"/>
      <c r="H871" s="31"/>
      <c r="I871" s="31"/>
    </row>
    <row r="872" spans="1:9" s="26" customFormat="1" x14ac:dyDescent="0.35">
      <c r="A872" s="31"/>
      <c r="B872" s="29"/>
      <c r="C872" s="30"/>
      <c r="D872" s="30"/>
      <c r="E872" s="30"/>
      <c r="F872" s="31"/>
      <c r="G872" s="31"/>
      <c r="H872" s="31"/>
      <c r="I872" s="31"/>
    </row>
    <row r="873" spans="1:9" s="26" customFormat="1" x14ac:dyDescent="0.35">
      <c r="A873" s="31"/>
      <c r="B873" s="29"/>
      <c r="C873" s="30"/>
      <c r="D873" s="30"/>
      <c r="E873" s="30"/>
      <c r="F873" s="31"/>
      <c r="G873" s="31"/>
      <c r="H873" s="31"/>
      <c r="I873" s="31"/>
    </row>
    <row r="874" spans="1:9" s="26" customFormat="1" x14ac:dyDescent="0.35">
      <c r="A874" s="31"/>
      <c r="B874" s="29"/>
      <c r="C874" s="30"/>
      <c r="D874" s="30"/>
      <c r="E874" s="30"/>
      <c r="F874" s="31"/>
      <c r="G874" s="31"/>
      <c r="H874" s="31"/>
      <c r="I874" s="31"/>
    </row>
    <row r="875" spans="1:9" s="26" customFormat="1" x14ac:dyDescent="0.35">
      <c r="A875" s="31"/>
      <c r="B875" s="29"/>
      <c r="C875" s="30"/>
      <c r="D875" s="30"/>
      <c r="E875" s="30"/>
      <c r="F875" s="31"/>
      <c r="G875" s="31"/>
      <c r="H875" s="31"/>
      <c r="I875" s="31"/>
    </row>
    <row r="876" spans="1:9" s="26" customFormat="1" x14ac:dyDescent="0.35">
      <c r="A876" s="31"/>
      <c r="B876" s="29"/>
      <c r="C876" s="30"/>
      <c r="D876" s="30"/>
      <c r="E876" s="30"/>
      <c r="F876" s="31"/>
      <c r="G876" s="31"/>
      <c r="H876" s="31"/>
      <c r="I876" s="31"/>
    </row>
    <row r="877" spans="1:9" s="26" customFormat="1" x14ac:dyDescent="0.35">
      <c r="A877" s="31"/>
      <c r="B877" s="29"/>
      <c r="C877" s="30"/>
      <c r="D877" s="30"/>
      <c r="E877" s="30"/>
      <c r="F877" s="31"/>
      <c r="G877" s="31"/>
      <c r="H877" s="31"/>
      <c r="I877" s="31"/>
    </row>
    <row r="878" spans="1:9" s="26" customFormat="1" x14ac:dyDescent="0.35">
      <c r="A878" s="31"/>
      <c r="B878" s="29"/>
      <c r="C878" s="30"/>
      <c r="D878" s="30"/>
      <c r="E878" s="30"/>
      <c r="F878" s="31"/>
      <c r="G878" s="31"/>
      <c r="H878" s="31"/>
      <c r="I878" s="31"/>
    </row>
    <row r="879" spans="1:9" s="26" customFormat="1" x14ac:dyDescent="0.35">
      <c r="A879" s="31"/>
      <c r="B879" s="29"/>
      <c r="C879" s="30"/>
      <c r="D879" s="30"/>
      <c r="E879" s="30"/>
      <c r="F879" s="31"/>
      <c r="G879" s="31"/>
      <c r="H879" s="31"/>
      <c r="I879" s="31"/>
    </row>
    <row r="880" spans="1:9" s="26" customFormat="1" x14ac:dyDescent="0.35">
      <c r="A880" s="31"/>
      <c r="B880" s="29"/>
      <c r="C880" s="30"/>
      <c r="D880" s="30"/>
      <c r="E880" s="30"/>
      <c r="F880" s="31"/>
      <c r="G880" s="31"/>
      <c r="H880" s="31"/>
      <c r="I880" s="31"/>
    </row>
    <row r="881" spans="1:9" s="26" customFormat="1" x14ac:dyDescent="0.35">
      <c r="A881" s="31"/>
      <c r="B881" s="29"/>
      <c r="C881" s="30"/>
      <c r="D881" s="30"/>
      <c r="E881" s="30"/>
      <c r="F881" s="31"/>
      <c r="G881" s="31"/>
      <c r="H881" s="31"/>
      <c r="I881" s="31"/>
    </row>
    <row r="882" spans="1:9" s="26" customFormat="1" x14ac:dyDescent="0.35">
      <c r="A882" s="31"/>
      <c r="B882" s="29"/>
      <c r="C882" s="30"/>
      <c r="D882" s="30"/>
      <c r="E882" s="30"/>
      <c r="F882" s="31"/>
      <c r="G882" s="31"/>
      <c r="H882" s="31"/>
      <c r="I882" s="31"/>
    </row>
    <row r="883" spans="1:9" s="26" customFormat="1" x14ac:dyDescent="0.35">
      <c r="A883" s="31"/>
      <c r="B883" s="29"/>
      <c r="C883" s="30"/>
      <c r="D883" s="30"/>
      <c r="E883" s="30"/>
      <c r="F883" s="31"/>
      <c r="G883" s="31"/>
      <c r="H883" s="31"/>
      <c r="I883" s="31"/>
    </row>
    <row r="884" spans="1:9" s="26" customFormat="1" x14ac:dyDescent="0.35">
      <c r="A884" s="31"/>
      <c r="B884" s="29"/>
      <c r="C884" s="30"/>
      <c r="D884" s="30"/>
      <c r="E884" s="30"/>
      <c r="F884" s="31"/>
      <c r="G884" s="31"/>
      <c r="H884" s="31"/>
      <c r="I884" s="31"/>
    </row>
    <row r="885" spans="1:9" s="26" customFormat="1" x14ac:dyDescent="0.35">
      <c r="A885" s="31"/>
      <c r="B885" s="29"/>
      <c r="C885" s="30"/>
      <c r="D885" s="30"/>
      <c r="E885" s="30"/>
      <c r="F885" s="31"/>
      <c r="G885" s="31"/>
      <c r="H885" s="31"/>
      <c r="I885" s="31"/>
    </row>
    <row r="886" spans="1:9" s="26" customFormat="1" x14ac:dyDescent="0.35">
      <c r="A886" s="31"/>
      <c r="B886" s="29"/>
      <c r="C886" s="30"/>
      <c r="D886" s="30"/>
      <c r="E886" s="30"/>
      <c r="F886" s="31"/>
      <c r="G886" s="31"/>
      <c r="H886" s="31"/>
      <c r="I886" s="31"/>
    </row>
    <row r="887" spans="1:9" s="26" customFormat="1" x14ac:dyDescent="0.35">
      <c r="A887" s="31"/>
      <c r="B887" s="29"/>
      <c r="C887" s="30"/>
      <c r="D887" s="30"/>
      <c r="E887" s="30"/>
      <c r="F887" s="31"/>
      <c r="G887" s="31"/>
      <c r="H887" s="31"/>
      <c r="I887" s="31"/>
    </row>
    <row r="888" spans="1:9" s="26" customFormat="1" x14ac:dyDescent="0.35">
      <c r="A888" s="31"/>
      <c r="B888" s="29"/>
      <c r="C888" s="30"/>
      <c r="D888" s="30"/>
      <c r="E888" s="30"/>
      <c r="F888" s="31"/>
      <c r="G888" s="31"/>
      <c r="H888" s="31"/>
      <c r="I888" s="31"/>
    </row>
    <row r="889" spans="1:9" s="26" customFormat="1" x14ac:dyDescent="0.35">
      <c r="A889" s="31"/>
      <c r="B889" s="29"/>
      <c r="C889" s="30"/>
      <c r="D889" s="30"/>
      <c r="E889" s="30"/>
      <c r="F889" s="31"/>
      <c r="G889" s="31"/>
      <c r="H889" s="31"/>
      <c r="I889" s="31"/>
    </row>
    <row r="890" spans="1:9" s="26" customFormat="1" x14ac:dyDescent="0.35">
      <c r="A890" s="31"/>
      <c r="B890" s="29"/>
      <c r="C890" s="30"/>
      <c r="D890" s="30"/>
      <c r="E890" s="30"/>
      <c r="F890" s="31"/>
      <c r="G890" s="31"/>
      <c r="H890" s="31"/>
      <c r="I890" s="31"/>
    </row>
    <row r="891" spans="1:9" s="26" customFormat="1" x14ac:dyDescent="0.35">
      <c r="A891" s="31"/>
      <c r="B891" s="29"/>
      <c r="C891" s="30"/>
      <c r="D891" s="30"/>
      <c r="E891" s="30"/>
      <c r="F891" s="31"/>
      <c r="G891" s="31"/>
      <c r="H891" s="31"/>
      <c r="I891" s="31"/>
    </row>
    <row r="892" spans="1:9" s="26" customFormat="1" x14ac:dyDescent="0.35">
      <c r="A892" s="31"/>
      <c r="B892" s="29"/>
      <c r="C892" s="30"/>
      <c r="D892" s="30"/>
      <c r="E892" s="30"/>
      <c r="F892" s="31"/>
      <c r="G892" s="31"/>
      <c r="H892" s="31"/>
      <c r="I892" s="31"/>
    </row>
    <row r="893" spans="1:9" s="26" customFormat="1" x14ac:dyDescent="0.35">
      <c r="A893" s="31"/>
      <c r="B893" s="29"/>
      <c r="C893" s="30"/>
      <c r="D893" s="30"/>
      <c r="E893" s="30"/>
      <c r="F893" s="31"/>
      <c r="G893" s="31"/>
      <c r="H893" s="31"/>
      <c r="I893" s="31"/>
    </row>
    <row r="894" spans="1:9" s="26" customFormat="1" x14ac:dyDescent="0.35">
      <c r="A894" s="31"/>
      <c r="B894" s="29"/>
      <c r="C894" s="30"/>
      <c r="D894" s="30"/>
      <c r="E894" s="30"/>
      <c r="F894" s="31"/>
      <c r="G894" s="31"/>
      <c r="H894" s="31"/>
      <c r="I894" s="31"/>
    </row>
    <row r="895" spans="1:9" s="26" customFormat="1" x14ac:dyDescent="0.35">
      <c r="A895" s="31"/>
      <c r="B895" s="29"/>
      <c r="C895" s="30"/>
      <c r="D895" s="30"/>
      <c r="E895" s="30"/>
      <c r="F895" s="31"/>
      <c r="G895" s="31"/>
      <c r="H895" s="31"/>
      <c r="I895" s="31"/>
    </row>
    <row r="896" spans="1:9" s="26" customFormat="1" x14ac:dyDescent="0.35">
      <c r="A896" s="31"/>
      <c r="B896" s="29"/>
      <c r="C896" s="30"/>
      <c r="D896" s="30"/>
      <c r="E896" s="30"/>
      <c r="F896" s="31"/>
      <c r="G896" s="31"/>
      <c r="H896" s="31"/>
      <c r="I896" s="31"/>
    </row>
    <row r="897" spans="1:9" s="26" customFormat="1" x14ac:dyDescent="0.35">
      <c r="A897" s="31"/>
      <c r="B897" s="29"/>
      <c r="C897" s="30"/>
      <c r="D897" s="30"/>
      <c r="E897" s="30"/>
      <c r="F897" s="31"/>
      <c r="G897" s="31"/>
      <c r="H897" s="31"/>
      <c r="I897" s="31"/>
    </row>
    <row r="898" spans="1:9" s="26" customFormat="1" x14ac:dyDescent="0.35">
      <c r="A898" s="31"/>
      <c r="B898" s="29"/>
      <c r="C898" s="30"/>
      <c r="D898" s="30"/>
      <c r="E898" s="30"/>
      <c r="F898" s="31"/>
      <c r="G898" s="31"/>
      <c r="H898" s="31"/>
      <c r="I898" s="31"/>
    </row>
    <row r="899" spans="1:9" s="26" customFormat="1" x14ac:dyDescent="0.35">
      <c r="A899" s="31"/>
      <c r="B899" s="29"/>
      <c r="C899" s="30"/>
      <c r="D899" s="30"/>
      <c r="E899" s="30"/>
      <c r="F899" s="31"/>
      <c r="G899" s="31"/>
      <c r="H899" s="31"/>
      <c r="I899" s="31"/>
    </row>
    <row r="900" spans="1:9" s="26" customFormat="1" x14ac:dyDescent="0.35">
      <c r="A900" s="31"/>
      <c r="B900" s="29"/>
      <c r="C900" s="30"/>
      <c r="D900" s="30"/>
      <c r="E900" s="30"/>
      <c r="F900" s="31"/>
      <c r="G900" s="31"/>
      <c r="H900" s="31"/>
      <c r="I900" s="31"/>
    </row>
    <row r="901" spans="1:9" s="26" customFormat="1" x14ac:dyDescent="0.35">
      <c r="A901" s="31"/>
      <c r="B901" s="29"/>
      <c r="C901" s="30"/>
      <c r="D901" s="30"/>
      <c r="E901" s="30"/>
      <c r="F901" s="31"/>
      <c r="G901" s="31"/>
      <c r="H901" s="31"/>
      <c r="I901" s="31"/>
    </row>
    <row r="902" spans="1:9" s="26" customFormat="1" x14ac:dyDescent="0.35">
      <c r="A902" s="31"/>
      <c r="B902" s="29"/>
      <c r="C902" s="30"/>
      <c r="D902" s="30"/>
      <c r="E902" s="30"/>
      <c r="F902" s="31"/>
      <c r="G902" s="31"/>
      <c r="H902" s="31"/>
      <c r="I902" s="31"/>
    </row>
    <row r="903" spans="1:9" s="26" customFormat="1" x14ac:dyDescent="0.35">
      <c r="A903" s="31"/>
      <c r="B903" s="29"/>
      <c r="C903" s="30"/>
      <c r="D903" s="30"/>
      <c r="E903" s="30"/>
      <c r="F903" s="31"/>
      <c r="G903" s="31"/>
      <c r="H903" s="31"/>
      <c r="I903" s="31"/>
    </row>
    <row r="904" spans="1:9" s="26" customFormat="1" x14ac:dyDescent="0.35">
      <c r="A904" s="31"/>
      <c r="B904" s="29"/>
      <c r="C904" s="30"/>
      <c r="D904" s="30"/>
      <c r="E904" s="30"/>
      <c r="F904" s="31"/>
      <c r="G904" s="31"/>
      <c r="H904" s="31"/>
      <c r="I904" s="31"/>
    </row>
    <row r="905" spans="1:9" s="26" customFormat="1" x14ac:dyDescent="0.35">
      <c r="A905" s="31"/>
      <c r="B905" s="29"/>
      <c r="C905" s="30"/>
      <c r="D905" s="30"/>
      <c r="E905" s="30"/>
      <c r="F905" s="31"/>
      <c r="G905" s="31"/>
      <c r="H905" s="31"/>
      <c r="I905" s="31"/>
    </row>
    <row r="906" spans="1:9" s="26" customFormat="1" x14ac:dyDescent="0.35">
      <c r="A906" s="31"/>
      <c r="B906" s="29"/>
      <c r="C906" s="30"/>
      <c r="D906" s="30"/>
      <c r="E906" s="30"/>
      <c r="F906" s="31"/>
      <c r="G906" s="31"/>
      <c r="H906" s="31"/>
      <c r="I906" s="31"/>
    </row>
    <row r="907" spans="1:9" s="26" customFormat="1" x14ac:dyDescent="0.35">
      <c r="A907" s="31"/>
      <c r="B907" s="29"/>
      <c r="C907" s="30"/>
      <c r="D907" s="30"/>
      <c r="E907" s="30"/>
      <c r="F907" s="31"/>
      <c r="G907" s="31"/>
      <c r="H907" s="31"/>
      <c r="I907" s="31"/>
    </row>
    <row r="908" spans="1:9" s="26" customFormat="1" x14ac:dyDescent="0.35">
      <c r="A908" s="31"/>
      <c r="B908" s="29"/>
      <c r="C908" s="30"/>
      <c r="D908" s="30"/>
      <c r="E908" s="30"/>
      <c r="F908" s="31"/>
      <c r="G908" s="31"/>
      <c r="H908" s="31"/>
      <c r="I908" s="31"/>
    </row>
    <row r="909" spans="1:9" s="26" customFormat="1" x14ac:dyDescent="0.35">
      <c r="A909" s="31"/>
      <c r="B909" s="29"/>
      <c r="C909" s="30"/>
      <c r="D909" s="30"/>
      <c r="E909" s="30"/>
      <c r="F909" s="31"/>
      <c r="G909" s="31"/>
      <c r="H909" s="31"/>
      <c r="I909" s="31"/>
    </row>
    <row r="910" spans="1:9" s="26" customFormat="1" x14ac:dyDescent="0.35">
      <c r="A910" s="31"/>
      <c r="B910" s="29"/>
      <c r="C910" s="30"/>
      <c r="D910" s="30"/>
      <c r="E910" s="30"/>
      <c r="F910" s="31"/>
      <c r="G910" s="31"/>
      <c r="H910" s="31"/>
      <c r="I910" s="31"/>
    </row>
    <row r="911" spans="1:9" s="26" customFormat="1" x14ac:dyDescent="0.35">
      <c r="A911" s="31"/>
      <c r="B911" s="29"/>
      <c r="C911" s="30"/>
      <c r="D911" s="30"/>
      <c r="E911" s="30"/>
      <c r="F911" s="31"/>
      <c r="G911" s="31"/>
      <c r="H911" s="31"/>
      <c r="I911" s="31"/>
    </row>
    <row r="912" spans="1:9" s="26" customFormat="1" x14ac:dyDescent="0.35">
      <c r="A912" s="31"/>
      <c r="B912" s="29"/>
      <c r="C912" s="30"/>
      <c r="D912" s="30"/>
      <c r="E912" s="30"/>
      <c r="F912" s="31"/>
      <c r="G912" s="31"/>
      <c r="H912" s="31"/>
      <c r="I912" s="31"/>
    </row>
    <row r="913" spans="1:9" s="26" customFormat="1" x14ac:dyDescent="0.35">
      <c r="A913" s="31"/>
      <c r="B913" s="29"/>
      <c r="C913" s="30"/>
      <c r="D913" s="30"/>
      <c r="E913" s="30"/>
      <c r="F913" s="31"/>
      <c r="G913" s="31"/>
      <c r="H913" s="31"/>
      <c r="I913" s="31"/>
    </row>
    <row r="914" spans="1:9" s="26" customFormat="1" x14ac:dyDescent="0.35">
      <c r="A914" s="31"/>
      <c r="B914" s="29"/>
      <c r="C914" s="30"/>
      <c r="D914" s="30"/>
      <c r="E914" s="30"/>
      <c r="F914" s="31"/>
      <c r="G914" s="31"/>
      <c r="H914" s="31"/>
      <c r="I914" s="31"/>
    </row>
    <row r="915" spans="1:9" s="26" customFormat="1" x14ac:dyDescent="0.35">
      <c r="A915" s="31"/>
      <c r="B915" s="29"/>
      <c r="C915" s="30"/>
      <c r="D915" s="30"/>
      <c r="E915" s="30"/>
      <c r="F915" s="31"/>
      <c r="G915" s="31"/>
      <c r="H915" s="31"/>
      <c r="I915" s="31"/>
    </row>
    <row r="916" spans="1:9" s="26" customFormat="1" x14ac:dyDescent="0.35">
      <c r="A916" s="31"/>
      <c r="B916" s="29"/>
      <c r="C916" s="30"/>
      <c r="D916" s="30"/>
      <c r="E916" s="30"/>
      <c r="F916" s="31"/>
      <c r="G916" s="31"/>
      <c r="H916" s="31"/>
      <c r="I916" s="31"/>
    </row>
    <row r="917" spans="1:9" s="26" customFormat="1" x14ac:dyDescent="0.35">
      <c r="A917" s="31"/>
      <c r="B917" s="29"/>
      <c r="C917" s="30"/>
      <c r="D917" s="30"/>
      <c r="E917" s="30"/>
      <c r="F917" s="31"/>
      <c r="G917" s="31"/>
      <c r="H917" s="31"/>
      <c r="I917" s="31"/>
    </row>
    <row r="918" spans="1:9" s="26" customFormat="1" x14ac:dyDescent="0.35">
      <c r="A918" s="31"/>
      <c r="B918" s="29"/>
      <c r="C918" s="30"/>
      <c r="D918" s="30"/>
      <c r="E918" s="30"/>
      <c r="F918" s="31"/>
      <c r="G918" s="31"/>
      <c r="H918" s="31"/>
      <c r="I918" s="31"/>
    </row>
    <row r="919" spans="1:9" s="26" customFormat="1" x14ac:dyDescent="0.35">
      <c r="A919" s="31"/>
      <c r="B919" s="29"/>
      <c r="C919" s="30"/>
      <c r="D919" s="30"/>
      <c r="E919" s="30"/>
      <c r="F919" s="31"/>
      <c r="G919" s="31"/>
      <c r="H919" s="31"/>
      <c r="I919" s="31"/>
    </row>
    <row r="920" spans="1:9" s="26" customFormat="1" x14ac:dyDescent="0.35">
      <c r="A920" s="31"/>
      <c r="B920" s="29"/>
      <c r="C920" s="30"/>
      <c r="D920" s="30"/>
      <c r="E920" s="30"/>
      <c r="F920" s="31"/>
      <c r="G920" s="31"/>
      <c r="H920" s="31"/>
      <c r="I920" s="31"/>
    </row>
    <row r="921" spans="1:9" s="26" customFormat="1" x14ac:dyDescent="0.35">
      <c r="A921" s="31"/>
      <c r="B921" s="29"/>
      <c r="C921" s="30"/>
      <c r="D921" s="30"/>
      <c r="E921" s="30"/>
      <c r="F921" s="31"/>
      <c r="G921" s="31"/>
      <c r="H921" s="31"/>
      <c r="I921" s="31"/>
    </row>
    <row r="922" spans="1:9" s="26" customFormat="1" x14ac:dyDescent="0.35">
      <c r="A922" s="31"/>
      <c r="B922" s="29"/>
      <c r="C922" s="30"/>
      <c r="D922" s="30"/>
      <c r="E922" s="30"/>
      <c r="F922" s="31"/>
      <c r="G922" s="31"/>
      <c r="H922" s="31"/>
      <c r="I922" s="31"/>
    </row>
    <row r="923" spans="1:9" s="26" customFormat="1" x14ac:dyDescent="0.35">
      <c r="A923" s="31"/>
      <c r="B923" s="29"/>
      <c r="C923" s="30"/>
      <c r="D923" s="30"/>
      <c r="E923" s="30"/>
      <c r="F923" s="31"/>
      <c r="G923" s="31"/>
      <c r="H923" s="31"/>
      <c r="I923" s="31"/>
    </row>
    <row r="924" spans="1:9" s="26" customFormat="1" x14ac:dyDescent="0.35">
      <c r="A924" s="31"/>
      <c r="B924" s="29"/>
      <c r="C924" s="30"/>
      <c r="D924" s="30"/>
      <c r="E924" s="30"/>
      <c r="F924" s="31"/>
      <c r="G924" s="31"/>
      <c r="H924" s="31"/>
      <c r="I924" s="31"/>
    </row>
    <row r="925" spans="1:9" s="26" customFormat="1" x14ac:dyDescent="0.35">
      <c r="A925" s="31"/>
      <c r="B925" s="29"/>
      <c r="C925" s="30"/>
      <c r="D925" s="30"/>
      <c r="E925" s="30"/>
      <c r="F925" s="31"/>
      <c r="G925" s="31"/>
      <c r="H925" s="31"/>
      <c r="I925" s="31"/>
    </row>
    <row r="926" spans="1:9" s="26" customFormat="1" x14ac:dyDescent="0.35">
      <c r="A926" s="31"/>
      <c r="B926" s="29"/>
      <c r="C926" s="30"/>
      <c r="D926" s="30"/>
      <c r="E926" s="30"/>
      <c r="F926" s="31"/>
      <c r="G926" s="31"/>
      <c r="H926" s="31"/>
      <c r="I926" s="31"/>
    </row>
    <row r="927" spans="1:9" s="26" customFormat="1" x14ac:dyDescent="0.35">
      <c r="A927" s="31"/>
      <c r="B927" s="29"/>
      <c r="C927" s="30"/>
      <c r="D927" s="30"/>
      <c r="E927" s="30"/>
      <c r="F927" s="31"/>
      <c r="G927" s="31"/>
      <c r="H927" s="31"/>
      <c r="I927" s="31"/>
    </row>
    <row r="928" spans="1:9" s="26" customFormat="1" x14ac:dyDescent="0.35">
      <c r="A928" s="31"/>
      <c r="B928" s="29"/>
      <c r="C928" s="30"/>
      <c r="D928" s="30"/>
      <c r="E928" s="30"/>
      <c r="F928" s="31"/>
      <c r="G928" s="31"/>
      <c r="H928" s="31"/>
      <c r="I928" s="31"/>
    </row>
    <row r="929" spans="1:9" s="26" customFormat="1" x14ac:dyDescent="0.35">
      <c r="A929" s="31"/>
      <c r="B929" s="29"/>
      <c r="C929" s="30"/>
      <c r="D929" s="30"/>
      <c r="E929" s="30"/>
      <c r="F929" s="31"/>
      <c r="G929" s="31"/>
      <c r="H929" s="31"/>
      <c r="I929" s="31"/>
    </row>
    <row r="930" spans="1:9" s="26" customFormat="1" x14ac:dyDescent="0.35">
      <c r="A930" s="31"/>
      <c r="B930" s="29"/>
      <c r="C930" s="30"/>
      <c r="D930" s="30"/>
      <c r="E930" s="30"/>
      <c r="F930" s="31"/>
      <c r="G930" s="31"/>
      <c r="H930" s="31"/>
      <c r="I930" s="31"/>
    </row>
    <row r="931" spans="1:9" s="26" customFormat="1" x14ac:dyDescent="0.35">
      <c r="A931" s="31"/>
      <c r="B931" s="29"/>
      <c r="C931" s="30"/>
      <c r="D931" s="30"/>
      <c r="E931" s="30"/>
      <c r="F931" s="31"/>
      <c r="G931" s="31"/>
      <c r="H931" s="31"/>
      <c r="I931" s="31"/>
    </row>
    <row r="932" spans="1:9" s="26" customFormat="1" x14ac:dyDescent="0.35">
      <c r="A932" s="31"/>
      <c r="B932" s="29"/>
      <c r="C932" s="30"/>
      <c r="D932" s="30"/>
      <c r="E932" s="30"/>
      <c r="F932" s="31"/>
      <c r="G932" s="31"/>
      <c r="H932" s="31"/>
      <c r="I932" s="31"/>
    </row>
    <row r="933" spans="1:9" s="26" customFormat="1" x14ac:dyDescent="0.35">
      <c r="A933" s="31"/>
      <c r="B933" s="29"/>
      <c r="C933" s="30"/>
      <c r="D933" s="30"/>
      <c r="E933" s="30"/>
      <c r="F933" s="31"/>
      <c r="G933" s="31"/>
      <c r="H933" s="31"/>
      <c r="I933" s="31"/>
    </row>
    <row r="934" spans="1:9" s="26" customFormat="1" x14ac:dyDescent="0.35">
      <c r="A934" s="31"/>
      <c r="B934" s="29"/>
      <c r="C934" s="30"/>
      <c r="D934" s="30"/>
      <c r="E934" s="30"/>
      <c r="F934" s="31"/>
      <c r="G934" s="31"/>
      <c r="H934" s="31"/>
      <c r="I934" s="31"/>
    </row>
    <row r="935" spans="1:9" s="26" customFormat="1" x14ac:dyDescent="0.35">
      <c r="A935" s="31"/>
      <c r="B935" s="29"/>
      <c r="C935" s="30"/>
      <c r="D935" s="30"/>
      <c r="E935" s="30"/>
      <c r="F935" s="31"/>
      <c r="G935" s="31"/>
      <c r="H935" s="31"/>
      <c r="I935" s="31"/>
    </row>
    <row r="936" spans="1:9" s="26" customFormat="1" x14ac:dyDescent="0.35">
      <c r="A936" s="31"/>
      <c r="B936" s="29"/>
      <c r="C936" s="30"/>
      <c r="D936" s="30"/>
      <c r="E936" s="30"/>
      <c r="F936" s="31"/>
      <c r="G936" s="31"/>
      <c r="H936" s="31"/>
      <c r="I936" s="31"/>
    </row>
    <row r="937" spans="1:9" s="26" customFormat="1" x14ac:dyDescent="0.35">
      <c r="A937" s="31"/>
      <c r="B937" s="29"/>
      <c r="C937" s="30"/>
      <c r="D937" s="30"/>
      <c r="E937" s="30"/>
      <c r="F937" s="31"/>
      <c r="G937" s="31"/>
      <c r="H937" s="31"/>
      <c r="I937" s="31"/>
    </row>
    <row r="938" spans="1:9" s="26" customFormat="1" x14ac:dyDescent="0.35">
      <c r="A938" s="31"/>
      <c r="B938" s="29"/>
      <c r="C938" s="30"/>
      <c r="D938" s="30"/>
      <c r="E938" s="30"/>
      <c r="F938" s="31"/>
      <c r="G938" s="31"/>
      <c r="H938" s="31"/>
      <c r="I938" s="31"/>
    </row>
    <row r="939" spans="1:9" s="26" customFormat="1" x14ac:dyDescent="0.35">
      <c r="A939" s="31"/>
      <c r="B939" s="29"/>
      <c r="C939" s="30"/>
      <c r="D939" s="30"/>
      <c r="E939" s="30"/>
      <c r="F939" s="31"/>
      <c r="G939" s="31"/>
      <c r="H939" s="31"/>
      <c r="I939" s="31"/>
    </row>
    <row r="940" spans="1:9" s="26" customFormat="1" x14ac:dyDescent="0.35">
      <c r="A940" s="31"/>
      <c r="B940" s="29"/>
      <c r="C940" s="30"/>
      <c r="D940" s="30"/>
      <c r="E940" s="30"/>
      <c r="F940" s="31"/>
      <c r="G940" s="31"/>
      <c r="H940" s="31"/>
      <c r="I940" s="31"/>
    </row>
    <row r="941" spans="1:9" s="26" customFormat="1" x14ac:dyDescent="0.35">
      <c r="A941" s="31"/>
      <c r="B941" s="29"/>
      <c r="C941" s="30"/>
      <c r="D941" s="30"/>
      <c r="E941" s="30"/>
      <c r="F941" s="31"/>
      <c r="G941" s="31"/>
      <c r="H941" s="31"/>
      <c r="I941" s="31"/>
    </row>
    <row r="942" spans="1:9" s="26" customFormat="1" x14ac:dyDescent="0.35">
      <c r="A942" s="31"/>
      <c r="B942" s="29"/>
      <c r="C942" s="30"/>
      <c r="D942" s="30"/>
      <c r="E942" s="30"/>
      <c r="F942" s="31"/>
      <c r="G942" s="31"/>
      <c r="H942" s="31"/>
      <c r="I942" s="31"/>
    </row>
    <row r="943" spans="1:9" s="26" customFormat="1" x14ac:dyDescent="0.35">
      <c r="A943" s="31"/>
      <c r="B943" s="29"/>
      <c r="C943" s="30"/>
      <c r="D943" s="30"/>
      <c r="E943" s="30"/>
      <c r="F943" s="31"/>
      <c r="G943" s="31"/>
      <c r="H943" s="31"/>
      <c r="I943" s="31"/>
    </row>
    <row r="944" spans="1:9" s="26" customFormat="1" x14ac:dyDescent="0.35">
      <c r="A944" s="31"/>
      <c r="B944" s="29"/>
      <c r="C944" s="30"/>
      <c r="D944" s="30"/>
      <c r="E944" s="30"/>
      <c r="F944" s="31"/>
      <c r="G944" s="31"/>
      <c r="H944" s="31"/>
      <c r="I944" s="31"/>
    </row>
    <row r="945" spans="1:9" s="26" customFormat="1" x14ac:dyDescent="0.35">
      <c r="A945" s="31"/>
      <c r="B945" s="29"/>
      <c r="C945" s="30"/>
      <c r="D945" s="30"/>
      <c r="E945" s="30"/>
      <c r="F945" s="31"/>
      <c r="G945" s="31"/>
      <c r="H945" s="31"/>
      <c r="I945" s="31"/>
    </row>
    <row r="946" spans="1:9" s="26" customFormat="1" x14ac:dyDescent="0.35">
      <c r="A946" s="31"/>
      <c r="B946" s="29"/>
      <c r="C946" s="30"/>
      <c r="D946" s="30"/>
      <c r="E946" s="30"/>
      <c r="F946" s="31"/>
      <c r="G946" s="31"/>
      <c r="H946" s="31"/>
      <c r="I946" s="31"/>
    </row>
    <row r="947" spans="1:9" s="26" customFormat="1" x14ac:dyDescent="0.35">
      <c r="A947" s="31"/>
      <c r="B947" s="29"/>
      <c r="C947" s="30"/>
      <c r="D947" s="30"/>
      <c r="E947" s="30"/>
      <c r="F947" s="31"/>
      <c r="G947" s="31"/>
      <c r="H947" s="31"/>
      <c r="I947" s="31"/>
    </row>
    <row r="948" spans="1:9" s="26" customFormat="1" x14ac:dyDescent="0.35">
      <c r="A948" s="31"/>
      <c r="B948" s="29"/>
      <c r="C948" s="30"/>
      <c r="D948" s="30"/>
      <c r="E948" s="30"/>
      <c r="F948" s="31"/>
      <c r="G948" s="31"/>
      <c r="H948" s="31"/>
      <c r="I948" s="31"/>
    </row>
    <row r="949" spans="1:9" s="26" customFormat="1" x14ac:dyDescent="0.35">
      <c r="A949" s="31"/>
      <c r="B949" s="29"/>
      <c r="C949" s="30"/>
      <c r="D949" s="30"/>
      <c r="E949" s="30"/>
      <c r="F949" s="31"/>
      <c r="G949" s="31"/>
      <c r="H949" s="31"/>
      <c r="I949" s="31"/>
    </row>
    <row r="950" spans="1:9" s="26" customFormat="1" x14ac:dyDescent="0.35">
      <c r="A950" s="31"/>
      <c r="B950" s="29"/>
      <c r="C950" s="30"/>
      <c r="D950" s="30"/>
      <c r="E950" s="30"/>
      <c r="F950" s="31"/>
      <c r="G950" s="31"/>
      <c r="H950" s="31"/>
      <c r="I950" s="31"/>
    </row>
    <row r="951" spans="1:9" s="26" customFormat="1" x14ac:dyDescent="0.35">
      <c r="A951" s="31"/>
      <c r="B951" s="29"/>
      <c r="C951" s="30"/>
      <c r="D951" s="30"/>
      <c r="E951" s="30"/>
      <c r="F951" s="31"/>
      <c r="G951" s="31"/>
      <c r="H951" s="31"/>
      <c r="I951" s="31"/>
    </row>
    <row r="952" spans="1:9" s="26" customFormat="1" x14ac:dyDescent="0.35">
      <c r="A952" s="31"/>
      <c r="B952" s="29"/>
      <c r="C952" s="30"/>
      <c r="D952" s="30"/>
      <c r="E952" s="30"/>
      <c r="F952" s="31"/>
      <c r="G952" s="31"/>
      <c r="H952" s="31"/>
      <c r="I952" s="31"/>
    </row>
    <row r="953" spans="1:9" s="26" customFormat="1" x14ac:dyDescent="0.35">
      <c r="A953" s="31"/>
      <c r="B953" s="29"/>
      <c r="C953" s="30"/>
      <c r="D953" s="30"/>
      <c r="E953" s="30"/>
      <c r="F953" s="31"/>
      <c r="G953" s="31"/>
      <c r="H953" s="31"/>
      <c r="I953" s="31"/>
    </row>
    <row r="954" spans="1:9" s="26" customFormat="1" x14ac:dyDescent="0.35">
      <c r="A954" s="31"/>
      <c r="B954" s="29"/>
      <c r="C954" s="30"/>
      <c r="D954" s="30"/>
      <c r="E954" s="30"/>
      <c r="F954" s="31"/>
      <c r="G954" s="31"/>
      <c r="H954" s="31"/>
      <c r="I954" s="31"/>
    </row>
    <row r="955" spans="1:9" s="26" customFormat="1" x14ac:dyDescent="0.35">
      <c r="A955" s="31"/>
      <c r="B955" s="29"/>
      <c r="C955" s="30"/>
      <c r="D955" s="30"/>
      <c r="E955" s="30"/>
      <c r="F955" s="31"/>
      <c r="G955" s="31"/>
      <c r="H955" s="31"/>
      <c r="I955" s="31"/>
    </row>
    <row r="956" spans="1:9" s="26" customFormat="1" x14ac:dyDescent="0.35">
      <c r="A956" s="31"/>
      <c r="B956" s="29"/>
      <c r="C956" s="30"/>
      <c r="D956" s="30"/>
      <c r="E956" s="30"/>
      <c r="F956" s="31"/>
      <c r="G956" s="31"/>
      <c r="H956" s="31"/>
      <c r="I956" s="31"/>
    </row>
    <row r="957" spans="1:9" s="26" customFormat="1" x14ac:dyDescent="0.35">
      <c r="A957" s="31"/>
      <c r="B957" s="29"/>
      <c r="C957" s="30"/>
      <c r="D957" s="30"/>
      <c r="E957" s="30"/>
      <c r="F957" s="31"/>
      <c r="G957" s="31"/>
      <c r="H957" s="31"/>
      <c r="I957" s="31"/>
    </row>
    <row r="958" spans="1:9" s="26" customFormat="1" x14ac:dyDescent="0.35">
      <c r="A958" s="31"/>
      <c r="B958" s="29"/>
      <c r="C958" s="30"/>
      <c r="D958" s="30"/>
      <c r="E958" s="30"/>
      <c r="F958" s="31"/>
      <c r="G958" s="31"/>
      <c r="H958" s="31"/>
      <c r="I958" s="31"/>
    </row>
    <row r="959" spans="1:9" s="26" customFormat="1" x14ac:dyDescent="0.35">
      <c r="A959" s="31"/>
      <c r="B959" s="29"/>
      <c r="C959" s="30"/>
      <c r="D959" s="30"/>
      <c r="E959" s="30"/>
      <c r="F959" s="31"/>
      <c r="G959" s="31"/>
      <c r="H959" s="31"/>
      <c r="I959" s="31"/>
    </row>
    <row r="960" spans="1:9" s="26" customFormat="1" x14ac:dyDescent="0.35">
      <c r="A960" s="31"/>
      <c r="B960" s="29"/>
      <c r="C960" s="30"/>
      <c r="D960" s="30"/>
      <c r="E960" s="30"/>
      <c r="F960" s="31"/>
      <c r="G960" s="31"/>
      <c r="H960" s="31"/>
      <c r="I960" s="31"/>
    </row>
    <row r="961" spans="1:9" s="26" customFormat="1" x14ac:dyDescent="0.35">
      <c r="A961" s="31"/>
      <c r="B961" s="29"/>
      <c r="C961" s="30"/>
      <c r="D961" s="30"/>
      <c r="E961" s="30"/>
      <c r="F961" s="31"/>
      <c r="G961" s="31"/>
      <c r="H961" s="31"/>
      <c r="I961" s="31"/>
    </row>
    <row r="962" spans="1:9" s="26" customFormat="1" x14ac:dyDescent="0.35">
      <c r="A962" s="31"/>
      <c r="B962" s="29"/>
      <c r="C962" s="30"/>
      <c r="D962" s="30"/>
      <c r="E962" s="30"/>
      <c r="F962" s="31"/>
      <c r="G962" s="31"/>
      <c r="H962" s="31"/>
      <c r="I962" s="31"/>
    </row>
    <row r="963" spans="1:9" s="26" customFormat="1" x14ac:dyDescent="0.35">
      <c r="A963" s="31"/>
      <c r="B963" s="29"/>
      <c r="C963" s="30"/>
      <c r="D963" s="30"/>
      <c r="E963" s="30"/>
      <c r="F963" s="31"/>
      <c r="G963" s="31"/>
      <c r="H963" s="31"/>
      <c r="I963" s="31"/>
    </row>
    <row r="964" spans="1:9" s="26" customFormat="1" x14ac:dyDescent="0.35">
      <c r="A964" s="31"/>
      <c r="B964" s="29"/>
      <c r="C964" s="30"/>
      <c r="D964" s="30"/>
      <c r="E964" s="30"/>
      <c r="F964" s="31"/>
      <c r="G964" s="31"/>
      <c r="H964" s="31"/>
      <c r="I964" s="31"/>
    </row>
    <row r="965" spans="1:9" s="26" customFormat="1" x14ac:dyDescent="0.35">
      <c r="A965" s="31"/>
      <c r="B965" s="29"/>
      <c r="C965" s="30"/>
      <c r="D965" s="30"/>
      <c r="E965" s="30"/>
      <c r="F965" s="31"/>
      <c r="G965" s="31"/>
      <c r="H965" s="31"/>
      <c r="I965" s="31"/>
    </row>
    <row r="966" spans="1:9" s="26" customFormat="1" x14ac:dyDescent="0.35">
      <c r="A966" s="31"/>
      <c r="B966" s="29"/>
      <c r="C966" s="30"/>
      <c r="D966" s="30"/>
      <c r="E966" s="30"/>
      <c r="F966" s="31"/>
      <c r="G966" s="31"/>
      <c r="H966" s="31"/>
      <c r="I966" s="31"/>
    </row>
    <row r="967" spans="1:9" s="26" customFormat="1" x14ac:dyDescent="0.35">
      <c r="A967" s="31"/>
      <c r="B967" s="29"/>
      <c r="C967" s="30"/>
      <c r="D967" s="30"/>
      <c r="E967" s="30"/>
      <c r="F967" s="31"/>
      <c r="G967" s="31"/>
      <c r="H967" s="31"/>
      <c r="I967" s="31"/>
    </row>
    <row r="968" spans="1:9" s="26" customFormat="1" x14ac:dyDescent="0.35">
      <c r="A968" s="31"/>
      <c r="B968" s="29"/>
      <c r="C968" s="30"/>
      <c r="D968" s="30"/>
      <c r="E968" s="30"/>
      <c r="F968" s="31"/>
      <c r="G968" s="31"/>
      <c r="H968" s="31"/>
      <c r="I968" s="31"/>
    </row>
    <row r="969" spans="1:9" s="26" customFormat="1" x14ac:dyDescent="0.35">
      <c r="A969" s="31"/>
      <c r="B969" s="29"/>
      <c r="C969" s="30"/>
      <c r="D969" s="30"/>
      <c r="E969" s="30"/>
      <c r="F969" s="31"/>
      <c r="G969" s="31"/>
      <c r="H969" s="31"/>
      <c r="I969" s="31"/>
    </row>
    <row r="970" spans="1:9" s="26" customFormat="1" x14ac:dyDescent="0.35">
      <c r="A970" s="31"/>
      <c r="B970" s="29"/>
      <c r="C970" s="30"/>
      <c r="D970" s="30"/>
      <c r="E970" s="30"/>
      <c r="F970" s="31"/>
      <c r="G970" s="31"/>
      <c r="H970" s="31"/>
      <c r="I970" s="31"/>
    </row>
    <row r="971" spans="1:9" s="26" customFormat="1" x14ac:dyDescent="0.35">
      <c r="A971" s="31"/>
      <c r="B971" s="29"/>
      <c r="C971" s="30"/>
      <c r="D971" s="30"/>
      <c r="E971" s="30"/>
      <c r="F971" s="31"/>
      <c r="G971" s="31"/>
      <c r="H971" s="31"/>
      <c r="I971" s="31"/>
    </row>
    <row r="972" spans="1:9" s="26" customFormat="1" x14ac:dyDescent="0.35">
      <c r="A972" s="31"/>
      <c r="B972" s="29"/>
      <c r="C972" s="30"/>
      <c r="D972" s="30"/>
      <c r="E972" s="30"/>
      <c r="F972" s="31"/>
      <c r="G972" s="31"/>
      <c r="H972" s="31"/>
      <c r="I972" s="31"/>
    </row>
    <row r="973" spans="1:9" s="26" customFormat="1" x14ac:dyDescent="0.35">
      <c r="A973" s="31"/>
      <c r="B973" s="29"/>
      <c r="C973" s="30"/>
      <c r="D973" s="30"/>
      <c r="E973" s="30"/>
      <c r="F973" s="31"/>
      <c r="G973" s="31"/>
      <c r="H973" s="31"/>
      <c r="I973" s="31"/>
    </row>
    <row r="974" spans="1:9" s="26" customFormat="1" x14ac:dyDescent="0.35">
      <c r="A974" s="31"/>
      <c r="B974" s="29"/>
      <c r="C974" s="30"/>
      <c r="D974" s="30"/>
      <c r="E974" s="30"/>
      <c r="F974" s="31"/>
      <c r="G974" s="31"/>
      <c r="H974" s="31"/>
      <c r="I974" s="31"/>
    </row>
    <row r="975" spans="1:9" s="26" customFormat="1" x14ac:dyDescent="0.35">
      <c r="A975" s="31"/>
      <c r="B975" s="29"/>
      <c r="C975" s="30"/>
      <c r="D975" s="30"/>
      <c r="E975" s="30"/>
      <c r="F975" s="31"/>
      <c r="G975" s="31"/>
      <c r="H975" s="31"/>
      <c r="I975" s="31"/>
    </row>
    <row r="976" spans="1:9" s="26" customFormat="1" x14ac:dyDescent="0.35">
      <c r="A976" s="31"/>
      <c r="B976" s="29"/>
      <c r="C976" s="30"/>
      <c r="D976" s="30"/>
      <c r="E976" s="30"/>
      <c r="F976" s="31"/>
      <c r="G976" s="31"/>
      <c r="H976" s="31"/>
      <c r="I976" s="31"/>
    </row>
    <row r="977" spans="1:9" s="26" customFormat="1" x14ac:dyDescent="0.35">
      <c r="A977" s="31"/>
      <c r="B977" s="29"/>
      <c r="C977" s="30"/>
      <c r="D977" s="30"/>
      <c r="E977" s="30"/>
      <c r="F977" s="31"/>
      <c r="G977" s="31"/>
      <c r="H977" s="31"/>
      <c r="I977" s="31"/>
    </row>
    <row r="978" spans="1:9" s="26" customFormat="1" x14ac:dyDescent="0.35">
      <c r="A978" s="31"/>
      <c r="B978" s="29"/>
      <c r="C978" s="30"/>
      <c r="D978" s="30"/>
      <c r="E978" s="30"/>
      <c r="F978" s="31"/>
      <c r="G978" s="31"/>
      <c r="H978" s="31"/>
      <c r="I978" s="31"/>
    </row>
    <row r="979" spans="1:9" s="26" customFormat="1" x14ac:dyDescent="0.35">
      <c r="A979" s="31"/>
      <c r="B979" s="29"/>
      <c r="C979" s="30"/>
      <c r="D979" s="30"/>
      <c r="E979" s="30"/>
      <c r="F979" s="31"/>
      <c r="G979" s="31"/>
      <c r="H979" s="31"/>
      <c r="I979" s="31"/>
    </row>
    <row r="980" spans="1:9" s="26" customFormat="1" x14ac:dyDescent="0.35">
      <c r="A980" s="31"/>
      <c r="B980" s="29"/>
      <c r="C980" s="30"/>
      <c r="D980" s="30"/>
      <c r="E980" s="30"/>
      <c r="F980" s="31"/>
      <c r="G980" s="31"/>
      <c r="H980" s="31"/>
      <c r="I980" s="31"/>
    </row>
    <row r="981" spans="1:9" s="26" customFormat="1" x14ac:dyDescent="0.35">
      <c r="A981" s="31"/>
      <c r="B981" s="29"/>
      <c r="C981" s="30"/>
      <c r="D981" s="30"/>
      <c r="E981" s="30"/>
      <c r="F981" s="31"/>
      <c r="G981" s="31"/>
      <c r="H981" s="31"/>
      <c r="I981" s="31"/>
    </row>
    <row r="982" spans="1:9" s="26" customFormat="1" x14ac:dyDescent="0.35">
      <c r="A982" s="31"/>
      <c r="B982" s="29"/>
      <c r="C982" s="30"/>
      <c r="D982" s="30"/>
      <c r="E982" s="30"/>
      <c r="F982" s="31"/>
      <c r="G982" s="31"/>
      <c r="H982" s="31"/>
      <c r="I982" s="31"/>
    </row>
    <row r="983" spans="1:9" s="26" customFormat="1" x14ac:dyDescent="0.35">
      <c r="A983" s="31"/>
      <c r="B983" s="29"/>
      <c r="C983" s="30"/>
      <c r="D983" s="30"/>
      <c r="E983" s="30"/>
      <c r="F983" s="31"/>
      <c r="G983" s="31"/>
      <c r="H983" s="31"/>
      <c r="I983" s="31"/>
    </row>
    <row r="984" spans="1:9" s="26" customFormat="1" x14ac:dyDescent="0.35">
      <c r="A984" s="31"/>
      <c r="B984" s="29"/>
      <c r="C984" s="30"/>
      <c r="D984" s="30"/>
      <c r="E984" s="30"/>
      <c r="F984" s="31"/>
      <c r="G984" s="31"/>
      <c r="H984" s="31"/>
      <c r="I984" s="31"/>
    </row>
    <row r="985" spans="1:9" s="26" customFormat="1" x14ac:dyDescent="0.35">
      <c r="A985" s="31"/>
      <c r="B985" s="29"/>
      <c r="C985" s="30"/>
      <c r="D985" s="30"/>
      <c r="E985" s="30"/>
      <c r="F985" s="31"/>
      <c r="G985" s="31"/>
      <c r="H985" s="31"/>
      <c r="I985" s="31"/>
    </row>
    <row r="986" spans="1:9" s="26" customFormat="1" x14ac:dyDescent="0.35">
      <c r="A986" s="31"/>
      <c r="B986" s="29"/>
      <c r="C986" s="30"/>
      <c r="D986" s="30"/>
      <c r="E986" s="30"/>
      <c r="F986" s="31"/>
      <c r="G986" s="31"/>
      <c r="H986" s="31"/>
      <c r="I986" s="31"/>
    </row>
    <row r="987" spans="1:9" s="26" customFormat="1" x14ac:dyDescent="0.35">
      <c r="A987" s="31"/>
      <c r="B987" s="29"/>
      <c r="C987" s="30"/>
      <c r="D987" s="30"/>
      <c r="E987" s="30"/>
      <c r="F987" s="31"/>
      <c r="G987" s="31"/>
      <c r="H987" s="31"/>
      <c r="I987" s="31"/>
    </row>
    <row r="988" spans="1:9" s="26" customFormat="1" x14ac:dyDescent="0.35">
      <c r="A988" s="31"/>
      <c r="B988" s="29"/>
      <c r="C988" s="30"/>
      <c r="D988" s="30"/>
      <c r="E988" s="30"/>
      <c r="F988" s="31"/>
      <c r="G988" s="31"/>
      <c r="H988" s="31"/>
      <c r="I988" s="31"/>
    </row>
    <row r="989" spans="1:9" s="26" customFormat="1" x14ac:dyDescent="0.35">
      <c r="A989" s="31"/>
      <c r="B989" s="29"/>
      <c r="C989" s="30"/>
      <c r="D989" s="30"/>
      <c r="E989" s="30"/>
      <c r="F989" s="31"/>
      <c r="G989" s="31"/>
      <c r="H989" s="31"/>
      <c r="I989" s="31"/>
    </row>
    <row r="990" spans="1:9" s="26" customFormat="1" x14ac:dyDescent="0.35">
      <c r="A990" s="31"/>
      <c r="B990" s="29"/>
      <c r="C990" s="30"/>
      <c r="D990" s="30"/>
      <c r="E990" s="30"/>
      <c r="F990" s="31"/>
      <c r="G990" s="31"/>
      <c r="H990" s="31"/>
      <c r="I990" s="31"/>
    </row>
    <row r="991" spans="1:9" s="26" customFormat="1" x14ac:dyDescent="0.35">
      <c r="A991" s="31"/>
      <c r="B991" s="29"/>
      <c r="C991" s="30"/>
      <c r="D991" s="30"/>
      <c r="E991" s="30"/>
      <c r="F991" s="31"/>
      <c r="G991" s="31"/>
      <c r="H991" s="31"/>
      <c r="I991" s="31"/>
    </row>
    <row r="992" spans="1:9" s="26" customFormat="1" x14ac:dyDescent="0.35">
      <c r="A992" s="31"/>
      <c r="B992" s="29"/>
      <c r="C992" s="30"/>
      <c r="D992" s="30"/>
      <c r="E992" s="30"/>
      <c r="F992" s="31"/>
      <c r="G992" s="31"/>
      <c r="H992" s="31"/>
      <c r="I992" s="31"/>
    </row>
    <row r="993" spans="1:9" s="26" customFormat="1" x14ac:dyDescent="0.35">
      <c r="A993" s="31"/>
      <c r="B993" s="29"/>
      <c r="C993" s="30"/>
      <c r="D993" s="30"/>
      <c r="E993" s="30"/>
      <c r="F993" s="31"/>
      <c r="G993" s="31"/>
      <c r="H993" s="31"/>
      <c r="I993" s="31"/>
    </row>
    <row r="994" spans="1:9" s="26" customFormat="1" x14ac:dyDescent="0.35">
      <c r="A994" s="31"/>
      <c r="B994" s="29"/>
      <c r="C994" s="30"/>
      <c r="D994" s="30"/>
      <c r="E994" s="30"/>
      <c r="F994" s="31"/>
      <c r="G994" s="31"/>
      <c r="H994" s="31"/>
      <c r="I994" s="31"/>
    </row>
    <row r="995" spans="1:9" s="26" customFormat="1" x14ac:dyDescent="0.35">
      <c r="A995" s="31"/>
      <c r="B995" s="29"/>
      <c r="C995" s="30"/>
      <c r="D995" s="30"/>
      <c r="E995" s="30"/>
      <c r="F995" s="31"/>
      <c r="G995" s="31"/>
      <c r="H995" s="31"/>
      <c r="I995" s="31"/>
    </row>
    <row r="996" spans="1:9" s="26" customFormat="1" x14ac:dyDescent="0.35">
      <c r="A996" s="31"/>
      <c r="B996" s="29"/>
      <c r="C996" s="30"/>
      <c r="D996" s="30"/>
      <c r="E996" s="30"/>
      <c r="F996" s="31"/>
      <c r="G996" s="31"/>
      <c r="H996" s="31"/>
      <c r="I996" s="31"/>
    </row>
    <row r="997" spans="1:9" s="26" customFormat="1" x14ac:dyDescent="0.35">
      <c r="A997" s="31"/>
      <c r="B997" s="29"/>
      <c r="C997" s="30"/>
      <c r="D997" s="30"/>
      <c r="E997" s="30"/>
      <c r="F997" s="31"/>
      <c r="G997" s="31"/>
      <c r="H997" s="31"/>
      <c r="I997" s="31"/>
    </row>
    <row r="998" spans="1:9" s="26" customFormat="1" x14ac:dyDescent="0.35">
      <c r="A998" s="31"/>
      <c r="B998" s="29"/>
      <c r="C998" s="30"/>
      <c r="D998" s="30"/>
      <c r="E998" s="30"/>
      <c r="F998" s="31"/>
      <c r="G998" s="31"/>
      <c r="H998" s="31"/>
      <c r="I998" s="31"/>
    </row>
    <row r="999" spans="1:9" s="26" customFormat="1" x14ac:dyDescent="0.35">
      <c r="A999" s="31"/>
      <c r="B999" s="29"/>
      <c r="C999" s="30"/>
      <c r="D999" s="30"/>
      <c r="E999" s="30"/>
      <c r="F999" s="31"/>
      <c r="G999" s="31"/>
      <c r="H999" s="31"/>
      <c r="I999" s="31"/>
    </row>
    <row r="1000" spans="1:9" s="26" customFormat="1" x14ac:dyDescent="0.35">
      <c r="A1000" s="31"/>
      <c r="B1000" s="29"/>
      <c r="C1000" s="30"/>
      <c r="D1000" s="30"/>
      <c r="E1000" s="30"/>
      <c r="F1000" s="31"/>
      <c r="G1000" s="31"/>
      <c r="H1000" s="31"/>
      <c r="I1000" s="31"/>
    </row>
    <row r="1001" spans="1:9" s="26" customFormat="1" x14ac:dyDescent="0.35">
      <c r="A1001" s="31"/>
      <c r="B1001" s="29"/>
      <c r="C1001" s="30"/>
      <c r="D1001" s="30"/>
      <c r="E1001" s="30"/>
      <c r="F1001" s="31"/>
      <c r="G1001" s="31"/>
      <c r="H1001" s="31"/>
      <c r="I1001" s="31"/>
    </row>
    <row r="1002" spans="1:9" s="26" customFormat="1" x14ac:dyDescent="0.35">
      <c r="A1002" s="31"/>
      <c r="B1002" s="29"/>
      <c r="C1002" s="30"/>
      <c r="D1002" s="30"/>
      <c r="E1002" s="30"/>
      <c r="F1002" s="31"/>
      <c r="G1002" s="31"/>
      <c r="H1002" s="31"/>
      <c r="I1002" s="31"/>
    </row>
    <row r="1003" spans="1:9" s="26" customFormat="1" x14ac:dyDescent="0.35">
      <c r="A1003" s="31"/>
      <c r="B1003" s="29"/>
      <c r="C1003" s="30"/>
      <c r="D1003" s="30"/>
      <c r="E1003" s="30"/>
      <c r="F1003" s="31"/>
      <c r="G1003" s="31"/>
      <c r="H1003" s="31"/>
      <c r="I1003" s="31"/>
    </row>
    <row r="1004" spans="1:9" s="26" customFormat="1" x14ac:dyDescent="0.35">
      <c r="A1004" s="31"/>
      <c r="B1004" s="29"/>
      <c r="C1004" s="30"/>
      <c r="D1004" s="30"/>
      <c r="E1004" s="30"/>
      <c r="F1004" s="31"/>
      <c r="G1004" s="31"/>
      <c r="H1004" s="31"/>
      <c r="I1004" s="31"/>
    </row>
    <row r="1005" spans="1:9" s="26" customFormat="1" x14ac:dyDescent="0.35">
      <c r="A1005" s="31"/>
      <c r="B1005" s="29"/>
      <c r="C1005" s="30"/>
      <c r="D1005" s="30"/>
      <c r="E1005" s="30"/>
      <c r="F1005" s="31"/>
      <c r="G1005" s="31"/>
      <c r="H1005" s="31"/>
      <c r="I1005" s="31"/>
    </row>
    <row r="1006" spans="1:9" s="26" customFormat="1" x14ac:dyDescent="0.35">
      <c r="A1006" s="31"/>
      <c r="B1006" s="29"/>
      <c r="C1006" s="30"/>
      <c r="D1006" s="30"/>
      <c r="E1006" s="30"/>
      <c r="F1006" s="31"/>
      <c r="G1006" s="31"/>
      <c r="H1006" s="31"/>
      <c r="I1006" s="31"/>
    </row>
    <row r="1007" spans="1:9" s="26" customFormat="1" x14ac:dyDescent="0.35">
      <c r="A1007" s="31"/>
      <c r="B1007" s="29"/>
      <c r="C1007" s="30"/>
      <c r="D1007" s="30"/>
      <c r="E1007" s="30"/>
      <c r="F1007" s="31"/>
      <c r="G1007" s="31"/>
      <c r="H1007" s="31"/>
      <c r="I1007" s="31"/>
    </row>
    <row r="1008" spans="1:9" s="26" customFormat="1" x14ac:dyDescent="0.35">
      <c r="A1008" s="31"/>
      <c r="B1008" s="29"/>
      <c r="C1008" s="30"/>
      <c r="D1008" s="30"/>
      <c r="E1008" s="30"/>
      <c r="F1008" s="31"/>
      <c r="G1008" s="31"/>
      <c r="H1008" s="31"/>
      <c r="I1008" s="31"/>
    </row>
    <row r="1009" spans="1:9" s="26" customFormat="1" x14ac:dyDescent="0.35">
      <c r="A1009" s="31"/>
      <c r="B1009" s="29"/>
      <c r="C1009" s="30"/>
      <c r="D1009" s="30"/>
      <c r="E1009" s="30"/>
      <c r="F1009" s="31"/>
      <c r="G1009" s="31"/>
      <c r="H1009" s="31"/>
      <c r="I1009" s="31"/>
    </row>
    <row r="1010" spans="1:9" s="26" customFormat="1" x14ac:dyDescent="0.35">
      <c r="A1010" s="31"/>
      <c r="B1010" s="29"/>
      <c r="C1010" s="30"/>
      <c r="D1010" s="30"/>
      <c r="E1010" s="30"/>
      <c r="F1010" s="31"/>
      <c r="G1010" s="31"/>
      <c r="H1010" s="31"/>
      <c r="I1010" s="31"/>
    </row>
    <row r="1011" spans="1:9" s="26" customFormat="1" x14ac:dyDescent="0.35">
      <c r="A1011" s="31"/>
      <c r="B1011" s="29"/>
      <c r="C1011" s="30"/>
      <c r="D1011" s="30"/>
      <c r="E1011" s="30"/>
      <c r="F1011" s="31"/>
      <c r="G1011" s="31"/>
      <c r="H1011" s="31"/>
      <c r="I1011" s="31"/>
    </row>
    <row r="1012" spans="1:9" s="26" customFormat="1" x14ac:dyDescent="0.35">
      <c r="A1012" s="31"/>
      <c r="B1012" s="29"/>
      <c r="C1012" s="30"/>
      <c r="D1012" s="30"/>
      <c r="E1012" s="30"/>
      <c r="F1012" s="31"/>
      <c r="G1012" s="31"/>
      <c r="H1012" s="31"/>
      <c r="I1012" s="31"/>
    </row>
    <row r="1013" spans="1:9" s="26" customFormat="1" x14ac:dyDescent="0.35">
      <c r="A1013" s="31"/>
      <c r="B1013" s="29"/>
      <c r="C1013" s="30"/>
      <c r="D1013" s="30"/>
      <c r="E1013" s="30"/>
      <c r="F1013" s="31"/>
      <c r="G1013" s="31"/>
      <c r="H1013" s="31"/>
      <c r="I1013" s="31"/>
    </row>
    <row r="1014" spans="1:9" s="26" customFormat="1" x14ac:dyDescent="0.35">
      <c r="A1014" s="31"/>
      <c r="B1014" s="29"/>
      <c r="C1014" s="30"/>
      <c r="D1014" s="30"/>
      <c r="E1014" s="30"/>
      <c r="F1014" s="31"/>
      <c r="G1014" s="31"/>
      <c r="H1014" s="31"/>
      <c r="I1014" s="31"/>
    </row>
    <row r="1015" spans="1:9" s="26" customFormat="1" x14ac:dyDescent="0.35">
      <c r="A1015" s="31"/>
      <c r="B1015" s="29"/>
      <c r="C1015" s="30"/>
      <c r="D1015" s="30"/>
      <c r="E1015" s="30"/>
      <c r="F1015" s="31"/>
      <c r="G1015" s="31"/>
      <c r="H1015" s="31"/>
      <c r="I1015" s="31"/>
    </row>
    <row r="1016" spans="1:9" s="26" customFormat="1" x14ac:dyDescent="0.35">
      <c r="A1016" s="31"/>
      <c r="B1016" s="29"/>
      <c r="C1016" s="30"/>
      <c r="D1016" s="30"/>
      <c r="E1016" s="30"/>
      <c r="F1016" s="31"/>
      <c r="G1016" s="31"/>
      <c r="H1016" s="31"/>
      <c r="I1016" s="31"/>
    </row>
    <row r="1017" spans="1:9" s="26" customFormat="1" x14ac:dyDescent="0.35">
      <c r="A1017" s="31"/>
      <c r="B1017" s="29"/>
      <c r="C1017" s="30"/>
      <c r="D1017" s="30"/>
      <c r="E1017" s="30"/>
      <c r="F1017" s="31"/>
      <c r="G1017" s="31"/>
      <c r="H1017" s="31"/>
      <c r="I1017" s="31"/>
    </row>
    <row r="1018" spans="1:9" s="26" customFormat="1" x14ac:dyDescent="0.35">
      <c r="A1018" s="31"/>
      <c r="B1018" s="29"/>
      <c r="C1018" s="30"/>
      <c r="D1018" s="30"/>
      <c r="E1018" s="30"/>
      <c r="F1018" s="31"/>
      <c r="G1018" s="31"/>
      <c r="H1018" s="31"/>
      <c r="I1018" s="31"/>
    </row>
    <row r="1019" spans="1:9" s="26" customFormat="1" x14ac:dyDescent="0.35">
      <c r="A1019" s="31"/>
      <c r="B1019" s="29"/>
      <c r="C1019" s="30"/>
      <c r="D1019" s="30"/>
      <c r="E1019" s="30"/>
      <c r="F1019" s="31"/>
      <c r="G1019" s="31"/>
      <c r="H1019" s="31"/>
      <c r="I1019" s="31"/>
    </row>
    <row r="1020" spans="1:9" s="26" customFormat="1" x14ac:dyDescent="0.35">
      <c r="A1020" s="31"/>
      <c r="B1020" s="29"/>
      <c r="C1020" s="30"/>
      <c r="D1020" s="30"/>
      <c r="E1020" s="30"/>
      <c r="F1020" s="31"/>
      <c r="G1020" s="31"/>
      <c r="H1020" s="31"/>
      <c r="I1020" s="31"/>
    </row>
    <row r="1021" spans="1:9" s="26" customFormat="1" x14ac:dyDescent="0.35">
      <c r="A1021" s="31"/>
      <c r="B1021" s="29"/>
      <c r="C1021" s="30"/>
      <c r="D1021" s="30"/>
      <c r="E1021" s="30"/>
      <c r="F1021" s="31"/>
      <c r="G1021" s="31"/>
      <c r="H1021" s="31"/>
      <c r="I1021" s="31"/>
    </row>
    <row r="1022" spans="1:9" s="26" customFormat="1" x14ac:dyDescent="0.35">
      <c r="A1022" s="31"/>
      <c r="B1022" s="29"/>
      <c r="C1022" s="30"/>
      <c r="D1022" s="30"/>
      <c r="E1022" s="30"/>
      <c r="F1022" s="31"/>
      <c r="G1022" s="31"/>
      <c r="H1022" s="31"/>
      <c r="I1022" s="31"/>
    </row>
    <row r="1023" spans="1:9" s="26" customFormat="1" x14ac:dyDescent="0.35">
      <c r="A1023" s="31"/>
      <c r="B1023" s="29"/>
      <c r="C1023" s="30"/>
      <c r="D1023" s="30"/>
      <c r="E1023" s="30"/>
      <c r="F1023" s="31"/>
      <c r="G1023" s="31"/>
      <c r="H1023" s="31"/>
      <c r="I1023" s="31"/>
    </row>
    <row r="1024" spans="1:9" s="26" customFormat="1" x14ac:dyDescent="0.35">
      <c r="A1024" s="31"/>
      <c r="B1024" s="29"/>
      <c r="C1024" s="30"/>
      <c r="D1024" s="30"/>
      <c r="E1024" s="30"/>
      <c r="F1024" s="31"/>
      <c r="G1024" s="31"/>
      <c r="H1024" s="31"/>
      <c r="I1024" s="31"/>
    </row>
    <row r="1025" spans="1:9" s="26" customFormat="1" x14ac:dyDescent="0.35">
      <c r="A1025" s="31"/>
      <c r="B1025" s="29"/>
      <c r="C1025" s="30"/>
      <c r="D1025" s="30"/>
      <c r="E1025" s="30"/>
      <c r="F1025" s="31"/>
      <c r="G1025" s="31"/>
      <c r="H1025" s="31"/>
      <c r="I1025" s="31"/>
    </row>
    <row r="1026" spans="1:9" s="26" customFormat="1" x14ac:dyDescent="0.35">
      <c r="A1026" s="31"/>
      <c r="B1026" s="29"/>
      <c r="C1026" s="30"/>
      <c r="D1026" s="30"/>
      <c r="E1026" s="30"/>
      <c r="F1026" s="31"/>
      <c r="G1026" s="31"/>
      <c r="H1026" s="31"/>
      <c r="I1026" s="31"/>
    </row>
    <row r="1027" spans="1:9" s="26" customFormat="1" x14ac:dyDescent="0.35">
      <c r="A1027" s="31"/>
      <c r="B1027" s="29"/>
      <c r="C1027" s="30"/>
      <c r="D1027" s="30"/>
      <c r="E1027" s="30"/>
      <c r="F1027" s="31"/>
      <c r="G1027" s="31"/>
      <c r="H1027" s="31"/>
      <c r="I1027" s="31"/>
    </row>
    <row r="1028" spans="1:9" s="26" customFormat="1" x14ac:dyDescent="0.35">
      <c r="A1028" s="31"/>
      <c r="B1028" s="29"/>
      <c r="C1028" s="30"/>
      <c r="D1028" s="30"/>
      <c r="E1028" s="30"/>
      <c r="F1028" s="31"/>
      <c r="G1028" s="31"/>
      <c r="H1028" s="31"/>
      <c r="I1028" s="31"/>
    </row>
    <row r="1029" spans="1:9" s="26" customFormat="1" x14ac:dyDescent="0.35">
      <c r="A1029" s="31"/>
      <c r="B1029" s="29"/>
      <c r="C1029" s="30"/>
      <c r="D1029" s="30"/>
      <c r="E1029" s="30"/>
      <c r="F1029" s="31"/>
      <c r="G1029" s="31"/>
      <c r="H1029" s="31"/>
      <c r="I1029" s="31"/>
    </row>
    <row r="1030" spans="1:9" s="26" customFormat="1" x14ac:dyDescent="0.35">
      <c r="A1030" s="31"/>
      <c r="B1030" s="29"/>
      <c r="C1030" s="30"/>
      <c r="D1030" s="30"/>
      <c r="E1030" s="30"/>
      <c r="F1030" s="31"/>
      <c r="G1030" s="31"/>
      <c r="H1030" s="31"/>
      <c r="I1030" s="31"/>
    </row>
    <row r="1031" spans="1:9" s="26" customFormat="1" x14ac:dyDescent="0.35">
      <c r="A1031" s="31"/>
      <c r="B1031" s="29"/>
      <c r="C1031" s="30"/>
      <c r="D1031" s="30"/>
      <c r="E1031" s="30"/>
      <c r="F1031" s="31"/>
      <c r="G1031" s="31"/>
      <c r="H1031" s="31"/>
      <c r="I1031" s="31"/>
    </row>
    <row r="1032" spans="1:9" s="26" customFormat="1" x14ac:dyDescent="0.35">
      <c r="A1032" s="31"/>
      <c r="B1032" s="29"/>
      <c r="C1032" s="30"/>
      <c r="D1032" s="30"/>
      <c r="E1032" s="30"/>
      <c r="F1032" s="31"/>
      <c r="G1032" s="31"/>
      <c r="H1032" s="31"/>
      <c r="I1032" s="31"/>
    </row>
    <row r="1033" spans="1:9" s="26" customFormat="1" x14ac:dyDescent="0.35">
      <c r="A1033" s="31"/>
      <c r="B1033" s="29"/>
      <c r="C1033" s="30"/>
      <c r="D1033" s="30"/>
      <c r="E1033" s="30"/>
      <c r="F1033" s="31"/>
      <c r="G1033" s="31"/>
      <c r="H1033" s="31"/>
      <c r="I1033" s="31"/>
    </row>
    <row r="1034" spans="1:9" s="26" customFormat="1" x14ac:dyDescent="0.35">
      <c r="A1034" s="31"/>
      <c r="B1034" s="29"/>
      <c r="C1034" s="30"/>
      <c r="D1034" s="30"/>
      <c r="E1034" s="30"/>
      <c r="F1034" s="31"/>
      <c r="G1034" s="31"/>
      <c r="H1034" s="31"/>
      <c r="I1034" s="31"/>
    </row>
    <row r="1035" spans="1:9" s="26" customFormat="1" x14ac:dyDescent="0.35">
      <c r="A1035" s="31"/>
      <c r="B1035" s="29"/>
      <c r="C1035" s="30"/>
      <c r="D1035" s="30"/>
      <c r="E1035" s="30"/>
      <c r="F1035" s="31"/>
      <c r="G1035" s="31"/>
      <c r="H1035" s="31"/>
      <c r="I1035" s="31"/>
    </row>
    <row r="1036" spans="1:9" s="26" customFormat="1" x14ac:dyDescent="0.35">
      <c r="A1036" s="31"/>
      <c r="B1036" s="29"/>
      <c r="C1036" s="30"/>
      <c r="D1036" s="30"/>
      <c r="E1036" s="30"/>
      <c r="F1036" s="31"/>
      <c r="G1036" s="31"/>
      <c r="H1036" s="31"/>
      <c r="I1036" s="31"/>
    </row>
    <row r="1037" spans="1:9" s="26" customFormat="1" x14ac:dyDescent="0.35">
      <c r="A1037" s="31"/>
      <c r="B1037" s="29"/>
      <c r="C1037" s="30"/>
      <c r="D1037" s="30"/>
      <c r="E1037" s="30"/>
      <c r="F1037" s="31"/>
      <c r="G1037" s="31"/>
      <c r="H1037" s="31"/>
      <c r="I1037" s="31"/>
    </row>
    <row r="1038" spans="1:9" s="26" customFormat="1" x14ac:dyDescent="0.35">
      <c r="A1038" s="31"/>
      <c r="B1038" s="29"/>
      <c r="C1038" s="30"/>
      <c r="D1038" s="30"/>
      <c r="E1038" s="30"/>
      <c r="F1038" s="31"/>
      <c r="G1038" s="31"/>
      <c r="H1038" s="31"/>
      <c r="I1038" s="31"/>
    </row>
    <row r="1039" spans="1:9" s="26" customFormat="1" x14ac:dyDescent="0.35">
      <c r="A1039" s="31"/>
      <c r="B1039" s="29"/>
      <c r="C1039" s="30"/>
      <c r="D1039" s="30"/>
      <c r="E1039" s="30"/>
      <c r="F1039" s="31"/>
      <c r="G1039" s="31"/>
      <c r="H1039" s="31"/>
      <c r="I1039" s="31"/>
    </row>
    <row r="1040" spans="1:9" s="26" customFormat="1" x14ac:dyDescent="0.35">
      <c r="A1040" s="31"/>
      <c r="B1040" s="29"/>
      <c r="C1040" s="30"/>
      <c r="D1040" s="30"/>
      <c r="E1040" s="30"/>
      <c r="F1040" s="31"/>
      <c r="G1040" s="31"/>
      <c r="H1040" s="31"/>
      <c r="I1040" s="31"/>
    </row>
    <row r="1041" spans="1:9" s="26" customFormat="1" x14ac:dyDescent="0.35">
      <c r="A1041" s="31"/>
      <c r="B1041" s="29"/>
      <c r="C1041" s="30"/>
      <c r="D1041" s="30"/>
      <c r="E1041" s="30"/>
      <c r="F1041" s="31"/>
      <c r="G1041" s="31"/>
      <c r="H1041" s="31"/>
      <c r="I1041" s="31"/>
    </row>
    <row r="1042" spans="1:9" s="26" customFormat="1" x14ac:dyDescent="0.35">
      <c r="A1042" s="31"/>
      <c r="B1042" s="29"/>
      <c r="C1042" s="30"/>
      <c r="D1042" s="30"/>
      <c r="E1042" s="30"/>
      <c r="F1042" s="31"/>
      <c r="G1042" s="31"/>
      <c r="H1042" s="31"/>
      <c r="I1042" s="31"/>
    </row>
    <row r="1043" spans="1:9" s="26" customFormat="1" x14ac:dyDescent="0.35">
      <c r="A1043" s="31"/>
      <c r="B1043" s="29"/>
      <c r="C1043" s="30"/>
      <c r="D1043" s="30"/>
      <c r="E1043" s="30"/>
      <c r="F1043" s="31"/>
      <c r="G1043" s="31"/>
      <c r="H1043" s="31"/>
      <c r="I1043" s="31"/>
    </row>
    <row r="1044" spans="1:9" s="26" customFormat="1" x14ac:dyDescent="0.35">
      <c r="A1044" s="31"/>
      <c r="B1044" s="29"/>
      <c r="C1044" s="30"/>
      <c r="D1044" s="30"/>
      <c r="E1044" s="30"/>
      <c r="F1044" s="31"/>
      <c r="G1044" s="31"/>
      <c r="H1044" s="31"/>
      <c r="I1044" s="31"/>
    </row>
    <row r="1045" spans="1:9" s="26" customFormat="1" x14ac:dyDescent="0.35">
      <c r="A1045" s="31"/>
      <c r="B1045" s="29"/>
      <c r="C1045" s="30"/>
      <c r="D1045" s="30"/>
      <c r="E1045" s="30"/>
      <c r="F1045" s="31"/>
      <c r="G1045" s="31"/>
      <c r="H1045" s="31"/>
      <c r="I1045" s="31"/>
    </row>
    <row r="1046" spans="1:9" s="26" customFormat="1" x14ac:dyDescent="0.35">
      <c r="A1046" s="31"/>
      <c r="B1046" s="29"/>
      <c r="C1046" s="30"/>
      <c r="D1046" s="30"/>
      <c r="E1046" s="30"/>
      <c r="F1046" s="31"/>
      <c r="G1046" s="31"/>
      <c r="H1046" s="31"/>
      <c r="I1046" s="31"/>
    </row>
    <row r="1047" spans="1:9" s="26" customFormat="1" x14ac:dyDescent="0.35">
      <c r="A1047" s="31"/>
      <c r="B1047" s="29"/>
      <c r="C1047" s="30"/>
      <c r="D1047" s="30"/>
      <c r="E1047" s="30"/>
      <c r="F1047" s="31"/>
      <c r="G1047" s="31"/>
      <c r="H1047" s="31"/>
      <c r="I1047" s="31"/>
    </row>
    <row r="1048" spans="1:9" s="26" customFormat="1" x14ac:dyDescent="0.35">
      <c r="A1048" s="31"/>
      <c r="B1048" s="29"/>
      <c r="C1048" s="30"/>
      <c r="D1048" s="30"/>
      <c r="E1048" s="30"/>
      <c r="F1048" s="31"/>
      <c r="G1048" s="31"/>
      <c r="H1048" s="31"/>
      <c r="I1048" s="31"/>
    </row>
    <row r="1049" spans="1:9" s="26" customFormat="1" x14ac:dyDescent="0.35">
      <c r="A1049" s="31"/>
      <c r="B1049" s="29"/>
      <c r="C1049" s="30"/>
      <c r="D1049" s="30"/>
      <c r="E1049" s="30"/>
      <c r="F1049" s="31"/>
      <c r="G1049" s="31"/>
      <c r="H1049" s="31"/>
      <c r="I1049" s="31"/>
    </row>
    <row r="1050" spans="1:9" s="26" customFormat="1" x14ac:dyDescent="0.35">
      <c r="A1050" s="31"/>
      <c r="B1050" s="29"/>
      <c r="C1050" s="30"/>
      <c r="D1050" s="30"/>
      <c r="E1050" s="30"/>
      <c r="F1050" s="31"/>
      <c r="G1050" s="31"/>
      <c r="H1050" s="31"/>
      <c r="I1050" s="31"/>
    </row>
    <row r="1051" spans="1:9" s="26" customFormat="1" x14ac:dyDescent="0.35">
      <c r="A1051" s="31"/>
      <c r="B1051" s="29"/>
      <c r="C1051" s="30"/>
      <c r="D1051" s="30"/>
      <c r="E1051" s="30"/>
      <c r="F1051" s="31"/>
      <c r="G1051" s="31"/>
      <c r="H1051" s="31"/>
      <c r="I1051" s="31"/>
    </row>
    <row r="1052" spans="1:9" s="26" customFormat="1" x14ac:dyDescent="0.35">
      <c r="A1052" s="31"/>
      <c r="B1052" s="29"/>
      <c r="C1052" s="30"/>
      <c r="D1052" s="30"/>
      <c r="E1052" s="30"/>
      <c r="F1052" s="31"/>
      <c r="G1052" s="31"/>
      <c r="H1052" s="31"/>
      <c r="I1052" s="31"/>
    </row>
    <row r="1053" spans="1:9" s="26" customFormat="1" x14ac:dyDescent="0.35">
      <c r="A1053" s="31"/>
      <c r="B1053" s="29"/>
      <c r="C1053" s="30"/>
      <c r="D1053" s="30"/>
      <c r="E1053" s="30"/>
      <c r="F1053" s="31"/>
      <c r="G1053" s="31"/>
      <c r="H1053" s="31"/>
      <c r="I1053" s="31"/>
    </row>
    <row r="1054" spans="1:9" s="26" customFormat="1" x14ac:dyDescent="0.35">
      <c r="A1054" s="31"/>
      <c r="B1054" s="29"/>
      <c r="C1054" s="30"/>
      <c r="D1054" s="30"/>
      <c r="E1054" s="30"/>
      <c r="F1054" s="31"/>
      <c r="G1054" s="31"/>
      <c r="H1054" s="31"/>
      <c r="I1054" s="31"/>
    </row>
    <row r="1055" spans="1:9" s="26" customFormat="1" x14ac:dyDescent="0.35">
      <c r="A1055" s="31"/>
      <c r="B1055" s="29"/>
      <c r="C1055" s="30"/>
      <c r="D1055" s="30"/>
      <c r="E1055" s="30"/>
      <c r="F1055" s="31"/>
      <c r="G1055" s="31"/>
      <c r="H1055" s="31"/>
      <c r="I1055" s="31"/>
    </row>
    <row r="1056" spans="1:9" s="26" customFormat="1" x14ac:dyDescent="0.35">
      <c r="A1056" s="31"/>
      <c r="B1056" s="29"/>
      <c r="C1056" s="30"/>
      <c r="D1056" s="30"/>
      <c r="E1056" s="30"/>
      <c r="F1056" s="31"/>
      <c r="G1056" s="31"/>
      <c r="H1056" s="31"/>
      <c r="I1056" s="31"/>
    </row>
    <row r="1057" spans="1:9" s="26" customFormat="1" x14ac:dyDescent="0.35">
      <c r="A1057" s="31"/>
      <c r="B1057" s="29"/>
      <c r="C1057" s="30"/>
      <c r="D1057" s="30"/>
      <c r="E1057" s="30"/>
      <c r="F1057" s="31"/>
      <c r="G1057" s="31"/>
      <c r="H1057" s="31"/>
      <c r="I1057" s="31"/>
    </row>
    <row r="1058" spans="1:9" s="26" customFormat="1" x14ac:dyDescent="0.35">
      <c r="A1058" s="31"/>
      <c r="B1058" s="29"/>
      <c r="C1058" s="30"/>
      <c r="D1058" s="30"/>
      <c r="E1058" s="30"/>
      <c r="F1058" s="31"/>
      <c r="G1058" s="31"/>
      <c r="H1058" s="31"/>
      <c r="I1058" s="31"/>
    </row>
    <row r="1059" spans="1:9" s="26" customFormat="1" x14ac:dyDescent="0.35">
      <c r="A1059" s="31"/>
      <c r="B1059" s="29"/>
      <c r="C1059" s="30"/>
      <c r="D1059" s="30"/>
      <c r="E1059" s="30"/>
      <c r="F1059" s="31"/>
      <c r="G1059" s="31"/>
      <c r="H1059" s="31"/>
      <c r="I1059" s="31"/>
    </row>
    <row r="1060" spans="1:9" s="26" customFormat="1" x14ac:dyDescent="0.35">
      <c r="A1060" s="31"/>
      <c r="B1060" s="29"/>
      <c r="C1060" s="30"/>
      <c r="D1060" s="30"/>
      <c r="E1060" s="30"/>
      <c r="F1060" s="31"/>
      <c r="G1060" s="31"/>
      <c r="H1060" s="31"/>
      <c r="I1060" s="31"/>
    </row>
    <row r="1061" spans="1:9" s="26" customFormat="1" x14ac:dyDescent="0.35">
      <c r="A1061" s="31"/>
      <c r="B1061" s="29"/>
      <c r="C1061" s="30"/>
      <c r="D1061" s="30"/>
      <c r="E1061" s="30"/>
      <c r="F1061" s="31"/>
      <c r="G1061" s="31"/>
      <c r="H1061" s="31"/>
      <c r="I1061" s="31"/>
    </row>
    <row r="1062" spans="1:9" s="26" customFormat="1" x14ac:dyDescent="0.35">
      <c r="A1062" s="31"/>
      <c r="B1062" s="29"/>
      <c r="C1062" s="30"/>
      <c r="D1062" s="30"/>
      <c r="E1062" s="30"/>
      <c r="F1062" s="31"/>
      <c r="G1062" s="31"/>
      <c r="H1062" s="31"/>
      <c r="I1062" s="31"/>
    </row>
    <row r="1063" spans="1:9" s="26" customFormat="1" x14ac:dyDescent="0.35">
      <c r="A1063" s="31"/>
      <c r="B1063" s="29"/>
      <c r="C1063" s="30"/>
      <c r="D1063" s="30"/>
      <c r="E1063" s="30"/>
      <c r="F1063" s="31"/>
      <c r="G1063" s="31"/>
      <c r="H1063" s="31"/>
      <c r="I1063" s="31"/>
    </row>
    <row r="1064" spans="1:9" s="26" customFormat="1" x14ac:dyDescent="0.35">
      <c r="A1064" s="31"/>
      <c r="B1064" s="29"/>
      <c r="C1064" s="30"/>
      <c r="D1064" s="30"/>
      <c r="E1064" s="30"/>
      <c r="F1064" s="31"/>
      <c r="G1064" s="31"/>
      <c r="H1064" s="31"/>
      <c r="I1064" s="31"/>
    </row>
    <row r="1065" spans="1:9" s="26" customFormat="1" x14ac:dyDescent="0.35">
      <c r="A1065" s="31"/>
      <c r="B1065" s="29"/>
      <c r="C1065" s="30"/>
      <c r="D1065" s="30"/>
      <c r="E1065" s="30"/>
      <c r="F1065" s="31"/>
      <c r="G1065" s="31"/>
      <c r="H1065" s="31"/>
      <c r="I1065" s="31"/>
    </row>
    <row r="1066" spans="1:9" s="26" customFormat="1" x14ac:dyDescent="0.35">
      <c r="A1066" s="31"/>
      <c r="B1066" s="29"/>
      <c r="C1066" s="30"/>
      <c r="D1066" s="30"/>
      <c r="E1066" s="30"/>
      <c r="F1066" s="31"/>
      <c r="G1066" s="31"/>
      <c r="H1066" s="31"/>
      <c r="I1066" s="31"/>
    </row>
    <row r="1067" spans="1:9" s="26" customFormat="1" x14ac:dyDescent="0.35">
      <c r="A1067" s="31"/>
      <c r="B1067" s="29"/>
      <c r="C1067" s="30"/>
      <c r="D1067" s="30"/>
      <c r="E1067" s="30"/>
      <c r="F1067" s="31"/>
      <c r="G1067" s="31"/>
      <c r="H1067" s="31"/>
      <c r="I1067" s="31"/>
    </row>
    <row r="1068" spans="1:9" s="26" customFormat="1" x14ac:dyDescent="0.35">
      <c r="A1068" s="31"/>
      <c r="B1068" s="29"/>
      <c r="C1068" s="30"/>
      <c r="D1068" s="30"/>
      <c r="E1068" s="30"/>
      <c r="F1068" s="31"/>
      <c r="G1068" s="31"/>
      <c r="H1068" s="31"/>
      <c r="I1068" s="31"/>
    </row>
    <row r="1069" spans="1:9" s="26" customFormat="1" x14ac:dyDescent="0.35">
      <c r="A1069" s="31"/>
      <c r="B1069" s="29"/>
      <c r="C1069" s="30"/>
      <c r="D1069" s="30"/>
      <c r="E1069" s="30"/>
      <c r="F1069" s="31"/>
      <c r="G1069" s="31"/>
      <c r="H1069" s="31"/>
      <c r="I1069" s="31"/>
    </row>
    <row r="1070" spans="1:9" s="26" customFormat="1" x14ac:dyDescent="0.35">
      <c r="A1070" s="31"/>
      <c r="B1070" s="29"/>
      <c r="C1070" s="30"/>
      <c r="D1070" s="30"/>
      <c r="E1070" s="30"/>
      <c r="F1070" s="31"/>
      <c r="G1070" s="31"/>
      <c r="H1070" s="31"/>
      <c r="I1070" s="31"/>
    </row>
    <row r="1071" spans="1:9" s="26" customFormat="1" x14ac:dyDescent="0.35">
      <c r="A1071" s="31"/>
      <c r="B1071" s="29"/>
      <c r="C1071" s="30"/>
      <c r="D1071" s="30"/>
      <c r="E1071" s="30"/>
      <c r="F1071" s="31"/>
      <c r="G1071" s="31"/>
      <c r="H1071" s="31"/>
      <c r="I1071" s="31"/>
    </row>
    <row r="1072" spans="1:9" s="26" customFormat="1" x14ac:dyDescent="0.35">
      <c r="A1072" s="31"/>
      <c r="B1072" s="29"/>
      <c r="C1072" s="30"/>
      <c r="D1072" s="30"/>
      <c r="E1072" s="30"/>
      <c r="F1072" s="31"/>
      <c r="G1072" s="31"/>
      <c r="H1072" s="31"/>
      <c r="I1072" s="31"/>
    </row>
    <row r="1073" spans="1:9" s="26" customFormat="1" x14ac:dyDescent="0.35">
      <c r="A1073" s="31"/>
      <c r="B1073" s="29"/>
      <c r="C1073" s="30"/>
      <c r="D1073" s="30"/>
      <c r="E1073" s="30"/>
      <c r="F1073" s="31"/>
      <c r="G1073" s="31"/>
      <c r="H1073" s="31"/>
      <c r="I1073" s="31"/>
    </row>
    <row r="1074" spans="1:9" s="26" customFormat="1" x14ac:dyDescent="0.35">
      <c r="A1074" s="31"/>
      <c r="B1074" s="29"/>
      <c r="C1074" s="30"/>
      <c r="D1074" s="30"/>
      <c r="E1074" s="30"/>
      <c r="F1074" s="31"/>
      <c r="G1074" s="31"/>
      <c r="H1074" s="31"/>
      <c r="I1074" s="31"/>
    </row>
    <row r="1075" spans="1:9" s="26" customFormat="1" x14ac:dyDescent="0.35">
      <c r="A1075" s="31"/>
      <c r="B1075" s="29"/>
      <c r="C1075" s="30"/>
      <c r="D1075" s="30"/>
      <c r="E1075" s="30"/>
      <c r="F1075" s="31"/>
      <c r="G1075" s="31"/>
      <c r="H1075" s="31"/>
      <c r="I1075" s="31"/>
    </row>
    <row r="1076" spans="1:9" s="26" customFormat="1" x14ac:dyDescent="0.35">
      <c r="A1076" s="31"/>
      <c r="B1076" s="29"/>
      <c r="C1076" s="30"/>
      <c r="D1076" s="30"/>
      <c r="E1076" s="30"/>
      <c r="F1076" s="31"/>
      <c r="G1076" s="31"/>
      <c r="H1076" s="31"/>
      <c r="I1076" s="31"/>
    </row>
    <row r="1077" spans="1:9" s="26" customFormat="1" x14ac:dyDescent="0.35">
      <c r="A1077" s="31"/>
      <c r="B1077" s="29"/>
      <c r="C1077" s="30"/>
      <c r="D1077" s="30"/>
      <c r="E1077" s="30"/>
      <c r="F1077" s="31"/>
      <c r="G1077" s="31"/>
      <c r="H1077" s="31"/>
      <c r="I1077" s="31"/>
    </row>
    <row r="1078" spans="1:9" s="26" customFormat="1" x14ac:dyDescent="0.35">
      <c r="A1078" s="31"/>
      <c r="B1078" s="29"/>
      <c r="C1078" s="30"/>
      <c r="D1078" s="30"/>
      <c r="E1078" s="30"/>
      <c r="F1078" s="31"/>
      <c r="G1078" s="31"/>
      <c r="H1078" s="31"/>
      <c r="I1078" s="31"/>
    </row>
    <row r="1079" spans="1:9" s="26" customFormat="1" x14ac:dyDescent="0.35">
      <c r="A1079" s="31"/>
      <c r="B1079" s="29"/>
      <c r="C1079" s="30"/>
      <c r="D1079" s="30"/>
      <c r="E1079" s="30"/>
      <c r="F1079" s="31"/>
      <c r="G1079" s="31"/>
      <c r="H1079" s="31"/>
      <c r="I1079" s="31"/>
    </row>
    <row r="1080" spans="1:9" s="26" customFormat="1" x14ac:dyDescent="0.35">
      <c r="A1080" s="31"/>
      <c r="B1080" s="29"/>
      <c r="C1080" s="30"/>
      <c r="D1080" s="30"/>
      <c r="E1080" s="30"/>
      <c r="F1080" s="31"/>
      <c r="G1080" s="31"/>
      <c r="H1080" s="31"/>
      <c r="I1080" s="31"/>
    </row>
    <row r="1081" spans="1:9" s="26" customFormat="1" x14ac:dyDescent="0.35">
      <c r="A1081" s="31"/>
      <c r="B1081" s="29"/>
      <c r="C1081" s="30"/>
      <c r="D1081" s="30"/>
      <c r="E1081" s="30"/>
      <c r="F1081" s="31"/>
      <c r="G1081" s="31"/>
      <c r="H1081" s="31"/>
      <c r="I1081" s="31"/>
    </row>
    <row r="1082" spans="1:9" s="26" customFormat="1" x14ac:dyDescent="0.35">
      <c r="A1082" s="31"/>
      <c r="B1082" s="29"/>
      <c r="C1082" s="30"/>
      <c r="D1082" s="30"/>
      <c r="E1082" s="30"/>
      <c r="F1082" s="31"/>
      <c r="G1082" s="31"/>
      <c r="H1082" s="31"/>
      <c r="I1082" s="31"/>
    </row>
    <row r="1083" spans="1:9" s="26" customFormat="1" x14ac:dyDescent="0.35">
      <c r="A1083" s="31"/>
      <c r="B1083" s="29"/>
      <c r="C1083" s="30"/>
      <c r="D1083" s="30"/>
      <c r="E1083" s="30"/>
      <c r="F1083" s="31"/>
      <c r="G1083" s="31"/>
      <c r="H1083" s="31"/>
      <c r="I1083" s="31"/>
    </row>
    <row r="1084" spans="1:9" s="26" customFormat="1" x14ac:dyDescent="0.35">
      <c r="A1084" s="31"/>
      <c r="B1084" s="29"/>
      <c r="C1084" s="30"/>
      <c r="D1084" s="30"/>
      <c r="E1084" s="30"/>
      <c r="F1084" s="31"/>
      <c r="G1084" s="31"/>
      <c r="H1084" s="31"/>
      <c r="I1084" s="31"/>
    </row>
    <row r="1085" spans="1:9" s="26" customFormat="1" x14ac:dyDescent="0.35">
      <c r="A1085" s="31"/>
      <c r="B1085" s="29"/>
      <c r="C1085" s="30"/>
      <c r="D1085" s="30"/>
      <c r="E1085" s="30"/>
      <c r="F1085" s="31"/>
      <c r="G1085" s="31"/>
      <c r="H1085" s="31"/>
      <c r="I1085" s="31"/>
    </row>
    <row r="1086" spans="1:9" s="26" customFormat="1" x14ac:dyDescent="0.35">
      <c r="A1086" s="31"/>
      <c r="B1086" s="29"/>
      <c r="C1086" s="30"/>
      <c r="D1086" s="30"/>
      <c r="E1086" s="30"/>
      <c r="F1086" s="31"/>
      <c r="G1086" s="31"/>
      <c r="H1086" s="31"/>
      <c r="I1086" s="31"/>
    </row>
    <row r="1087" spans="1:9" s="26" customFormat="1" x14ac:dyDescent="0.35">
      <c r="A1087" s="31"/>
      <c r="B1087" s="29"/>
      <c r="C1087" s="30"/>
      <c r="D1087" s="30"/>
      <c r="E1087" s="30"/>
      <c r="F1087" s="31"/>
      <c r="G1087" s="31"/>
      <c r="H1087" s="31"/>
      <c r="I1087" s="31"/>
    </row>
    <row r="1088" spans="1:9" s="26" customFormat="1" x14ac:dyDescent="0.35">
      <c r="A1088" s="31"/>
      <c r="B1088" s="29"/>
      <c r="C1088" s="30"/>
      <c r="D1088" s="30"/>
      <c r="E1088" s="30"/>
      <c r="F1088" s="31"/>
      <c r="G1088" s="31"/>
      <c r="H1088" s="31"/>
      <c r="I1088" s="31"/>
    </row>
    <row r="1089" spans="1:9" s="26" customFormat="1" x14ac:dyDescent="0.35">
      <c r="A1089" s="31"/>
      <c r="B1089" s="29"/>
      <c r="C1089" s="30"/>
      <c r="D1089" s="30"/>
      <c r="E1089" s="30"/>
      <c r="F1089" s="31"/>
      <c r="G1089" s="31"/>
      <c r="H1089" s="31"/>
      <c r="I1089" s="31"/>
    </row>
    <row r="1090" spans="1:9" s="26" customFormat="1" x14ac:dyDescent="0.35">
      <c r="A1090" s="31"/>
      <c r="B1090" s="29"/>
      <c r="C1090" s="30"/>
      <c r="D1090" s="30"/>
      <c r="E1090" s="30"/>
      <c r="F1090" s="31"/>
      <c r="G1090" s="31"/>
      <c r="H1090" s="31"/>
      <c r="I1090" s="31"/>
    </row>
    <row r="1091" spans="1:9" s="26" customFormat="1" x14ac:dyDescent="0.35">
      <c r="A1091" s="31"/>
      <c r="B1091" s="29"/>
      <c r="C1091" s="30"/>
      <c r="D1091" s="30"/>
      <c r="E1091" s="30"/>
      <c r="F1091" s="31"/>
      <c r="G1091" s="31"/>
      <c r="H1091" s="31"/>
      <c r="I1091" s="31"/>
    </row>
    <row r="1092" spans="1:9" s="26" customFormat="1" x14ac:dyDescent="0.35">
      <c r="A1092" s="31"/>
      <c r="B1092" s="29"/>
      <c r="C1092" s="30"/>
      <c r="D1092" s="30"/>
      <c r="E1092" s="30"/>
      <c r="F1092" s="31"/>
      <c r="G1092" s="31"/>
      <c r="H1092" s="31"/>
      <c r="I1092" s="31"/>
    </row>
    <row r="1093" spans="1:9" s="26" customFormat="1" x14ac:dyDescent="0.35">
      <c r="A1093" s="31"/>
      <c r="B1093" s="29"/>
      <c r="C1093" s="30"/>
      <c r="D1093" s="30"/>
      <c r="E1093" s="30"/>
      <c r="F1093" s="31"/>
      <c r="G1093" s="31"/>
      <c r="H1093" s="31"/>
      <c r="I1093" s="31"/>
    </row>
    <row r="1094" spans="1:9" s="26" customFormat="1" x14ac:dyDescent="0.35">
      <c r="A1094" s="31"/>
      <c r="B1094" s="29"/>
      <c r="C1094" s="30"/>
      <c r="D1094" s="30"/>
      <c r="E1094" s="30"/>
      <c r="F1094" s="31"/>
      <c r="G1094" s="31"/>
      <c r="H1094" s="31"/>
      <c r="I1094" s="31"/>
    </row>
    <row r="1095" spans="1:9" s="26" customFormat="1" x14ac:dyDescent="0.35">
      <c r="A1095" s="31"/>
      <c r="B1095" s="29"/>
      <c r="C1095" s="30"/>
      <c r="D1095" s="30"/>
      <c r="E1095" s="30"/>
      <c r="F1095" s="31"/>
      <c r="G1095" s="31"/>
      <c r="H1095" s="31"/>
      <c r="I1095" s="31"/>
    </row>
    <row r="1096" spans="1:9" s="26" customFormat="1" x14ac:dyDescent="0.35">
      <c r="A1096" s="31"/>
      <c r="B1096" s="29"/>
      <c r="C1096" s="30"/>
      <c r="D1096" s="30"/>
      <c r="E1096" s="30"/>
      <c r="F1096" s="31"/>
      <c r="G1096" s="31"/>
      <c r="H1096" s="31"/>
      <c r="I1096" s="31"/>
    </row>
    <row r="1097" spans="1:9" s="26" customFormat="1" x14ac:dyDescent="0.35">
      <c r="A1097" s="31"/>
      <c r="B1097" s="29"/>
      <c r="C1097" s="30"/>
      <c r="D1097" s="30"/>
      <c r="E1097" s="30"/>
      <c r="F1097" s="31"/>
      <c r="G1097" s="31"/>
      <c r="H1097" s="31"/>
      <c r="I1097" s="31"/>
    </row>
    <row r="1098" spans="1:9" s="26" customFormat="1" x14ac:dyDescent="0.35">
      <c r="A1098" s="31"/>
      <c r="B1098" s="29"/>
      <c r="C1098" s="30"/>
      <c r="D1098" s="30"/>
      <c r="E1098" s="30"/>
      <c r="F1098" s="31"/>
      <c r="G1098" s="31"/>
      <c r="H1098" s="31"/>
      <c r="I1098" s="31"/>
    </row>
    <row r="1099" spans="1:9" s="26" customFormat="1" x14ac:dyDescent="0.35">
      <c r="A1099" s="31"/>
      <c r="B1099" s="29"/>
      <c r="C1099" s="30"/>
      <c r="D1099" s="30"/>
      <c r="E1099" s="30"/>
      <c r="F1099" s="31"/>
      <c r="G1099" s="31"/>
      <c r="H1099" s="31"/>
      <c r="I1099" s="31"/>
    </row>
    <row r="1100" spans="1:9" s="26" customFormat="1" x14ac:dyDescent="0.35">
      <c r="A1100" s="31"/>
      <c r="B1100" s="29"/>
      <c r="C1100" s="30"/>
      <c r="D1100" s="30"/>
      <c r="E1100" s="30"/>
      <c r="F1100" s="31"/>
      <c r="G1100" s="31"/>
      <c r="H1100" s="31"/>
      <c r="I1100" s="31"/>
    </row>
    <row r="1101" spans="1:9" s="26" customFormat="1" x14ac:dyDescent="0.35">
      <c r="A1101" s="31"/>
      <c r="B1101" s="29"/>
      <c r="C1101" s="30"/>
      <c r="D1101" s="30"/>
      <c r="E1101" s="30"/>
      <c r="F1101" s="31"/>
      <c r="G1101" s="31"/>
      <c r="H1101" s="31"/>
      <c r="I1101" s="31"/>
    </row>
    <row r="1102" spans="1:9" s="26" customFormat="1" x14ac:dyDescent="0.35">
      <c r="A1102" s="31"/>
      <c r="B1102" s="29"/>
      <c r="C1102" s="30"/>
      <c r="D1102" s="30"/>
      <c r="E1102" s="30"/>
      <c r="F1102" s="31"/>
      <c r="G1102" s="31"/>
      <c r="H1102" s="31"/>
      <c r="I1102" s="31"/>
    </row>
    <row r="1103" spans="1:9" s="26" customFormat="1" x14ac:dyDescent="0.35">
      <c r="A1103" s="31"/>
      <c r="B1103" s="29"/>
      <c r="C1103" s="30"/>
      <c r="D1103" s="30"/>
      <c r="E1103" s="30"/>
      <c r="F1103" s="31"/>
      <c r="G1103" s="31"/>
      <c r="H1103" s="31"/>
      <c r="I1103" s="31"/>
    </row>
    <row r="1104" spans="1:9" s="26" customFormat="1" x14ac:dyDescent="0.35">
      <c r="A1104" s="31"/>
      <c r="B1104" s="29"/>
      <c r="C1104" s="30"/>
      <c r="D1104" s="30"/>
      <c r="E1104" s="30"/>
      <c r="F1104" s="31"/>
      <c r="G1104" s="31"/>
      <c r="H1104" s="31"/>
      <c r="I1104" s="31"/>
    </row>
    <row r="1105" spans="1:9" s="26" customFormat="1" x14ac:dyDescent="0.35">
      <c r="A1105" s="31"/>
      <c r="B1105" s="29"/>
      <c r="C1105" s="30"/>
      <c r="D1105" s="30"/>
      <c r="E1105" s="30"/>
      <c r="F1105" s="31"/>
      <c r="G1105" s="31"/>
      <c r="H1105" s="31"/>
      <c r="I1105" s="31"/>
    </row>
    <row r="1106" spans="1:9" s="26" customFormat="1" x14ac:dyDescent="0.35">
      <c r="A1106" s="31"/>
      <c r="B1106" s="29"/>
      <c r="C1106" s="30"/>
      <c r="D1106" s="30"/>
      <c r="E1106" s="30"/>
      <c r="F1106" s="31"/>
      <c r="G1106" s="31"/>
      <c r="H1106" s="31"/>
      <c r="I1106" s="31"/>
    </row>
    <row r="1107" spans="1:9" s="26" customFormat="1" x14ac:dyDescent="0.35">
      <c r="A1107" s="31"/>
      <c r="B1107" s="29"/>
      <c r="C1107" s="30"/>
      <c r="D1107" s="30"/>
      <c r="E1107" s="30"/>
      <c r="F1107" s="31"/>
      <c r="G1107" s="31"/>
      <c r="H1107" s="31"/>
      <c r="I1107" s="31"/>
    </row>
    <row r="1108" spans="1:9" s="26" customFormat="1" x14ac:dyDescent="0.35">
      <c r="A1108" s="31"/>
      <c r="B1108" s="29"/>
      <c r="C1108" s="30"/>
      <c r="D1108" s="30"/>
      <c r="E1108" s="30"/>
      <c r="F1108" s="31"/>
      <c r="G1108" s="31"/>
      <c r="H1108" s="31"/>
      <c r="I1108" s="31"/>
    </row>
    <row r="1109" spans="1:9" s="26" customFormat="1" x14ac:dyDescent="0.35">
      <c r="A1109" s="31"/>
      <c r="B1109" s="29"/>
      <c r="C1109" s="30"/>
      <c r="D1109" s="30"/>
      <c r="E1109" s="30"/>
      <c r="F1109" s="31"/>
      <c r="G1109" s="31"/>
      <c r="H1109" s="31"/>
      <c r="I1109" s="31"/>
    </row>
    <row r="1110" spans="1:9" s="26" customFormat="1" x14ac:dyDescent="0.35">
      <c r="A1110" s="31"/>
      <c r="B1110" s="29"/>
      <c r="C1110" s="30"/>
      <c r="D1110" s="30"/>
      <c r="E1110" s="30"/>
      <c r="F1110" s="31"/>
      <c r="G1110" s="31"/>
      <c r="H1110" s="31"/>
      <c r="I1110" s="31"/>
    </row>
    <row r="1111" spans="1:9" s="26" customFormat="1" x14ac:dyDescent="0.35">
      <c r="A1111" s="31"/>
      <c r="B1111" s="29"/>
      <c r="C1111" s="30"/>
      <c r="D1111" s="30"/>
      <c r="E1111" s="30"/>
      <c r="F1111" s="31"/>
      <c r="G1111" s="31"/>
      <c r="H1111" s="31"/>
      <c r="I1111" s="31"/>
    </row>
    <row r="1112" spans="1:9" s="26" customFormat="1" x14ac:dyDescent="0.35">
      <c r="A1112" s="31"/>
      <c r="B1112" s="29"/>
      <c r="C1112" s="30"/>
      <c r="D1112" s="30"/>
      <c r="E1112" s="30"/>
      <c r="F1112" s="31"/>
      <c r="G1112" s="31"/>
      <c r="H1112" s="31"/>
      <c r="I1112" s="31"/>
    </row>
    <row r="1113" spans="1:9" s="26" customFormat="1" x14ac:dyDescent="0.35">
      <c r="A1113" s="31"/>
      <c r="B1113" s="29"/>
      <c r="C1113" s="30"/>
      <c r="D1113" s="30"/>
      <c r="E1113" s="30"/>
      <c r="F1113" s="31"/>
      <c r="G1113" s="31"/>
      <c r="H1113" s="31"/>
      <c r="I1113" s="31"/>
    </row>
    <row r="1114" spans="1:9" s="26" customFormat="1" x14ac:dyDescent="0.35">
      <c r="A1114" s="31"/>
      <c r="B1114" s="29"/>
      <c r="C1114" s="30"/>
      <c r="D1114" s="30"/>
      <c r="E1114" s="30"/>
      <c r="F1114" s="31"/>
      <c r="G1114" s="31"/>
      <c r="H1114" s="31"/>
      <c r="I1114" s="31"/>
    </row>
    <row r="1115" spans="1:9" s="26" customFormat="1" x14ac:dyDescent="0.35">
      <c r="A1115" s="31"/>
      <c r="B1115" s="29"/>
      <c r="C1115" s="30"/>
      <c r="D1115" s="30"/>
      <c r="E1115" s="30"/>
      <c r="F1115" s="31"/>
      <c r="G1115" s="31"/>
      <c r="H1115" s="31"/>
      <c r="I1115" s="31"/>
    </row>
    <row r="1116" spans="1:9" s="26" customFormat="1" x14ac:dyDescent="0.35">
      <c r="A1116" s="31"/>
      <c r="B1116" s="29"/>
      <c r="C1116" s="30"/>
      <c r="D1116" s="30"/>
      <c r="E1116" s="30"/>
      <c r="F1116" s="31"/>
      <c r="G1116" s="31"/>
      <c r="H1116" s="31"/>
      <c r="I1116" s="31"/>
    </row>
    <row r="1117" spans="1:9" s="26" customFormat="1" x14ac:dyDescent="0.35">
      <c r="A1117" s="31"/>
      <c r="B1117" s="29"/>
      <c r="C1117" s="30"/>
      <c r="D1117" s="30"/>
      <c r="E1117" s="30"/>
      <c r="F1117" s="31"/>
      <c r="G1117" s="31"/>
      <c r="H1117" s="31"/>
      <c r="I1117" s="31"/>
    </row>
    <row r="1118" spans="1:9" s="26" customFormat="1" x14ac:dyDescent="0.35">
      <c r="A1118" s="31"/>
      <c r="B1118" s="29"/>
      <c r="C1118" s="30"/>
      <c r="D1118" s="30"/>
      <c r="E1118" s="30"/>
      <c r="F1118" s="31"/>
      <c r="G1118" s="31"/>
      <c r="H1118" s="31"/>
      <c r="I1118" s="31"/>
    </row>
    <row r="1119" spans="1:9" s="26" customFormat="1" x14ac:dyDescent="0.35">
      <c r="A1119" s="31"/>
      <c r="B1119" s="29"/>
      <c r="C1119" s="30"/>
      <c r="D1119" s="30"/>
      <c r="E1119" s="30"/>
      <c r="F1119" s="31"/>
      <c r="G1119" s="31"/>
      <c r="H1119" s="31"/>
      <c r="I1119" s="31"/>
    </row>
    <row r="1120" spans="1:9" s="26" customFormat="1" x14ac:dyDescent="0.35">
      <c r="A1120" s="31"/>
      <c r="B1120" s="29"/>
      <c r="C1120" s="30"/>
      <c r="D1120" s="30"/>
      <c r="E1120" s="30"/>
      <c r="F1120" s="31"/>
      <c r="G1120" s="31"/>
      <c r="H1120" s="31"/>
      <c r="I1120" s="31"/>
    </row>
    <row r="1121" spans="1:9" s="26" customFormat="1" x14ac:dyDescent="0.35">
      <c r="A1121" s="31"/>
      <c r="B1121" s="29"/>
      <c r="C1121" s="30"/>
      <c r="D1121" s="30"/>
      <c r="E1121" s="30"/>
      <c r="F1121" s="31"/>
      <c r="G1121" s="31"/>
      <c r="H1121" s="31"/>
      <c r="I1121" s="31"/>
    </row>
    <row r="1122" spans="1:9" s="26" customFormat="1" x14ac:dyDescent="0.35">
      <c r="A1122" s="31"/>
      <c r="B1122" s="29"/>
      <c r="C1122" s="30"/>
      <c r="D1122" s="30"/>
      <c r="E1122" s="30"/>
      <c r="F1122" s="31"/>
      <c r="G1122" s="31"/>
      <c r="H1122" s="31"/>
      <c r="I1122" s="31"/>
    </row>
    <row r="1123" spans="1:9" s="26" customFormat="1" x14ac:dyDescent="0.35">
      <c r="A1123" s="31"/>
      <c r="B1123" s="29"/>
      <c r="C1123" s="30"/>
      <c r="D1123" s="30"/>
      <c r="E1123" s="30"/>
      <c r="F1123" s="31"/>
      <c r="G1123" s="31"/>
      <c r="H1123" s="31"/>
      <c r="I1123" s="31"/>
    </row>
    <row r="1124" spans="1:9" s="26" customFormat="1" x14ac:dyDescent="0.35">
      <c r="A1124" s="31"/>
      <c r="B1124" s="29"/>
      <c r="C1124" s="30"/>
      <c r="D1124" s="30"/>
      <c r="E1124" s="30"/>
      <c r="F1124" s="31"/>
      <c r="G1124" s="31"/>
      <c r="H1124" s="31"/>
      <c r="I1124" s="31"/>
    </row>
    <row r="1125" spans="1:9" s="26" customFormat="1" x14ac:dyDescent="0.35">
      <c r="A1125" s="31"/>
      <c r="B1125" s="29"/>
      <c r="C1125" s="30"/>
      <c r="D1125" s="30"/>
      <c r="E1125" s="30"/>
      <c r="F1125" s="31"/>
      <c r="G1125" s="31"/>
      <c r="H1125" s="31"/>
      <c r="I1125" s="31"/>
    </row>
    <row r="1126" spans="1:9" s="26" customFormat="1" x14ac:dyDescent="0.35">
      <c r="A1126" s="31"/>
      <c r="B1126" s="29"/>
      <c r="C1126" s="30"/>
      <c r="D1126" s="30"/>
      <c r="E1126" s="30"/>
      <c r="F1126" s="31"/>
      <c r="G1126" s="31"/>
      <c r="H1126" s="31"/>
      <c r="I1126" s="31"/>
    </row>
    <row r="1127" spans="1:9" s="26" customFormat="1" x14ac:dyDescent="0.35">
      <c r="A1127" s="31"/>
      <c r="B1127" s="29"/>
      <c r="C1127" s="30"/>
      <c r="D1127" s="30"/>
      <c r="E1127" s="30"/>
      <c r="F1127" s="31"/>
      <c r="G1127" s="31"/>
      <c r="H1127" s="31"/>
      <c r="I1127" s="31"/>
    </row>
    <row r="1128" spans="1:9" s="26" customFormat="1" x14ac:dyDescent="0.35">
      <c r="A1128" s="31"/>
      <c r="B1128" s="29"/>
      <c r="C1128" s="30"/>
      <c r="D1128" s="30"/>
      <c r="E1128" s="30"/>
      <c r="F1128" s="31"/>
      <c r="G1128" s="31"/>
      <c r="H1128" s="31"/>
      <c r="I1128" s="31"/>
    </row>
    <row r="1129" spans="1:9" s="26" customFormat="1" x14ac:dyDescent="0.35">
      <c r="A1129" s="31"/>
      <c r="B1129" s="29"/>
      <c r="C1129" s="30"/>
      <c r="D1129" s="30"/>
      <c r="E1129" s="30"/>
      <c r="F1129" s="31"/>
      <c r="G1129" s="31"/>
      <c r="H1129" s="31"/>
      <c r="I1129" s="31"/>
    </row>
    <row r="1130" spans="1:9" s="26" customFormat="1" x14ac:dyDescent="0.35">
      <c r="A1130" s="31"/>
      <c r="B1130" s="29"/>
      <c r="C1130" s="30"/>
      <c r="D1130" s="30"/>
      <c r="E1130" s="30"/>
      <c r="F1130" s="31"/>
      <c r="G1130" s="31"/>
      <c r="H1130" s="31"/>
      <c r="I1130" s="31"/>
    </row>
    <row r="1131" spans="1:9" s="26" customFormat="1" x14ac:dyDescent="0.35">
      <c r="A1131" s="31"/>
      <c r="B1131" s="29"/>
      <c r="C1131" s="30"/>
      <c r="D1131" s="30"/>
      <c r="E1131" s="30"/>
      <c r="F1131" s="31"/>
      <c r="G1131" s="31"/>
      <c r="H1131" s="31"/>
      <c r="I1131" s="31"/>
    </row>
    <row r="1132" spans="1:9" s="26" customFormat="1" x14ac:dyDescent="0.35">
      <c r="A1132" s="31"/>
      <c r="B1132" s="29"/>
      <c r="C1132" s="30"/>
      <c r="D1132" s="30"/>
      <c r="E1132" s="30"/>
      <c r="F1132" s="31"/>
      <c r="G1132" s="31"/>
      <c r="H1132" s="31"/>
      <c r="I1132" s="31"/>
    </row>
    <row r="1133" spans="1:9" s="26" customFormat="1" x14ac:dyDescent="0.35">
      <c r="A1133" s="31"/>
      <c r="B1133" s="29"/>
      <c r="C1133" s="30"/>
      <c r="D1133" s="30"/>
      <c r="E1133" s="30"/>
      <c r="F1133" s="31"/>
      <c r="G1133" s="31"/>
      <c r="H1133" s="31"/>
      <c r="I1133" s="31"/>
    </row>
    <row r="1134" spans="1:9" s="26" customFormat="1" x14ac:dyDescent="0.35">
      <c r="A1134" s="31"/>
      <c r="B1134" s="29"/>
      <c r="C1134" s="30"/>
      <c r="D1134" s="30"/>
      <c r="E1134" s="30"/>
      <c r="F1134" s="31"/>
      <c r="G1134" s="31"/>
      <c r="H1134" s="31"/>
      <c r="I1134" s="31"/>
    </row>
    <row r="1135" spans="1:9" s="26" customFormat="1" x14ac:dyDescent="0.35">
      <c r="A1135" s="31"/>
      <c r="B1135" s="29"/>
      <c r="C1135" s="30"/>
      <c r="D1135" s="30"/>
      <c r="E1135" s="30"/>
      <c r="F1135" s="31"/>
      <c r="G1135" s="31"/>
      <c r="H1135" s="31"/>
      <c r="I1135" s="31"/>
    </row>
    <row r="1136" spans="1:9" s="26" customFormat="1" x14ac:dyDescent="0.35">
      <c r="A1136" s="31"/>
      <c r="B1136" s="29"/>
      <c r="C1136" s="30"/>
      <c r="D1136" s="30"/>
      <c r="E1136" s="30"/>
      <c r="F1136" s="31"/>
      <c r="G1136" s="31"/>
      <c r="H1136" s="31"/>
      <c r="I1136" s="31"/>
    </row>
    <row r="1137" spans="1:9" s="26" customFormat="1" x14ac:dyDescent="0.35">
      <c r="A1137" s="31"/>
      <c r="B1137" s="29"/>
      <c r="C1137" s="30"/>
      <c r="D1137" s="30"/>
      <c r="E1137" s="30"/>
      <c r="F1137" s="31"/>
      <c r="G1137" s="31"/>
      <c r="H1137" s="31"/>
      <c r="I1137" s="31"/>
    </row>
    <row r="1138" spans="1:9" s="26" customFormat="1" x14ac:dyDescent="0.35">
      <c r="A1138" s="31"/>
      <c r="B1138" s="29"/>
      <c r="C1138" s="30"/>
      <c r="D1138" s="30"/>
      <c r="E1138" s="30"/>
      <c r="F1138" s="31"/>
      <c r="G1138" s="31"/>
      <c r="H1138" s="31"/>
      <c r="I1138" s="31"/>
    </row>
    <row r="1139" spans="1:9" s="26" customFormat="1" x14ac:dyDescent="0.35">
      <c r="A1139" s="31"/>
      <c r="B1139" s="29"/>
      <c r="C1139" s="30"/>
      <c r="D1139" s="30"/>
      <c r="E1139" s="30"/>
      <c r="F1139" s="31"/>
      <c r="G1139" s="31"/>
      <c r="H1139" s="31"/>
      <c r="I1139" s="31"/>
    </row>
    <row r="1140" spans="1:9" s="26" customFormat="1" x14ac:dyDescent="0.35">
      <c r="A1140" s="31"/>
      <c r="B1140" s="29"/>
      <c r="C1140" s="30"/>
      <c r="D1140" s="30"/>
      <c r="E1140" s="30"/>
      <c r="F1140" s="31"/>
      <c r="G1140" s="31"/>
      <c r="H1140" s="31"/>
      <c r="I1140" s="31"/>
    </row>
    <row r="1141" spans="1:9" s="26" customFormat="1" x14ac:dyDescent="0.35">
      <c r="A1141" s="31"/>
      <c r="B1141" s="29"/>
      <c r="C1141" s="30"/>
      <c r="D1141" s="30"/>
      <c r="E1141" s="30"/>
      <c r="F1141" s="31"/>
      <c r="G1141" s="31"/>
      <c r="H1141" s="31"/>
      <c r="I1141" s="31"/>
    </row>
    <row r="1142" spans="1:9" s="26" customFormat="1" x14ac:dyDescent="0.35">
      <c r="A1142" s="31"/>
      <c r="B1142" s="29"/>
      <c r="C1142" s="30"/>
      <c r="D1142" s="30"/>
      <c r="E1142" s="30"/>
      <c r="F1142" s="31"/>
      <c r="G1142" s="31"/>
      <c r="H1142" s="31"/>
      <c r="I1142" s="31"/>
    </row>
    <row r="1143" spans="1:9" s="26" customFormat="1" x14ac:dyDescent="0.35">
      <c r="A1143" s="31"/>
      <c r="B1143" s="29"/>
      <c r="C1143" s="30"/>
      <c r="D1143" s="30"/>
      <c r="E1143" s="30"/>
      <c r="F1143" s="31"/>
      <c r="G1143" s="31"/>
      <c r="H1143" s="31"/>
      <c r="I1143" s="31"/>
    </row>
    <row r="1144" spans="1:9" s="26" customFormat="1" x14ac:dyDescent="0.35">
      <c r="A1144" s="31"/>
      <c r="B1144" s="29"/>
      <c r="C1144" s="30"/>
      <c r="D1144" s="30"/>
      <c r="E1144" s="30"/>
      <c r="F1144" s="31"/>
      <c r="G1144" s="31"/>
      <c r="H1144" s="31"/>
      <c r="I1144" s="31"/>
    </row>
    <row r="1145" spans="1:9" s="26" customFormat="1" x14ac:dyDescent="0.35">
      <c r="A1145" s="31"/>
      <c r="B1145" s="29"/>
      <c r="C1145" s="30"/>
      <c r="D1145" s="30"/>
      <c r="E1145" s="30"/>
      <c r="F1145" s="31"/>
      <c r="G1145" s="31"/>
      <c r="H1145" s="31"/>
      <c r="I1145" s="31"/>
    </row>
    <row r="1146" spans="1:9" s="26" customFormat="1" x14ac:dyDescent="0.35">
      <c r="A1146" s="31"/>
      <c r="B1146" s="29"/>
      <c r="C1146" s="30"/>
      <c r="D1146" s="30"/>
      <c r="E1146" s="30"/>
      <c r="F1146" s="31"/>
      <c r="G1146" s="31"/>
      <c r="H1146" s="31"/>
      <c r="I1146" s="31"/>
    </row>
    <row r="1147" spans="1:9" s="26" customFormat="1" x14ac:dyDescent="0.35">
      <c r="A1147" s="31"/>
      <c r="B1147" s="29"/>
      <c r="C1147" s="30"/>
      <c r="D1147" s="30"/>
      <c r="E1147" s="30"/>
      <c r="F1147" s="31"/>
      <c r="G1147" s="31"/>
      <c r="H1147" s="31"/>
      <c r="I1147" s="31"/>
    </row>
    <row r="1148" spans="1:9" s="26" customFormat="1" x14ac:dyDescent="0.35">
      <c r="A1148" s="31"/>
      <c r="B1148" s="29"/>
      <c r="C1148" s="30"/>
      <c r="D1148" s="30"/>
      <c r="E1148" s="30"/>
      <c r="F1148" s="31"/>
      <c r="G1148" s="31"/>
      <c r="H1148" s="31"/>
      <c r="I1148" s="31"/>
    </row>
    <row r="1149" spans="1:9" s="26" customFormat="1" x14ac:dyDescent="0.35">
      <c r="A1149" s="31"/>
      <c r="B1149" s="29"/>
      <c r="C1149" s="30"/>
      <c r="D1149" s="30"/>
      <c r="E1149" s="30"/>
      <c r="F1149" s="31"/>
      <c r="G1149" s="31"/>
      <c r="H1149" s="31"/>
      <c r="I1149" s="31"/>
    </row>
    <row r="1150" spans="1:9" s="26" customFormat="1" x14ac:dyDescent="0.35">
      <c r="A1150" s="31"/>
      <c r="B1150" s="29"/>
      <c r="C1150" s="30"/>
      <c r="D1150" s="30"/>
      <c r="E1150" s="30"/>
      <c r="F1150" s="31"/>
      <c r="G1150" s="31"/>
      <c r="H1150" s="31"/>
      <c r="I1150" s="31"/>
    </row>
    <row r="1151" spans="1:9" s="26" customFormat="1" x14ac:dyDescent="0.35">
      <c r="A1151" s="31"/>
      <c r="B1151" s="29"/>
      <c r="C1151" s="30"/>
      <c r="D1151" s="30"/>
      <c r="E1151" s="30"/>
      <c r="F1151" s="31"/>
      <c r="G1151" s="31"/>
      <c r="H1151" s="31"/>
      <c r="I1151" s="31"/>
    </row>
    <row r="1152" spans="1:9" s="26" customFormat="1" x14ac:dyDescent="0.35">
      <c r="A1152" s="31"/>
      <c r="B1152" s="29"/>
      <c r="C1152" s="30"/>
      <c r="D1152" s="30"/>
      <c r="E1152" s="30"/>
      <c r="F1152" s="31"/>
      <c r="G1152" s="31"/>
      <c r="H1152" s="31"/>
      <c r="I1152" s="31"/>
    </row>
    <row r="1153" spans="1:9" s="26" customFormat="1" x14ac:dyDescent="0.35">
      <c r="A1153" s="31"/>
      <c r="B1153" s="29"/>
      <c r="C1153" s="30"/>
      <c r="D1153" s="30"/>
      <c r="E1153" s="30"/>
      <c r="F1153" s="31"/>
      <c r="G1153" s="31"/>
      <c r="H1153" s="31"/>
      <c r="I1153" s="31"/>
    </row>
    <row r="1154" spans="1:9" s="26" customFormat="1" x14ac:dyDescent="0.35">
      <c r="A1154" s="31"/>
      <c r="B1154" s="29"/>
      <c r="C1154" s="30"/>
      <c r="D1154" s="30"/>
      <c r="E1154" s="30"/>
      <c r="F1154" s="31"/>
      <c r="G1154" s="31"/>
      <c r="H1154" s="31"/>
      <c r="I1154" s="31"/>
    </row>
    <row r="1155" spans="1:9" s="26" customFormat="1" x14ac:dyDescent="0.35">
      <c r="A1155" s="31"/>
      <c r="B1155" s="29"/>
      <c r="C1155" s="30"/>
      <c r="D1155" s="30"/>
      <c r="E1155" s="30"/>
      <c r="F1155" s="31"/>
      <c r="G1155" s="31"/>
      <c r="H1155" s="31"/>
      <c r="I1155" s="31"/>
    </row>
    <row r="1156" spans="1:9" s="26" customFormat="1" x14ac:dyDescent="0.35">
      <c r="A1156" s="31"/>
      <c r="B1156" s="29"/>
      <c r="C1156" s="30"/>
      <c r="D1156" s="30"/>
      <c r="E1156" s="30"/>
      <c r="F1156" s="31"/>
      <c r="G1156" s="31"/>
      <c r="H1156" s="31"/>
      <c r="I1156" s="31"/>
    </row>
    <row r="1157" spans="1:9" s="26" customFormat="1" x14ac:dyDescent="0.35">
      <c r="A1157" s="31"/>
      <c r="B1157" s="29"/>
      <c r="C1157" s="30"/>
      <c r="D1157" s="30"/>
      <c r="E1157" s="30"/>
      <c r="F1157" s="31"/>
      <c r="G1157" s="31"/>
      <c r="H1157" s="31"/>
      <c r="I1157" s="31"/>
    </row>
    <row r="1158" spans="1:9" s="26" customFormat="1" x14ac:dyDescent="0.35">
      <c r="A1158" s="31"/>
      <c r="B1158" s="29"/>
      <c r="C1158" s="30"/>
      <c r="D1158" s="30"/>
      <c r="E1158" s="30"/>
      <c r="F1158" s="31"/>
      <c r="G1158" s="31"/>
      <c r="H1158" s="31"/>
      <c r="I1158" s="31"/>
    </row>
    <row r="1159" spans="1:9" s="26" customFormat="1" x14ac:dyDescent="0.35">
      <c r="A1159" s="31"/>
      <c r="B1159" s="29"/>
      <c r="C1159" s="30"/>
      <c r="D1159" s="30"/>
      <c r="E1159" s="30"/>
      <c r="F1159" s="31"/>
      <c r="G1159" s="31"/>
      <c r="H1159" s="31"/>
      <c r="I1159" s="31"/>
    </row>
    <row r="1160" spans="1:9" s="26" customFormat="1" x14ac:dyDescent="0.35">
      <c r="A1160" s="31"/>
      <c r="B1160" s="29"/>
      <c r="C1160" s="30"/>
      <c r="D1160" s="30"/>
      <c r="E1160" s="30"/>
      <c r="F1160" s="31"/>
      <c r="G1160" s="31"/>
      <c r="H1160" s="31"/>
      <c r="I1160" s="31"/>
    </row>
    <row r="1161" spans="1:9" s="26" customFormat="1" x14ac:dyDescent="0.35">
      <c r="A1161" s="31"/>
      <c r="B1161" s="29"/>
      <c r="C1161" s="30"/>
      <c r="D1161" s="30"/>
      <c r="E1161" s="30"/>
      <c r="F1161" s="31"/>
      <c r="G1161" s="31"/>
      <c r="H1161" s="31"/>
      <c r="I1161" s="31"/>
    </row>
    <row r="1162" spans="1:9" s="26" customFormat="1" x14ac:dyDescent="0.35">
      <c r="A1162" s="31"/>
      <c r="B1162" s="29"/>
      <c r="C1162" s="30"/>
      <c r="D1162" s="30"/>
      <c r="E1162" s="30"/>
      <c r="F1162" s="31"/>
      <c r="G1162" s="31"/>
      <c r="H1162" s="31"/>
      <c r="I1162" s="31"/>
    </row>
    <row r="1163" spans="1:9" s="26" customFormat="1" x14ac:dyDescent="0.35">
      <c r="A1163" s="31"/>
      <c r="B1163" s="29"/>
      <c r="C1163" s="30"/>
      <c r="D1163" s="30"/>
      <c r="E1163" s="30"/>
      <c r="F1163" s="31"/>
      <c r="G1163" s="31"/>
      <c r="H1163" s="31"/>
      <c r="I1163" s="31"/>
    </row>
    <row r="1164" spans="1:9" s="26" customFormat="1" x14ac:dyDescent="0.35">
      <c r="A1164" s="31"/>
      <c r="B1164" s="29"/>
      <c r="C1164" s="30"/>
      <c r="D1164" s="30"/>
      <c r="E1164" s="30"/>
      <c r="F1164" s="31"/>
      <c r="G1164" s="31"/>
      <c r="H1164" s="31"/>
      <c r="I1164" s="31"/>
    </row>
    <row r="1165" spans="1:9" s="26" customFormat="1" x14ac:dyDescent="0.35">
      <c r="A1165" s="31"/>
      <c r="B1165" s="29"/>
      <c r="C1165" s="30"/>
      <c r="D1165" s="30"/>
      <c r="E1165" s="30"/>
      <c r="F1165" s="31"/>
      <c r="G1165" s="31"/>
      <c r="H1165" s="31"/>
      <c r="I1165" s="31"/>
    </row>
    <row r="1166" spans="1:9" s="26" customFormat="1" x14ac:dyDescent="0.35">
      <c r="A1166" s="31"/>
      <c r="B1166" s="29"/>
      <c r="C1166" s="30"/>
      <c r="D1166" s="30"/>
      <c r="E1166" s="30"/>
      <c r="F1166" s="31"/>
      <c r="G1166" s="31"/>
      <c r="H1166" s="31"/>
      <c r="I1166" s="31"/>
    </row>
    <row r="1167" spans="1:9" s="26" customFormat="1" x14ac:dyDescent="0.35">
      <c r="A1167" s="31"/>
      <c r="B1167" s="29"/>
      <c r="C1167" s="30"/>
      <c r="D1167" s="30"/>
      <c r="E1167" s="30"/>
      <c r="F1167" s="31"/>
      <c r="G1167" s="31"/>
      <c r="H1167" s="31"/>
      <c r="I1167" s="31"/>
    </row>
    <row r="1168" spans="1:9" s="26" customFormat="1" x14ac:dyDescent="0.35">
      <c r="A1168" s="31"/>
      <c r="B1168" s="29"/>
      <c r="C1168" s="30"/>
      <c r="D1168" s="30"/>
      <c r="E1168" s="30"/>
      <c r="F1168" s="31"/>
      <c r="G1168" s="31"/>
      <c r="H1168" s="31"/>
      <c r="I1168" s="31"/>
    </row>
    <row r="1169" spans="1:9" s="26" customFormat="1" x14ac:dyDescent="0.35">
      <c r="A1169" s="31"/>
      <c r="B1169" s="29"/>
      <c r="C1169" s="30"/>
      <c r="D1169" s="30"/>
      <c r="E1169" s="30"/>
      <c r="F1169" s="31"/>
      <c r="G1169" s="31"/>
      <c r="H1169" s="31"/>
      <c r="I1169" s="31"/>
    </row>
    <row r="1170" spans="1:9" s="26" customFormat="1" x14ac:dyDescent="0.35">
      <c r="A1170" s="31"/>
      <c r="B1170" s="29"/>
      <c r="C1170" s="30"/>
      <c r="D1170" s="30"/>
      <c r="E1170" s="30"/>
      <c r="F1170" s="31"/>
      <c r="G1170" s="31"/>
      <c r="H1170" s="31"/>
      <c r="I1170" s="31"/>
    </row>
    <row r="1171" spans="1:9" s="26" customFormat="1" x14ac:dyDescent="0.35">
      <c r="A1171" s="31"/>
      <c r="B1171" s="29"/>
      <c r="C1171" s="30"/>
      <c r="D1171" s="30"/>
      <c r="E1171" s="30"/>
      <c r="F1171" s="31"/>
      <c r="G1171" s="31"/>
      <c r="H1171" s="31"/>
      <c r="I1171" s="31"/>
    </row>
    <row r="1172" spans="1:9" s="26" customFormat="1" x14ac:dyDescent="0.35">
      <c r="A1172" s="31"/>
      <c r="B1172" s="29"/>
      <c r="C1172" s="30"/>
      <c r="D1172" s="30"/>
      <c r="E1172" s="30"/>
      <c r="F1172" s="31"/>
      <c r="G1172" s="31"/>
      <c r="H1172" s="31"/>
      <c r="I1172" s="31"/>
    </row>
    <row r="1173" spans="1:9" s="26" customFormat="1" x14ac:dyDescent="0.35">
      <c r="A1173" s="31"/>
      <c r="B1173" s="29"/>
      <c r="C1173" s="30"/>
      <c r="D1173" s="30"/>
      <c r="E1173" s="30"/>
      <c r="F1173" s="31"/>
      <c r="G1173" s="31"/>
      <c r="H1173" s="31"/>
      <c r="I1173" s="31"/>
    </row>
    <row r="1174" spans="1:9" s="26" customFormat="1" x14ac:dyDescent="0.35">
      <c r="A1174" s="31"/>
      <c r="B1174" s="29"/>
      <c r="C1174" s="30"/>
      <c r="D1174" s="30"/>
      <c r="E1174" s="30"/>
      <c r="F1174" s="31"/>
      <c r="G1174" s="31"/>
      <c r="H1174" s="31"/>
      <c r="I1174" s="31"/>
    </row>
    <row r="1175" spans="1:9" s="26" customFormat="1" x14ac:dyDescent="0.35">
      <c r="A1175" s="31"/>
      <c r="B1175" s="29"/>
      <c r="C1175" s="30"/>
      <c r="D1175" s="30"/>
      <c r="E1175" s="30"/>
      <c r="F1175" s="31"/>
      <c r="G1175" s="31"/>
      <c r="H1175" s="31"/>
      <c r="I1175" s="31"/>
    </row>
    <row r="1176" spans="1:9" s="26" customFormat="1" x14ac:dyDescent="0.35">
      <c r="A1176" s="31"/>
      <c r="B1176" s="29"/>
      <c r="C1176" s="30"/>
      <c r="D1176" s="30"/>
      <c r="E1176" s="30"/>
      <c r="F1176" s="31"/>
      <c r="G1176" s="31"/>
      <c r="H1176" s="31"/>
      <c r="I1176" s="31"/>
    </row>
    <row r="1177" spans="1:9" s="26" customFormat="1" x14ac:dyDescent="0.35">
      <c r="A1177" s="31"/>
      <c r="B1177" s="29"/>
      <c r="C1177" s="30"/>
      <c r="D1177" s="30"/>
      <c r="E1177" s="30"/>
      <c r="F1177" s="31"/>
      <c r="G1177" s="31"/>
      <c r="H1177" s="31"/>
      <c r="I1177" s="31"/>
    </row>
    <row r="1178" spans="1:9" s="26" customFormat="1" x14ac:dyDescent="0.35">
      <c r="A1178" s="31"/>
      <c r="B1178" s="29"/>
      <c r="C1178" s="30"/>
      <c r="D1178" s="30"/>
      <c r="E1178" s="30"/>
      <c r="F1178" s="31"/>
      <c r="G1178" s="31"/>
      <c r="H1178" s="31"/>
      <c r="I1178" s="31"/>
    </row>
    <row r="1179" spans="1:9" s="26" customFormat="1" x14ac:dyDescent="0.35">
      <c r="A1179" s="31"/>
      <c r="B1179" s="29"/>
      <c r="C1179" s="30"/>
      <c r="D1179" s="30"/>
      <c r="E1179" s="30"/>
      <c r="F1179" s="31"/>
      <c r="G1179" s="31"/>
      <c r="H1179" s="31"/>
      <c r="I1179" s="31"/>
    </row>
    <row r="1180" spans="1:9" s="26" customFormat="1" x14ac:dyDescent="0.35">
      <c r="A1180" s="31"/>
      <c r="B1180" s="29"/>
      <c r="C1180" s="30"/>
      <c r="D1180" s="30"/>
      <c r="E1180" s="30"/>
      <c r="F1180" s="31"/>
      <c r="G1180" s="31"/>
      <c r="H1180" s="31"/>
      <c r="I1180" s="31"/>
    </row>
    <row r="1181" spans="1:9" s="26" customFormat="1" x14ac:dyDescent="0.35">
      <c r="A1181" s="31"/>
      <c r="B1181" s="29"/>
      <c r="C1181" s="30"/>
      <c r="D1181" s="30"/>
      <c r="E1181" s="30"/>
      <c r="F1181" s="31"/>
      <c r="G1181" s="31"/>
      <c r="H1181" s="31"/>
      <c r="I1181" s="31"/>
    </row>
    <row r="1182" spans="1:9" s="26" customFormat="1" x14ac:dyDescent="0.35">
      <c r="A1182" s="31"/>
      <c r="B1182" s="29"/>
      <c r="C1182" s="30"/>
      <c r="D1182" s="30"/>
      <c r="E1182" s="30"/>
      <c r="F1182" s="31"/>
      <c r="G1182" s="31"/>
      <c r="H1182" s="31"/>
      <c r="I1182" s="31"/>
    </row>
    <row r="1183" spans="1:9" s="26" customFormat="1" x14ac:dyDescent="0.35">
      <c r="A1183" s="31"/>
      <c r="B1183" s="29"/>
      <c r="C1183" s="30"/>
      <c r="D1183" s="30"/>
      <c r="E1183" s="30"/>
      <c r="F1183" s="31"/>
      <c r="G1183" s="31"/>
      <c r="H1183" s="31"/>
      <c r="I1183" s="31"/>
    </row>
    <row r="1184" spans="1:9" s="26" customFormat="1" x14ac:dyDescent="0.35">
      <c r="A1184" s="31"/>
      <c r="B1184" s="29"/>
      <c r="C1184" s="30"/>
      <c r="D1184" s="30"/>
      <c r="E1184" s="30"/>
      <c r="F1184" s="31"/>
      <c r="G1184" s="31"/>
      <c r="H1184" s="31"/>
      <c r="I1184" s="31"/>
    </row>
    <row r="1185" spans="1:9" s="26" customFormat="1" x14ac:dyDescent="0.35">
      <c r="A1185" s="31"/>
      <c r="B1185" s="29"/>
      <c r="C1185" s="30"/>
      <c r="D1185" s="30"/>
      <c r="E1185" s="30"/>
      <c r="F1185" s="31"/>
      <c r="G1185" s="31"/>
      <c r="H1185" s="31"/>
      <c r="I1185" s="31"/>
    </row>
    <row r="1186" spans="1:9" s="26" customFormat="1" x14ac:dyDescent="0.35">
      <c r="A1186" s="31"/>
      <c r="B1186" s="29"/>
      <c r="C1186" s="30"/>
      <c r="D1186" s="30"/>
      <c r="E1186" s="30"/>
      <c r="F1186" s="31"/>
      <c r="G1186" s="31"/>
      <c r="H1186" s="31"/>
      <c r="I1186" s="31"/>
    </row>
    <row r="1187" spans="1:9" s="26" customFormat="1" x14ac:dyDescent="0.35">
      <c r="A1187" s="31"/>
      <c r="B1187" s="29"/>
      <c r="C1187" s="30"/>
      <c r="D1187" s="30"/>
      <c r="E1187" s="30"/>
      <c r="F1187" s="31"/>
      <c r="G1187" s="31"/>
      <c r="H1187" s="31"/>
      <c r="I1187" s="31"/>
    </row>
    <row r="1188" spans="1:9" s="26" customFormat="1" x14ac:dyDescent="0.35">
      <c r="A1188" s="31"/>
      <c r="B1188" s="29"/>
      <c r="C1188" s="30"/>
      <c r="D1188" s="30"/>
      <c r="E1188" s="30"/>
      <c r="F1188" s="31"/>
      <c r="G1188" s="31"/>
      <c r="H1188" s="31"/>
      <c r="I1188" s="31"/>
    </row>
    <row r="1189" spans="1:9" s="26" customFormat="1" x14ac:dyDescent="0.35">
      <c r="A1189" s="31"/>
      <c r="B1189" s="29"/>
      <c r="C1189" s="30"/>
      <c r="D1189" s="30"/>
      <c r="E1189" s="30"/>
      <c r="F1189" s="31"/>
      <c r="G1189" s="31"/>
      <c r="H1189" s="31"/>
      <c r="I1189" s="31"/>
    </row>
    <row r="1190" spans="1:9" s="26" customFormat="1" x14ac:dyDescent="0.35">
      <c r="A1190" s="31"/>
      <c r="B1190" s="29"/>
      <c r="C1190" s="30"/>
      <c r="D1190" s="30"/>
      <c r="E1190" s="30"/>
      <c r="F1190" s="31"/>
      <c r="G1190" s="31"/>
      <c r="H1190" s="31"/>
      <c r="I1190" s="31"/>
    </row>
    <row r="1191" spans="1:9" s="26" customFormat="1" x14ac:dyDescent="0.35">
      <c r="A1191" s="31"/>
      <c r="B1191" s="29"/>
      <c r="C1191" s="30"/>
      <c r="D1191" s="30"/>
      <c r="E1191" s="30"/>
      <c r="F1191" s="31"/>
      <c r="G1191" s="31"/>
      <c r="H1191" s="31"/>
      <c r="I1191" s="31"/>
    </row>
    <row r="1192" spans="1:9" s="26" customFormat="1" x14ac:dyDescent="0.35">
      <c r="A1192" s="31"/>
      <c r="B1192" s="29"/>
      <c r="C1192" s="30"/>
      <c r="D1192" s="30"/>
      <c r="E1192" s="30"/>
      <c r="F1192" s="31"/>
      <c r="G1192" s="31"/>
      <c r="H1192" s="31"/>
      <c r="I1192" s="31"/>
    </row>
    <row r="1193" spans="1:9" s="26" customFormat="1" x14ac:dyDescent="0.35">
      <c r="A1193" s="31"/>
      <c r="B1193" s="29"/>
      <c r="C1193" s="30"/>
      <c r="D1193" s="30"/>
      <c r="E1193" s="30"/>
      <c r="F1193" s="31"/>
      <c r="G1193" s="31"/>
      <c r="H1193" s="31"/>
      <c r="I1193" s="31"/>
    </row>
    <row r="1194" spans="1:9" s="26" customFormat="1" x14ac:dyDescent="0.35">
      <c r="A1194" s="31"/>
      <c r="B1194" s="29"/>
      <c r="C1194" s="30"/>
      <c r="D1194" s="30"/>
      <c r="E1194" s="30"/>
      <c r="F1194" s="31"/>
      <c r="G1194" s="31"/>
      <c r="H1194" s="31"/>
      <c r="I1194" s="31"/>
    </row>
    <row r="1195" spans="1:9" s="26" customFormat="1" x14ac:dyDescent="0.35">
      <c r="A1195" s="31"/>
      <c r="B1195" s="29"/>
      <c r="C1195" s="30"/>
      <c r="D1195" s="30"/>
      <c r="E1195" s="30"/>
      <c r="F1195" s="31"/>
      <c r="G1195" s="31"/>
      <c r="H1195" s="31"/>
      <c r="I1195" s="31"/>
    </row>
    <row r="1196" spans="1:9" s="26" customFormat="1" x14ac:dyDescent="0.35">
      <c r="A1196" s="31"/>
      <c r="B1196" s="29"/>
      <c r="C1196" s="30"/>
      <c r="D1196" s="30"/>
      <c r="E1196" s="30"/>
      <c r="F1196" s="31"/>
      <c r="G1196" s="31"/>
      <c r="H1196" s="31"/>
      <c r="I1196" s="31"/>
    </row>
    <row r="1197" spans="1:9" s="26" customFormat="1" x14ac:dyDescent="0.35">
      <c r="A1197" s="31"/>
      <c r="B1197" s="29"/>
      <c r="C1197" s="30"/>
      <c r="D1197" s="30"/>
      <c r="E1197" s="30"/>
      <c r="F1197" s="31"/>
      <c r="G1197" s="31"/>
      <c r="H1197" s="31"/>
      <c r="I1197" s="31"/>
    </row>
    <row r="1198" spans="1:9" s="26" customFormat="1" x14ac:dyDescent="0.35">
      <c r="A1198" s="31"/>
      <c r="B1198" s="29"/>
      <c r="C1198" s="30"/>
      <c r="D1198" s="30"/>
      <c r="E1198" s="30"/>
      <c r="F1198" s="31"/>
      <c r="G1198" s="31"/>
      <c r="H1198" s="31"/>
      <c r="I1198" s="31"/>
    </row>
    <row r="1199" spans="1:9" s="26" customFormat="1" x14ac:dyDescent="0.35">
      <c r="A1199" s="31"/>
      <c r="B1199" s="29"/>
      <c r="C1199" s="30"/>
      <c r="D1199" s="30"/>
      <c r="E1199" s="30"/>
      <c r="F1199" s="31"/>
      <c r="G1199" s="31"/>
      <c r="H1199" s="31"/>
      <c r="I1199" s="31"/>
    </row>
    <row r="1200" spans="1:9" s="26" customFormat="1" x14ac:dyDescent="0.35">
      <c r="A1200" s="31"/>
      <c r="B1200" s="29"/>
      <c r="C1200" s="30"/>
      <c r="D1200" s="30"/>
      <c r="E1200" s="30"/>
      <c r="F1200" s="31"/>
      <c r="G1200" s="31"/>
      <c r="H1200" s="31"/>
      <c r="I1200" s="31"/>
    </row>
    <row r="1201" spans="1:9" s="26" customFormat="1" x14ac:dyDescent="0.35">
      <c r="A1201" s="31"/>
      <c r="B1201" s="29"/>
      <c r="C1201" s="30"/>
      <c r="D1201" s="30"/>
      <c r="E1201" s="30"/>
      <c r="F1201" s="31"/>
      <c r="G1201" s="31"/>
      <c r="H1201" s="31"/>
      <c r="I1201" s="31"/>
    </row>
    <row r="1202" spans="1:9" s="26" customFormat="1" x14ac:dyDescent="0.35">
      <c r="A1202" s="31"/>
      <c r="B1202" s="29"/>
      <c r="C1202" s="30"/>
      <c r="D1202" s="30"/>
      <c r="E1202" s="30"/>
      <c r="F1202" s="31"/>
      <c r="G1202" s="31"/>
      <c r="H1202" s="31"/>
      <c r="I1202" s="31"/>
    </row>
    <row r="1203" spans="1:9" s="26" customFormat="1" x14ac:dyDescent="0.35">
      <c r="A1203" s="31"/>
      <c r="B1203" s="29"/>
      <c r="C1203" s="30"/>
      <c r="D1203" s="30"/>
      <c r="E1203" s="30"/>
      <c r="F1203" s="31"/>
      <c r="G1203" s="31"/>
      <c r="H1203" s="31"/>
      <c r="I1203" s="31"/>
    </row>
    <row r="1204" spans="1:9" s="26" customFormat="1" x14ac:dyDescent="0.35">
      <c r="A1204" s="31"/>
      <c r="B1204" s="29"/>
      <c r="C1204" s="30"/>
      <c r="D1204" s="30"/>
      <c r="E1204" s="30"/>
      <c r="F1204" s="31"/>
      <c r="G1204" s="31"/>
      <c r="H1204" s="31"/>
      <c r="I1204" s="31"/>
    </row>
    <row r="1205" spans="1:9" s="26" customFormat="1" x14ac:dyDescent="0.35">
      <c r="A1205" s="31"/>
      <c r="B1205" s="29"/>
      <c r="C1205" s="30"/>
      <c r="D1205" s="30"/>
      <c r="E1205" s="30"/>
      <c r="F1205" s="31"/>
      <c r="G1205" s="31"/>
      <c r="H1205" s="31"/>
      <c r="I1205" s="31"/>
    </row>
    <row r="1206" spans="1:9" s="26" customFormat="1" x14ac:dyDescent="0.35">
      <c r="A1206" s="31"/>
      <c r="B1206" s="29"/>
      <c r="C1206" s="30"/>
      <c r="D1206" s="30"/>
      <c r="E1206" s="30"/>
      <c r="F1206" s="31"/>
      <c r="G1206" s="31"/>
      <c r="H1206" s="31"/>
      <c r="I1206" s="31"/>
    </row>
    <row r="1207" spans="1:9" s="26" customFormat="1" x14ac:dyDescent="0.35">
      <c r="A1207" s="31"/>
      <c r="B1207" s="29"/>
      <c r="C1207" s="30"/>
      <c r="D1207" s="30"/>
      <c r="E1207" s="30"/>
      <c r="F1207" s="31"/>
      <c r="G1207" s="31"/>
      <c r="H1207" s="31"/>
      <c r="I1207" s="31"/>
    </row>
    <row r="1208" spans="1:9" s="26" customFormat="1" x14ac:dyDescent="0.35">
      <c r="A1208" s="31"/>
      <c r="B1208" s="29"/>
      <c r="C1208" s="30"/>
      <c r="D1208" s="30"/>
      <c r="E1208" s="30"/>
      <c r="F1208" s="31"/>
      <c r="G1208" s="31"/>
      <c r="H1208" s="31"/>
      <c r="I1208" s="31"/>
    </row>
    <row r="1209" spans="1:9" s="26" customFormat="1" x14ac:dyDescent="0.35">
      <c r="A1209" s="31"/>
      <c r="B1209" s="29"/>
      <c r="C1209" s="30"/>
      <c r="D1209" s="30"/>
      <c r="E1209" s="30"/>
      <c r="F1209" s="31"/>
      <c r="G1209" s="31"/>
      <c r="H1209" s="31"/>
      <c r="I1209" s="31"/>
    </row>
    <row r="1210" spans="1:9" s="26" customFormat="1" x14ac:dyDescent="0.35">
      <c r="A1210" s="31"/>
      <c r="B1210" s="29"/>
      <c r="C1210" s="30"/>
      <c r="D1210" s="30"/>
      <c r="E1210" s="30"/>
      <c r="F1210" s="31"/>
      <c r="G1210" s="31"/>
      <c r="H1210" s="31"/>
      <c r="I1210" s="31"/>
    </row>
    <row r="1211" spans="1:9" s="26" customFormat="1" x14ac:dyDescent="0.35">
      <c r="A1211" s="31"/>
      <c r="B1211" s="29"/>
      <c r="C1211" s="30"/>
      <c r="D1211" s="30"/>
      <c r="E1211" s="30"/>
      <c r="F1211" s="31"/>
      <c r="G1211" s="31"/>
      <c r="H1211" s="31"/>
      <c r="I1211" s="31"/>
    </row>
    <row r="1212" spans="1:9" s="26" customFormat="1" x14ac:dyDescent="0.35">
      <c r="A1212" s="31"/>
      <c r="B1212" s="29"/>
      <c r="C1212" s="30"/>
      <c r="D1212" s="30"/>
      <c r="E1212" s="30"/>
      <c r="F1212" s="31"/>
      <c r="G1212" s="31"/>
      <c r="H1212" s="31"/>
      <c r="I1212" s="31"/>
    </row>
    <row r="1213" spans="1:9" s="26" customFormat="1" x14ac:dyDescent="0.35">
      <c r="A1213" s="31"/>
      <c r="B1213" s="29"/>
      <c r="C1213" s="30"/>
      <c r="D1213" s="30"/>
      <c r="E1213" s="30"/>
      <c r="F1213" s="31"/>
      <c r="G1213" s="31"/>
      <c r="H1213" s="31"/>
      <c r="I1213" s="31"/>
    </row>
    <row r="1214" spans="1:9" s="26" customFormat="1" x14ac:dyDescent="0.35">
      <c r="A1214" s="31"/>
      <c r="B1214" s="29"/>
      <c r="C1214" s="30"/>
      <c r="D1214" s="30"/>
      <c r="E1214" s="30"/>
      <c r="F1214" s="31"/>
      <c r="G1214" s="31"/>
      <c r="H1214" s="31"/>
      <c r="I1214" s="31"/>
    </row>
    <row r="1215" spans="1:9" s="26" customFormat="1" x14ac:dyDescent="0.35">
      <c r="A1215" s="31"/>
      <c r="B1215" s="29"/>
      <c r="C1215" s="30"/>
      <c r="D1215" s="30"/>
      <c r="E1215" s="30"/>
      <c r="F1215" s="31"/>
      <c r="G1215" s="31"/>
      <c r="H1215" s="31"/>
      <c r="I1215" s="31"/>
    </row>
    <row r="1216" spans="1:9" s="26" customFormat="1" x14ac:dyDescent="0.35">
      <c r="A1216" s="31"/>
      <c r="B1216" s="29"/>
      <c r="C1216" s="30"/>
      <c r="D1216" s="30"/>
      <c r="E1216" s="30"/>
      <c r="F1216" s="31"/>
      <c r="G1216" s="31"/>
      <c r="H1216" s="31"/>
      <c r="I1216" s="31"/>
    </row>
    <row r="1217" spans="1:9" s="26" customFormat="1" x14ac:dyDescent="0.35">
      <c r="A1217" s="31"/>
      <c r="B1217" s="29"/>
      <c r="C1217" s="30"/>
      <c r="D1217" s="30"/>
      <c r="E1217" s="30"/>
      <c r="F1217" s="31"/>
      <c r="G1217" s="31"/>
      <c r="H1217" s="31"/>
      <c r="I1217" s="31"/>
    </row>
    <row r="1218" spans="1:9" s="26" customFormat="1" x14ac:dyDescent="0.35">
      <c r="A1218" s="31"/>
      <c r="B1218" s="29"/>
      <c r="C1218" s="30"/>
      <c r="D1218" s="30"/>
      <c r="E1218" s="30"/>
      <c r="F1218" s="31"/>
      <c r="G1218" s="31"/>
      <c r="H1218" s="31"/>
      <c r="I1218" s="31"/>
    </row>
    <row r="1219" spans="1:9" s="26" customFormat="1" x14ac:dyDescent="0.35">
      <c r="A1219" s="31"/>
      <c r="B1219" s="29"/>
      <c r="C1219" s="30"/>
      <c r="D1219" s="30"/>
      <c r="E1219" s="30"/>
      <c r="F1219" s="31"/>
      <c r="G1219" s="31"/>
      <c r="H1219" s="31"/>
      <c r="I1219" s="31"/>
    </row>
    <row r="1220" spans="1:9" s="26" customFormat="1" x14ac:dyDescent="0.35">
      <c r="A1220" s="31"/>
      <c r="B1220" s="29"/>
      <c r="C1220" s="30"/>
      <c r="D1220" s="30"/>
      <c r="E1220" s="30"/>
      <c r="F1220" s="31"/>
      <c r="G1220" s="31"/>
      <c r="H1220" s="31"/>
      <c r="I1220" s="31"/>
    </row>
    <row r="1221" spans="1:9" s="26" customFormat="1" x14ac:dyDescent="0.35">
      <c r="A1221" s="31"/>
      <c r="B1221" s="29"/>
      <c r="C1221" s="30"/>
      <c r="D1221" s="30"/>
      <c r="E1221" s="30"/>
      <c r="F1221" s="31"/>
      <c r="G1221" s="31"/>
      <c r="H1221" s="31"/>
      <c r="I1221" s="31"/>
    </row>
    <row r="1222" spans="1:9" s="26" customFormat="1" x14ac:dyDescent="0.35">
      <c r="A1222" s="31"/>
      <c r="B1222" s="29"/>
      <c r="C1222" s="30"/>
      <c r="D1222" s="30"/>
      <c r="E1222" s="30"/>
      <c r="F1222" s="31"/>
      <c r="G1222" s="31"/>
      <c r="H1222" s="31"/>
      <c r="I1222" s="31"/>
    </row>
    <row r="1223" spans="1:9" s="26" customFormat="1" x14ac:dyDescent="0.35">
      <c r="A1223" s="31"/>
      <c r="B1223" s="29"/>
      <c r="C1223" s="30"/>
      <c r="D1223" s="30"/>
      <c r="E1223" s="30"/>
      <c r="F1223" s="31"/>
      <c r="G1223" s="31"/>
      <c r="H1223" s="31"/>
      <c r="I1223" s="31"/>
    </row>
    <row r="1224" spans="1:9" s="26" customFormat="1" x14ac:dyDescent="0.35">
      <c r="A1224" s="31"/>
      <c r="B1224" s="29"/>
      <c r="C1224" s="30"/>
      <c r="D1224" s="30"/>
      <c r="E1224" s="30"/>
      <c r="F1224" s="31"/>
      <c r="G1224" s="31"/>
      <c r="H1224" s="31"/>
      <c r="I1224" s="31"/>
    </row>
    <row r="1225" spans="1:9" s="26" customFormat="1" x14ac:dyDescent="0.35">
      <c r="A1225" s="31"/>
      <c r="B1225" s="29"/>
      <c r="C1225" s="30"/>
      <c r="D1225" s="30"/>
      <c r="E1225" s="30"/>
      <c r="F1225" s="31"/>
      <c r="G1225" s="31"/>
      <c r="H1225" s="31"/>
      <c r="I1225" s="31"/>
    </row>
    <row r="1226" spans="1:9" s="26" customFormat="1" x14ac:dyDescent="0.35">
      <c r="A1226" s="31"/>
      <c r="B1226" s="29"/>
      <c r="C1226" s="30"/>
      <c r="D1226" s="30"/>
      <c r="E1226" s="30"/>
      <c r="F1226" s="31"/>
      <c r="G1226" s="31"/>
      <c r="H1226" s="31"/>
      <c r="I1226" s="31"/>
    </row>
    <row r="1227" spans="1:9" s="26" customFormat="1" x14ac:dyDescent="0.35">
      <c r="A1227" s="31"/>
      <c r="B1227" s="29"/>
      <c r="C1227" s="30"/>
      <c r="D1227" s="30"/>
      <c r="E1227" s="30"/>
      <c r="F1227" s="31"/>
      <c r="G1227" s="31"/>
      <c r="H1227" s="31"/>
      <c r="I1227" s="31"/>
    </row>
    <row r="1228" spans="1:9" s="26" customFormat="1" x14ac:dyDescent="0.35">
      <c r="A1228" s="31"/>
      <c r="B1228" s="29"/>
      <c r="C1228" s="30"/>
      <c r="D1228" s="30"/>
      <c r="E1228" s="30"/>
      <c r="F1228" s="31"/>
      <c r="G1228" s="31"/>
      <c r="H1228" s="31"/>
      <c r="I1228" s="31"/>
    </row>
    <row r="1229" spans="1:9" s="26" customFormat="1" x14ac:dyDescent="0.35">
      <c r="A1229" s="31"/>
      <c r="B1229" s="29"/>
      <c r="C1229" s="30"/>
      <c r="D1229" s="30"/>
      <c r="E1229" s="30"/>
      <c r="F1229" s="31"/>
      <c r="G1229" s="31"/>
      <c r="H1229" s="31"/>
      <c r="I1229" s="31"/>
    </row>
    <row r="1230" spans="1:9" s="26" customFormat="1" x14ac:dyDescent="0.35">
      <c r="A1230" s="31"/>
      <c r="B1230" s="29"/>
      <c r="C1230" s="30"/>
      <c r="D1230" s="30"/>
      <c r="E1230" s="30"/>
      <c r="F1230" s="31"/>
      <c r="G1230" s="31"/>
      <c r="H1230" s="31"/>
      <c r="I1230" s="31"/>
    </row>
    <row r="1231" spans="1:9" s="26" customFormat="1" x14ac:dyDescent="0.35">
      <c r="A1231" s="31"/>
      <c r="B1231" s="29"/>
      <c r="C1231" s="30"/>
      <c r="D1231" s="30"/>
      <c r="E1231" s="30"/>
      <c r="F1231" s="31"/>
      <c r="G1231" s="31"/>
      <c r="H1231" s="31"/>
      <c r="I1231" s="31"/>
    </row>
    <row r="1232" spans="1:9" s="26" customFormat="1" x14ac:dyDescent="0.35">
      <c r="A1232" s="31"/>
      <c r="B1232" s="29"/>
      <c r="C1232" s="30"/>
      <c r="D1232" s="30"/>
      <c r="E1232" s="30"/>
      <c r="F1232" s="31"/>
      <c r="G1232" s="31"/>
      <c r="H1232" s="31"/>
      <c r="I1232" s="31"/>
    </row>
    <row r="1233" spans="1:9" s="26" customFormat="1" x14ac:dyDescent="0.35">
      <c r="A1233" s="31"/>
      <c r="B1233" s="29"/>
      <c r="C1233" s="30"/>
      <c r="D1233" s="30"/>
      <c r="E1233" s="30"/>
      <c r="F1233" s="31"/>
      <c r="G1233" s="31"/>
      <c r="H1233" s="31"/>
      <c r="I1233" s="31"/>
    </row>
    <row r="1234" spans="1:9" s="26" customFormat="1" x14ac:dyDescent="0.35">
      <c r="A1234" s="31"/>
      <c r="B1234" s="29"/>
      <c r="C1234" s="30"/>
      <c r="D1234" s="30"/>
      <c r="E1234" s="30"/>
      <c r="F1234" s="31"/>
      <c r="G1234" s="31"/>
      <c r="H1234" s="31"/>
      <c r="I1234" s="31"/>
    </row>
    <row r="1235" spans="1:9" s="26" customFormat="1" x14ac:dyDescent="0.35">
      <c r="A1235" s="31"/>
      <c r="B1235" s="29"/>
      <c r="C1235" s="30"/>
      <c r="D1235" s="30"/>
      <c r="E1235" s="30"/>
      <c r="F1235" s="31"/>
      <c r="G1235" s="31"/>
      <c r="H1235" s="31"/>
      <c r="I1235" s="31"/>
    </row>
    <row r="1236" spans="1:9" s="26" customFormat="1" x14ac:dyDescent="0.35">
      <c r="A1236" s="31"/>
      <c r="B1236" s="29"/>
      <c r="C1236" s="30"/>
      <c r="D1236" s="30"/>
      <c r="E1236" s="30"/>
      <c r="F1236" s="31"/>
      <c r="G1236" s="31"/>
      <c r="H1236" s="31"/>
      <c r="I1236" s="31"/>
    </row>
    <row r="1237" spans="1:9" s="26" customFormat="1" x14ac:dyDescent="0.35">
      <c r="A1237" s="31"/>
      <c r="B1237" s="29"/>
      <c r="C1237" s="30"/>
      <c r="D1237" s="30"/>
      <c r="E1237" s="30"/>
      <c r="F1237" s="31"/>
      <c r="G1237" s="31"/>
      <c r="H1237" s="31"/>
      <c r="I1237" s="31"/>
    </row>
    <row r="1238" spans="1:9" s="26" customFormat="1" x14ac:dyDescent="0.35">
      <c r="A1238" s="31"/>
      <c r="B1238" s="29"/>
      <c r="C1238" s="30"/>
      <c r="D1238" s="30"/>
      <c r="E1238" s="30"/>
      <c r="F1238" s="31"/>
      <c r="G1238" s="31"/>
      <c r="H1238" s="31"/>
      <c r="I1238" s="31"/>
    </row>
    <row r="1239" spans="1:9" s="26" customFormat="1" x14ac:dyDescent="0.35">
      <c r="A1239" s="31"/>
      <c r="B1239" s="29"/>
      <c r="C1239" s="30"/>
      <c r="D1239" s="30"/>
      <c r="E1239" s="30"/>
      <c r="F1239" s="31"/>
      <c r="G1239" s="31"/>
      <c r="H1239" s="31"/>
      <c r="I1239" s="31"/>
    </row>
    <row r="1240" spans="1:9" s="26" customFormat="1" x14ac:dyDescent="0.35">
      <c r="A1240" s="31"/>
      <c r="B1240" s="29"/>
      <c r="C1240" s="30"/>
      <c r="D1240" s="30"/>
      <c r="E1240" s="30"/>
      <c r="F1240" s="31"/>
      <c r="G1240" s="31"/>
      <c r="H1240" s="31"/>
      <c r="I1240" s="31"/>
    </row>
    <row r="1241" spans="1:9" s="26" customFormat="1" x14ac:dyDescent="0.35">
      <c r="A1241" s="31"/>
      <c r="B1241" s="29"/>
      <c r="C1241" s="30"/>
      <c r="D1241" s="30"/>
      <c r="E1241" s="30"/>
      <c r="F1241" s="31"/>
      <c r="G1241" s="31"/>
      <c r="H1241" s="31"/>
      <c r="I1241" s="31"/>
    </row>
    <row r="1242" spans="1:9" s="26" customFormat="1" x14ac:dyDescent="0.35">
      <c r="A1242" s="31"/>
      <c r="B1242" s="29"/>
      <c r="C1242" s="30"/>
      <c r="D1242" s="30"/>
      <c r="E1242" s="30"/>
      <c r="F1242" s="31"/>
      <c r="G1242" s="31"/>
      <c r="H1242" s="31"/>
      <c r="I1242" s="31"/>
    </row>
    <row r="1243" spans="1:9" s="26" customFormat="1" x14ac:dyDescent="0.35">
      <c r="A1243" s="31"/>
      <c r="B1243" s="29"/>
      <c r="C1243" s="30"/>
      <c r="D1243" s="30"/>
      <c r="E1243" s="30"/>
      <c r="F1243" s="31"/>
      <c r="G1243" s="31"/>
      <c r="H1243" s="31"/>
      <c r="I1243" s="31"/>
    </row>
    <row r="1244" spans="1:9" s="26" customFormat="1" x14ac:dyDescent="0.35">
      <c r="A1244" s="31"/>
      <c r="B1244" s="29"/>
      <c r="C1244" s="30"/>
      <c r="D1244" s="30"/>
      <c r="E1244" s="30"/>
      <c r="F1244" s="31"/>
      <c r="G1244" s="31"/>
      <c r="H1244" s="31"/>
      <c r="I1244" s="31"/>
    </row>
    <row r="1245" spans="1:9" s="26" customFormat="1" x14ac:dyDescent="0.35">
      <c r="A1245" s="31"/>
      <c r="B1245" s="29"/>
      <c r="C1245" s="30"/>
      <c r="D1245" s="30"/>
      <c r="E1245" s="30"/>
      <c r="F1245" s="31"/>
      <c r="G1245" s="31"/>
      <c r="H1245" s="31"/>
      <c r="I1245" s="31"/>
    </row>
    <row r="1246" spans="1:9" s="26" customFormat="1" x14ac:dyDescent="0.35">
      <c r="A1246" s="31"/>
      <c r="B1246" s="29"/>
      <c r="C1246" s="30"/>
      <c r="D1246" s="30"/>
      <c r="E1246" s="30"/>
      <c r="F1246" s="31"/>
      <c r="G1246" s="31"/>
      <c r="H1246" s="31"/>
      <c r="I1246" s="31"/>
    </row>
    <row r="1247" spans="1:9" s="26" customFormat="1" x14ac:dyDescent="0.35">
      <c r="A1247" s="31"/>
      <c r="B1247" s="29"/>
      <c r="C1247" s="30"/>
      <c r="D1247" s="30"/>
      <c r="E1247" s="30"/>
      <c r="F1247" s="31"/>
      <c r="G1247" s="31"/>
      <c r="H1247" s="31"/>
      <c r="I1247" s="31"/>
    </row>
    <row r="1248" spans="1:9" s="26" customFormat="1" x14ac:dyDescent="0.35">
      <c r="A1248" s="31"/>
      <c r="B1248" s="29"/>
      <c r="C1248" s="30"/>
      <c r="D1248" s="30"/>
      <c r="E1248" s="30"/>
      <c r="F1248" s="31"/>
      <c r="G1248" s="31"/>
      <c r="H1248" s="31"/>
      <c r="I1248" s="31"/>
    </row>
    <row r="1249" spans="1:9" s="26" customFormat="1" x14ac:dyDescent="0.35">
      <c r="A1249" s="31"/>
      <c r="B1249" s="29"/>
      <c r="C1249" s="30"/>
      <c r="D1249" s="30"/>
      <c r="E1249" s="30"/>
      <c r="F1249" s="31"/>
      <c r="G1249" s="31"/>
      <c r="H1249" s="31"/>
      <c r="I1249" s="31"/>
    </row>
    <row r="1250" spans="1:9" s="26" customFormat="1" x14ac:dyDescent="0.35">
      <c r="A1250" s="31"/>
      <c r="B1250" s="29"/>
      <c r="C1250" s="30"/>
      <c r="D1250" s="30"/>
      <c r="E1250" s="30"/>
      <c r="F1250" s="31"/>
      <c r="G1250" s="31"/>
      <c r="H1250" s="31"/>
      <c r="I1250" s="31"/>
    </row>
    <row r="1251" spans="1:9" s="26" customFormat="1" x14ac:dyDescent="0.35">
      <c r="A1251" s="31"/>
      <c r="B1251" s="29"/>
      <c r="C1251" s="30"/>
      <c r="D1251" s="30"/>
      <c r="E1251" s="30"/>
      <c r="F1251" s="31"/>
      <c r="G1251" s="31"/>
      <c r="H1251" s="31"/>
      <c r="I1251" s="31"/>
    </row>
    <row r="1252" spans="1:9" s="26" customFormat="1" x14ac:dyDescent="0.35">
      <c r="A1252" s="31"/>
      <c r="B1252" s="29"/>
      <c r="C1252" s="30"/>
      <c r="D1252" s="30"/>
      <c r="E1252" s="30"/>
      <c r="F1252" s="31"/>
      <c r="G1252" s="31"/>
      <c r="H1252" s="31"/>
      <c r="I1252" s="31"/>
    </row>
    <row r="1253" spans="1:9" s="26" customFormat="1" x14ac:dyDescent="0.35">
      <c r="A1253" s="31"/>
      <c r="B1253" s="29"/>
      <c r="C1253" s="30"/>
      <c r="D1253" s="30"/>
      <c r="E1253" s="30"/>
      <c r="F1253" s="31"/>
      <c r="G1253" s="31"/>
      <c r="H1253" s="31"/>
      <c r="I1253" s="31"/>
    </row>
    <row r="1254" spans="1:9" s="26" customFormat="1" x14ac:dyDescent="0.35">
      <c r="A1254" s="31"/>
      <c r="B1254" s="29"/>
      <c r="C1254" s="30"/>
      <c r="D1254" s="30"/>
      <c r="E1254" s="30"/>
      <c r="F1254" s="31"/>
      <c r="G1254" s="31"/>
      <c r="H1254" s="31"/>
      <c r="I1254" s="31"/>
    </row>
    <row r="1255" spans="1:9" s="26" customFormat="1" x14ac:dyDescent="0.35">
      <c r="A1255" s="31"/>
      <c r="B1255" s="29"/>
      <c r="C1255" s="30"/>
      <c r="D1255" s="30"/>
      <c r="E1255" s="30"/>
      <c r="F1255" s="31"/>
      <c r="G1255" s="31"/>
      <c r="H1255" s="31"/>
      <c r="I1255" s="31"/>
    </row>
    <row r="1256" spans="1:9" s="26" customFormat="1" x14ac:dyDescent="0.35">
      <c r="A1256" s="31"/>
      <c r="B1256" s="29"/>
      <c r="C1256" s="30"/>
      <c r="D1256" s="30"/>
      <c r="E1256" s="30"/>
      <c r="F1256" s="31"/>
      <c r="G1256" s="31"/>
      <c r="H1256" s="31"/>
      <c r="I1256" s="31"/>
    </row>
    <row r="1257" spans="1:9" s="26" customFormat="1" x14ac:dyDescent="0.35">
      <c r="A1257" s="31"/>
      <c r="B1257" s="29"/>
      <c r="C1257" s="30"/>
      <c r="D1257" s="30"/>
      <c r="E1257" s="30"/>
      <c r="F1257" s="31"/>
      <c r="G1257" s="31"/>
      <c r="H1257" s="31"/>
      <c r="I1257" s="31"/>
    </row>
    <row r="1258" spans="1:9" s="26" customFormat="1" x14ac:dyDescent="0.35">
      <c r="A1258" s="31"/>
      <c r="B1258" s="29"/>
      <c r="C1258" s="30"/>
      <c r="D1258" s="30"/>
      <c r="E1258" s="30"/>
      <c r="F1258" s="31"/>
      <c r="G1258" s="31"/>
      <c r="H1258" s="31"/>
      <c r="I1258" s="31"/>
    </row>
    <row r="1259" spans="1:9" s="26" customFormat="1" x14ac:dyDescent="0.35">
      <c r="A1259" s="31"/>
      <c r="B1259" s="29"/>
      <c r="C1259" s="30"/>
      <c r="D1259" s="30"/>
      <c r="E1259" s="30"/>
      <c r="F1259" s="31"/>
      <c r="G1259" s="31"/>
      <c r="H1259" s="31"/>
      <c r="I1259" s="31"/>
    </row>
    <row r="1260" spans="1:9" s="26" customFormat="1" x14ac:dyDescent="0.35">
      <c r="A1260" s="31"/>
      <c r="B1260" s="29"/>
      <c r="C1260" s="30"/>
      <c r="D1260" s="30"/>
      <c r="E1260" s="30"/>
      <c r="F1260" s="31"/>
      <c r="G1260" s="31"/>
      <c r="H1260" s="31"/>
      <c r="I1260" s="31"/>
    </row>
    <row r="1261" spans="1:9" s="26" customFormat="1" x14ac:dyDescent="0.35">
      <c r="A1261" s="31"/>
      <c r="B1261" s="29"/>
      <c r="C1261" s="30"/>
      <c r="D1261" s="30"/>
      <c r="E1261" s="30"/>
      <c r="F1261" s="31"/>
      <c r="G1261" s="31"/>
      <c r="H1261" s="31"/>
      <c r="I1261" s="31"/>
    </row>
    <row r="1262" spans="1:9" s="26" customFormat="1" x14ac:dyDescent="0.35">
      <c r="A1262" s="31"/>
      <c r="B1262" s="29"/>
      <c r="C1262" s="30"/>
      <c r="D1262" s="30"/>
      <c r="E1262" s="30"/>
      <c r="F1262" s="31"/>
      <c r="G1262" s="31"/>
      <c r="H1262" s="31"/>
      <c r="I1262" s="31"/>
    </row>
    <row r="1263" spans="1:9" s="26" customFormat="1" x14ac:dyDescent="0.35">
      <c r="A1263" s="31"/>
      <c r="B1263" s="29"/>
      <c r="C1263" s="30"/>
      <c r="D1263" s="30"/>
      <c r="E1263" s="30"/>
      <c r="F1263" s="31"/>
      <c r="G1263" s="31"/>
      <c r="H1263" s="31"/>
      <c r="I1263" s="31"/>
    </row>
    <row r="1264" spans="1:9" s="26" customFormat="1" x14ac:dyDescent="0.35">
      <c r="A1264" s="31"/>
      <c r="B1264" s="29"/>
      <c r="C1264" s="30"/>
      <c r="D1264" s="30"/>
      <c r="E1264" s="30"/>
      <c r="F1264" s="31"/>
      <c r="G1264" s="31"/>
      <c r="H1264" s="31"/>
      <c r="I1264" s="31"/>
    </row>
    <row r="1265" spans="1:9" s="26" customFormat="1" x14ac:dyDescent="0.35">
      <c r="A1265" s="31"/>
      <c r="B1265" s="29"/>
      <c r="C1265" s="30"/>
      <c r="D1265" s="30"/>
      <c r="E1265" s="30"/>
      <c r="F1265" s="31"/>
      <c r="G1265" s="31"/>
      <c r="H1265" s="31"/>
      <c r="I1265" s="31"/>
    </row>
    <row r="1266" spans="1:9" s="26" customFormat="1" x14ac:dyDescent="0.35">
      <c r="A1266" s="31"/>
      <c r="B1266" s="29"/>
      <c r="C1266" s="30"/>
      <c r="D1266" s="30"/>
      <c r="E1266" s="30"/>
      <c r="F1266" s="31"/>
      <c r="G1266" s="31"/>
      <c r="H1266" s="31"/>
      <c r="I1266" s="31"/>
    </row>
    <row r="1267" spans="1:9" s="26" customFormat="1" x14ac:dyDescent="0.35">
      <c r="A1267" s="31"/>
      <c r="B1267" s="29"/>
      <c r="C1267" s="30"/>
      <c r="D1267" s="30"/>
      <c r="E1267" s="30"/>
      <c r="F1267" s="31"/>
      <c r="G1267" s="31"/>
      <c r="H1267" s="31"/>
      <c r="I1267" s="31"/>
    </row>
    <row r="1268" spans="1:9" s="26" customFormat="1" x14ac:dyDescent="0.35">
      <c r="A1268" s="31"/>
      <c r="B1268" s="29"/>
      <c r="C1268" s="30"/>
      <c r="D1268" s="30"/>
      <c r="E1268" s="30"/>
      <c r="F1268" s="31"/>
      <c r="G1268" s="31"/>
      <c r="H1268" s="31"/>
      <c r="I1268" s="31"/>
    </row>
    <row r="1269" spans="1:9" s="26" customFormat="1" x14ac:dyDescent="0.35">
      <c r="A1269" s="31"/>
      <c r="B1269" s="29"/>
      <c r="C1269" s="30"/>
      <c r="D1269" s="30"/>
      <c r="E1269" s="30"/>
      <c r="F1269" s="31"/>
      <c r="G1269" s="31"/>
      <c r="H1269" s="31"/>
      <c r="I1269" s="31"/>
    </row>
    <row r="1270" spans="1:9" s="26" customFormat="1" x14ac:dyDescent="0.35">
      <c r="A1270" s="31"/>
      <c r="B1270" s="29"/>
      <c r="C1270" s="30"/>
      <c r="D1270" s="30"/>
      <c r="E1270" s="30"/>
      <c r="F1270" s="31"/>
      <c r="G1270" s="31"/>
      <c r="H1270" s="31"/>
      <c r="I1270" s="31"/>
    </row>
    <row r="1271" spans="1:9" s="26" customFormat="1" x14ac:dyDescent="0.35">
      <c r="A1271" s="31"/>
      <c r="B1271" s="29"/>
      <c r="C1271" s="30"/>
      <c r="D1271" s="30"/>
      <c r="E1271" s="30"/>
      <c r="F1271" s="31"/>
      <c r="G1271" s="31"/>
      <c r="H1271" s="31"/>
      <c r="I1271" s="31"/>
    </row>
    <row r="1272" spans="1:9" s="26" customFormat="1" x14ac:dyDescent="0.35">
      <c r="A1272" s="31"/>
      <c r="B1272" s="29"/>
      <c r="C1272" s="30"/>
      <c r="D1272" s="30"/>
      <c r="E1272" s="30"/>
      <c r="F1272" s="31"/>
      <c r="G1272" s="31"/>
      <c r="H1272" s="31"/>
      <c r="I1272" s="31"/>
    </row>
    <row r="1273" spans="1:9" s="26" customFormat="1" x14ac:dyDescent="0.35">
      <c r="A1273" s="31"/>
      <c r="B1273" s="29"/>
      <c r="C1273" s="30"/>
      <c r="D1273" s="30"/>
      <c r="E1273" s="30"/>
      <c r="F1273" s="31"/>
      <c r="G1273" s="31"/>
      <c r="H1273" s="31"/>
      <c r="I1273" s="31"/>
    </row>
    <row r="1274" spans="1:9" s="26" customFormat="1" x14ac:dyDescent="0.35">
      <c r="A1274" s="31"/>
      <c r="B1274" s="29"/>
      <c r="C1274" s="30"/>
      <c r="D1274" s="30"/>
      <c r="E1274" s="30"/>
      <c r="F1274" s="31"/>
      <c r="G1274" s="31"/>
      <c r="H1274" s="31"/>
      <c r="I1274" s="31"/>
    </row>
    <row r="1275" spans="1:9" s="26" customFormat="1" x14ac:dyDescent="0.35">
      <c r="A1275" s="31"/>
      <c r="B1275" s="29"/>
      <c r="C1275" s="30"/>
      <c r="D1275" s="30"/>
      <c r="E1275" s="30"/>
      <c r="F1275" s="31"/>
      <c r="G1275" s="31"/>
      <c r="H1275" s="31"/>
      <c r="I1275" s="31"/>
    </row>
    <row r="1276" spans="1:9" s="26" customFormat="1" x14ac:dyDescent="0.35">
      <c r="A1276" s="31"/>
      <c r="B1276" s="29"/>
      <c r="C1276" s="30"/>
      <c r="D1276" s="30"/>
      <c r="E1276" s="30"/>
      <c r="F1276" s="31"/>
      <c r="G1276" s="31"/>
      <c r="H1276" s="31"/>
      <c r="I1276" s="31"/>
    </row>
    <row r="1277" spans="1:9" s="26" customFormat="1" x14ac:dyDescent="0.35">
      <c r="A1277" s="31"/>
      <c r="B1277" s="29"/>
      <c r="C1277" s="30"/>
      <c r="D1277" s="30"/>
      <c r="E1277" s="30"/>
      <c r="F1277" s="31"/>
      <c r="G1277" s="31"/>
      <c r="H1277" s="31"/>
      <c r="I1277" s="31"/>
    </row>
    <row r="1278" spans="1:9" s="26" customFormat="1" x14ac:dyDescent="0.35">
      <c r="A1278" s="31"/>
      <c r="B1278" s="29"/>
      <c r="C1278" s="30"/>
      <c r="D1278" s="30"/>
      <c r="E1278" s="30"/>
      <c r="F1278" s="31"/>
      <c r="G1278" s="31"/>
      <c r="H1278" s="31"/>
      <c r="I1278" s="31"/>
    </row>
    <row r="1279" spans="1:9" s="26" customFormat="1" x14ac:dyDescent="0.35">
      <c r="A1279" s="31"/>
      <c r="B1279" s="29"/>
      <c r="C1279" s="30"/>
      <c r="D1279" s="30"/>
      <c r="E1279" s="30"/>
      <c r="F1279" s="31"/>
      <c r="G1279" s="31"/>
      <c r="H1279" s="31"/>
      <c r="I1279" s="31"/>
    </row>
    <row r="1280" spans="1:9" s="26" customFormat="1" x14ac:dyDescent="0.35">
      <c r="A1280" s="31"/>
      <c r="B1280" s="29"/>
      <c r="C1280" s="30"/>
      <c r="D1280" s="30"/>
      <c r="E1280" s="30"/>
      <c r="F1280" s="31"/>
      <c r="G1280" s="31"/>
      <c r="H1280" s="31"/>
      <c r="I1280" s="31"/>
    </row>
    <row r="1281" spans="1:9" s="26" customFormat="1" x14ac:dyDescent="0.35">
      <c r="A1281" s="31"/>
      <c r="B1281" s="29"/>
      <c r="C1281" s="30"/>
      <c r="D1281" s="30"/>
      <c r="E1281" s="30"/>
      <c r="F1281" s="31"/>
      <c r="G1281" s="31"/>
      <c r="H1281" s="31"/>
      <c r="I1281" s="31"/>
    </row>
    <row r="1282" spans="1:9" s="26" customFormat="1" x14ac:dyDescent="0.35">
      <c r="A1282" s="31"/>
      <c r="B1282" s="29"/>
      <c r="C1282" s="30"/>
      <c r="D1282" s="30"/>
      <c r="E1282" s="30"/>
      <c r="F1282" s="31"/>
      <c r="G1282" s="31"/>
      <c r="H1282" s="31"/>
      <c r="I1282" s="31"/>
    </row>
    <row r="1283" spans="1:9" s="26" customFormat="1" x14ac:dyDescent="0.35">
      <c r="A1283" s="31"/>
      <c r="B1283" s="29"/>
      <c r="C1283" s="30"/>
      <c r="D1283" s="30"/>
      <c r="E1283" s="30"/>
      <c r="F1283" s="31"/>
      <c r="G1283" s="31"/>
      <c r="H1283" s="31"/>
      <c r="I1283" s="31"/>
    </row>
    <row r="1284" spans="1:9" s="26" customFormat="1" x14ac:dyDescent="0.35">
      <c r="A1284" s="31"/>
      <c r="B1284" s="29"/>
      <c r="C1284" s="30"/>
      <c r="D1284" s="30"/>
      <c r="E1284" s="30"/>
      <c r="F1284" s="31"/>
      <c r="G1284" s="31"/>
      <c r="H1284" s="31"/>
      <c r="I1284" s="31"/>
    </row>
    <row r="1285" spans="1:9" s="26" customFormat="1" x14ac:dyDescent="0.35">
      <c r="A1285" s="31"/>
      <c r="B1285" s="29"/>
      <c r="C1285" s="30"/>
      <c r="D1285" s="30"/>
      <c r="E1285" s="30"/>
      <c r="F1285" s="31"/>
      <c r="G1285" s="31"/>
      <c r="H1285" s="31"/>
      <c r="I1285" s="31"/>
    </row>
    <row r="1286" spans="1:9" s="26" customFormat="1" x14ac:dyDescent="0.35">
      <c r="A1286" s="31"/>
      <c r="B1286" s="29"/>
      <c r="C1286" s="30"/>
      <c r="D1286" s="30"/>
      <c r="E1286" s="30"/>
      <c r="F1286" s="31"/>
      <c r="G1286" s="31"/>
      <c r="H1286" s="31"/>
      <c r="I1286" s="31"/>
    </row>
    <row r="1287" spans="1:9" s="26" customFormat="1" x14ac:dyDescent="0.35">
      <c r="A1287" s="31"/>
      <c r="B1287" s="29"/>
      <c r="C1287" s="30"/>
      <c r="D1287" s="30"/>
      <c r="E1287" s="30"/>
      <c r="F1287" s="31"/>
      <c r="G1287" s="31"/>
      <c r="H1287" s="31"/>
      <c r="I1287" s="31"/>
    </row>
    <row r="1288" spans="1:9" s="26" customFormat="1" x14ac:dyDescent="0.35">
      <c r="A1288" s="31"/>
      <c r="B1288" s="29"/>
      <c r="C1288" s="30"/>
      <c r="D1288" s="30"/>
      <c r="E1288" s="30"/>
      <c r="F1288" s="31"/>
      <c r="G1288" s="31"/>
      <c r="H1288" s="31"/>
      <c r="I1288" s="31"/>
    </row>
    <row r="1289" spans="1:9" s="26" customFormat="1" x14ac:dyDescent="0.35">
      <c r="A1289" s="31"/>
      <c r="B1289" s="29"/>
      <c r="C1289" s="30"/>
      <c r="D1289" s="30"/>
      <c r="E1289" s="30"/>
      <c r="F1289" s="31"/>
      <c r="G1289" s="31"/>
      <c r="H1289" s="31"/>
      <c r="I1289" s="31"/>
    </row>
    <row r="1290" spans="1:9" s="26" customFormat="1" x14ac:dyDescent="0.35">
      <c r="A1290" s="31"/>
      <c r="B1290" s="29"/>
      <c r="C1290" s="30"/>
      <c r="D1290" s="30"/>
      <c r="E1290" s="30"/>
      <c r="F1290" s="31"/>
      <c r="G1290" s="31"/>
      <c r="H1290" s="31"/>
      <c r="I1290" s="31"/>
    </row>
    <row r="1291" spans="1:9" s="26" customFormat="1" x14ac:dyDescent="0.35">
      <c r="A1291" s="31"/>
      <c r="B1291" s="29"/>
      <c r="C1291" s="30"/>
      <c r="D1291" s="30"/>
      <c r="E1291" s="30"/>
      <c r="F1291" s="31"/>
      <c r="G1291" s="31"/>
      <c r="H1291" s="31"/>
      <c r="I1291" s="31"/>
    </row>
    <row r="1292" spans="1:9" s="26" customFormat="1" x14ac:dyDescent="0.35">
      <c r="A1292" s="31"/>
      <c r="B1292" s="29"/>
      <c r="C1292" s="30"/>
      <c r="D1292" s="30"/>
      <c r="E1292" s="30"/>
      <c r="F1292" s="31"/>
      <c r="G1292" s="31"/>
      <c r="H1292" s="31"/>
      <c r="I1292" s="31"/>
    </row>
    <row r="1293" spans="1:9" s="26" customFormat="1" x14ac:dyDescent="0.35">
      <c r="A1293" s="31"/>
      <c r="B1293" s="29"/>
      <c r="C1293" s="30"/>
      <c r="D1293" s="30"/>
      <c r="E1293" s="30"/>
      <c r="F1293" s="31"/>
      <c r="G1293" s="31"/>
      <c r="H1293" s="31"/>
      <c r="I1293" s="31"/>
    </row>
    <row r="1294" spans="1:9" s="26" customFormat="1" x14ac:dyDescent="0.35">
      <c r="A1294" s="31"/>
      <c r="B1294" s="29"/>
      <c r="C1294" s="30"/>
      <c r="D1294" s="30"/>
      <c r="E1294" s="30"/>
      <c r="F1294" s="31"/>
      <c r="G1294" s="31"/>
      <c r="H1294" s="31"/>
      <c r="I1294" s="31"/>
    </row>
    <row r="1295" spans="1:9" s="26" customFormat="1" x14ac:dyDescent="0.35">
      <c r="A1295" s="31"/>
      <c r="B1295" s="29"/>
      <c r="C1295" s="30"/>
      <c r="D1295" s="30"/>
      <c r="E1295" s="30"/>
      <c r="F1295" s="31"/>
      <c r="G1295" s="31"/>
      <c r="H1295" s="31"/>
      <c r="I1295" s="31"/>
    </row>
    <row r="1296" spans="1:9" s="26" customFormat="1" x14ac:dyDescent="0.35">
      <c r="A1296" s="31"/>
      <c r="B1296" s="29"/>
      <c r="C1296" s="30"/>
      <c r="D1296" s="30"/>
      <c r="E1296" s="30"/>
      <c r="F1296" s="31"/>
      <c r="G1296" s="31"/>
      <c r="H1296" s="31"/>
      <c r="I1296" s="31"/>
    </row>
    <row r="1297" spans="1:9" s="26" customFormat="1" x14ac:dyDescent="0.35">
      <c r="A1297" s="31"/>
      <c r="B1297" s="29"/>
      <c r="C1297" s="30"/>
      <c r="D1297" s="30"/>
      <c r="E1297" s="30"/>
      <c r="F1297" s="31"/>
      <c r="G1297" s="31"/>
      <c r="H1297" s="31"/>
      <c r="I1297" s="31"/>
    </row>
    <row r="1298" spans="1:9" s="26" customFormat="1" x14ac:dyDescent="0.35">
      <c r="A1298" s="31"/>
      <c r="B1298" s="29"/>
      <c r="C1298" s="30"/>
      <c r="D1298" s="30"/>
      <c r="E1298" s="30"/>
      <c r="F1298" s="31"/>
      <c r="G1298" s="31"/>
      <c r="H1298" s="31"/>
      <c r="I1298" s="31"/>
    </row>
    <row r="1299" spans="1:9" s="26" customFormat="1" x14ac:dyDescent="0.35">
      <c r="A1299" s="31"/>
      <c r="B1299" s="29"/>
      <c r="C1299" s="30"/>
      <c r="D1299" s="30"/>
      <c r="E1299" s="30"/>
      <c r="F1299" s="31"/>
      <c r="G1299" s="31"/>
      <c r="H1299" s="31"/>
      <c r="I1299" s="31"/>
    </row>
    <row r="1300" spans="1:9" s="26" customFormat="1" x14ac:dyDescent="0.35">
      <c r="A1300" s="31"/>
      <c r="B1300" s="29"/>
      <c r="C1300" s="30"/>
      <c r="D1300" s="30"/>
      <c r="E1300" s="30"/>
      <c r="F1300" s="31"/>
      <c r="G1300" s="31"/>
      <c r="H1300" s="31"/>
      <c r="I1300" s="31"/>
    </row>
    <row r="1301" spans="1:9" s="26" customFormat="1" x14ac:dyDescent="0.35">
      <c r="A1301" s="31"/>
      <c r="B1301" s="29"/>
      <c r="C1301" s="30"/>
      <c r="D1301" s="30"/>
      <c r="E1301" s="30"/>
      <c r="F1301" s="31"/>
      <c r="G1301" s="31"/>
      <c r="H1301" s="31"/>
      <c r="I1301" s="31"/>
    </row>
    <row r="1302" spans="1:9" s="26" customFormat="1" x14ac:dyDescent="0.35">
      <c r="A1302" s="31"/>
      <c r="B1302" s="29"/>
      <c r="C1302" s="30"/>
      <c r="D1302" s="30"/>
      <c r="E1302" s="30"/>
      <c r="F1302" s="31"/>
      <c r="G1302" s="31"/>
      <c r="H1302" s="31"/>
      <c r="I1302" s="31"/>
    </row>
    <row r="1303" spans="1:9" s="26" customFormat="1" x14ac:dyDescent="0.35">
      <c r="A1303" s="31"/>
      <c r="B1303" s="29"/>
      <c r="C1303" s="30"/>
      <c r="D1303" s="30"/>
      <c r="E1303" s="30"/>
      <c r="F1303" s="31"/>
      <c r="G1303" s="31"/>
      <c r="H1303" s="31"/>
      <c r="I1303" s="31"/>
    </row>
    <row r="1304" spans="1:9" s="26" customFormat="1" x14ac:dyDescent="0.35">
      <c r="A1304" s="31"/>
      <c r="B1304" s="29"/>
      <c r="C1304" s="30"/>
      <c r="D1304" s="30"/>
      <c r="E1304" s="30"/>
      <c r="F1304" s="31"/>
      <c r="G1304" s="31"/>
      <c r="H1304" s="31"/>
      <c r="I1304" s="31"/>
    </row>
    <row r="1305" spans="1:9" s="26" customFormat="1" x14ac:dyDescent="0.35">
      <c r="A1305" s="31"/>
      <c r="B1305" s="29"/>
      <c r="C1305" s="30"/>
      <c r="D1305" s="30"/>
      <c r="E1305" s="30"/>
      <c r="F1305" s="31"/>
      <c r="G1305" s="31"/>
      <c r="H1305" s="31"/>
      <c r="I1305" s="31"/>
    </row>
    <row r="1306" spans="1:9" s="26" customFormat="1" x14ac:dyDescent="0.35">
      <c r="A1306" s="31"/>
      <c r="B1306" s="29"/>
      <c r="C1306" s="30"/>
      <c r="D1306" s="30"/>
      <c r="E1306" s="30"/>
      <c r="F1306" s="31"/>
      <c r="G1306" s="31"/>
      <c r="H1306" s="31"/>
      <c r="I1306" s="31"/>
    </row>
    <row r="1307" spans="1:9" s="26" customFormat="1" x14ac:dyDescent="0.35">
      <c r="A1307" s="31"/>
      <c r="B1307" s="29"/>
      <c r="C1307" s="30"/>
      <c r="D1307" s="30"/>
      <c r="E1307" s="30"/>
      <c r="F1307" s="31"/>
      <c r="G1307" s="31"/>
      <c r="H1307" s="31"/>
      <c r="I1307" s="31"/>
    </row>
    <row r="1308" spans="1:9" s="26" customFormat="1" x14ac:dyDescent="0.35">
      <c r="A1308" s="31"/>
      <c r="B1308" s="29"/>
      <c r="C1308" s="30"/>
      <c r="D1308" s="30"/>
      <c r="E1308" s="30"/>
      <c r="F1308" s="31"/>
      <c r="G1308" s="31"/>
      <c r="H1308" s="31"/>
      <c r="I1308" s="31"/>
    </row>
    <row r="1309" spans="1:9" s="26" customFormat="1" x14ac:dyDescent="0.35">
      <c r="A1309" s="31"/>
      <c r="B1309" s="29"/>
      <c r="C1309" s="30"/>
      <c r="D1309" s="30"/>
      <c r="E1309" s="30"/>
      <c r="F1309" s="31"/>
      <c r="G1309" s="31"/>
      <c r="H1309" s="31"/>
      <c r="I1309" s="31"/>
    </row>
    <row r="1310" spans="1:9" s="26" customFormat="1" x14ac:dyDescent="0.35">
      <c r="A1310" s="31"/>
      <c r="B1310" s="29"/>
      <c r="C1310" s="30"/>
      <c r="D1310" s="30"/>
      <c r="E1310" s="30"/>
      <c r="F1310" s="31"/>
      <c r="G1310" s="31"/>
      <c r="H1310" s="31"/>
      <c r="I1310" s="31"/>
    </row>
    <row r="1311" spans="1:9" s="26" customFormat="1" x14ac:dyDescent="0.35">
      <c r="A1311" s="31"/>
      <c r="B1311" s="29"/>
      <c r="C1311" s="30"/>
      <c r="D1311" s="30"/>
      <c r="E1311" s="30"/>
      <c r="F1311" s="31"/>
      <c r="G1311" s="31"/>
      <c r="H1311" s="31"/>
      <c r="I1311" s="31"/>
    </row>
    <row r="1312" spans="1:9" s="26" customFormat="1" x14ac:dyDescent="0.35">
      <c r="A1312" s="31"/>
      <c r="B1312" s="29"/>
      <c r="C1312" s="30"/>
      <c r="D1312" s="30"/>
      <c r="E1312" s="30"/>
      <c r="F1312" s="31"/>
      <c r="G1312" s="31"/>
      <c r="H1312" s="31"/>
      <c r="I1312" s="31"/>
    </row>
    <row r="1313" spans="1:9" s="26" customFormat="1" x14ac:dyDescent="0.35">
      <c r="A1313" s="31"/>
      <c r="B1313" s="29"/>
      <c r="C1313" s="30"/>
      <c r="D1313" s="30"/>
      <c r="E1313" s="30"/>
      <c r="F1313" s="31"/>
      <c r="G1313" s="31"/>
      <c r="H1313" s="31"/>
      <c r="I1313" s="31"/>
    </row>
    <row r="1314" spans="1:9" s="26" customFormat="1" x14ac:dyDescent="0.35">
      <c r="A1314" s="31"/>
      <c r="B1314" s="29"/>
      <c r="C1314" s="30"/>
      <c r="D1314" s="30"/>
      <c r="E1314" s="30"/>
      <c r="F1314" s="31"/>
      <c r="G1314" s="31"/>
      <c r="H1314" s="31"/>
      <c r="I1314" s="31"/>
    </row>
    <row r="1315" spans="1:9" s="26" customFormat="1" x14ac:dyDescent="0.35">
      <c r="A1315" s="31"/>
      <c r="B1315" s="29"/>
      <c r="C1315" s="30"/>
      <c r="D1315" s="30"/>
      <c r="E1315" s="30"/>
      <c r="F1315" s="31"/>
      <c r="G1315" s="31"/>
      <c r="H1315" s="31"/>
      <c r="I1315" s="31"/>
    </row>
    <row r="1316" spans="1:9" s="26" customFormat="1" x14ac:dyDescent="0.35">
      <c r="A1316" s="31"/>
      <c r="B1316" s="29"/>
      <c r="C1316" s="30"/>
      <c r="D1316" s="30"/>
      <c r="E1316" s="30"/>
      <c r="F1316" s="31"/>
      <c r="G1316" s="31"/>
      <c r="H1316" s="31"/>
      <c r="I1316" s="31"/>
    </row>
    <row r="1317" spans="1:9" s="26" customFormat="1" x14ac:dyDescent="0.35">
      <c r="A1317" s="31"/>
      <c r="B1317" s="29"/>
      <c r="C1317" s="30"/>
      <c r="D1317" s="30"/>
      <c r="E1317" s="30"/>
      <c r="F1317" s="31"/>
      <c r="G1317" s="31"/>
      <c r="H1317" s="31"/>
      <c r="I1317" s="31"/>
    </row>
    <row r="1318" spans="1:9" s="26" customFormat="1" x14ac:dyDescent="0.35">
      <c r="A1318" s="31"/>
      <c r="B1318" s="29"/>
      <c r="C1318" s="30"/>
      <c r="D1318" s="30"/>
      <c r="E1318" s="30"/>
      <c r="F1318" s="31"/>
      <c r="G1318" s="31"/>
      <c r="H1318" s="31"/>
      <c r="I1318" s="31"/>
    </row>
    <row r="1319" spans="1:9" s="26" customFormat="1" x14ac:dyDescent="0.35">
      <c r="A1319" s="31"/>
      <c r="B1319" s="29"/>
      <c r="C1319" s="30"/>
      <c r="D1319" s="30"/>
      <c r="E1319" s="30"/>
      <c r="F1319" s="31"/>
      <c r="G1319" s="31"/>
      <c r="H1319" s="31"/>
      <c r="I1319" s="31"/>
    </row>
    <row r="1320" spans="1:9" s="26" customFormat="1" x14ac:dyDescent="0.35">
      <c r="A1320" s="31"/>
      <c r="B1320" s="29"/>
      <c r="C1320" s="30"/>
      <c r="D1320" s="30"/>
      <c r="E1320" s="30"/>
      <c r="F1320" s="31"/>
      <c r="G1320" s="31"/>
      <c r="H1320" s="31"/>
      <c r="I1320" s="31"/>
    </row>
    <row r="1321" spans="1:9" s="26" customFormat="1" x14ac:dyDescent="0.35">
      <c r="A1321" s="31"/>
      <c r="B1321" s="29"/>
      <c r="C1321" s="30"/>
      <c r="D1321" s="30"/>
      <c r="E1321" s="30"/>
      <c r="F1321" s="31"/>
      <c r="G1321" s="31"/>
      <c r="H1321" s="31"/>
      <c r="I1321" s="31"/>
    </row>
    <row r="1322" spans="1:9" s="26" customFormat="1" x14ac:dyDescent="0.35">
      <c r="A1322" s="31"/>
      <c r="B1322" s="29"/>
      <c r="C1322" s="30"/>
      <c r="D1322" s="30"/>
      <c r="E1322" s="30"/>
      <c r="F1322" s="31"/>
      <c r="G1322" s="31"/>
      <c r="H1322" s="31"/>
      <c r="I1322" s="31"/>
    </row>
    <row r="1323" spans="1:9" s="26" customFormat="1" x14ac:dyDescent="0.35">
      <c r="A1323" s="31"/>
      <c r="B1323" s="29"/>
      <c r="C1323" s="30"/>
      <c r="D1323" s="30"/>
      <c r="E1323" s="30"/>
      <c r="F1323" s="31"/>
      <c r="G1323" s="31"/>
      <c r="H1323" s="31"/>
      <c r="I1323" s="31"/>
    </row>
    <row r="1324" spans="1:9" s="26" customFormat="1" x14ac:dyDescent="0.35">
      <c r="A1324" s="31"/>
      <c r="B1324" s="29"/>
      <c r="C1324" s="30"/>
      <c r="D1324" s="30"/>
      <c r="E1324" s="30"/>
      <c r="F1324" s="31"/>
      <c r="G1324" s="31"/>
      <c r="H1324" s="31"/>
      <c r="I1324" s="31"/>
    </row>
    <row r="1325" spans="1:9" s="26" customFormat="1" x14ac:dyDescent="0.35">
      <c r="A1325" s="31"/>
      <c r="B1325" s="29"/>
      <c r="C1325" s="30"/>
      <c r="D1325" s="30"/>
      <c r="E1325" s="30"/>
      <c r="F1325" s="31"/>
      <c r="G1325" s="31"/>
      <c r="H1325" s="31"/>
      <c r="I1325" s="31"/>
    </row>
    <row r="1326" spans="1:9" s="26" customFormat="1" x14ac:dyDescent="0.35">
      <c r="A1326" s="31"/>
      <c r="B1326" s="29"/>
      <c r="C1326" s="30"/>
      <c r="D1326" s="30"/>
      <c r="E1326" s="30"/>
      <c r="F1326" s="31"/>
      <c r="G1326" s="31"/>
      <c r="H1326" s="31"/>
      <c r="I1326" s="31"/>
    </row>
    <row r="1327" spans="1:9" s="26" customFormat="1" x14ac:dyDescent="0.35">
      <c r="A1327" s="31"/>
      <c r="B1327" s="29"/>
      <c r="C1327" s="30"/>
      <c r="D1327" s="30"/>
      <c r="E1327" s="30"/>
      <c r="F1327" s="31"/>
      <c r="G1327" s="31"/>
      <c r="H1327" s="31"/>
      <c r="I1327" s="31"/>
    </row>
    <row r="1328" spans="1:9" s="26" customFormat="1" x14ac:dyDescent="0.35">
      <c r="A1328" s="31"/>
      <c r="B1328" s="29"/>
      <c r="C1328" s="30"/>
      <c r="D1328" s="30"/>
      <c r="E1328" s="30"/>
      <c r="F1328" s="31"/>
      <c r="G1328" s="31"/>
      <c r="H1328" s="31"/>
      <c r="I1328" s="31"/>
    </row>
    <row r="1329" spans="1:9" s="26" customFormat="1" x14ac:dyDescent="0.35">
      <c r="A1329" s="31"/>
      <c r="B1329" s="29"/>
      <c r="C1329" s="30"/>
      <c r="D1329" s="30"/>
      <c r="E1329" s="30"/>
      <c r="F1329" s="31"/>
      <c r="G1329" s="31"/>
      <c r="H1329" s="31"/>
      <c r="I1329" s="31"/>
    </row>
    <row r="1330" spans="1:9" s="26" customFormat="1" x14ac:dyDescent="0.35">
      <c r="A1330" s="31"/>
      <c r="B1330" s="29"/>
      <c r="C1330" s="30"/>
      <c r="D1330" s="30"/>
      <c r="E1330" s="30"/>
      <c r="F1330" s="31"/>
      <c r="G1330" s="31"/>
      <c r="H1330" s="31"/>
      <c r="I1330" s="31"/>
    </row>
    <row r="1331" spans="1:9" s="26" customFormat="1" x14ac:dyDescent="0.35">
      <c r="A1331" s="31"/>
      <c r="B1331" s="29"/>
      <c r="C1331" s="30"/>
      <c r="D1331" s="30"/>
      <c r="E1331" s="30"/>
      <c r="F1331" s="31"/>
      <c r="G1331" s="31"/>
      <c r="H1331" s="31"/>
      <c r="I1331" s="31"/>
    </row>
    <row r="1332" spans="1:9" s="26" customFormat="1" x14ac:dyDescent="0.35">
      <c r="A1332" s="31"/>
      <c r="B1332" s="29"/>
      <c r="C1332" s="30"/>
      <c r="D1332" s="30"/>
      <c r="E1332" s="30"/>
      <c r="F1332" s="31"/>
      <c r="G1332" s="31"/>
      <c r="H1332" s="31"/>
      <c r="I1332" s="31"/>
    </row>
    <row r="1333" spans="1:9" s="26" customFormat="1" x14ac:dyDescent="0.35">
      <c r="A1333" s="31"/>
      <c r="B1333" s="29"/>
      <c r="C1333" s="30"/>
      <c r="D1333" s="30"/>
      <c r="E1333" s="30"/>
      <c r="F1333" s="31"/>
      <c r="G1333" s="31"/>
      <c r="H1333" s="31"/>
      <c r="I1333" s="31"/>
    </row>
    <row r="1334" spans="1:9" s="26" customFormat="1" x14ac:dyDescent="0.35">
      <c r="A1334" s="31"/>
      <c r="B1334" s="29"/>
      <c r="C1334" s="30"/>
      <c r="D1334" s="30"/>
      <c r="E1334" s="30"/>
      <c r="F1334" s="31"/>
      <c r="G1334" s="31"/>
      <c r="H1334" s="31"/>
      <c r="I1334" s="31"/>
    </row>
    <row r="1335" spans="1:9" s="26" customFormat="1" x14ac:dyDescent="0.35">
      <c r="A1335" s="31"/>
      <c r="B1335" s="29"/>
      <c r="C1335" s="30"/>
      <c r="D1335" s="30"/>
      <c r="E1335" s="30"/>
      <c r="F1335" s="31"/>
      <c r="G1335" s="31"/>
      <c r="H1335" s="31"/>
      <c r="I1335" s="31"/>
    </row>
    <row r="1336" spans="1:9" s="26" customFormat="1" x14ac:dyDescent="0.35">
      <c r="A1336" s="31"/>
      <c r="B1336" s="29"/>
      <c r="C1336" s="30"/>
      <c r="D1336" s="30"/>
      <c r="E1336" s="30"/>
      <c r="F1336" s="31"/>
      <c r="G1336" s="31"/>
      <c r="H1336" s="31"/>
      <c r="I1336" s="31"/>
    </row>
    <row r="1337" spans="1:9" s="26" customFormat="1" x14ac:dyDescent="0.35">
      <c r="A1337" s="31"/>
      <c r="B1337" s="29"/>
      <c r="C1337" s="30"/>
      <c r="D1337" s="30"/>
      <c r="E1337" s="30"/>
      <c r="F1337" s="31"/>
      <c r="G1337" s="31"/>
      <c r="H1337" s="31"/>
      <c r="I1337" s="31"/>
    </row>
    <row r="1338" spans="1:9" s="26" customFormat="1" x14ac:dyDescent="0.35">
      <c r="A1338" s="31"/>
      <c r="B1338" s="29"/>
      <c r="C1338" s="30"/>
      <c r="D1338" s="30"/>
      <c r="E1338" s="30"/>
      <c r="F1338" s="31"/>
      <c r="G1338" s="31"/>
      <c r="H1338" s="31"/>
      <c r="I1338" s="31"/>
    </row>
    <row r="1339" spans="1:9" s="26" customFormat="1" x14ac:dyDescent="0.35">
      <c r="A1339" s="31"/>
      <c r="B1339" s="29"/>
      <c r="C1339" s="30"/>
      <c r="D1339" s="30"/>
      <c r="E1339" s="30"/>
      <c r="F1339" s="31"/>
      <c r="G1339" s="31"/>
      <c r="H1339" s="31"/>
      <c r="I1339" s="31"/>
    </row>
    <row r="1340" spans="1:9" s="26" customFormat="1" x14ac:dyDescent="0.35">
      <c r="A1340" s="31"/>
      <c r="B1340" s="29"/>
      <c r="C1340" s="30"/>
      <c r="D1340" s="30"/>
      <c r="E1340" s="30"/>
      <c r="F1340" s="31"/>
      <c r="G1340" s="31"/>
      <c r="H1340" s="31"/>
      <c r="I1340" s="31"/>
    </row>
    <row r="1341" spans="1:9" s="26" customFormat="1" x14ac:dyDescent="0.35">
      <c r="A1341" s="31"/>
      <c r="B1341" s="29"/>
      <c r="C1341" s="30"/>
      <c r="D1341" s="30"/>
      <c r="E1341" s="30"/>
      <c r="F1341" s="31"/>
      <c r="G1341" s="31"/>
      <c r="H1341" s="31"/>
      <c r="I1341" s="31"/>
    </row>
    <row r="1342" spans="1:9" s="26" customFormat="1" x14ac:dyDescent="0.35">
      <c r="A1342" s="31"/>
      <c r="B1342" s="29"/>
      <c r="C1342" s="30"/>
      <c r="D1342" s="30"/>
      <c r="E1342" s="30"/>
      <c r="F1342" s="31"/>
      <c r="G1342" s="31"/>
      <c r="H1342" s="31"/>
      <c r="I1342" s="31"/>
    </row>
    <row r="1343" spans="1:9" s="26" customFormat="1" x14ac:dyDescent="0.35">
      <c r="A1343" s="31"/>
      <c r="B1343" s="29"/>
      <c r="C1343" s="30"/>
      <c r="D1343" s="30"/>
      <c r="E1343" s="30"/>
      <c r="F1343" s="31"/>
      <c r="G1343" s="31"/>
      <c r="H1343" s="31"/>
      <c r="I1343" s="31"/>
    </row>
    <row r="1344" spans="1:9" s="26" customFormat="1" x14ac:dyDescent="0.35">
      <c r="A1344" s="31"/>
      <c r="B1344" s="29"/>
      <c r="C1344" s="30"/>
      <c r="D1344" s="30"/>
      <c r="E1344" s="30"/>
      <c r="F1344" s="31"/>
      <c r="G1344" s="31"/>
      <c r="H1344" s="31"/>
      <c r="I1344" s="31"/>
    </row>
    <row r="1345" spans="1:9" s="26" customFormat="1" x14ac:dyDescent="0.35">
      <c r="A1345" s="31"/>
      <c r="B1345" s="29"/>
      <c r="C1345" s="30"/>
      <c r="D1345" s="30"/>
      <c r="E1345" s="30"/>
      <c r="F1345" s="31"/>
      <c r="G1345" s="31"/>
      <c r="H1345" s="31"/>
      <c r="I1345" s="31"/>
    </row>
    <row r="1346" spans="1:9" s="26" customFormat="1" x14ac:dyDescent="0.35">
      <c r="A1346" s="31"/>
      <c r="B1346" s="29"/>
      <c r="C1346" s="30"/>
      <c r="D1346" s="30"/>
      <c r="E1346" s="30"/>
      <c r="F1346" s="31"/>
      <c r="G1346" s="31"/>
      <c r="H1346" s="31"/>
      <c r="I1346" s="31"/>
    </row>
    <row r="1347" spans="1:9" s="26" customFormat="1" x14ac:dyDescent="0.35">
      <c r="A1347" s="31"/>
      <c r="B1347" s="29"/>
      <c r="C1347" s="30"/>
      <c r="D1347" s="30"/>
      <c r="E1347" s="30"/>
      <c r="F1347" s="31"/>
      <c r="G1347" s="31"/>
      <c r="H1347" s="31"/>
      <c r="I1347" s="31"/>
    </row>
    <row r="1348" spans="1:9" s="26" customFormat="1" x14ac:dyDescent="0.35">
      <c r="A1348" s="31"/>
      <c r="B1348" s="29"/>
      <c r="C1348" s="30"/>
      <c r="D1348" s="30"/>
      <c r="E1348" s="30"/>
      <c r="F1348" s="31"/>
      <c r="G1348" s="31"/>
      <c r="H1348" s="31"/>
      <c r="I1348" s="31"/>
    </row>
    <row r="1349" spans="1:9" s="26" customFormat="1" x14ac:dyDescent="0.35">
      <c r="A1349" s="31"/>
      <c r="B1349" s="29"/>
      <c r="C1349" s="30"/>
      <c r="D1349" s="30"/>
      <c r="E1349" s="30"/>
      <c r="F1349" s="31"/>
      <c r="G1349" s="31"/>
      <c r="H1349" s="31"/>
      <c r="I1349" s="31"/>
    </row>
    <row r="1350" spans="1:9" s="26" customFormat="1" x14ac:dyDescent="0.35">
      <c r="A1350" s="31"/>
      <c r="B1350" s="29"/>
      <c r="C1350" s="30"/>
      <c r="D1350" s="30"/>
      <c r="E1350" s="30"/>
      <c r="F1350" s="31"/>
      <c r="G1350" s="31"/>
      <c r="H1350" s="31"/>
      <c r="I1350" s="31"/>
    </row>
    <row r="1351" spans="1:9" s="26" customFormat="1" x14ac:dyDescent="0.35">
      <c r="A1351" s="31"/>
      <c r="B1351" s="29"/>
      <c r="C1351" s="30"/>
      <c r="D1351" s="30"/>
      <c r="E1351" s="30"/>
      <c r="F1351" s="31"/>
      <c r="G1351" s="31"/>
      <c r="H1351" s="31"/>
      <c r="I1351" s="31"/>
    </row>
    <row r="1352" spans="1:9" s="26" customFormat="1" x14ac:dyDescent="0.35">
      <c r="A1352" s="31"/>
      <c r="B1352" s="29"/>
      <c r="C1352" s="30"/>
      <c r="D1352" s="30"/>
      <c r="E1352" s="30"/>
      <c r="F1352" s="31"/>
      <c r="G1352" s="31"/>
      <c r="H1352" s="31"/>
      <c r="I1352" s="31"/>
    </row>
    <row r="1353" spans="1:9" s="26" customFormat="1" x14ac:dyDescent="0.35">
      <c r="A1353" s="31"/>
      <c r="B1353" s="29"/>
      <c r="C1353" s="30"/>
      <c r="D1353" s="30"/>
      <c r="E1353" s="30"/>
      <c r="F1353" s="31"/>
      <c r="G1353" s="31"/>
      <c r="H1353" s="31"/>
      <c r="I1353" s="31"/>
    </row>
    <row r="1354" spans="1:9" s="26" customFormat="1" x14ac:dyDescent="0.35">
      <c r="A1354" s="31"/>
      <c r="B1354" s="29"/>
      <c r="C1354" s="30"/>
      <c r="D1354" s="30"/>
      <c r="E1354" s="30"/>
      <c r="F1354" s="31"/>
      <c r="G1354" s="31"/>
      <c r="H1354" s="31"/>
      <c r="I1354" s="31"/>
    </row>
    <row r="1355" spans="1:9" s="26" customFormat="1" x14ac:dyDescent="0.35">
      <c r="A1355" s="31"/>
      <c r="B1355" s="29"/>
      <c r="C1355" s="30"/>
      <c r="D1355" s="30"/>
      <c r="E1355" s="30"/>
      <c r="F1355" s="31"/>
      <c r="G1355" s="31"/>
      <c r="H1355" s="31"/>
      <c r="I1355" s="31"/>
    </row>
    <row r="1356" spans="1:9" s="26" customFormat="1" x14ac:dyDescent="0.35">
      <c r="A1356" s="31"/>
      <c r="B1356" s="29"/>
      <c r="C1356" s="30"/>
      <c r="D1356" s="30"/>
      <c r="E1356" s="30"/>
      <c r="F1356" s="31"/>
      <c r="G1356" s="31"/>
      <c r="H1356" s="31"/>
      <c r="I1356" s="31"/>
    </row>
    <row r="1357" spans="1:9" s="26" customFormat="1" x14ac:dyDescent="0.35">
      <c r="A1357" s="31"/>
      <c r="B1357" s="29"/>
      <c r="C1357" s="30"/>
      <c r="D1357" s="30"/>
      <c r="E1357" s="30"/>
      <c r="F1357" s="31"/>
      <c r="G1357" s="31"/>
      <c r="H1357" s="31"/>
      <c r="I1357" s="31"/>
    </row>
    <row r="1358" spans="1:9" s="26" customFormat="1" x14ac:dyDescent="0.35">
      <c r="A1358" s="31"/>
      <c r="B1358" s="29"/>
      <c r="C1358" s="30"/>
      <c r="D1358" s="30"/>
      <c r="E1358" s="30"/>
      <c r="F1358" s="31"/>
      <c r="G1358" s="31"/>
      <c r="H1358" s="31"/>
      <c r="I1358" s="31"/>
    </row>
    <row r="1359" spans="1:9" s="26" customFormat="1" x14ac:dyDescent="0.35">
      <c r="A1359" s="31"/>
      <c r="B1359" s="29"/>
      <c r="C1359" s="30"/>
      <c r="D1359" s="30"/>
      <c r="E1359" s="30"/>
      <c r="F1359" s="31"/>
      <c r="G1359" s="31"/>
      <c r="H1359" s="31"/>
      <c r="I1359" s="31"/>
    </row>
    <row r="1360" spans="1:9" s="26" customFormat="1" x14ac:dyDescent="0.35">
      <c r="A1360" s="31"/>
      <c r="B1360" s="29"/>
      <c r="C1360" s="30"/>
      <c r="D1360" s="30"/>
      <c r="E1360" s="30"/>
      <c r="F1360" s="31"/>
      <c r="G1360" s="31"/>
      <c r="H1360" s="31"/>
      <c r="I1360" s="31"/>
    </row>
    <row r="1361" spans="1:9" s="26" customFormat="1" x14ac:dyDescent="0.35">
      <c r="A1361" s="31"/>
      <c r="B1361" s="29"/>
      <c r="C1361" s="30"/>
      <c r="D1361" s="30"/>
      <c r="E1361" s="30"/>
      <c r="F1361" s="31"/>
      <c r="G1361" s="31"/>
      <c r="H1361" s="31"/>
      <c r="I1361" s="31"/>
    </row>
    <row r="1362" spans="1:9" s="26" customFormat="1" x14ac:dyDescent="0.35">
      <c r="A1362" s="31"/>
      <c r="B1362" s="29"/>
      <c r="C1362" s="30"/>
      <c r="D1362" s="30"/>
      <c r="E1362" s="30"/>
      <c r="F1362" s="31"/>
      <c r="G1362" s="31"/>
      <c r="H1362" s="31"/>
      <c r="I1362" s="31"/>
    </row>
    <row r="1363" spans="1:9" s="26" customFormat="1" x14ac:dyDescent="0.35">
      <c r="A1363" s="31"/>
      <c r="B1363" s="29"/>
      <c r="C1363" s="30"/>
      <c r="D1363" s="30"/>
      <c r="E1363" s="30"/>
      <c r="F1363" s="31"/>
      <c r="G1363" s="31"/>
      <c r="H1363" s="31"/>
      <c r="I1363" s="31"/>
    </row>
    <row r="1364" spans="1:9" s="26" customFormat="1" x14ac:dyDescent="0.35">
      <c r="A1364" s="31"/>
      <c r="B1364" s="29"/>
      <c r="C1364" s="30"/>
      <c r="D1364" s="30"/>
      <c r="E1364" s="30"/>
      <c r="F1364" s="31"/>
      <c r="G1364" s="31"/>
      <c r="H1364" s="31"/>
      <c r="I1364" s="31"/>
    </row>
    <row r="1365" spans="1:9" s="26" customFormat="1" x14ac:dyDescent="0.35">
      <c r="A1365" s="31"/>
      <c r="B1365" s="29"/>
      <c r="C1365" s="30"/>
      <c r="D1365" s="30"/>
      <c r="E1365" s="30"/>
      <c r="F1365" s="31"/>
      <c r="G1365" s="31"/>
      <c r="H1365" s="31"/>
      <c r="I1365" s="31"/>
    </row>
    <row r="1366" spans="1:9" s="26" customFormat="1" x14ac:dyDescent="0.35">
      <c r="A1366" s="31"/>
      <c r="B1366" s="29"/>
      <c r="C1366" s="30"/>
      <c r="D1366" s="30"/>
      <c r="E1366" s="30"/>
      <c r="F1366" s="31"/>
      <c r="G1366" s="31"/>
      <c r="H1366" s="31"/>
      <c r="I1366" s="31"/>
    </row>
    <row r="1367" spans="1:9" s="26" customFormat="1" x14ac:dyDescent="0.35">
      <c r="A1367" s="31"/>
      <c r="B1367" s="29"/>
      <c r="C1367" s="30"/>
      <c r="D1367" s="30"/>
      <c r="E1367" s="30"/>
      <c r="F1367" s="31"/>
      <c r="G1367" s="31"/>
      <c r="H1367" s="31"/>
      <c r="I1367" s="31"/>
    </row>
    <row r="1368" spans="1:9" s="26" customFormat="1" x14ac:dyDescent="0.35">
      <c r="A1368" s="31"/>
      <c r="B1368" s="29"/>
      <c r="C1368" s="30"/>
      <c r="D1368" s="30"/>
      <c r="E1368" s="30"/>
      <c r="F1368" s="31"/>
      <c r="G1368" s="31"/>
      <c r="H1368" s="31"/>
      <c r="I1368" s="31"/>
    </row>
    <row r="1369" spans="1:9" s="26" customFormat="1" x14ac:dyDescent="0.35">
      <c r="A1369" s="31"/>
      <c r="B1369" s="29"/>
      <c r="C1369" s="30"/>
      <c r="D1369" s="30"/>
      <c r="E1369" s="30"/>
      <c r="F1369" s="31"/>
      <c r="G1369" s="31"/>
      <c r="H1369" s="31"/>
      <c r="I1369" s="31"/>
    </row>
    <row r="1370" spans="1:9" s="26" customFormat="1" x14ac:dyDescent="0.35">
      <c r="A1370" s="31"/>
      <c r="B1370" s="29"/>
      <c r="C1370" s="30"/>
      <c r="D1370" s="30"/>
      <c r="E1370" s="30"/>
      <c r="F1370" s="31"/>
      <c r="G1370" s="31"/>
      <c r="H1370" s="31"/>
      <c r="I1370" s="31"/>
    </row>
    <row r="1371" spans="1:9" s="26" customFormat="1" x14ac:dyDescent="0.35">
      <c r="A1371" s="31"/>
      <c r="B1371" s="29"/>
      <c r="C1371" s="30"/>
      <c r="D1371" s="30"/>
      <c r="E1371" s="30"/>
      <c r="F1371" s="31"/>
      <c r="G1371" s="31"/>
      <c r="H1371" s="31"/>
      <c r="I1371" s="31"/>
    </row>
    <row r="1372" spans="1:9" s="26" customFormat="1" x14ac:dyDescent="0.35">
      <c r="A1372" s="31"/>
      <c r="B1372" s="29"/>
      <c r="C1372" s="30"/>
      <c r="D1372" s="30"/>
      <c r="E1372" s="30"/>
      <c r="F1372" s="31"/>
      <c r="G1372" s="31"/>
      <c r="H1372" s="31"/>
      <c r="I1372" s="31"/>
    </row>
    <row r="1373" spans="1:9" s="26" customFormat="1" x14ac:dyDescent="0.35">
      <c r="A1373" s="31"/>
      <c r="B1373" s="29"/>
      <c r="C1373" s="30"/>
      <c r="D1373" s="30"/>
      <c r="E1373" s="30"/>
      <c r="F1373" s="31"/>
      <c r="G1373" s="31"/>
      <c r="H1373" s="31"/>
      <c r="I1373" s="31"/>
    </row>
    <row r="1374" spans="1:9" s="26" customFormat="1" x14ac:dyDescent="0.35">
      <c r="A1374" s="31"/>
      <c r="B1374" s="29"/>
      <c r="C1374" s="30"/>
      <c r="D1374" s="30"/>
      <c r="E1374" s="30"/>
      <c r="F1374" s="31"/>
      <c r="G1374" s="31"/>
      <c r="H1374" s="31"/>
      <c r="I1374" s="31"/>
    </row>
    <row r="1375" spans="1:9" s="26" customFormat="1" x14ac:dyDescent="0.35">
      <c r="A1375" s="31"/>
      <c r="B1375" s="29"/>
      <c r="C1375" s="30"/>
      <c r="D1375" s="30"/>
      <c r="E1375" s="30"/>
      <c r="F1375" s="31"/>
      <c r="G1375" s="31"/>
      <c r="H1375" s="31"/>
      <c r="I1375" s="31"/>
    </row>
    <row r="1376" spans="1:9" s="26" customFormat="1" x14ac:dyDescent="0.35">
      <c r="A1376" s="31"/>
      <c r="B1376" s="29"/>
      <c r="C1376" s="30"/>
      <c r="D1376" s="30"/>
      <c r="E1376" s="30"/>
      <c r="F1376" s="31"/>
      <c r="G1376" s="31"/>
      <c r="H1376" s="31"/>
      <c r="I1376" s="31"/>
    </row>
    <row r="1377" spans="1:9" s="26" customFormat="1" x14ac:dyDescent="0.35">
      <c r="A1377" s="31"/>
      <c r="B1377" s="29"/>
      <c r="C1377" s="30"/>
      <c r="D1377" s="30"/>
      <c r="E1377" s="30"/>
      <c r="F1377" s="31"/>
      <c r="G1377" s="31"/>
      <c r="H1377" s="31"/>
      <c r="I1377" s="31"/>
    </row>
    <row r="1378" spans="1:9" s="26" customFormat="1" x14ac:dyDescent="0.35">
      <c r="A1378" s="31"/>
      <c r="B1378" s="29"/>
      <c r="C1378" s="30"/>
      <c r="D1378" s="30"/>
      <c r="E1378" s="30"/>
      <c r="F1378" s="31"/>
      <c r="G1378" s="31"/>
      <c r="H1378" s="31"/>
      <c r="I1378" s="31"/>
    </row>
    <row r="1379" spans="1:9" s="26" customFormat="1" x14ac:dyDescent="0.35">
      <c r="A1379" s="31"/>
      <c r="B1379" s="29"/>
      <c r="C1379" s="30"/>
      <c r="D1379" s="30"/>
      <c r="E1379" s="30"/>
      <c r="F1379" s="31"/>
      <c r="G1379" s="31"/>
      <c r="H1379" s="31"/>
      <c r="I1379" s="31"/>
    </row>
    <row r="1380" spans="1:9" s="26" customFormat="1" x14ac:dyDescent="0.35">
      <c r="A1380" s="31"/>
      <c r="B1380" s="29"/>
      <c r="C1380" s="30"/>
      <c r="D1380" s="30"/>
      <c r="E1380" s="30"/>
      <c r="F1380" s="31"/>
      <c r="G1380" s="31"/>
      <c r="H1380" s="31"/>
      <c r="I1380" s="31"/>
    </row>
    <row r="1381" spans="1:9" s="26" customFormat="1" x14ac:dyDescent="0.35">
      <c r="A1381" s="31"/>
      <c r="B1381" s="29"/>
      <c r="C1381" s="30"/>
      <c r="D1381" s="30"/>
      <c r="E1381" s="30"/>
      <c r="F1381" s="31"/>
      <c r="G1381" s="31"/>
      <c r="H1381" s="31"/>
      <c r="I1381" s="31"/>
    </row>
    <row r="1382" spans="1:9" s="26" customFormat="1" x14ac:dyDescent="0.35">
      <c r="A1382" s="31"/>
      <c r="B1382" s="29"/>
      <c r="C1382" s="30"/>
      <c r="D1382" s="30"/>
      <c r="E1382" s="30"/>
      <c r="F1382" s="31"/>
      <c r="G1382" s="31"/>
      <c r="H1382" s="31"/>
      <c r="I1382" s="31"/>
    </row>
    <row r="1383" spans="1:9" s="26" customFormat="1" x14ac:dyDescent="0.35">
      <c r="A1383" s="31"/>
      <c r="B1383" s="29"/>
      <c r="C1383" s="30"/>
      <c r="D1383" s="30"/>
      <c r="E1383" s="30"/>
      <c r="F1383" s="31"/>
      <c r="G1383" s="31"/>
      <c r="H1383" s="31"/>
      <c r="I1383" s="31"/>
    </row>
    <row r="1384" spans="1:9" s="26" customFormat="1" x14ac:dyDescent="0.35">
      <c r="A1384" s="31"/>
      <c r="B1384" s="29"/>
      <c r="C1384" s="30"/>
      <c r="D1384" s="30"/>
      <c r="E1384" s="30"/>
      <c r="F1384" s="31"/>
      <c r="G1384" s="31"/>
      <c r="H1384" s="31"/>
      <c r="I1384" s="31"/>
    </row>
    <row r="1385" spans="1:9" s="26" customFormat="1" x14ac:dyDescent="0.35">
      <c r="A1385" s="31"/>
      <c r="B1385" s="29"/>
      <c r="C1385" s="30"/>
      <c r="D1385" s="30"/>
      <c r="E1385" s="30"/>
      <c r="F1385" s="31"/>
      <c r="G1385" s="31"/>
      <c r="H1385" s="31"/>
      <c r="I1385" s="31"/>
    </row>
    <row r="1386" spans="1:9" s="26" customFormat="1" x14ac:dyDescent="0.35">
      <c r="A1386" s="31"/>
      <c r="B1386" s="29"/>
      <c r="C1386" s="30"/>
      <c r="D1386" s="30"/>
      <c r="E1386" s="30"/>
      <c r="F1386" s="31"/>
      <c r="G1386" s="31"/>
      <c r="H1386" s="31"/>
      <c r="I1386" s="31"/>
    </row>
    <row r="1387" spans="1:9" s="26" customFormat="1" x14ac:dyDescent="0.35">
      <c r="A1387" s="31"/>
      <c r="B1387" s="29"/>
      <c r="C1387" s="30"/>
      <c r="D1387" s="30"/>
      <c r="E1387" s="30"/>
      <c r="F1387" s="31"/>
      <c r="G1387" s="31"/>
      <c r="H1387" s="31"/>
      <c r="I1387" s="31"/>
    </row>
    <row r="1388" spans="1:9" s="26" customFormat="1" x14ac:dyDescent="0.35">
      <c r="A1388" s="31"/>
      <c r="B1388" s="29"/>
      <c r="C1388" s="30"/>
      <c r="D1388" s="30"/>
      <c r="E1388" s="30"/>
      <c r="F1388" s="31"/>
      <c r="G1388" s="31"/>
      <c r="H1388" s="31"/>
      <c r="I1388" s="31"/>
    </row>
    <row r="1389" spans="1:9" s="26" customFormat="1" x14ac:dyDescent="0.35">
      <c r="A1389" s="31"/>
      <c r="B1389" s="29"/>
      <c r="C1389" s="30"/>
      <c r="D1389" s="30"/>
      <c r="E1389" s="30"/>
      <c r="F1389" s="31"/>
      <c r="G1389" s="31"/>
      <c r="H1389" s="31"/>
      <c r="I1389" s="31"/>
    </row>
    <row r="1390" spans="1:9" s="26" customFormat="1" x14ac:dyDescent="0.35">
      <c r="A1390" s="31"/>
      <c r="B1390" s="29"/>
      <c r="C1390" s="30"/>
      <c r="D1390" s="30"/>
      <c r="E1390" s="30"/>
      <c r="F1390" s="31"/>
      <c r="G1390" s="31"/>
      <c r="H1390" s="31"/>
      <c r="I1390" s="31"/>
    </row>
    <row r="1391" spans="1:9" s="26" customFormat="1" x14ac:dyDescent="0.35">
      <c r="A1391" s="31"/>
      <c r="B1391" s="29"/>
      <c r="C1391" s="30"/>
      <c r="D1391" s="30"/>
      <c r="E1391" s="30"/>
      <c r="F1391" s="31"/>
      <c r="G1391" s="31"/>
      <c r="H1391" s="31"/>
      <c r="I1391" s="31"/>
    </row>
    <row r="1392" spans="1:9" s="26" customFormat="1" x14ac:dyDescent="0.35">
      <c r="A1392" s="31"/>
      <c r="B1392" s="29"/>
      <c r="C1392" s="30"/>
      <c r="D1392" s="30"/>
      <c r="E1392" s="30"/>
      <c r="F1392" s="31"/>
      <c r="G1392" s="31"/>
      <c r="H1392" s="31"/>
      <c r="I1392" s="31"/>
    </row>
    <row r="1393" spans="1:9" s="26" customFormat="1" x14ac:dyDescent="0.35">
      <c r="A1393" s="31"/>
      <c r="B1393" s="29"/>
      <c r="C1393" s="30"/>
      <c r="D1393" s="30"/>
      <c r="E1393" s="30"/>
      <c r="F1393" s="31"/>
      <c r="G1393" s="31"/>
      <c r="H1393" s="31"/>
      <c r="I1393" s="31"/>
    </row>
    <row r="1394" spans="1:9" s="26" customFormat="1" x14ac:dyDescent="0.35">
      <c r="A1394" s="31"/>
      <c r="B1394" s="29"/>
      <c r="C1394" s="30"/>
      <c r="D1394" s="30"/>
      <c r="E1394" s="30"/>
      <c r="F1394" s="31"/>
      <c r="G1394" s="31"/>
      <c r="H1394" s="31"/>
      <c r="I1394" s="31"/>
    </row>
    <row r="1395" spans="1:9" s="26" customFormat="1" x14ac:dyDescent="0.35">
      <c r="A1395" s="31"/>
      <c r="B1395" s="29"/>
      <c r="C1395" s="30"/>
      <c r="D1395" s="30"/>
      <c r="E1395" s="30"/>
      <c r="F1395" s="31"/>
      <c r="G1395" s="31"/>
      <c r="H1395" s="31"/>
      <c r="I1395" s="31"/>
    </row>
    <row r="1396" spans="1:9" s="26" customFormat="1" x14ac:dyDescent="0.35">
      <c r="A1396" s="31"/>
      <c r="B1396" s="29"/>
      <c r="C1396" s="30"/>
      <c r="D1396" s="30"/>
      <c r="E1396" s="30"/>
      <c r="F1396" s="31"/>
      <c r="G1396" s="31"/>
      <c r="H1396" s="31"/>
      <c r="I1396" s="31"/>
    </row>
    <row r="1397" spans="1:9" s="26" customFormat="1" x14ac:dyDescent="0.35">
      <c r="A1397" s="31"/>
      <c r="B1397" s="29"/>
      <c r="C1397" s="30"/>
      <c r="D1397" s="30"/>
      <c r="E1397" s="30"/>
      <c r="F1397" s="31"/>
      <c r="G1397" s="31"/>
      <c r="H1397" s="31"/>
      <c r="I1397" s="31"/>
    </row>
    <row r="1398" spans="1:9" s="26" customFormat="1" x14ac:dyDescent="0.35">
      <c r="A1398" s="31"/>
      <c r="B1398" s="29"/>
      <c r="C1398" s="30"/>
      <c r="D1398" s="30"/>
      <c r="E1398" s="30"/>
      <c r="F1398" s="31"/>
      <c r="G1398" s="31"/>
      <c r="H1398" s="31"/>
      <c r="I1398" s="31"/>
    </row>
    <row r="1399" spans="1:9" s="26" customFormat="1" x14ac:dyDescent="0.35">
      <c r="A1399" s="31"/>
      <c r="B1399" s="29"/>
      <c r="C1399" s="30"/>
      <c r="D1399" s="30"/>
      <c r="E1399" s="30"/>
      <c r="F1399" s="31"/>
      <c r="G1399" s="31"/>
      <c r="H1399" s="31"/>
      <c r="I1399" s="31"/>
    </row>
    <row r="1400" spans="1:9" s="26" customFormat="1" x14ac:dyDescent="0.35">
      <c r="A1400" s="31"/>
      <c r="B1400" s="29"/>
      <c r="C1400" s="30"/>
      <c r="D1400" s="30"/>
      <c r="E1400" s="30"/>
      <c r="F1400" s="31"/>
      <c r="G1400" s="31"/>
      <c r="H1400" s="31"/>
      <c r="I1400" s="31"/>
    </row>
    <row r="1401" spans="1:9" s="26" customFormat="1" x14ac:dyDescent="0.35">
      <c r="A1401" s="31"/>
      <c r="B1401" s="29"/>
      <c r="C1401" s="30"/>
      <c r="D1401" s="30"/>
      <c r="E1401" s="30"/>
      <c r="F1401" s="31"/>
      <c r="G1401" s="31"/>
      <c r="H1401" s="31"/>
      <c r="I1401" s="31"/>
    </row>
    <row r="1402" spans="1:9" s="26" customFormat="1" x14ac:dyDescent="0.35">
      <c r="A1402" s="31"/>
      <c r="B1402" s="29"/>
      <c r="C1402" s="30"/>
      <c r="D1402" s="30"/>
      <c r="E1402" s="30"/>
      <c r="F1402" s="31"/>
      <c r="G1402" s="31"/>
      <c r="H1402" s="31"/>
      <c r="I1402" s="31"/>
    </row>
    <row r="1403" spans="1:9" s="26" customFormat="1" x14ac:dyDescent="0.35">
      <c r="A1403" s="31"/>
      <c r="B1403" s="29"/>
      <c r="C1403" s="30"/>
      <c r="D1403" s="30"/>
      <c r="E1403" s="30"/>
      <c r="F1403" s="31"/>
      <c r="G1403" s="31"/>
      <c r="H1403" s="31"/>
      <c r="I1403" s="31"/>
    </row>
    <row r="1404" spans="1:9" s="26" customFormat="1" x14ac:dyDescent="0.35">
      <c r="A1404" s="31"/>
      <c r="B1404" s="29"/>
      <c r="C1404" s="30"/>
      <c r="D1404" s="30"/>
      <c r="E1404" s="30"/>
      <c r="F1404" s="31"/>
      <c r="G1404" s="31"/>
      <c r="H1404" s="31"/>
      <c r="I1404" s="31"/>
    </row>
    <row r="1405" spans="1:9" s="26" customFormat="1" x14ac:dyDescent="0.35">
      <c r="A1405" s="31"/>
      <c r="B1405" s="29"/>
      <c r="C1405" s="30"/>
      <c r="D1405" s="30"/>
      <c r="E1405" s="30"/>
      <c r="F1405" s="31"/>
      <c r="G1405" s="31"/>
      <c r="H1405" s="31"/>
      <c r="I1405" s="31"/>
    </row>
    <row r="1406" spans="1:9" s="26" customFormat="1" x14ac:dyDescent="0.35">
      <c r="A1406" s="31"/>
      <c r="B1406" s="29"/>
      <c r="C1406" s="30"/>
      <c r="D1406" s="30"/>
      <c r="E1406" s="30"/>
      <c r="F1406" s="31"/>
      <c r="G1406" s="31"/>
      <c r="H1406" s="31"/>
      <c r="I1406" s="31"/>
    </row>
    <row r="1407" spans="1:9" s="26" customFormat="1" x14ac:dyDescent="0.35">
      <c r="A1407" s="31"/>
      <c r="B1407" s="29"/>
      <c r="C1407" s="30"/>
      <c r="D1407" s="30"/>
      <c r="E1407" s="30"/>
      <c r="F1407" s="31"/>
      <c r="G1407" s="31"/>
      <c r="H1407" s="31"/>
      <c r="I1407" s="31"/>
    </row>
    <row r="1408" spans="1:9" s="26" customFormat="1" x14ac:dyDescent="0.35">
      <c r="A1408" s="31"/>
      <c r="B1408" s="29"/>
      <c r="C1408" s="30"/>
      <c r="D1408" s="30"/>
      <c r="E1408" s="30"/>
      <c r="F1408" s="31"/>
      <c r="G1408" s="31"/>
      <c r="H1408" s="31"/>
      <c r="I1408" s="31"/>
    </row>
    <row r="1409" spans="1:9" s="26" customFormat="1" x14ac:dyDescent="0.35">
      <c r="A1409" s="31"/>
      <c r="B1409" s="29"/>
      <c r="C1409" s="30"/>
      <c r="D1409" s="30"/>
      <c r="E1409" s="30"/>
      <c r="F1409" s="31"/>
      <c r="G1409" s="31"/>
      <c r="H1409" s="31"/>
      <c r="I1409" s="31"/>
    </row>
    <row r="1410" spans="1:9" s="26" customFormat="1" x14ac:dyDescent="0.35">
      <c r="A1410" s="31"/>
      <c r="B1410" s="29"/>
      <c r="C1410" s="30"/>
      <c r="D1410" s="30"/>
      <c r="E1410" s="30"/>
      <c r="F1410" s="31"/>
      <c r="G1410" s="31"/>
      <c r="H1410" s="31"/>
      <c r="I1410" s="31"/>
    </row>
    <row r="1411" spans="1:9" s="26" customFormat="1" x14ac:dyDescent="0.35">
      <c r="A1411" s="31"/>
      <c r="B1411" s="29"/>
      <c r="C1411" s="30"/>
      <c r="D1411" s="30"/>
      <c r="E1411" s="30"/>
      <c r="F1411" s="31"/>
      <c r="G1411" s="31"/>
      <c r="H1411" s="31"/>
      <c r="I1411" s="31"/>
    </row>
    <row r="1412" spans="1:9" s="26" customFormat="1" x14ac:dyDescent="0.35">
      <c r="A1412" s="31"/>
      <c r="B1412" s="29"/>
      <c r="C1412" s="30"/>
      <c r="D1412" s="30"/>
      <c r="E1412" s="30"/>
      <c r="F1412" s="31"/>
      <c r="G1412" s="31"/>
      <c r="H1412" s="31"/>
      <c r="I1412" s="31"/>
    </row>
    <row r="1413" spans="1:9" s="26" customFormat="1" x14ac:dyDescent="0.35">
      <c r="A1413" s="31"/>
      <c r="B1413" s="29"/>
      <c r="C1413" s="30"/>
      <c r="D1413" s="30"/>
      <c r="E1413" s="30"/>
      <c r="F1413" s="31"/>
      <c r="G1413" s="31"/>
      <c r="H1413" s="31"/>
      <c r="I1413" s="31"/>
    </row>
    <row r="1414" spans="1:9" s="26" customFormat="1" x14ac:dyDescent="0.35">
      <c r="A1414" s="31"/>
      <c r="B1414" s="29"/>
      <c r="C1414" s="30"/>
      <c r="D1414" s="30"/>
      <c r="E1414" s="30"/>
      <c r="F1414" s="31"/>
      <c r="G1414" s="31"/>
      <c r="H1414" s="31"/>
      <c r="I1414" s="31"/>
    </row>
    <row r="1415" spans="1:9" s="26" customFormat="1" x14ac:dyDescent="0.35">
      <c r="A1415" s="31"/>
      <c r="B1415" s="29"/>
      <c r="C1415" s="30"/>
      <c r="D1415" s="30"/>
      <c r="E1415" s="30"/>
      <c r="F1415" s="31"/>
      <c r="G1415" s="31"/>
      <c r="H1415" s="31"/>
      <c r="I1415" s="31"/>
    </row>
    <row r="1416" spans="1:9" s="26" customFormat="1" x14ac:dyDescent="0.35">
      <c r="A1416" s="31"/>
      <c r="B1416" s="29"/>
      <c r="C1416" s="30"/>
      <c r="D1416" s="30"/>
      <c r="E1416" s="30"/>
      <c r="F1416" s="31"/>
      <c r="G1416" s="31"/>
      <c r="H1416" s="31"/>
      <c r="I1416" s="31"/>
    </row>
    <row r="1417" spans="1:9" s="26" customFormat="1" x14ac:dyDescent="0.35">
      <c r="A1417" s="31"/>
      <c r="B1417" s="29"/>
      <c r="C1417" s="30"/>
      <c r="D1417" s="30"/>
      <c r="E1417" s="30"/>
      <c r="F1417" s="31"/>
      <c r="G1417" s="31"/>
      <c r="H1417" s="31"/>
      <c r="I1417" s="31"/>
    </row>
    <row r="1418" spans="1:9" s="26" customFormat="1" x14ac:dyDescent="0.35">
      <c r="A1418" s="31"/>
      <c r="B1418" s="29"/>
      <c r="C1418" s="30"/>
      <c r="D1418" s="30"/>
      <c r="E1418" s="30"/>
      <c r="F1418" s="31"/>
      <c r="G1418" s="31"/>
      <c r="H1418" s="31"/>
      <c r="I1418" s="31"/>
    </row>
    <row r="1419" spans="1:9" s="26" customFormat="1" x14ac:dyDescent="0.35">
      <c r="A1419" s="31"/>
      <c r="B1419" s="29"/>
      <c r="C1419" s="30"/>
      <c r="D1419" s="30"/>
      <c r="E1419" s="30"/>
      <c r="F1419" s="31"/>
      <c r="G1419" s="31"/>
      <c r="H1419" s="31"/>
      <c r="I1419" s="31"/>
    </row>
    <row r="1420" spans="1:9" s="26" customFormat="1" x14ac:dyDescent="0.35">
      <c r="A1420" s="31"/>
      <c r="B1420" s="29"/>
      <c r="C1420" s="30"/>
      <c r="D1420" s="30"/>
      <c r="E1420" s="30"/>
      <c r="F1420" s="31"/>
      <c r="G1420" s="31"/>
      <c r="H1420" s="31"/>
      <c r="I1420" s="31"/>
    </row>
    <row r="1421" spans="1:9" s="26" customFormat="1" x14ac:dyDescent="0.35">
      <c r="A1421" s="31"/>
      <c r="B1421" s="29"/>
      <c r="C1421" s="30"/>
      <c r="D1421" s="30"/>
      <c r="E1421" s="30"/>
      <c r="F1421" s="31"/>
      <c r="G1421" s="31"/>
      <c r="H1421" s="31"/>
      <c r="I1421" s="31"/>
    </row>
    <row r="1422" spans="1:9" s="26" customFormat="1" x14ac:dyDescent="0.35">
      <c r="A1422" s="31"/>
      <c r="B1422" s="29"/>
      <c r="C1422" s="30"/>
      <c r="D1422" s="30"/>
      <c r="E1422" s="30"/>
      <c r="F1422" s="31"/>
      <c r="G1422" s="31"/>
      <c r="H1422" s="31"/>
      <c r="I1422" s="31"/>
    </row>
    <row r="1423" spans="1:9" s="26" customFormat="1" x14ac:dyDescent="0.35">
      <c r="A1423" s="31"/>
      <c r="B1423" s="29"/>
      <c r="C1423" s="30"/>
      <c r="D1423" s="30"/>
      <c r="E1423" s="30"/>
      <c r="F1423" s="31"/>
      <c r="G1423" s="31"/>
      <c r="H1423" s="31"/>
      <c r="I1423" s="31"/>
    </row>
    <row r="1424" spans="1:9" s="26" customFormat="1" x14ac:dyDescent="0.35">
      <c r="A1424" s="31"/>
      <c r="B1424" s="29"/>
      <c r="C1424" s="30"/>
      <c r="D1424" s="30"/>
      <c r="E1424" s="30"/>
      <c r="F1424" s="31"/>
      <c r="G1424" s="31"/>
      <c r="H1424" s="31"/>
      <c r="I1424" s="31"/>
    </row>
    <row r="1425" spans="1:9" s="26" customFormat="1" x14ac:dyDescent="0.35">
      <c r="A1425" s="31"/>
      <c r="B1425" s="29"/>
      <c r="C1425" s="30"/>
      <c r="D1425" s="30"/>
      <c r="E1425" s="30"/>
      <c r="F1425" s="31"/>
      <c r="G1425" s="31"/>
      <c r="H1425" s="31"/>
      <c r="I1425" s="31"/>
    </row>
    <row r="1426" spans="1:9" s="26" customFormat="1" x14ac:dyDescent="0.35">
      <c r="A1426" s="31"/>
      <c r="B1426" s="29"/>
      <c r="C1426" s="30"/>
      <c r="D1426" s="30"/>
      <c r="E1426" s="30"/>
      <c r="F1426" s="31"/>
      <c r="G1426" s="31"/>
      <c r="H1426" s="31"/>
      <c r="I1426" s="31"/>
    </row>
    <row r="1427" spans="1:9" s="26" customFormat="1" x14ac:dyDescent="0.35">
      <c r="A1427" s="31"/>
      <c r="B1427" s="29"/>
      <c r="C1427" s="30"/>
      <c r="D1427" s="30"/>
      <c r="E1427" s="30"/>
      <c r="F1427" s="31"/>
      <c r="G1427" s="31"/>
      <c r="H1427" s="31"/>
      <c r="I1427" s="31"/>
    </row>
    <row r="1428" spans="1:9" s="26" customFormat="1" x14ac:dyDescent="0.35">
      <c r="A1428" s="31"/>
      <c r="B1428" s="29"/>
      <c r="C1428" s="30"/>
      <c r="D1428" s="30"/>
      <c r="E1428" s="30"/>
      <c r="F1428" s="31"/>
      <c r="G1428" s="31"/>
      <c r="H1428" s="31"/>
      <c r="I1428" s="31"/>
    </row>
    <row r="1429" spans="1:9" s="26" customFormat="1" x14ac:dyDescent="0.35">
      <c r="A1429" s="31"/>
      <c r="B1429" s="29"/>
      <c r="C1429" s="30"/>
      <c r="D1429" s="30"/>
      <c r="E1429" s="30"/>
      <c r="F1429" s="31"/>
      <c r="G1429" s="31"/>
      <c r="H1429" s="31"/>
      <c r="I1429" s="31"/>
    </row>
    <row r="1430" spans="1:9" s="26" customFormat="1" x14ac:dyDescent="0.35">
      <c r="A1430" s="31"/>
      <c r="B1430" s="29"/>
      <c r="C1430" s="30"/>
      <c r="D1430" s="30"/>
      <c r="E1430" s="30"/>
      <c r="F1430" s="31"/>
      <c r="G1430" s="31"/>
      <c r="H1430" s="31"/>
      <c r="I1430" s="31"/>
    </row>
    <row r="1431" spans="1:9" s="26" customFormat="1" x14ac:dyDescent="0.35">
      <c r="A1431" s="31"/>
      <c r="B1431" s="29"/>
      <c r="C1431" s="30"/>
      <c r="D1431" s="30"/>
      <c r="E1431" s="30"/>
      <c r="F1431" s="31"/>
      <c r="G1431" s="31"/>
      <c r="H1431" s="31"/>
      <c r="I1431" s="31"/>
    </row>
    <row r="1432" spans="1:9" s="26" customFormat="1" x14ac:dyDescent="0.35">
      <c r="A1432" s="31"/>
      <c r="B1432" s="29"/>
      <c r="C1432" s="30"/>
      <c r="D1432" s="30"/>
      <c r="E1432" s="30"/>
      <c r="F1432" s="31"/>
      <c r="G1432" s="31"/>
      <c r="H1432" s="31"/>
      <c r="I1432" s="31"/>
    </row>
    <row r="1433" spans="1:9" s="26" customFormat="1" x14ac:dyDescent="0.35">
      <c r="A1433" s="31"/>
      <c r="B1433" s="29"/>
      <c r="C1433" s="30"/>
      <c r="D1433" s="30"/>
      <c r="E1433" s="30"/>
      <c r="F1433" s="31"/>
      <c r="G1433" s="31"/>
      <c r="H1433" s="31"/>
      <c r="I1433" s="31"/>
    </row>
    <row r="1434" spans="1:9" s="26" customFormat="1" x14ac:dyDescent="0.35">
      <c r="A1434" s="31"/>
      <c r="B1434" s="29"/>
      <c r="C1434" s="30"/>
      <c r="D1434" s="30"/>
      <c r="E1434" s="30"/>
      <c r="F1434" s="31"/>
      <c r="G1434" s="31"/>
      <c r="H1434" s="31"/>
      <c r="I1434" s="31"/>
    </row>
    <row r="1435" spans="1:9" s="26" customFormat="1" x14ac:dyDescent="0.35">
      <c r="A1435" s="31"/>
      <c r="B1435" s="29"/>
      <c r="C1435" s="30"/>
      <c r="D1435" s="30"/>
      <c r="E1435" s="30"/>
      <c r="F1435" s="31"/>
      <c r="G1435" s="31"/>
      <c r="H1435" s="31"/>
      <c r="I1435" s="31"/>
    </row>
    <row r="1436" spans="1:9" s="26" customFormat="1" x14ac:dyDescent="0.35">
      <c r="A1436" s="31"/>
      <c r="B1436" s="29"/>
      <c r="C1436" s="30"/>
      <c r="D1436" s="30"/>
      <c r="E1436" s="30"/>
      <c r="F1436" s="31"/>
      <c r="G1436" s="31"/>
      <c r="H1436" s="31"/>
      <c r="I1436" s="31"/>
    </row>
    <row r="1437" spans="1:9" s="26" customFormat="1" x14ac:dyDescent="0.35">
      <c r="A1437" s="31"/>
      <c r="B1437" s="29"/>
      <c r="C1437" s="30"/>
      <c r="D1437" s="30"/>
      <c r="E1437" s="30"/>
      <c r="F1437" s="31"/>
      <c r="G1437" s="31"/>
      <c r="H1437" s="31"/>
      <c r="I1437" s="31"/>
    </row>
    <row r="1438" spans="1:9" s="26" customFormat="1" x14ac:dyDescent="0.35">
      <c r="A1438" s="31"/>
      <c r="B1438" s="29"/>
      <c r="C1438" s="30"/>
      <c r="D1438" s="30"/>
      <c r="E1438" s="30"/>
      <c r="F1438" s="31"/>
      <c r="G1438" s="31"/>
      <c r="H1438" s="31"/>
      <c r="I1438" s="31"/>
    </row>
    <row r="1439" spans="1:9" s="26" customFormat="1" x14ac:dyDescent="0.35">
      <c r="A1439" s="31"/>
      <c r="B1439" s="29"/>
      <c r="C1439" s="30"/>
      <c r="D1439" s="30"/>
      <c r="E1439" s="30"/>
      <c r="F1439" s="31"/>
      <c r="G1439" s="31"/>
      <c r="H1439" s="31"/>
      <c r="I1439" s="31"/>
    </row>
    <row r="1440" spans="1:9" s="26" customFormat="1" x14ac:dyDescent="0.35">
      <c r="A1440" s="31"/>
      <c r="B1440" s="29"/>
      <c r="C1440" s="30"/>
      <c r="D1440" s="30"/>
      <c r="E1440" s="30"/>
      <c r="F1440" s="31"/>
      <c r="G1440" s="31"/>
      <c r="H1440" s="31"/>
      <c r="I1440" s="31"/>
    </row>
    <row r="1441" spans="1:9" s="26" customFormat="1" x14ac:dyDescent="0.35">
      <c r="A1441" s="31"/>
      <c r="B1441" s="29"/>
      <c r="C1441" s="30"/>
      <c r="D1441" s="30"/>
      <c r="E1441" s="30"/>
      <c r="F1441" s="31"/>
      <c r="G1441" s="31"/>
      <c r="H1441" s="31"/>
      <c r="I1441" s="31"/>
    </row>
    <row r="1442" spans="1:9" s="26" customFormat="1" x14ac:dyDescent="0.35">
      <c r="A1442" s="31"/>
      <c r="B1442" s="29"/>
      <c r="C1442" s="30"/>
      <c r="D1442" s="30"/>
      <c r="E1442" s="30"/>
      <c r="F1442" s="31"/>
      <c r="G1442" s="31"/>
      <c r="H1442" s="31"/>
      <c r="I1442" s="31"/>
    </row>
    <row r="1443" spans="1:9" s="26" customFormat="1" x14ac:dyDescent="0.35">
      <c r="A1443" s="31"/>
      <c r="B1443" s="29"/>
      <c r="C1443" s="30"/>
      <c r="D1443" s="30"/>
      <c r="E1443" s="30"/>
      <c r="F1443" s="31"/>
      <c r="G1443" s="31"/>
      <c r="H1443" s="31"/>
      <c r="I1443" s="31"/>
    </row>
    <row r="1444" spans="1:9" s="26" customFormat="1" x14ac:dyDescent="0.35">
      <c r="A1444" s="31"/>
      <c r="B1444" s="29"/>
      <c r="C1444" s="30"/>
      <c r="D1444" s="30"/>
      <c r="E1444" s="30"/>
      <c r="F1444" s="31"/>
      <c r="G1444" s="31"/>
      <c r="H1444" s="31"/>
      <c r="I1444" s="31"/>
    </row>
    <row r="1445" spans="1:9" s="26" customFormat="1" x14ac:dyDescent="0.35">
      <c r="A1445" s="31"/>
      <c r="B1445" s="29"/>
      <c r="C1445" s="30"/>
      <c r="D1445" s="30"/>
      <c r="E1445" s="30"/>
      <c r="F1445" s="31"/>
      <c r="G1445" s="31"/>
      <c r="H1445" s="31"/>
      <c r="I1445" s="31"/>
    </row>
    <row r="1446" spans="1:9" s="26" customFormat="1" x14ac:dyDescent="0.35">
      <c r="A1446" s="31"/>
      <c r="B1446" s="29"/>
      <c r="C1446" s="30"/>
      <c r="D1446" s="30"/>
      <c r="E1446" s="30"/>
      <c r="F1446" s="31"/>
      <c r="G1446" s="31"/>
      <c r="H1446" s="31"/>
      <c r="I1446" s="31"/>
    </row>
    <row r="1447" spans="1:9" s="26" customFormat="1" x14ac:dyDescent="0.35">
      <c r="A1447" s="31"/>
      <c r="B1447" s="29"/>
      <c r="C1447" s="30"/>
      <c r="D1447" s="30"/>
      <c r="E1447" s="30"/>
      <c r="F1447" s="31"/>
      <c r="G1447" s="31"/>
      <c r="H1447" s="31"/>
      <c r="I1447" s="31"/>
    </row>
    <row r="1448" spans="1:9" s="26" customFormat="1" x14ac:dyDescent="0.35">
      <c r="A1448" s="31"/>
      <c r="B1448" s="29"/>
      <c r="C1448" s="30"/>
      <c r="D1448" s="30"/>
      <c r="E1448" s="30"/>
      <c r="F1448" s="31"/>
      <c r="G1448" s="31"/>
      <c r="H1448" s="31"/>
      <c r="I1448" s="31"/>
    </row>
    <row r="1449" spans="1:9" s="26" customFormat="1" x14ac:dyDescent="0.35">
      <c r="A1449" s="31"/>
      <c r="B1449" s="29"/>
      <c r="C1449" s="30"/>
      <c r="D1449" s="30"/>
      <c r="E1449" s="30"/>
      <c r="F1449" s="31"/>
      <c r="G1449" s="31"/>
      <c r="H1449" s="31"/>
      <c r="I1449" s="31"/>
    </row>
    <row r="1450" spans="1:9" s="26" customFormat="1" x14ac:dyDescent="0.35">
      <c r="A1450" s="31"/>
      <c r="B1450" s="29"/>
      <c r="C1450" s="30"/>
      <c r="D1450" s="30"/>
      <c r="E1450" s="30"/>
      <c r="F1450" s="31"/>
      <c r="G1450" s="31"/>
      <c r="H1450" s="31"/>
      <c r="I1450" s="31"/>
    </row>
    <row r="1451" spans="1:9" s="26" customFormat="1" x14ac:dyDescent="0.35">
      <c r="A1451" s="31"/>
      <c r="B1451" s="29"/>
      <c r="C1451" s="30"/>
      <c r="D1451" s="30"/>
      <c r="E1451" s="30"/>
      <c r="F1451" s="31"/>
      <c r="G1451" s="31"/>
      <c r="H1451" s="31"/>
      <c r="I1451" s="31"/>
    </row>
    <row r="1452" spans="1:9" s="26" customFormat="1" x14ac:dyDescent="0.35">
      <c r="A1452" s="31"/>
      <c r="B1452" s="29"/>
      <c r="C1452" s="30"/>
      <c r="D1452" s="30"/>
      <c r="E1452" s="30"/>
      <c r="F1452" s="31"/>
      <c r="G1452" s="31"/>
      <c r="H1452" s="31"/>
      <c r="I1452" s="31"/>
    </row>
    <row r="1453" spans="1:9" s="26" customFormat="1" x14ac:dyDescent="0.35">
      <c r="A1453" s="31"/>
      <c r="B1453" s="29"/>
      <c r="C1453" s="30"/>
      <c r="D1453" s="30"/>
      <c r="E1453" s="30"/>
      <c r="F1453" s="31"/>
      <c r="G1453" s="31"/>
      <c r="H1453" s="31"/>
      <c r="I1453" s="31"/>
    </row>
    <row r="1454" spans="1:9" s="26" customFormat="1" x14ac:dyDescent="0.35">
      <c r="A1454" s="31"/>
      <c r="B1454" s="29"/>
      <c r="C1454" s="30"/>
      <c r="D1454" s="30"/>
      <c r="E1454" s="30"/>
      <c r="F1454" s="31"/>
      <c r="G1454" s="31"/>
      <c r="H1454" s="31"/>
      <c r="I1454" s="31"/>
    </row>
    <row r="1455" spans="1:9" s="26" customFormat="1" x14ac:dyDescent="0.35">
      <c r="A1455" s="31"/>
      <c r="B1455" s="29"/>
      <c r="C1455" s="30"/>
      <c r="D1455" s="30"/>
      <c r="E1455" s="30"/>
      <c r="F1455" s="31"/>
      <c r="G1455" s="31"/>
      <c r="H1455" s="31"/>
      <c r="I1455" s="31"/>
    </row>
    <row r="1456" spans="1:9" s="26" customFormat="1" x14ac:dyDescent="0.35">
      <c r="A1456" s="31"/>
      <c r="B1456" s="29"/>
      <c r="C1456" s="30"/>
      <c r="D1456" s="30"/>
      <c r="E1456" s="30"/>
      <c r="F1456" s="31"/>
      <c r="G1456" s="31"/>
      <c r="H1456" s="31"/>
      <c r="I1456" s="31"/>
    </row>
    <row r="1457" spans="1:9" s="26" customFormat="1" x14ac:dyDescent="0.35">
      <c r="A1457" s="31"/>
      <c r="B1457" s="29"/>
      <c r="C1457" s="30"/>
      <c r="D1457" s="30"/>
      <c r="E1457" s="30"/>
      <c r="F1457" s="31"/>
      <c r="G1457" s="31"/>
      <c r="H1457" s="31"/>
      <c r="I1457" s="31"/>
    </row>
    <row r="1458" spans="1:9" s="26" customFormat="1" x14ac:dyDescent="0.35">
      <c r="A1458" s="31"/>
      <c r="B1458" s="29"/>
      <c r="C1458" s="30"/>
      <c r="D1458" s="30"/>
      <c r="E1458" s="30"/>
      <c r="F1458" s="31"/>
      <c r="G1458" s="31"/>
      <c r="H1458" s="31"/>
      <c r="I1458" s="31"/>
    </row>
  </sheetData>
  <conditionalFormatting sqref="E707:E862">
    <cfRule type="colorScale" priority="2">
      <colorScale>
        <cfvo type="min"/>
        <cfvo type="percentile" val="50"/>
        <cfvo type="max"/>
        <color rgb="FFF8696B"/>
        <color rgb="FFFFEB84"/>
        <color rgb="FF63BE7B"/>
      </colorScale>
    </cfRule>
  </conditionalFormatting>
  <conditionalFormatting sqref="I707:I86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2023-01-19T03:37:17Z</dcterms:modified>
</cp:coreProperties>
</file>